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1809dcdc0817471d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 xmlns:x="http://schemas.openxmlformats.org/spreadsheetml/2006/main">
  <bookViews>
    <workbookView/>
  </bookViews>
  <sheets>
    <sheet name="00_Cover" sheetId="1" r:id="R735321e6143249cd"/>
    <sheet name="Sources" sheetId="2" r:id="Rf7a97a293e4249ef"/>
    <sheet name="Historical" sheetId="3" r:id="Rbec6b771f5e84b03"/>
    <sheet name="Assumptions" sheetId="4" r:id="R4b6b0617297d40ed"/>
    <sheet name="Forecast" sheetId="5" r:id="Rfb6a6e7ecf774fc7"/>
    <sheet name="Valuation" sheetId="6" r:id="Re6f431d309354aef"/>
    <sheet name="Sensitivity" sheetId="7" r:id="Rb92aede82a20485c"/>
    <sheet name="Checks" sheetId="8" r:id="R7f49ea4e263342db"/>
    <sheet name="Sector_KPIs" sheetId="9" r:id="R6dca70305a6e40bb"/>
    <sheet name="Change_Log" sheetId="10" r:id="Rb3a6f2bbbb1d465f"/>
    <sheet name="IS_Hist" sheetId="11" r:id="rId1"/>
    <sheet name="CI_Hist" sheetId="12" r:id="rId2"/>
    <sheet name="BS_Hist" sheetId="13" r:id="rId3"/>
    <sheet name="CF_Hist" sheetId="14" r:id="rId4"/>
    <sheet name="PPE_Capex" sheetId="15" r:id="rId5"/>
    <sheet name="Debt_Schedule" sheetId="16" r:id="rId6"/>
    <sheet name="Inventory_Schedule" sheetId="17" r:id="rId7"/>
    <sheet name="Checks_TieOut" sheetId="18" r:id="rId8"/>
    <sheet name="Sources_Audited" sheetId="19" r:id="rId9"/>
    <sheet name="Claude Code Log" sheetId="20" r:id="rId10"/>
  </sheets>
  <calcPr calcId="0"/>
</workbook>
</file>

<file path=xl/sharedStrings.xml><?xml version="1.0" encoding="utf-8"?>
<sst xmlns="http://schemas.openxmlformats.org/spreadsheetml/2006/main" count="588" uniqueCount="453">
  <si>
    <t>SK hynix Inc. — Institutional Financial Model</t>
  </si>
  <si>
    <t>Memory semiconductors / AI infrastructure | USD millions | As of 2026-07-15</t>
  </si>
  <si>
    <t>Model field</t>
  </si>
  <si>
    <t>Value</t>
  </si>
  <si>
    <t>Ticker / identifier</t>
  </si>
  <si>
    <t>KRX: 000660</t>
  </si>
  <si>
    <t>Model archetype</t>
  </si>
  <si>
    <t>Operating company / DCF</t>
  </si>
  <si>
    <t>Decision readiness</t>
  </si>
  <si>
    <t>Official-results operating model</t>
  </si>
  <si>
    <t>Reporting currency</t>
  </si>
  <si>
    <t>KRW</t>
  </si>
  <si>
    <t>Model currency</t>
  </si>
  <si>
    <t>USD millions</t>
  </si>
  <si>
    <t>Market-data date</t>
  </si>
  <si>
    <t>Not applicable</t>
  </si>
  <si>
    <t>Current market price</t>
  </si>
  <si>
    <t>Not available</t>
  </si>
  <si>
    <t>Primary source</t>
  </si>
  <si>
    <t>https://news.skhynix.com/sk-hynix-announces-fy25-financial-results/</t>
  </si>
  <si>
    <t>Key limitation</t>
  </si>
  <si>
    <t>This is the Korean memory company the request described. KRW trillion disclosures translated to USD at the current FX snapshot.</t>
  </si>
  <si>
    <t>Institutional-grade means auditable sources, explicit assumptions, formula-driven forecasts, valuation, sensitivities, checks and governance. It does not mean that missing private-company disclosures have been invented.</t>
  </si>
  <si>
    <t>Sources and data lineage</t>
  </si>
  <si>
    <t>Every hardcode is mapped to a source, date, currency and transformation.</t>
  </si>
  <si>
    <t>Source ID</t>
  </si>
  <si>
    <t>Use</t>
  </si>
  <si>
    <t>URL / reference</t>
  </si>
  <si>
    <t>As of</t>
  </si>
  <si>
    <t>Source currency</t>
  </si>
  <si>
    <t>Transformation</t>
  </si>
  <si>
    <t>Limitation</t>
  </si>
  <si>
    <t>Status</t>
  </si>
  <si>
    <t>S1</t>
  </si>
  <si>
    <t>Historical financials</t>
  </si>
  <si>
    <t>Latest annual filing/results</t>
  </si>
  <si>
    <t>Converted at current snapshot FX (KRW to USD = 0.00067253)</t>
  </si>
  <si>
    <t>S2</t>
  </si>
  <si>
    <t>Market price</t>
  </si>
  <si>
    <t>2026-07-15</t>
  </si>
  <si>
    <t>N/A</t>
  </si>
  <si>
    <t>Dated market input; not a historical financial source</t>
  </si>
  <si>
    <t>Market prices move after the as-of date</t>
  </si>
  <si>
    <t>Not loaded</t>
  </si>
  <si>
    <t>S3</t>
  </si>
  <si>
    <t>FX snapshot</t>
  </si>
  <si>
    <t>Yahoo Finance KRW/USD chart snapshot</t>
  </si>
  <si>
    <t>KRW per USD, inverted</t>
  </si>
  <si>
    <t>Current FX used across historical years for comparability; not historical spot</t>
  </si>
  <si>
    <t>Loaded</t>
  </si>
  <si>
    <t>S4</t>
  </si>
  <si>
    <t>Forecast assumptions</t>
  </si>
  <si>
    <t>Model Assumptions sheet</t>
  </si>
  <si>
    <t>USD</t>
  </si>
  <si>
    <t>User-editable scenario inputs</t>
  </si>
  <si>
    <t>Forecasts are estimates, not reported facts</t>
  </si>
  <si>
    <t>Model input</t>
  </si>
  <si>
    <t>USD millions; blanks are intentional when the cited source did not support a defensible value.</t>
  </si>
  <si>
    <t>Metric</t>
  </si>
  <si>
    <t>2021A</t>
  </si>
  <si>
    <t>2022A</t>
  </si>
  <si>
    <t>2023A</t>
  </si>
  <si>
    <t>2024A</t>
  </si>
  <si>
    <t>2025A</t>
  </si>
  <si>
    <t>Source tag / note</t>
  </si>
  <si>
    <t>Quality</t>
  </si>
  <si>
    <t>Revenue</t>
  </si>
  <si>
    <t>Issuer results / manual source mapping</t>
  </si>
  <si>
    <t>Source-backed / see note</t>
  </si>
  <si>
    <t>Gross profit</t>
  </si>
  <si>
    <t>Missing / not inferred</t>
  </si>
  <si>
    <t>Operating income / EBIT</t>
  </si>
  <si>
    <t>Net income</t>
  </si>
  <si>
    <t>Cash from operations</t>
  </si>
  <si>
    <t>Capital expenditure</t>
  </si>
  <si>
    <t>Assets</t>
  </si>
  <si>
    <t>Liabilities</t>
  </si>
  <si>
    <t>Equity</t>
  </si>
  <si>
    <t>Cash</t>
  </si>
  <si>
    <t>Debt</t>
  </si>
  <si>
    <t>Diluted shares (mm)</t>
  </si>
  <si>
    <t>Assumptions and scenarios</t>
  </si>
  <si>
    <t>Blue-font cells are user inputs. Scenario selector: 1 = Base, 2 = Bull, 3 = Bear.</t>
  </si>
  <si>
    <t>Scenario selector</t>
  </si>
  <si>
    <t>Bear</t>
  </si>
  <si>
    <t>Base</t>
  </si>
  <si>
    <t>Bull</t>
  </si>
  <si>
    <t>Active</t>
  </si>
  <si>
    <t>Rationale / source</t>
  </si>
  <si>
    <t>Revenue growth</t>
  </si>
  <si>
    <t>Historical trend / sector anchor</t>
  </si>
  <si>
    <t>EBIT margin</t>
  </si>
  <si>
    <t>Latest reported operating margin or explicit assumption</t>
  </si>
  <si>
    <t>Cash tax rate</t>
  </si>
  <si>
    <t>Normalized cash-tax assumption</t>
  </si>
  <si>
    <t>D&amp;A / revenue</t>
  </si>
  <si>
    <t>Sector-neutral default when source facts are unavailable</t>
  </si>
  <si>
    <t>Capex / revenue</t>
  </si>
  <si>
    <t>Capital intensity assumption</t>
  </si>
  <si>
    <t>NWC investment / incremental revenue</t>
  </si>
  <si>
    <t>Working-capital intensity</t>
  </si>
  <si>
    <t>WACC</t>
  </si>
  <si>
    <t>USD discount-rate assumption</t>
  </si>
  <si>
    <t>Terminal growth</t>
  </si>
  <si>
    <t>Long-run nominal USD growth</t>
  </si>
  <si>
    <t>Forecast model</t>
  </si>
  <si>
    <t>Formula-driven five-year projection in USD millions.</t>
  </si>
  <si>
    <t>2026E</t>
  </si>
  <si>
    <t>2027E</t>
  </si>
  <si>
    <t>2028E</t>
  </si>
  <si>
    <t>2029E</t>
  </si>
  <si>
    <t>2030E</t>
  </si>
  <si>
    <t>Growth</t>
  </si>
  <si>
    <t>EBIT</t>
  </si>
  <si>
    <t>NOPAT</t>
  </si>
  <si>
    <t>D&amp;A</t>
  </si>
  <si>
    <t>Change in NWC</t>
  </si>
  <si>
    <t>FCFF</t>
  </si>
  <si>
    <t>Discounted cash flow valuation</t>
  </si>
  <si>
    <t>Valuation is formula-driven and scenario-sensitive; private-company outputs are enterprise-value ranges only.</t>
  </si>
  <si>
    <t>Year 1</t>
  </si>
  <si>
    <t>Year 2</t>
  </si>
  <si>
    <t>Year 3</t>
  </si>
  <si>
    <t>Year 4</t>
  </si>
  <si>
    <t>Year 5</t>
  </si>
  <si>
    <t>Total / output</t>
  </si>
  <si>
    <t>Discount factor</t>
  </si>
  <si>
    <t>PV FCFF</t>
  </si>
  <si>
    <t>Output</t>
  </si>
  <si>
    <t>PV explicit FCFF</t>
  </si>
  <si>
    <t>Terminal value</t>
  </si>
  <si>
    <t>PV terminal value</t>
  </si>
  <si>
    <t>Enterprise value</t>
  </si>
  <si>
    <t>Equity value</t>
  </si>
  <si>
    <t>Implied value / share</t>
  </si>
  <si>
    <t>Upside / (downside)</t>
  </si>
  <si>
    <t>Valuation sensitivity</t>
  </si>
  <si>
    <t>Enterprise value sensitivity to WACC and terminal growth.</t>
  </si>
  <si>
    <t>WACC / g</t>
  </si>
  <si>
    <t>Model checks</t>
  </si>
  <si>
    <t>All critical checks should read PASS before decision use.</t>
  </si>
  <si>
    <t>Check</t>
  </si>
  <si>
    <t>Result</t>
  </si>
  <si>
    <t>Severity</t>
  </si>
  <si>
    <t>Interpretation</t>
  </si>
  <si>
    <t>Forecast revenue non-negative</t>
  </si>
  <si>
    <t>Critical</t>
  </si>
  <si>
    <t>No negative revenue</t>
  </si>
  <si>
    <t>FCFF formula populated</t>
  </si>
  <si>
    <t>Five forecast cash flows</t>
  </si>
  <si>
    <t>WACC exceeds terminal growth</t>
  </si>
  <si>
    <t>Required for convergent DCF</t>
  </si>
  <si>
    <t>Valuation bridge</t>
  </si>
  <si>
    <t>EV plus cash less debt equals equity value</t>
  </si>
  <si>
    <t>Historical source coverage</t>
  </si>
  <si>
    <t>LIMITED</t>
  </si>
  <si>
    <t>Readiness</t>
  </si>
  <si>
    <t>Manual/summary sources or missing financial history remain explicitly limited</t>
  </si>
  <si>
    <t>Overall gate</t>
  </si>
  <si>
    <t>Decision use</t>
  </si>
  <si>
    <t>Sector KPI framework</t>
  </si>
  <si>
    <t>A decision-useful model requires sector drivers beyond the three statements.</t>
  </si>
  <si>
    <t>KPI</t>
  </si>
  <si>
    <t>Historical</t>
  </si>
  <si>
    <t>Forecast</t>
  </si>
  <si>
    <t>Status / source requirement</t>
  </si>
  <si>
    <t>Revenue by platform</t>
  </si>
  <si>
    <t>Input-ready; populate from issuer operating disclosures</t>
  </si>
  <si>
    <t>Units / wafer shipments</t>
  </si>
  <si>
    <t>ASP</t>
  </si>
  <si>
    <t>Gross margin</t>
  </si>
  <si>
    <t>R&amp;D intensity</t>
  </si>
  <si>
    <t>Capex intensity</t>
  </si>
  <si>
    <t>Backlog</t>
  </si>
  <si>
    <t>Inventory days</t>
  </si>
  <si>
    <t>Free cash flow</t>
  </si>
  <si>
    <t>Change log and governance</t>
  </si>
  <si>
    <t>Version history and model-owner review record.</t>
  </si>
  <si>
    <t>Date</t>
  </si>
  <si>
    <t>Version</t>
  </si>
  <si>
    <t>Author</t>
  </si>
  <si>
    <t>Change</t>
  </si>
  <si>
    <t>Evidence</t>
  </si>
  <si>
    <t>Reviewer status</t>
  </si>
  <si>
    <t>1.0</t>
  </si>
  <si>
    <t>Codex</t>
  </si>
  <si>
    <t>Initial institutional model framework and source pack</t>
  </si>
  <si>
    <t>Builder-verified</t>
  </si>
  <si>
    <t>Formula, package and visual QA</t>
  </si>
  <si>
    <t>Checks sheet and preview artifacts</t>
  </si>
  <si>
    <t>Pending owner investment judgment</t>
  </si>
  <si>
    <t>Elevation pass 1 (statement-grade, Samsung pilot pattern): added audited FY2023-FY2025 (FY2023 BS excluded, SOURCE_GAP) statement sheets IS_Hist/CI_Hist/BS_Hist/CF_Hist (KRW mm, published constants from SEC Form 424(B)(4)), Checks_TieOut (24 tie-outs incl. cross-statement + cross-schedule), Sources_Audited, and sector schedules PPE_Capex/Debt_Schedule/Inventory_Schedule (Notes 12/16/9). FY2021-FY2022 documented as SOURCE_GAP (no public English audited FS; confidential 144A/Reg S bond circulars found but not used per redistribution restriction; DART is Korean-only). Forecast/Assumptions/Valuation NOT rewired to new base — left PARTIAL, flagged in Sources_Audited. Root model untouched; v2 saved under the maintainer's archive. Built via Mog SDK.</t>
  </si>
  <si>
    <t>Claude (run 41538014)</t>
  </si>
  <si>
    <t>SK hynix Inc. and Subsidiaries — Consolidated Statements of Profit or Loss (audited)</t>
  </si>
  <si>
    <t>KRW millions. FY2023-FY2025 per SEC Form 424(B)(4), 3-yr comparative income statement (source: 424B4, pp. F-6).</t>
  </si>
  <si>
    <t>Line item</t>
  </si>
  <si>
    <t>FY2023A</t>
  </si>
  <si>
    <t>FY2024A</t>
  </si>
  <si>
    <t>FY2025A</t>
  </si>
  <si>
    <t>Note ref</t>
  </si>
  <si>
    <t>4,24,31</t>
  </si>
  <si>
    <t>Cost of sales</t>
  </si>
  <si>
    <t>Gross profit (loss)</t>
  </si>
  <si>
    <t>Selling and administrative expenses</t>
  </si>
  <si>
    <t>Research and development expenses</t>
  </si>
  <si>
    <t>Finance income</t>
  </si>
  <si>
    <t>Finance expenses</t>
  </si>
  <si>
    <t>Share of profit (loss) of equity-accounted investees</t>
  </si>
  <si>
    <t>Other income</t>
  </si>
  <si>
    <t>Other expenses</t>
  </si>
  <si>
    <t>Profit (loss) before income tax</t>
  </si>
  <si>
    <t>Income tax expense (benefits)</t>
  </si>
  <si>
    <t>Profit (loss) for the year</t>
  </si>
  <si>
    <t>Profit (loss) attributable to:</t>
  </si>
  <si>
    <t>Owners of the Parent Company</t>
  </si>
  <si>
    <t>Non-controlling interests</t>
  </si>
  <si>
    <t>Earnings (loss) per share — basic (won)</t>
  </si>
  <si>
    <t>Earnings (loss) per share — diluted (won)</t>
  </si>
  <si>
    <t>SK hynix Inc. and Subsidiaries — Consolidated Statements of Comprehensive Income (Loss) (audited)</t>
  </si>
  <si>
    <t>KRW millions. Same source basis as IS_Hist (424B4, p. F-6).</t>
  </si>
  <si>
    <t>Item that will never be reclassified to profit or loss:</t>
  </si>
  <si>
    <t>Remeasurements of defined benefit liability, net of tax</t>
  </si>
  <si>
    <t>Items that are or may be reclassified to profit or loss:</t>
  </si>
  <si>
    <t>Foreign operations - foreign currency translation differences, net of tax</t>
  </si>
  <si>
    <t>Gain (loss) on valuation of derivatives, net of tax</t>
  </si>
  <si>
    <t>Equity-accounted investees - share of OCI (loss), net of tax</t>
  </si>
  <si>
    <t>Other comprehensive income for the year, net of tax</t>
  </si>
  <si>
    <t>Total comprehensive income (loss) for the year</t>
  </si>
  <si>
    <t>Total comprehensive income (loss) attributable to:</t>
  </si>
  <si>
    <t>SK hynix Inc. and Subsidiaries — Consolidated Statements of Financial Position (audited)</t>
  </si>
  <si>
    <t>KRW millions, as of December 31. 424B4 presents only a 2-yr comparative BS (FY2024/FY2025); FY2023 = SOURCE_GAP, see Sources_Audited (424B4, pp. F-4/F-5).</t>
  </si>
  <si>
    <t>Current assets</t>
  </si>
  <si>
    <t>Cash and cash equivalents</t>
  </si>
  <si>
    <t>Short-term financial instruments</t>
  </si>
  <si>
    <t>5,6,7</t>
  </si>
  <si>
    <t>Short-term investment assets</t>
  </si>
  <si>
    <t>Trade receivables, net</t>
  </si>
  <si>
    <t>5,6,8,31</t>
  </si>
  <si>
    <t>Loans and other receivables, net</t>
  </si>
  <si>
    <t>Other financial assets</t>
  </si>
  <si>
    <t>5,6,7,21</t>
  </si>
  <si>
    <t>Inventories, net</t>
  </si>
  <si>
    <t>Current tax assets</t>
  </si>
  <si>
    <t>Other current assets</t>
  </si>
  <si>
    <t>Total current assets</t>
  </si>
  <si>
    <t>Non-current assets</t>
  </si>
  <si>
    <t>Investments in associates and joint ventures</t>
  </si>
  <si>
    <t>Long-term investment assets</t>
  </si>
  <si>
    <t>Loans and other receivables, net (non-current)</t>
  </si>
  <si>
    <t>Other financial assets (non-current)</t>
  </si>
  <si>
    <t>Property, plant and equipment, net</t>
  </si>
  <si>
    <t>Right-of-use assets, net</t>
  </si>
  <si>
    <t>Intangible assets, net</t>
  </si>
  <si>
    <t>Investment property, net</t>
  </si>
  <si>
    <t>Deferred tax assets</t>
  </si>
  <si>
    <t>Employee benefit assets</t>
  </si>
  <si>
    <t>Other non-current assets</t>
  </si>
  <si>
    <t>Total non-current assets</t>
  </si>
  <si>
    <t>Total assets</t>
  </si>
  <si>
    <t>Current liabilities</t>
  </si>
  <si>
    <t>Trade payables</t>
  </si>
  <si>
    <t>5,6,31</t>
  </si>
  <si>
    <t>Other payables</t>
  </si>
  <si>
    <t>5,6,31,32</t>
  </si>
  <si>
    <t>Other non-trade payables</t>
  </si>
  <si>
    <t>5,6,15,31</t>
  </si>
  <si>
    <t>Borrowings</t>
  </si>
  <si>
    <t>5,6,16,31,32</t>
  </si>
  <si>
    <t>Other financial liabilities</t>
  </si>
  <si>
    <t>5,6,21,31</t>
  </si>
  <si>
    <t>Provisions</t>
  </si>
  <si>
    <t>Current tax liabilities</t>
  </si>
  <si>
    <t>Lease liabilities</t>
  </si>
  <si>
    <t>5,6,13,31</t>
  </si>
  <si>
    <t>Other current liabilities</t>
  </si>
  <si>
    <t>Total current liabilities</t>
  </si>
  <si>
    <t>Non-current liabilities</t>
  </si>
  <si>
    <t>Long-term other payables</t>
  </si>
  <si>
    <t>Other non-trade payables (non-current)</t>
  </si>
  <si>
    <t>Borrowings (non-current)</t>
  </si>
  <si>
    <t>5,6,16,32</t>
  </si>
  <si>
    <t>Other financial liabilities (non-current)</t>
  </si>
  <si>
    <t>5,6,21</t>
  </si>
  <si>
    <t>Defined benefit liabilities, net</t>
  </si>
  <si>
    <t>Deferred tax liabilities</t>
  </si>
  <si>
    <t>Lease liabilities (non-current)</t>
  </si>
  <si>
    <t>Other non-current liabilities</t>
  </si>
  <si>
    <t>Total non-current liabilities</t>
  </si>
  <si>
    <t>Total liabilities</t>
  </si>
  <si>
    <t>Equity attributable to owners of the Parent Company</t>
  </si>
  <si>
    <t>Capital stock</t>
  </si>
  <si>
    <t>Capital surplus</t>
  </si>
  <si>
    <t>Other equity</t>
  </si>
  <si>
    <t>Accumulated other comprehensive income</t>
  </si>
  <si>
    <t>Retained earnings</t>
  </si>
  <si>
    <t>Total equity attributable to owners of the Parent Company</t>
  </si>
  <si>
    <t>Total equity</t>
  </si>
  <si>
    <t>Total liabilities and equity</t>
  </si>
  <si>
    <t>SK hynix Inc. and Subsidiaries — Consolidated Statements of Cash Flows (audited)</t>
  </si>
  <si>
    <t>KRW millions. FY2023-FY2025, 3-yr comparative. Signs as published (outflows negative). Primary statement only; sub-ledger reconciliation (profit -&gt; adjustments -&gt; cash generated) lives in Note 33, not replicated here (424B4, p. F-10).</t>
  </si>
  <si>
    <t>Operating activities</t>
  </si>
  <si>
    <t>Cash generated from operating activities</t>
  </si>
  <si>
    <t>Interest received</t>
  </si>
  <si>
    <t>Interest paid</t>
  </si>
  <si>
    <t>Dividends received</t>
  </si>
  <si>
    <t>Income tax paid</t>
  </si>
  <si>
    <t>Net cash provided by operating activities</t>
  </si>
  <si>
    <t>Investing activities</t>
  </si>
  <si>
    <t>Decrease in short-term financial instruments</t>
  </si>
  <si>
    <t>Increase in short-term financial instruments</t>
  </si>
  <si>
    <t>Decrease (increase) in short-term investment assets, net</t>
  </si>
  <si>
    <t>Collection of loans and other receivables</t>
  </si>
  <si>
    <t>Increase in loans and other receivables</t>
  </si>
  <si>
    <t>Proceeds from disposal of long-term investment assets</t>
  </si>
  <si>
    <t>Acquisitions of long-term investment assets</t>
  </si>
  <si>
    <t>Decrease in other financial assets</t>
  </si>
  <si>
    <t>Increase in other financial assets</t>
  </si>
  <si>
    <t>Proceeds from disposal of property, plant and equipment</t>
  </si>
  <si>
    <t>Acquisitions of property, plant and equipment</t>
  </si>
  <si>
    <t>Proceeds from disposal of intangible assets</t>
  </si>
  <si>
    <t>Acquisitions of intangible assets</t>
  </si>
  <si>
    <t>Proceeds from disposal of investments in associates</t>
  </si>
  <si>
    <t>Acquisitions of investments in associates</t>
  </si>
  <si>
    <t>Proceeds from disposal of assets held for sale</t>
  </si>
  <si>
    <t>Cash outflow from business combination</t>
  </si>
  <si>
    <t>Receipt of government grants</t>
  </si>
  <si>
    <t>Net cash used in investing activities</t>
  </si>
  <si>
    <t>Financing activities</t>
  </si>
  <si>
    <t>Proceeds from borrowings</t>
  </si>
  <si>
    <t>Repayment of borrowings</t>
  </si>
  <si>
    <t>Payment of lease liabilities</t>
  </si>
  <si>
    <t>Dividends paid</t>
  </si>
  <si>
    <t>Exercise stock-options</t>
  </si>
  <si>
    <t>Issue of shares by subsidiaries and changes in ownership in subsidiaries</t>
  </si>
  <si>
    <t>Proceeds from disposal of treasury shares</t>
  </si>
  <si>
    <t>Net cash provided by (used in) financing activities</t>
  </si>
  <si>
    <t>Effects of exchange rate changes on cash and cash equivalents</t>
  </si>
  <si>
    <t>Net increase in cash and cash equivalents</t>
  </si>
  <si>
    <t>Cash and cash equivalents at the beginning of the year</t>
  </si>
  <si>
    <t>Cash and cash equivalents at the end of the year</t>
  </si>
  <si>
    <t>SK hynix Inc. and Subsidiaries — Property, Plant &amp; Equipment / Capex Schedule (audited, Note 12)</t>
  </si>
  <si>
    <t>KRW millions. FY2024/FY2025 rollforward disclosed at this granularity; FY2023 acquisitions/capex line only available via CF_Hist (Acquisitions of PP&amp;E). Memory-sector capex is the dominant driver of PP&amp;E growth.</t>
  </si>
  <si>
    <t>Beginning balance</t>
  </si>
  <si>
    <t>Acquisitions (capex)</t>
  </si>
  <si>
    <t>Impairment</t>
  </si>
  <si>
    <t>Disposals</t>
  </si>
  <si>
    <t>Depreciation</t>
  </si>
  <si>
    <t>Transfers</t>
  </si>
  <si>
    <t>FX differences and other</t>
  </si>
  <si>
    <t>Reclassified as assets held for sale</t>
  </si>
  <si>
    <t>Business combination</t>
  </si>
  <si>
    <t>Ending balance</t>
  </si>
  <si>
    <t>Acquisition cost (gross)</t>
  </si>
  <si>
    <t>Accumulated depreciation</t>
  </si>
  <si>
    <t>Accumulated impairment</t>
  </si>
  <si>
    <t>Government grants (contra)</t>
  </si>
  <si>
    <t>Depreciation allocated to cost of sales</t>
  </si>
  <si>
    <t>Depreciation allocated to SG&amp;A</t>
  </si>
  <si>
    <t>Depreciation allocated to R&amp;D and other</t>
  </si>
  <si>
    <t>Total depreciation (cross-check to rollforward)</t>
  </si>
  <si>
    <t>Capitalized borrowing costs on qualifying assets</t>
  </si>
  <si>
    <t>Capitalization rate used (%)</t>
  </si>
  <si>
    <t>SK hynix Inc. and Subsidiaries — Debt / Borrowings Schedule (audited, Note 16)</t>
  </si>
  <si>
    <t>KRW millions. Balance detail FY2024/FY2025 (Note 16(1)); financing cash-flow rows FY2023-FY2025 (CF_Hist).</t>
  </si>
  <si>
    <t>Balance by type</t>
  </si>
  <si>
    <t>Short-term borrowings</t>
  </si>
  <si>
    <t>Current portion of long-term borrowings</t>
  </si>
  <si>
    <t>Current portion of debentures</t>
  </si>
  <si>
    <t>Total current borrowings</t>
  </si>
  <si>
    <t>Long-term borrowings (non-current)</t>
  </si>
  <si>
    <t>Debentures (non-current)</t>
  </si>
  <si>
    <t>Total non-current borrowings</t>
  </si>
  <si>
    <t>Total borrowings (gross debt)</t>
  </si>
  <si>
    <t>CF financing activity (debt)</t>
  </si>
  <si>
    <t>Net financing cash flow — borrowings</t>
  </si>
  <si>
    <t>Financing costs (IS)</t>
  </si>
  <si>
    <t>Finance expenses (IS, total incl. non-debt items)</t>
  </si>
  <si>
    <t>Interest paid (CF)</t>
  </si>
  <si>
    <t>Notes: FY2023 debt balance not disclosed at this granularity in the 2-yr comparative BS/Note 16 (SOURCE_GAP, see Sources_Audited). Foreign exchangeable bond (USD 1,700mm issued, USD 738.4mm outstanding at FY25, 1.75% coupon, matures 2030-04-11) embedded in current debentures. Capitalized borrowing cost and capitalization rate cross-referenced from PPE_Capex sheet (Note 12(4)).</t>
  </si>
  <si>
    <t>SK hynix Inc. and Subsidiaries — Inventory Schedule (audited, Note 9)</t>
  </si>
  <si>
    <t>KRW millions. Category-level detail FY2024/FY2025 (Note 9(1)/(3)); cost-of-sales linkage FY2023-FY2025 (Note 9(2)).</t>
  </si>
  <si>
    <t>Carrying amount by category — Dec 31, 2025</t>
  </si>
  <si>
    <t>Merchandise</t>
  </si>
  <si>
    <t>Finished goods</t>
  </si>
  <si>
    <t>Work-in-process</t>
  </si>
  <si>
    <t>Raw materials</t>
  </si>
  <si>
    <t>Supplies</t>
  </si>
  <si>
    <t>Goods in transit</t>
  </si>
  <si>
    <t>Total inventories, net (2025)</t>
  </si>
  <si>
    <t>Carrying amount by category — Dec 31, 2024</t>
  </si>
  <si>
    <t>Total inventories, net (2024)</t>
  </si>
  <si>
    <t>Valuation allowance rollforward</t>
  </si>
  <si>
    <t>Charged to cost of sales</t>
  </si>
  <si>
    <t>Utilization upon sales</t>
  </si>
  <si>
    <t>P&amp;L linkage</t>
  </si>
  <si>
    <t>Inventories recognized as cost of sales</t>
  </si>
  <si>
    <t>Cost of sales (IS, total incl. non-inventory)</t>
  </si>
  <si>
    <t>Notes: acquisition-cost / valuation-allowance split by category available only for FY2024/FY2025 (Note 9(1)); FY2023 category-level detail not disclosed in this filing (SOURCE_GAP). "Inventories recognized as cost of sales" (Note 9(2)) differs from total Cost of sales (IS) because IS cost of sales also includes non-inventory production costs (labor, depreciation allocated to COGS, etc. per Note 12(2)).</t>
  </si>
  <si>
    <t>Tie-out checks — audited historical statements (all deltas must be 0; KRW millions)</t>
  </si>
  <si>
    <t>MASTER</t>
  </si>
  <si>
    <t>IS: Gross profit = Revenue − COGS</t>
  </si>
  <si>
    <t>IS: PBT chain (Gross−SG&amp;A−R&amp;D+FinInc−FinExp+JV+OthInc−OthExp)</t>
  </si>
  <si>
    <t>IS: NI = PBT − tax</t>
  </si>
  <si>
    <t>IS: NI = parent + NCI</t>
  </si>
  <si>
    <t>CI: OCI total = sum of components</t>
  </si>
  <si>
    <t>CI: TCI = NI + OCI</t>
  </si>
  <si>
    <t>CI: TCI = parent + NCI</t>
  </si>
  <si>
    <t>CF: CFO chain (Cash gen + Int recd + Int paid + Div recd + Tax paid)</t>
  </si>
  <si>
    <t>CF: CFI sum</t>
  </si>
  <si>
    <t>CF: CFF sum</t>
  </si>
  <si>
    <t>CF: Net change = CFO+CFI+CFF+FX</t>
  </si>
  <si>
    <t>CF: End cash = begin + change</t>
  </si>
  <si>
    <t>BS: Current assets sum</t>
  </si>
  <si>
    <t>n/a (FY2023 BS SOURCE_GAP)</t>
  </si>
  <si>
    <t>BS: Non-current assets sum</t>
  </si>
  <si>
    <t>BS: Total assets = CA + NCA</t>
  </si>
  <si>
    <t>BS: Current liabilities sum</t>
  </si>
  <si>
    <t>BS: Non-current liabilities sum</t>
  </si>
  <si>
    <t>BS: Total liabilities = CL + NCL</t>
  </si>
  <si>
    <t>BS: Parent equity sum</t>
  </si>
  <si>
    <t>BS: Total equity = parent + NCI</t>
  </si>
  <si>
    <t>BS: TL&amp;E = TL + TE</t>
  </si>
  <si>
    <t>BS: Balance (TA − TL&amp;E)</t>
  </si>
  <si>
    <t>X: CF end cash = BS cash</t>
  </si>
  <si>
    <t>CF: Beginning cash = prior-year end cash (FY24, FY25)</t>
  </si>
  <si>
    <t>X: Debt_Schedule total borrowings = BS Borrowings (current+non-current)</t>
  </si>
  <si>
    <t>X: PPE_Capex ending balance = BS PP&amp;E, net</t>
  </si>
  <si>
    <t>X: Inventory_Schedule ending balance = BS Inventories, net</t>
  </si>
  <si>
    <t>Audited source register — SK hynix Inc. consolidated FS</t>
  </si>
  <si>
    <t>Model year</t>
  </si>
  <si>
    <t>Source report</t>
  </si>
  <si>
    <t>File / page ref</t>
  </si>
  <si>
    <t>Closing FX rate (KRW/USD, noon buying rate)</t>
  </si>
  <si>
    <t>IS/CI/CF only (3-yr comparative in FY2025 audited FS); BS not presented for FY2023 in this filing</t>
  </si>
  <si>
    <t>2023-2025_consolidated-audited-financial-statements_SEC-424B4.pdf | IS/CI p.F-6, CF p.F-10</t>
  </si>
  <si>
    <t>FY2025 audited consolidated FS, FY2024 comparative column</t>
  </si>
  <si>
    <t>2023-2025_consolidated-audited-financial-statements_SEC-424B4.pdf | BS p.F-4/F-5, IS/CI p.F-6, CF p.F-10, PP&amp;E Note 12 p.F-46, Debt Note 16 p.F-51/52, Inventory Note 9 p.F-41</t>
  </si>
  <si>
    <t>FY2025 audited consolidated FS (primary year)</t>
  </si>
  <si>
    <t>FX methodology: closing (Dec 31) noon buying rate as quoted by the Federal Reserve Bank of New York, per the 424B4 "Exchange Rates" section (Item, MD&amp;A) — same convention the maintainer signed off on for the Samsung pilot (report-cited rate, not an internal assumption). No per-year USD convenience-translation note is included in this filing (unlike Samsung); rates above are cited from the MD&amp;A exchange-rate table, not from a Note 2.xx USD translation footnote. No full USD-translated statement layer built in this pass, matching Samsung pilot scope — rates are for downstream USD analysis, statements stay KRW-native.</t>
  </si>
  <si>
    <t>SEC EDGAR: SK hynix Inc. (CIK 0002120882), Form 424(B)(4), filed 2026-07-10, accession 0001193125-26-299963, primary doc d32785d424b4.htm. Retrieved 2026-07-21 per the maintainer's archive.</t>
  </si>
  <si>
    <t>SOURCE_GAP — FY2021 and FY2022: no public English-language audited consolidated FS located. Only source found: SK hynix 144A/Reg S USD bond offering circulars (2023 preliminary, 2024-01-08 final), both marked STRICTLY CONFIDENTIAL and restricted to QIBs/non-US persons — not retained or used per instructions (redistribution would violate the documents' own terms). Pending path: DART (Korean-only; englishdart.fss.or.kr index pages are English but attachments are Korean-only, verified for FY2025 "Submission of Audit Report" rcpNo 20260304801686) — would require Korean-source translation/verification before use, not attempted this pass.</t>
  </si>
  <si>
    <t>SOURCE_GAP — FY2023 balance sheet: the 424B4 presents only a 2-year comparative Statement of Financial Position (FY2024/FY2025); FY2023 BS line items are not disclosed anywhere in this filing. BS_Hist column B (FY2023A) is intentionally blank.</t>
  </si>
  <si>
    <t>SOURCE_GAP — FY2023 PP&amp;E rollforward and debt-balance detail: Note 12 PP&amp;E changes and Note 16 borrowings detail are also only disclosed for FY2024/FY2025 (tied to the 2-yr comparative BS). FY2023 PPE_Capex/Debt_Schedule columns show only the items independently available from CF_Hist/IS_Hist (capex outflow, financing cash flows, depreciation allocation, capitalized borrowing cost).</t>
  </si>
  <si>
    <t>Forecast/Assumptions/Valuation sheets: PARTIAL / not rewired in this pass. Same disposition as the Samsung pilot — driver-built 5-yr forecast requires a stable multi-year historical base; with only 2 audited BS years (FY24-25) and a 3-yr IS/CF, and FY21-22 unavailable in English, a defensible driver forecast was not attempted here. The pre-existing Forecast/Assumptions/Valuation sheets in this workbook predate this elevation pass and were NOT rewired to the new audited KRW base — do not treat their outputs as reconciled to IS_Hist/BS_Hist/CF_Hist until a follow-up pass revisits them (see Change_Log).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</si>
  <si>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</si>
  <si>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</si>
  <si>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</si>
  <si>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</si>
  <si>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</si>
  <si>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</si>
  <si>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</si>
  <si>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B7; Sources_Audited: 5 cells written, at C4, C5, C6, A8, A9.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</si>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</sst>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[Red](#,##0.0);-"/>
    <numFmt numFmtId="166" formatCode="0.0%;[Red](0.0%);-"/>
    <numFmt numFmtId="167" formatCode="0.0%"/>
    <numFmt numFmtId="168" formatCode="yyyy\-mm\-dd hh:mm"/>
  </numFmts>
  <fonts count="15">
    <font>
      <sz val="11"/>
      <color theme="1"/>
      <name val="Calibri"/>
      <family val="2"/>
      <scheme val="minor"/>
    </font>
    <font>
      <sz val="11"/>
      <name val="Carlito"/>
    </font>
    <font>
      <b val="0"/>
      <i val="0"/>
      <strike val="0"/>
      <sz val="11"/>
      <name val="Carlito"/>
    </font>
    <font>
      <b val="0"/>
      <i val="0"/>
      <strike val="0"/>
      <sz val="16"/>
      <color rgb="FFFFFFFF"/>
      <name val="Carlito"/>
    </font>
    <font>
      <b val="0"/>
      <i val="0"/>
      <strike val="0"/>
      <sz val="10"/>
      <color rgb="FF595959"/>
      <name val="Carlito"/>
    </font>
    <font>
      <b val="0"/>
      <i val="0"/>
      <strike val="0"/>
      <sz val="11"/>
      <color rgb="FFFFFFFF"/>
      <name val="Carlito"/>
    </font>
    <font>
      <b val="0"/>
      <i val="0"/>
      <strike val="0"/>
      <sz val="10"/>
      <color rgb="FFFFFFFF"/>
      <name val="Aptos"/>
    </font>
    <font>
      <b val="0"/>
      <i val="0"/>
      <strike val="0"/>
      <sz val="10"/>
      <color rgb="FF595959"/>
      <name val="Aptos"/>
    </font>
    <font>
      <b val="0"/>
      <i val="0"/>
      <strike val="0"/>
      <sz val="10"/>
      <name val="Aptos"/>
    </font>
    <font>
      <b val="0"/>
      <i val="0"/>
      <strike val="0"/>
      <sz val="11"/>
      <color rgb="FF0000FF"/>
      <name val="Carlito"/>
    </font>
    <font>
      <b val="0"/>
      <i val="0"/>
      <strike val="0"/>
      <sz val="10"/>
      <color rgb="FF0000FF"/>
      <name val="Aptos"/>
    </font>
    <font>
      <b val="0"/>
      <i val="0"/>
      <strike val="0"/>
      <sz val="11"/>
      <color rgb="FF17365D"/>
      <name val="Carlito"/>
    </font>
    <font>
      <b val="0"/>
      <i val="0"/>
      <strike val="0"/>
      <sz val="10"/>
      <color rgb="FF17365D"/>
      <name val="Aptos"/>
    </font>
    <font>
      <b/>
      <i val="0"/>
      <strike val="0"/>
      <sz val="10"/>
      <color rgb="FF000000"/>
      <name val="Arial"/>
    </font>
    <font>
      <b val="0"/>
      <i val="0"/>
      <strike val="0"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AF3F8"/>
        <bgColor rgb="FFEAF3F8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1F4E78"/>
      </left>
      <right style="thin">
        <color rgb="FF1F4E78"/>
      </right>
      <top style="thin">
        <color rgb="FF1F4E78"/>
      </top>
    </border>
    <border>
      <left style="thin">
        <color rgb="FF1F4E78"/>
      </left>
      <right style="thin">
        <color rgb="FF1F4E78"/>
      </right>
    </border>
    <border>
      <left style="thin">
        <color rgb="FF1F4E78"/>
      </left>
      <right style="thin">
        <color rgb="FF1F4E78"/>
      </right>
      <bottom style="thin">
        <color rgb="FF1F4E78"/>
      </bottom>
    </border>
  </borders>
  <cellStyleXfs count="1">
    <xf numFmtId="0" fontId="1" fillId="0" borderId="0"/>
  </cellStyleXfs>
  <cellXfs count="59">
    <xf numFmtId="0" fontId="1" fillId="0" borderId="0" xfId="0" applyFont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3" borderId="0" xfId="0" applyNumberFormat="1" applyFont="1" applyFill="1"/>
    <xf numFmtId="164" fontId="4" fillId="3" borderId="0" xfId="0" applyNumberFormat="1" applyFont="1" applyFill="1" applyAlignment="1">
      <alignment horizontal="general" vertical="bottom" textRotation="0" wrapText="1" indent="0" readingOrder="0"/>
    </xf>
    <xf numFmtId="164" fontId="2" fillId="4" borderId="0" xfId="0" applyNumberFormat="1" applyFont="1" applyFill="1"/>
    <xf numFmtId="164" fontId="5" fillId="4" borderId="0" xfId="0" applyNumberFormat="1" applyFont="1" applyFill="1"/>
    <xf numFmtId="164" fontId="5" fillId="4" borderId="1" xfId="0" applyNumberFormat="1" applyFont="1" applyFill="1" applyBorder="1"/>
    <xf numFmtId="164" fontId="2" fillId="5" borderId="0" xfId="0" applyNumberFormat="1" applyFont="1" applyFill="1"/>
    <xf numFmtId="164" fontId="2" fillId="6" borderId="0" xfId="0" applyNumberFormat="1" applyFont="1" applyFill="1"/>
    <xf numFmtId="164" fontId="2" fillId="6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/>
    <xf numFmtId="164" fontId="7" fillId="3" borderId="0" xfId="0" applyNumberFormat="1" applyFont="1" applyFill="1" applyAlignment="1">
      <alignment horizontal="general" vertical="bottom" textRotation="0" wrapText="1" indent="0" readingOrder="0"/>
    </xf>
    <xf numFmtId="164" fontId="8" fillId="3" borderId="0" xfId="0" applyNumberFormat="1" applyFont="1" applyFill="1"/>
    <xf numFmtId="164" fontId="6" fillId="4" borderId="1" xfId="0" applyNumberFormat="1" applyFont="1" applyFill="1" applyBorder="1"/>
    <xf numFmtId="164" fontId="8" fillId="5" borderId="0" xfId="0" applyNumberFormat="1" applyFont="1" applyFill="1"/>
    <xf numFmtId="164" fontId="8" fillId="6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 applyAlignment="1">
      <alignment horizontal="general" vertical="bottom" textRotation="0" wrapText="1" indent="0" readingOrder="0"/>
    </xf>
    <xf numFmtId="164" fontId="8" fillId="3" borderId="0" xfId="0" applyNumberFormat="1" applyFont="1" applyFill="1" applyAlignment="1">
      <alignment horizontal="general" vertical="bottom" textRotation="0" wrapText="1" indent="0" readingOrder="0"/>
    </xf>
    <xf numFmtId="164" fontId="6" fillId="4" borderId="1" xfId="0" applyNumberFormat="1" applyFont="1" applyFill="1" applyBorder="1" applyAlignment="1">
      <alignment horizontal="general" vertical="bottom" textRotation="0" wrapText="1" indent="0" readingOrder="0"/>
    </xf>
    <xf numFmtId="164" fontId="8" fillId="5" borderId="0" xfId="0" applyNumberFormat="1" applyFont="1" applyFill="1" applyAlignment="1">
      <alignment horizontal="general" vertical="bottom" textRotation="0" wrapText="1" indent="0" readingOrder="0"/>
    </xf>
    <xf numFmtId="164" fontId="2" fillId="3" borderId="1" xfId="0" applyNumberFormat="1" applyFont="1" applyFill="1" applyBorder="1"/>
    <xf numFmtId="164" fontId="8" fillId="3" borderId="1" xfId="0" applyNumberFormat="1" applyFont="1" applyFill="1" applyBorder="1"/>
    <xf numFmtId="164" fontId="8" fillId="3" borderId="1" xfId="0" applyNumberFormat="1" applyFont="1" applyFill="1" applyBorder="1" applyAlignment="1">
      <alignment horizontal="general" vertical="bottom" textRotation="0" wrapText="1" indent="0" readingOrder="0"/>
    </xf>
    <xf numFmtId="165" fontId="2" fillId="3" borderId="0" xfId="0" applyNumberFormat="1" applyFont="1" applyFill="1"/>
    <xf numFmtId="165" fontId="2" fillId="3" borderId="1" xfId="0" applyNumberFormat="1" applyFont="1" applyFill="1" applyBorder="1"/>
    <xf numFmtId="165" fontId="8" fillId="3" borderId="1" xfId="0" applyNumberFormat="1" applyFont="1" applyFill="1" applyBorder="1"/>
    <xf numFmtId="165" fontId="8" fillId="3" borderId="1" xfId="0" applyNumberFormat="1" applyFont="1" applyFill="1" applyBorder="1" applyAlignment="1">
      <alignment horizontal="general" vertical="bottom" textRotation="0" wrapText="1" indent="0" readingOrder="0"/>
    </xf>
    <xf numFmtId="164" fontId="9" fillId="3" borderId="0" xfId="0" applyNumberFormat="1" applyFont="1" applyFill="1"/>
    <xf numFmtId="166" fontId="2" fillId="3" borderId="0" xfId="0" applyNumberFormat="1" applyFont="1" applyFill="1"/>
    <xf numFmtId="166" fontId="9" fillId="3" borderId="0" xfId="0" applyNumberFormat="1" applyFont="1" applyFill="1"/>
    <xf numFmtId="166" fontId="9" fillId="3" borderId="1" xfId="0" applyNumberFormat="1" applyFont="1" applyFill="1" applyBorder="1"/>
    <xf numFmtId="166" fontId="2" fillId="3" borderId="1" xfId="0" applyNumberFormat="1" applyFont="1" applyFill="1" applyBorder="1"/>
    <xf numFmtId="164" fontId="10" fillId="3" borderId="0" xfId="0" applyNumberFormat="1" applyFont="1" applyFill="1"/>
    <xf numFmtId="166" fontId="10" fillId="3" borderId="1" xfId="0" applyNumberFormat="1" applyFont="1" applyFill="1" applyBorder="1"/>
    <xf numFmtId="166" fontId="8" fillId="3" borderId="1" xfId="0" applyNumberFormat="1" applyFont="1" applyFill="1" applyBorder="1"/>
    <xf numFmtId="164" fontId="10" fillId="3" borderId="0" xfId="0" applyNumberFormat="1" applyFont="1" applyFill="1" applyAlignment="1">
      <alignment horizontal="general" vertical="bottom" textRotation="0" wrapText="1" indent="0" readingOrder="0"/>
    </xf>
    <xf numFmtId="166" fontId="10" fillId="3" borderId="1" xfId="0" applyNumberFormat="1" applyFont="1" applyFill="1" applyBorder="1" applyAlignment="1">
      <alignment horizontal="general" vertical="bottom" textRotation="0" wrapText="1" indent="0" readingOrder="0"/>
    </xf>
    <xf numFmtId="166" fontId="8" fillId="3" borderId="1" xfId="0" applyNumberFormat="1" applyFont="1" applyFill="1" applyBorder="1" applyAlignment="1">
      <alignment horizontal="general" vertical="bottom" textRotation="0" wrapText="1" indent="0" readingOrder="0"/>
    </xf>
    <xf numFmtId="164" fontId="2" fillId="7" borderId="0" xfId="0" applyNumberFormat="1" applyFont="1" applyFill="1"/>
    <xf numFmtId="164" fontId="11" fillId="7" borderId="0" xfId="0" applyNumberFormat="1" applyFont="1" applyFill="1"/>
    <xf numFmtId="164" fontId="11" fillId="7" borderId="2" xfId="0" applyNumberFormat="1" applyFont="1" applyFill="1" applyBorder="1"/>
    <xf numFmtId="164" fontId="11" fillId="7" borderId="3" xfId="0" applyNumberFormat="1" applyFont="1" applyFill="1" applyBorder="1"/>
    <xf numFmtId="164" fontId="11" fillId="7" borderId="4" xfId="0" applyNumberFormat="1" applyFont="1" applyFill="1" applyBorder="1"/>
    <xf numFmtId="164" fontId="11" fillId="7" borderId="1" xfId="0" applyNumberFormat="1" applyFont="1" applyFill="1" applyBorder="1"/>
    <xf numFmtId="164" fontId="12" fillId="7" borderId="1" xfId="0" applyNumberFormat="1" applyFont="1" applyFill="1" applyBorder="1"/>
    <xf numFmtId="164" fontId="12" fillId="7" borderId="1" xfId="0" applyNumberFormat="1" applyFont="1" applyFill="1" applyBorder="1" applyAlignment="1">
      <alignment horizontal="general" vertical="bottom" textRotation="0" wrapText="1" indent="0" readingOrder="0"/>
    </xf>
    <xf numFmtId="165" fontId="5" fillId="4" borderId="1" xfId="0" applyNumberFormat="1" applyFont="1" applyFill="1" applyBorder="1"/>
    <xf numFmtId="165" fontId="6" fillId="4" borderId="1" xfId="0" applyNumberFormat="1" applyFont="1" applyFill="1" applyBorder="1"/>
    <xf numFmtId="165" fontId="6" fillId="4" borderId="1" xfId="0" applyNumberFormat="1" applyFont="1" applyFill="1" applyBorder="1" applyAlignment="1">
      <alignment horizontal="general" vertical="bottom" textRotation="0" wrapText="1" indent="0" readingOrder="0"/>
    </xf>
    <xf numFmtId="167" fontId="5" fillId="4" borderId="1" xfId="0" applyNumberFormat="1" applyFont="1" applyFill="1" applyBorder="1"/>
    <xf numFmtId="167" fontId="6" fillId="4" borderId="1" xfId="0" applyNumberFormat="1" applyFont="1" applyFill="1" applyBorder="1"/>
    <xf numFmtId="167" fontId="6" fillId="4" borderId="1" xfId="0" applyNumberFormat="1" applyFont="1" applyFill="1" applyBorder="1" applyAlignment="1">
      <alignment horizontal="general" vertical="bottom" textRotation="0" wrapText="1" indent="0" readingOrder="0"/>
    </xf>
    <xf numFmtId="164" fontId="9" fillId="3" borderId="1" xfId="0" applyNumberFormat="1" applyFont="1" applyFill="1" applyBorder="1"/>
    <xf numFmtId="164" fontId="10" fillId="3" borderId="1" xfId="0" applyNumberFormat="1" applyFont="1" applyFill="1" applyBorder="1"/>
    <xf numFmtId="164" fontId="10" fillId="3" borderId="1" xfId="0" applyNumberFormat="1" applyFont="1" applyFill="1" applyBorder="1" applyAlignment="1">
      <alignment horizontal="general" vertical="bottom" textRotation="0" wrapText="1" indent="0" readingOrder="0"/>
    </xf>
    <xf numFmtId="0" fontId="13" fillId="0" borderId="0" xfId="0" applyFont="1" applyFill="1" applyProtection="1">
      <protection locked="1" hidden="0"/>
    </xf>
    <xf numFmtId="0" fontId="14" fillId="0" borderId="0" xfId="0" applyFont="1" applyFill="1" applyAlignment="1" applyProtection="1">
      <alignment vertical="top"/>
      <protection locked="1" hidden="0"/>
    </xf>
    <xf numFmtId="168" fontId="14" fillId="0" borderId="0" xfId="0" applyNumberFormat="1" applyFont="1" applyFill="1" applyAlignment="1" applyProtection="1">
      <alignment vertical="top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ec60060c2cab4ba2" Type="http://schemas.openxmlformats.org/officeDocument/2006/relationships/styles" Target="/xl/styles.xml"/><Relationship Id="Rcb2069cf960843e7" Type="http://schemas.openxmlformats.org/officeDocument/2006/relationships/theme" Target="/xl/theme/theme1.xml"/><Relationship Id="R1e5867d11262459e" Type="http://schemas.openxmlformats.org/officeDocument/2006/relationships/sharedStrings" Target="/xl/sharedStrings.xml"/><Relationship Id="R735321e6143249cd" Type="http://schemas.openxmlformats.org/officeDocument/2006/relationships/worksheet" Target="/xl/worksheets/sheet1.xml"/><Relationship Id="Rf7a97a293e4249ef" Type="http://schemas.openxmlformats.org/officeDocument/2006/relationships/worksheet" Target="/xl/worksheets/sheet2.xml"/><Relationship Id="Rbec6b771f5e84b03" Type="http://schemas.openxmlformats.org/officeDocument/2006/relationships/worksheet" Target="/xl/worksheets/sheet3.xml"/><Relationship Id="R4b6b0617297d40ed" Type="http://schemas.openxmlformats.org/officeDocument/2006/relationships/worksheet" Target="/xl/worksheets/sheet4.xml"/><Relationship Id="Rfb6a6e7ecf774fc7" Type="http://schemas.openxmlformats.org/officeDocument/2006/relationships/worksheet" Target="/xl/worksheets/sheet5.xml"/><Relationship Id="Re6f431d309354aef" Type="http://schemas.openxmlformats.org/officeDocument/2006/relationships/worksheet" Target="/xl/worksheets/sheet6.xml"/><Relationship Id="Rb92aede82a20485c" Type="http://schemas.openxmlformats.org/officeDocument/2006/relationships/worksheet" Target="/xl/worksheets/sheet7.xml"/><Relationship Id="R7f49ea4e263342db" Type="http://schemas.openxmlformats.org/officeDocument/2006/relationships/worksheet" Target="/xl/worksheets/sheet8.xml"/><Relationship Id="R6dca70305a6e40bb" Type="http://schemas.openxmlformats.org/officeDocument/2006/relationships/worksheet" Target="/xl/worksheets/sheet9.xml"/><Relationship Id="Rb3a6f2bbbb1d465f" Type="http://schemas.openxmlformats.org/officeDocument/2006/relationships/worksheet" Target="/xl/worksheets/sheet10.xml"/><Relationship Id="rId1" Type="http://schemas.openxmlformats.org/officeDocument/2006/relationships/worksheet" Target="worksheets/sheet11.xml"/><Relationship Id="rId2" Type="http://schemas.openxmlformats.org/officeDocument/2006/relationships/worksheet" Target="worksheets/sheet12.xml"/><Relationship Id="rId3" Type="http://schemas.openxmlformats.org/officeDocument/2006/relationships/worksheet" Target="worksheets/sheet13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5.xml"/><Relationship Id="rId6" Type="http://schemas.openxmlformats.org/officeDocument/2006/relationships/worksheet" Target="worksheets/sheet16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18.xml"/><Relationship Id="rId9" Type="http://schemas.openxmlformats.org/officeDocument/2006/relationships/worksheet" Target="worksheets/sheet19.xml"/><Relationship Id="rId10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tabSelected="1" workbookViewId="0"/>
  </sheetViews>
  <sheetFormatPr defaultRowHeight="15"/>
  <cols>
    <col min="1" max="1" width="28" customWidth="1"/>
    <col min="2" max="2" width="85" customWidth="1"/>
    <col min="3" max="8" width="15" customWidth="1"/>
  </cols>
  <sheetData>
    <row r="1" ht="28" customHeight="1">
      <c r="A1" s="17" t="s">
        <v>0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1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</v>
      </c>
      <c r="B4" s="19" t="s">
        <v>3</v>
      </c>
      <c r="C4" s="18"/>
      <c r="D4" s="18"/>
      <c r="E4" s="18"/>
      <c r="F4" s="18"/>
      <c r="G4" s="18"/>
      <c r="H4" s="18"/>
    </row>
    <row r="5">
      <c r="A5" s="18" t="s">
        <v>4</v>
      </c>
      <c r="B5" s="18" t="s">
        <v>5</v>
      </c>
      <c r="C5" s="18"/>
      <c r="D5" s="18"/>
      <c r="E5" s="18"/>
      <c r="F5" s="18"/>
      <c r="G5" s="18"/>
      <c r="H5" s="18"/>
    </row>
    <row r="6">
      <c r="A6" s="18" t="s">
        <v>6</v>
      </c>
      <c r="B6" s="18" t="s">
        <v>7</v>
      </c>
      <c r="C6" s="18"/>
      <c r="D6" s="18"/>
      <c r="E6" s="18"/>
      <c r="F6" s="18"/>
      <c r="G6" s="18"/>
      <c r="H6" s="18"/>
    </row>
    <row r="7">
      <c r="A7" s="18" t="s">
        <v>8</v>
      </c>
      <c r="B7" s="18" t="s">
        <v>9</v>
      </c>
      <c r="C7" s="18"/>
      <c r="D7" s="18"/>
      <c r="E7" s="18"/>
      <c r="F7" s="18"/>
      <c r="G7" s="18"/>
      <c r="H7" s="18"/>
    </row>
    <row r="8">
      <c r="A8" s="18" t="s">
        <v>10</v>
      </c>
      <c r="B8" s="18" t="s">
        <v>11</v>
      </c>
      <c r="C8" s="18"/>
      <c r="D8" s="18"/>
      <c r="E8" s="18"/>
      <c r="F8" s="18"/>
      <c r="G8" s="18"/>
      <c r="H8" s="18"/>
    </row>
    <row r="9">
      <c r="A9" s="18" t="s">
        <v>12</v>
      </c>
      <c r="B9" s="18" t="s">
        <v>13</v>
      </c>
      <c r="C9" s="18"/>
      <c r="D9" s="18"/>
      <c r="E9" s="18"/>
      <c r="F9" s="18"/>
      <c r="G9" s="18"/>
      <c r="H9" s="18"/>
    </row>
    <row r="10">
      <c r="A10" s="18" t="s">
        <v>14</v>
      </c>
      <c r="B10" s="18" t="s">
        <v>15</v>
      </c>
      <c r="C10" s="18"/>
      <c r="D10" s="18"/>
      <c r="E10" s="18"/>
      <c r="F10" s="18"/>
      <c r="G10" s="18"/>
      <c r="H10" s="18"/>
    </row>
    <row r="11">
      <c r="A11" s="18" t="s">
        <v>16</v>
      </c>
      <c r="B11" s="18" t="s">
        <v>17</v>
      </c>
      <c r="C11" s="18"/>
      <c r="D11" s="18"/>
      <c r="E11" s="18"/>
      <c r="F11" s="18"/>
      <c r="G11" s="18"/>
      <c r="H11" s="18"/>
    </row>
    <row r="12">
      <c r="A12" s="18" t="s">
        <v>18</v>
      </c>
      <c r="B12" s="18" t="s">
        <v>19</v>
      </c>
      <c r="C12" s="18"/>
      <c r="D12" s="18"/>
      <c r="E12" s="18"/>
      <c r="F12" s="18"/>
      <c r="G12" s="18"/>
      <c r="H12" s="18"/>
    </row>
    <row r="13">
      <c r="A13" s="20" t="s">
        <v>20</v>
      </c>
      <c r="B13" s="20" t="s">
        <v>21</v>
      </c>
      <c r="C13" s="18"/>
      <c r="D13" s="18"/>
      <c r="E13" s="18"/>
      <c r="F13" s="18"/>
      <c r="G13" s="18"/>
      <c r="H13" s="18"/>
    </row>
    <row r="14">
      <c r="A14" s="18"/>
      <c r="B14" s="18"/>
      <c r="C14" s="18"/>
      <c r="D14" s="18"/>
      <c r="E14" s="18"/>
      <c r="F14" s="18"/>
      <c r="G14" s="18"/>
      <c r="H14" s="18"/>
    </row>
    <row r="15" ht="45" customHeight="1">
      <c r="A15" s="16" t="s">
        <v>22</v>
      </c>
      <c r="B15" s="16"/>
      <c r="C15" s="16"/>
      <c r="D15" s="16"/>
      <c r="E15" s="16"/>
      <c r="F15" s="16"/>
      <c r="G15" s="16"/>
      <c r="H15" s="16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3">
    <mergeCell ref="A1:H1"/>
    <mergeCell ref="A2:H2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0"/>
  <sheetViews>
    <sheetView showGridLines="0" workbookViewId="0"/>
  </sheetViews>
  <sheetFormatPr defaultRowHeight="15"/>
  <cols>
    <col min="1" max="1" width="31" customWidth="1"/>
    <col min="2" max="2" width="15" customWidth="1"/>
    <col min="3" max="3" width="48" customWidth="1"/>
    <col min="4" max="6" width="15" customWidth="1"/>
    <col min="7" max="7" width="45" customWidth="1"/>
    <col min="8" max="8" width="15" customWidth="1"/>
  </cols>
  <sheetData>
    <row r="1" ht="28" customHeight="1">
      <c r="A1" s="17" t="s">
        <v>23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24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25</v>
      </c>
      <c r="B4" s="19" t="s">
        <v>26</v>
      </c>
      <c r="C4" s="19" t="s">
        <v>27</v>
      </c>
      <c r="D4" s="19" t="s">
        <v>28</v>
      </c>
      <c r="E4" s="19" t="s">
        <v>29</v>
      </c>
      <c r="F4" s="19" t="s">
        <v>30</v>
      </c>
      <c r="G4" s="19" t="s">
        <v>31</v>
      </c>
      <c r="H4" s="19" t="s">
        <v>32</v>
      </c>
    </row>
    <row r="5">
      <c r="A5" s="23" t="s">
        <v>33</v>
      </c>
      <c r="B5" s="23" t="s">
        <v>34</v>
      </c>
      <c r="C5" s="23" t="s">
        <v>19</v>
      </c>
      <c r="D5" s="23" t="s">
        <v>35</v>
      </c>
      <c r="E5" s="23" t="s">
        <v>11</v>
      </c>
      <c r="F5" s="23" t="s">
        <v>36</v>
      </c>
      <c r="G5" s="23" t="s">
        <v>21</v>
      </c>
      <c r="H5" s="23" t="s">
        <v>9</v>
      </c>
    </row>
    <row r="6">
      <c r="A6" s="23" t="s">
        <v>37</v>
      </c>
      <c r="B6" s="23" t="s">
        <v>38</v>
      </c>
      <c r="C6" s="23" t="s">
        <v>15</v>
      </c>
      <c r="D6" s="23" t="s">
        <v>39</v>
      </c>
      <c r="E6" s="23" t="s">
        <v>40</v>
      </c>
      <c r="F6" s="23" t="s">
        <v>41</v>
      </c>
      <c r="G6" s="23" t="s">
        <v>42</v>
      </c>
      <c r="H6" s="23" t="s">
        <v>43</v>
      </c>
    </row>
    <row r="7">
      <c r="A7" s="23" t="s">
        <v>44</v>
      </c>
      <c r="B7" s="23" t="s">
        <v>45</v>
      </c>
      <c r="C7" s="23" t="s">
        <v>46</v>
      </c>
      <c r="D7" s="23" t="s">
        <v>39</v>
      </c>
      <c r="E7" s="23" t="s">
        <v>11</v>
      </c>
      <c r="F7" s="23" t="s">
        <v>47</v>
      </c>
      <c r="G7" s="23" t="s">
        <v>48</v>
      </c>
      <c r="H7" s="23" t="s">
        <v>49</v>
      </c>
    </row>
    <row r="8">
      <c r="A8" s="23" t="s">
        <v>50</v>
      </c>
      <c r="B8" s="23" t="s">
        <v>51</v>
      </c>
      <c r="C8" s="23" t="s">
        <v>52</v>
      </c>
      <c r="D8" s="23" t="s">
        <v>39</v>
      </c>
      <c r="E8" s="23" t="s">
        <v>53</v>
      </c>
      <c r="F8" s="23" t="s">
        <v>54</v>
      </c>
      <c r="G8" s="23" t="s">
        <v>55</v>
      </c>
      <c r="H8" s="23" t="s">
        <v>56</v>
      </c>
    </row>
    <row r="9">
      <c r="A9" s="18"/>
      <c r="B9" s="18"/>
      <c r="C9" s="18"/>
      <c r="D9" s="18"/>
      <c r="E9" s="18"/>
      <c r="F9" s="18"/>
      <c r="G9" s="18"/>
      <c r="H9" s="18"/>
    </row>
    <row r="10">
      <c r="A10" s="18"/>
      <c r="B10" s="18"/>
      <c r="C10" s="18"/>
      <c r="D10" s="18"/>
      <c r="E10" s="18"/>
      <c r="F10" s="18"/>
      <c r="G10" s="18"/>
      <c r="H10" s="18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workbookViewId="0"/>
  </sheetViews>
  <sheetFormatPr defaultRowHeight="15"/>
  <cols>
    <col min="1" max="1" width="31" customWidth="1"/>
    <col min="2" max="6" width="15" customWidth="1"/>
    <col min="7" max="7" width="36" customWidth="1"/>
    <col min="8" max="8" width="22" customWidth="1"/>
  </cols>
  <sheetData>
    <row r="1" ht="28" customHeight="1">
      <c r="A1" s="17" t="s">
        <v>34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57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58</v>
      </c>
      <c r="B4" s="19" t="s">
        <v>59</v>
      </c>
      <c r="C4" s="19" t="s">
        <v>60</v>
      </c>
      <c r="D4" s="19" t="s">
        <v>61</v>
      </c>
      <c r="E4" s="19" t="s">
        <v>62</v>
      </c>
      <c r="F4" s="19" t="s">
        <v>63</v>
      </c>
      <c r="G4" s="19" t="s">
        <v>64</v>
      </c>
      <c r="H4" s="19" t="s">
        <v>65</v>
      </c>
    </row>
    <row r="5">
      <c r="A5" s="23" t="s">
        <v>66</v>
      </c>
      <c r="B5" s="27"/>
      <c r="C5" s="27"/>
      <c r="D5" s="27"/>
      <c r="E5" s="27">
        <v>44516.85363032309</v>
      </c>
      <c r="F5" s="27">
        <v>65334.18072256746</v>
      </c>
      <c r="G5" s="23" t="s">
        <v>67</v>
      </c>
      <c r="H5" s="23" t="s">
        <v>68</v>
      </c>
    </row>
    <row r="6">
      <c r="A6" s="23" t="s">
        <v>69</v>
      </c>
      <c r="B6" s="27"/>
      <c r="C6" s="27"/>
      <c r="D6" s="27"/>
      <c r="E6" s="27"/>
      <c r="F6" s="27"/>
      <c r="G6" s="23" t="s">
        <v>67</v>
      </c>
      <c r="H6" s="23" t="s">
        <v>70</v>
      </c>
    </row>
    <row r="7">
      <c r="A7" s="23" t="s">
        <v>71</v>
      </c>
      <c r="B7" s="27"/>
      <c r="C7" s="27"/>
      <c r="D7" s="27"/>
      <c r="E7" s="27">
        <v>15782.489979286041</v>
      </c>
      <c r="F7" s="27">
        <v>31747.706668818766</v>
      </c>
      <c r="G7" s="23" t="s">
        <v>67</v>
      </c>
      <c r="H7" s="23" t="s">
        <v>68</v>
      </c>
    </row>
    <row r="8">
      <c r="A8" s="23" t="s">
        <v>72</v>
      </c>
      <c r="B8" s="27"/>
      <c r="C8" s="27"/>
      <c r="D8" s="27"/>
      <c r="E8" s="27">
        <v>13314.031689667232</v>
      </c>
      <c r="F8" s="27">
        <v>28883.800069943238</v>
      </c>
      <c r="G8" s="23" t="s">
        <v>67</v>
      </c>
      <c r="H8" s="23" t="s">
        <v>68</v>
      </c>
    </row>
    <row r="9">
      <c r="A9" s="23" t="s">
        <v>73</v>
      </c>
      <c r="B9" s="27"/>
      <c r="C9" s="27"/>
      <c r="D9" s="27"/>
      <c r="E9" s="27"/>
      <c r="F9" s="27"/>
      <c r="G9" s="23" t="s">
        <v>67</v>
      </c>
      <c r="H9" s="23" t="s">
        <v>70</v>
      </c>
    </row>
    <row r="10">
      <c r="A10" s="23" t="s">
        <v>74</v>
      </c>
      <c r="B10" s="27"/>
      <c r="C10" s="27"/>
      <c r="D10" s="27"/>
      <c r="E10" s="27"/>
      <c r="F10" s="27"/>
      <c r="G10" s="23" t="s">
        <v>67</v>
      </c>
      <c r="H10" s="23" t="s">
        <v>70</v>
      </c>
    </row>
    <row r="11">
      <c r="A11" s="23" t="s">
        <v>75</v>
      </c>
      <c r="B11" s="27"/>
      <c r="C11" s="27"/>
      <c r="D11" s="27"/>
      <c r="E11" s="27"/>
      <c r="F11" s="27"/>
      <c r="G11" s="23" t="s">
        <v>67</v>
      </c>
      <c r="H11" s="23" t="s">
        <v>70</v>
      </c>
    </row>
    <row r="12">
      <c r="A12" s="23" t="s">
        <v>76</v>
      </c>
      <c r="B12" s="27"/>
      <c r="C12" s="27"/>
      <c r="D12" s="27"/>
      <c r="E12" s="27"/>
      <c r="F12" s="27"/>
      <c r="G12" s="23" t="s">
        <v>67</v>
      </c>
      <c r="H12" s="23" t="s">
        <v>70</v>
      </c>
    </row>
    <row r="13">
      <c r="A13" s="23" t="s">
        <v>77</v>
      </c>
      <c r="B13" s="27"/>
      <c r="C13" s="27"/>
      <c r="D13" s="27"/>
      <c r="E13" s="27"/>
      <c r="F13" s="27"/>
      <c r="G13" s="23" t="s">
        <v>67</v>
      </c>
      <c r="H13" s="23" t="s">
        <v>70</v>
      </c>
    </row>
    <row r="14">
      <c r="A14" s="23" t="s">
        <v>78</v>
      </c>
      <c r="B14" s="27"/>
      <c r="C14" s="27"/>
      <c r="D14" s="27"/>
      <c r="E14" s="27"/>
      <c r="F14" s="27"/>
      <c r="G14" s="23" t="s">
        <v>67</v>
      </c>
      <c r="H14" s="23" t="s">
        <v>70</v>
      </c>
    </row>
    <row r="15">
      <c r="A15" s="23" t="s">
        <v>79</v>
      </c>
      <c r="B15" s="27"/>
      <c r="C15" s="27"/>
      <c r="D15" s="27"/>
      <c r="E15" s="27"/>
      <c r="F15" s="27"/>
      <c r="G15" s="23" t="s">
        <v>67</v>
      </c>
      <c r="H15" s="23" t="s">
        <v>70</v>
      </c>
    </row>
    <row r="16">
      <c r="A16" s="23" t="s">
        <v>80</v>
      </c>
      <c r="B16" s="27"/>
      <c r="C16" s="27"/>
      <c r="D16" s="27"/>
      <c r="E16" s="27"/>
      <c r="F16" s="27"/>
      <c r="G16" s="23" t="s">
        <v>67</v>
      </c>
      <c r="H16" s="23" t="s">
        <v>70</v>
      </c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5" width="15" customWidth="1"/>
    <col min="6" max="6" width="55" customWidth="1"/>
    <col min="7" max="8" width="15" customWidth="1"/>
  </cols>
  <sheetData>
    <row r="1" ht="28" customHeight="1">
      <c r="A1" s="17" t="s">
        <v>81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82</v>
      </c>
      <c r="B2" s="12"/>
      <c r="C2" s="12"/>
      <c r="D2" s="12"/>
      <c r="E2" s="12"/>
      <c r="F2" s="12"/>
      <c r="G2" s="4"/>
      <c r="H2" s="4"/>
    </row>
    <row r="3">
      <c r="A3" s="18" t="s">
        <v>83</v>
      </c>
      <c r="B3" s="36">
        <v>1</v>
      </c>
      <c r="C3" s="18"/>
      <c r="D3" s="18"/>
      <c r="E3" s="18"/>
      <c r="F3" s="18"/>
    </row>
    <row r="4">
      <c r="A4" s="19" t="s">
        <v>58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88</v>
      </c>
    </row>
    <row r="5">
      <c r="A5" s="23" t="s">
        <v>89</v>
      </c>
      <c r="B5" s="37">
        <v>0.22</v>
      </c>
      <c r="C5" s="37">
        <v>0.25</v>
      </c>
      <c r="D5" s="37">
        <v>0.28</v>
      </c>
      <c r="E5" s="38">
        <f>CHOOSE($B$3,C5,D5,B5)</f>
        <v>0.25</v>
      </c>
      <c r="F5" s="23" t="s">
        <v>90</v>
      </c>
    </row>
    <row r="6">
      <c r="A6" s="23" t="s">
        <v>91</v>
      </c>
      <c r="B6" s="37">
        <v>0.45592798314301974</v>
      </c>
      <c r="C6" s="37">
        <v>0.48592798314301977</v>
      </c>
      <c r="D6" s="37">
        <v>0.5159279831430198</v>
      </c>
      <c r="E6" s="38">
        <f>CHOOSE($B$3,C6,D6,B6)</f>
        <v>0.48592798314301977</v>
      </c>
      <c r="F6" s="23" t="s">
        <v>92</v>
      </c>
    </row>
    <row r="7">
      <c r="A7" s="23" t="s">
        <v>93</v>
      </c>
      <c r="B7" s="37">
        <v>0.25</v>
      </c>
      <c r="C7" s="37">
        <v>0.22</v>
      </c>
      <c r="D7" s="37">
        <v>0.19</v>
      </c>
      <c r="E7" s="38">
        <f>CHOOSE($B$3,C7,D7,B7)</f>
        <v>0.22</v>
      </c>
      <c r="F7" s="23" t="s">
        <v>94</v>
      </c>
    </row>
    <row r="8">
      <c r="A8" s="23" t="s">
        <v>95</v>
      </c>
      <c r="B8" s="37">
        <v>0.03</v>
      </c>
      <c r="C8" s="37">
        <v>0.04</v>
      </c>
      <c r="D8" s="37">
        <v>0.05</v>
      </c>
      <c r="E8" s="38">
        <f>CHOOSE($B$3,C8,D8,B8)</f>
        <v>0.04</v>
      </c>
      <c r="F8" s="23" t="s">
        <v>96</v>
      </c>
    </row>
    <row r="9">
      <c r="A9" s="23" t="s">
        <v>97</v>
      </c>
      <c r="B9" s="37">
        <v>0.06</v>
      </c>
      <c r="C9" s="37">
        <v>0.045</v>
      </c>
      <c r="D9" s="37">
        <v>0.035</v>
      </c>
      <c r="E9" s="38">
        <f>CHOOSE($B$3,C9,D9,B9)</f>
        <v>0.045</v>
      </c>
      <c r="F9" s="23" t="s">
        <v>98</v>
      </c>
    </row>
    <row r="10">
      <c r="A10" s="23" t="s">
        <v>99</v>
      </c>
      <c r="B10" s="37">
        <v>0.025</v>
      </c>
      <c r="C10" s="37">
        <v>0.015</v>
      </c>
      <c r="D10" s="37">
        <v>0.005</v>
      </c>
      <c r="E10" s="38">
        <f>CHOOSE($B$3,C10,D10,B10)</f>
        <v>0.015</v>
      </c>
      <c r="F10" s="23" t="s">
        <v>100</v>
      </c>
    </row>
    <row r="11">
      <c r="A11" s="23" t="s">
        <v>101</v>
      </c>
      <c r="B11" s="37">
        <v>0.11</v>
      </c>
      <c r="C11" s="37">
        <v>0.09</v>
      </c>
      <c r="D11" s="37">
        <v>0.075</v>
      </c>
      <c r="E11" s="38">
        <f>CHOOSE($B$3,C11,D11,B11)</f>
        <v>0.09</v>
      </c>
      <c r="F11" s="23" t="s">
        <v>102</v>
      </c>
    </row>
    <row r="12">
      <c r="A12" s="23" t="s">
        <v>103</v>
      </c>
      <c r="B12" s="37">
        <v>0.015</v>
      </c>
      <c r="C12" s="37">
        <v>0.025</v>
      </c>
      <c r="D12" s="37">
        <v>0.035</v>
      </c>
      <c r="E12" s="38">
        <f>CHOOSE($B$3,C12,D12,B12)</f>
        <v>0.025</v>
      </c>
      <c r="F12" s="23" t="s">
        <v>104</v>
      </c>
    </row>
    <row r="13">
      <c r="A13" s="23"/>
      <c r="B13" s="23"/>
      <c r="C13" s="23"/>
      <c r="D13" s="23"/>
      <c r="E13" s="23"/>
      <c r="F13" s="23"/>
    </row>
    <row r="14">
      <c r="A14" s="23"/>
      <c r="B14" s="23"/>
      <c r="C14" s="23"/>
      <c r="D14" s="23"/>
      <c r="E14" s="23"/>
      <c r="F14" s="23"/>
    </row>
    <row r="15">
      <c r="A15" s="23"/>
      <c r="B15" s="23"/>
      <c r="C15" s="23"/>
      <c r="D15" s="23"/>
      <c r="E15" s="23"/>
      <c r="F15" s="23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8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105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106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58</v>
      </c>
      <c r="B4" s="19" t="s">
        <v>63</v>
      </c>
      <c r="C4" s="19" t="s">
        <v>107</v>
      </c>
      <c r="D4" s="19" t="s">
        <v>108</v>
      </c>
      <c r="E4" s="19" t="s">
        <v>109</v>
      </c>
      <c r="F4" s="19" t="s">
        <v>110</v>
      </c>
      <c r="G4" s="19" t="s">
        <v>111</v>
      </c>
    </row>
    <row r="5">
      <c r="A5" s="46" t="s">
        <v>66</v>
      </c>
      <c r="B5" s="27">
        <v>65334.18072256746</v>
      </c>
      <c r="C5" s="27">
        <f>B5*(1+Assumptions!$E$5)</f>
        <v>81667.72590320933</v>
      </c>
      <c r="D5" s="27">
        <f>C5*(1+Assumptions!$E$5)</f>
        <v>102084.65737901165</v>
      </c>
      <c r="E5" s="27">
        <f>D5*(1+Assumptions!$E$5)</f>
        <v>127605.82172376456</v>
      </c>
      <c r="F5" s="27">
        <f>E5*(1+Assumptions!$E$5)</f>
        <v>159507.2771547057</v>
      </c>
      <c r="G5" s="27">
        <f>F5*(1+Assumptions!$E$5)</f>
        <v>199384.09644338212</v>
      </c>
    </row>
    <row r="6">
      <c r="A6" s="46" t="s">
        <v>112</v>
      </c>
      <c r="B6" s="38"/>
      <c r="C6" s="38">
        <f>IF(B5&lt;&gt;0,C5/B5-1,0)</f>
        <v>0.2500000000000002</v>
      </c>
      <c r="D6" s="38">
        <f>IF(C5&lt;&gt;0,D5/C5-1,0)</f>
        <v>0.25</v>
      </c>
      <c r="E6" s="38">
        <f>IF(D5&lt;&gt;0,E5/D5-1,0)</f>
        <v>0.25</v>
      </c>
      <c r="F6" s="38">
        <f>IF(E5&lt;&gt;0,F5/E5-1,0)</f>
        <v>0.25</v>
      </c>
      <c r="G6" s="38">
        <f>IF(F5&lt;&gt;0,G5/F5-1,0)</f>
        <v>0.25</v>
      </c>
    </row>
    <row r="7">
      <c r="A7" s="46" t="s">
        <v>91</v>
      </c>
      <c r="B7" s="38">
        <v>0.48592798314301977</v>
      </c>
      <c r="C7" s="38">
        <f>Assumptions!$E$6</f>
        <v>0.48592798314301977</v>
      </c>
      <c r="D7" s="38">
        <f>Assumptions!$E$6</f>
        <v>0.48592798314301977</v>
      </c>
      <c r="E7" s="38">
        <f>Assumptions!$E$6</f>
        <v>0.48592798314301977</v>
      </c>
      <c r="F7" s="38">
        <f>Assumptions!$E$6</f>
        <v>0.48592798314301977</v>
      </c>
      <c r="G7" s="38">
        <f>Assumptions!$E$6</f>
        <v>0.48592798314301977</v>
      </c>
    </row>
    <row r="8">
      <c r="A8" s="46" t="s">
        <v>113</v>
      </c>
      <c r="B8" s="27">
        <v>31747.706668818766</v>
      </c>
      <c r="C8" s="27">
        <f>C5*C7</f>
        <v>39684.633336023464</v>
      </c>
      <c r="D8" s="27">
        <f>D5*D7</f>
        <v>49605.79167002932</v>
      </c>
      <c r="E8" s="27">
        <f>E5*E7</f>
        <v>62007.23958753665</v>
      </c>
      <c r="F8" s="27">
        <f>F5*F7</f>
        <v>77509.04948442082</v>
      </c>
      <c r="G8" s="27">
        <f>G5*G7</f>
        <v>96886.31185552602</v>
      </c>
    </row>
    <row r="9">
      <c r="A9" s="46" t="s">
        <v>93</v>
      </c>
      <c r="B9" s="38"/>
      <c r="C9" s="38">
        <f>Assumptions!$E$7</f>
        <v>0.22</v>
      </c>
      <c r="D9" s="38">
        <f>Assumptions!$E$7</f>
        <v>0.22</v>
      </c>
      <c r="E9" s="38">
        <f>Assumptions!$E$7</f>
        <v>0.22</v>
      </c>
      <c r="F9" s="38">
        <f>Assumptions!$E$7</f>
        <v>0.22</v>
      </c>
      <c r="G9" s="38">
        <f>Assumptions!$E$7</f>
        <v>0.22</v>
      </c>
    </row>
    <row r="10">
      <c r="A10" s="46" t="s">
        <v>114</v>
      </c>
      <c r="B10" s="27"/>
      <c r="C10" s="27">
        <f>C8*(1-C9)</f>
        <v>30954.0140020983</v>
      </c>
      <c r="D10" s="27">
        <f>D8*(1-D9)</f>
        <v>38692.51750262287</v>
      </c>
      <c r="E10" s="27">
        <f>E8*(1-E9)</f>
        <v>48365.64687827859</v>
      </c>
      <c r="F10" s="27">
        <f>F8*(1-F9)</f>
        <v>60457.05859784824</v>
      </c>
      <c r="G10" s="27">
        <f>G8*(1-G9)</f>
        <v>75571.3232473103</v>
      </c>
    </row>
    <row r="11">
      <c r="A11" s="46" t="s">
        <v>115</v>
      </c>
      <c r="B11" s="27"/>
      <c r="C11" s="27">
        <f>C5*Assumptions!$E$8</f>
        <v>3266.709036128373</v>
      </c>
      <c r="D11" s="27">
        <f>D5*Assumptions!$E$8</f>
        <v>4083.386295160466</v>
      </c>
      <c r="E11" s="27">
        <f>E5*Assumptions!$E$8</f>
        <v>5104.232868950582</v>
      </c>
      <c r="F11" s="27">
        <f>F5*Assumptions!$E$8</f>
        <v>6380.291086188227</v>
      </c>
      <c r="G11" s="27">
        <f>G5*Assumptions!$E$8</f>
        <v>7975.363857735285</v>
      </c>
    </row>
    <row r="12">
      <c r="A12" s="46" t="s">
        <v>74</v>
      </c>
      <c r="B12" s="27"/>
      <c r="C12" s="27">
        <f>-C5*Assumptions!$E$9</f>
        <v>-3675.04766564442</v>
      </c>
      <c r="D12" s="27">
        <f>-D5*Assumptions!$E$9</f>
        <v>-4593.8095820555245</v>
      </c>
      <c r="E12" s="27">
        <f>-E5*Assumptions!$E$9</f>
        <v>-5742.261977569405</v>
      </c>
      <c r="F12" s="27">
        <f>-F5*Assumptions!$E$9</f>
        <v>-7177.827471961756</v>
      </c>
      <c r="G12" s="27">
        <f>-G5*Assumptions!$E$9</f>
        <v>-8972.284339952195</v>
      </c>
    </row>
    <row r="13">
      <c r="A13" s="46" t="s">
        <v>116</v>
      </c>
      <c r="B13" s="27"/>
      <c r="C13" s="27">
        <f>-(C5-B5)*Assumptions!$E$10</f>
        <v>-245.00317770962806</v>
      </c>
      <c r="D13" s="27">
        <f>-(D5-C5)*Assumptions!$E$10</f>
        <v>-306.25397213703485</v>
      </c>
      <c r="E13" s="27">
        <f>-(E5-D5)*Assumptions!$E$10</f>
        <v>-382.8174651712936</v>
      </c>
      <c r="F13" s="27">
        <f>-(F5-E5)*Assumptions!$E$10</f>
        <v>-478.521831464117</v>
      </c>
      <c r="G13" s="27">
        <f>-(G5-F5)*Assumptions!$E$10</f>
        <v>-598.1522893301465</v>
      </c>
    </row>
    <row r="14">
      <c r="A14" s="46" t="s">
        <v>117</v>
      </c>
      <c r="B14" s="27"/>
      <c r="C14" s="27">
        <f>C10+C11+C12+C13</f>
        <v>30300.672194872626</v>
      </c>
      <c r="D14" s="27">
        <f>D10+D11+D12+D13</f>
        <v>37875.84024359078</v>
      </c>
      <c r="E14" s="27">
        <f>E10+E11+E12+E13</f>
        <v>47344.800304488475</v>
      </c>
      <c r="F14" s="27">
        <f>F10+F11+F12+F13</f>
        <v>59181.000380610596</v>
      </c>
      <c r="G14" s="27">
        <f>G10+G11+G12+G13</f>
        <v>73976.25047576324</v>
      </c>
    </row>
    <row r="15">
      <c r="A15" s="46" t="s">
        <v>78</v>
      </c>
      <c r="B15" s="27">
        <v>0</v>
      </c>
      <c r="C15" s="27">
        <f>$B$15</f>
        <v>0</v>
      </c>
      <c r="D15" s="27">
        <f>$B$15</f>
        <v>0</v>
      </c>
      <c r="E15" s="27">
        <f>$B$15</f>
        <v>0</v>
      </c>
      <c r="F15" s="27">
        <f>$B$15</f>
        <v>0</v>
      </c>
      <c r="G15" s="27">
        <f>$B$15</f>
        <v>0</v>
      </c>
    </row>
    <row r="16">
      <c r="A16" s="46" t="s">
        <v>79</v>
      </c>
      <c r="B16" s="27">
        <v>0</v>
      </c>
      <c r="C16" s="27">
        <f>$B$16</f>
        <v>0</v>
      </c>
      <c r="D16" s="27">
        <f>$B$16</f>
        <v>0</v>
      </c>
      <c r="E16" s="27">
        <f>$B$16</f>
        <v>0</v>
      </c>
      <c r="F16" s="27">
        <f>$B$16</f>
        <v>0</v>
      </c>
      <c r="G16" s="27">
        <f>$B$16</f>
        <v>0</v>
      </c>
    </row>
    <row r="17">
      <c r="A17" s="18"/>
      <c r="B17" s="18"/>
      <c r="C17" s="18"/>
      <c r="D17" s="18"/>
      <c r="E17" s="18"/>
      <c r="F17" s="18"/>
      <c r="G17" s="18"/>
    </row>
    <row r="18">
      <c r="A18" s="18"/>
      <c r="B18" s="18"/>
      <c r="C18" s="18"/>
      <c r="D18" s="18"/>
      <c r="E18" s="18"/>
      <c r="F18" s="18"/>
      <c r="G18" s="18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22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118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119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58</v>
      </c>
      <c r="B4" s="19" t="s">
        <v>120</v>
      </c>
      <c r="C4" s="19" t="s">
        <v>121</v>
      </c>
      <c r="D4" s="19" t="s">
        <v>122</v>
      </c>
      <c r="E4" s="19" t="s">
        <v>123</v>
      </c>
      <c r="F4" s="19" t="s">
        <v>124</v>
      </c>
      <c r="G4" s="19" t="s">
        <v>125</v>
      </c>
    </row>
    <row r="5">
      <c r="A5" s="23" t="s">
        <v>117</v>
      </c>
      <c r="B5" s="27">
        <f>Forecast!C14</f>
        <v>30300.672194872626</v>
      </c>
      <c r="C5" s="27">
        <f>Forecast!D14</f>
        <v>37875.84024359078</v>
      </c>
      <c r="D5" s="27">
        <f>Forecast!E14</f>
        <v>47344.800304488475</v>
      </c>
      <c r="E5" s="27">
        <f>Forecast!F14</f>
        <v>59181.000380610596</v>
      </c>
      <c r="F5" s="27">
        <f>Forecast!G14</f>
        <v>73976.25047576324</v>
      </c>
      <c r="G5" s="27"/>
    </row>
    <row r="6">
      <c r="A6" s="23" t="s">
        <v>126</v>
      </c>
      <c r="B6" s="27">
        <f>1/(1+Assumptions!$E$11)^1</f>
        <v>0.9174311926605504</v>
      </c>
      <c r="C6" s="27">
        <f>1/(1+Assumptions!$E$11)^2</f>
        <v>0.84167999326656</v>
      </c>
      <c r="D6" s="27">
        <f>1/(1+Assumptions!$E$11)^3</f>
        <v>0.7721834800610642</v>
      </c>
      <c r="E6" s="27">
        <f>1/(1+Assumptions!$E$11)^4</f>
        <v>0.7084252110651963</v>
      </c>
      <c r="F6" s="27">
        <f>1/(1+Assumptions!$E$11)^5</f>
        <v>0.6499313862983452</v>
      </c>
      <c r="G6" s="27"/>
    </row>
    <row r="7">
      <c r="A7" s="23" t="s">
        <v>127</v>
      </c>
      <c r="B7" s="27">
        <f>B5*B6</f>
        <v>27798.781830158372</v>
      </c>
      <c r="C7" s="27">
        <f>C5*C6</f>
        <v>31879.336961190787</v>
      </c>
      <c r="D7" s="27">
        <f>D5*D6</f>
        <v>36558.872661916044</v>
      </c>
      <c r="E7" s="27">
        <f>E5*E6</f>
        <v>41925.31268568352</v>
      </c>
      <c r="F7" s="27">
        <f>F5*F6</f>
        <v>48079.48702486642</v>
      </c>
      <c r="G7" s="27"/>
    </row>
    <row r="8">
      <c r="A8" s="23"/>
      <c r="B8" s="27"/>
      <c r="C8" s="27"/>
      <c r="D8" s="27"/>
      <c r="E8" s="27"/>
      <c r="F8" s="27"/>
      <c r="G8" s="27"/>
    </row>
    <row r="9">
      <c r="A9" s="19" t="s">
        <v>128</v>
      </c>
      <c r="B9" s="49" t="s">
        <v>3</v>
      </c>
      <c r="C9" s="27"/>
      <c r="D9" s="27"/>
      <c r="E9" s="27"/>
      <c r="F9" s="27"/>
      <c r="G9" s="27"/>
    </row>
    <row r="10">
      <c r="A10" s="23" t="s">
        <v>129</v>
      </c>
      <c r="B10" s="27">
        <f>SUM(B7:F7)</f>
        <v>186241.79116381516</v>
      </c>
      <c r="C10" s="27"/>
      <c r="D10" s="27"/>
      <c r="E10" s="27"/>
      <c r="F10" s="27"/>
      <c r="G10" s="27"/>
    </row>
    <row r="11">
      <c r="A11" s="23" t="s">
        <v>130</v>
      </c>
      <c r="B11" s="27">
        <f>IF(Assumptions!$E$11&gt;Assumptions!$E$12,F5*(1+Assumptions!$E$12)/(Assumptions!$E$11-Assumptions!$E$12),0)</f>
        <v>1166548.565194728</v>
      </c>
      <c r="C11" s="27"/>
      <c r="D11" s="27"/>
      <c r="E11" s="27"/>
      <c r="F11" s="27"/>
      <c r="G11" s="27"/>
    </row>
    <row r="12">
      <c r="A12" s="23" t="s">
        <v>131</v>
      </c>
      <c r="B12" s="27">
        <f>B11*F6</f>
        <v>758176.5261613552</v>
      </c>
      <c r="C12" s="27"/>
      <c r="D12" s="27"/>
      <c r="E12" s="27"/>
      <c r="F12" s="27"/>
      <c r="G12" s="27"/>
    </row>
    <row r="13">
      <c r="A13" s="23" t="s">
        <v>132</v>
      </c>
      <c r="B13" s="27">
        <f>B10+B12</f>
        <v>944418.3173251704</v>
      </c>
      <c r="C13" s="27"/>
      <c r="D13" s="27"/>
      <c r="E13" s="27"/>
      <c r="F13" s="27"/>
      <c r="G13" s="27"/>
    </row>
    <row r="14">
      <c r="A14" s="23" t="s">
        <v>78</v>
      </c>
      <c r="B14" s="27">
        <f>Forecast!B15</f>
        <v>0</v>
      </c>
      <c r="C14" s="27"/>
      <c r="D14" s="27"/>
      <c r="E14" s="27"/>
      <c r="F14" s="27"/>
      <c r="G14" s="27"/>
    </row>
    <row r="15">
      <c r="A15" s="23" t="s">
        <v>79</v>
      </c>
      <c r="B15" s="27">
        <f>Forecast!B16</f>
        <v>0</v>
      </c>
      <c r="C15" s="27"/>
      <c r="D15" s="27"/>
      <c r="E15" s="27"/>
      <c r="F15" s="27"/>
      <c r="G15" s="27"/>
    </row>
    <row r="16">
      <c r="A16" s="23" t="s">
        <v>133</v>
      </c>
      <c r="B16" s="27">
        <f>B13+B14-B15</f>
        <v>944418.3173251704</v>
      </c>
      <c r="C16" s="27"/>
      <c r="D16" s="27"/>
      <c r="E16" s="27"/>
      <c r="F16" s="27"/>
      <c r="G16" s="27"/>
    </row>
    <row r="17">
      <c r="A17" s="23" t="s">
        <v>80</v>
      </c>
      <c r="B17" s="27">
        <v>0</v>
      </c>
      <c r="C17" s="27"/>
      <c r="D17" s="27"/>
      <c r="E17" s="27"/>
      <c r="F17" s="27"/>
      <c r="G17" s="27"/>
    </row>
    <row r="18">
      <c r="A18" s="23" t="s">
        <v>134</v>
      </c>
      <c r="B18" s="27">
        <f>IF(B17&gt;0,B16/B17,0)</f>
        <v>0</v>
      </c>
      <c r="C18" s="27"/>
      <c r="D18" s="27"/>
      <c r="E18" s="27"/>
      <c r="F18" s="27"/>
      <c r="G18" s="27"/>
    </row>
    <row r="19">
      <c r="A19" s="23" t="s">
        <v>16</v>
      </c>
      <c r="B19" s="27"/>
      <c r="C19" s="27"/>
      <c r="D19" s="27"/>
      <c r="E19" s="27"/>
      <c r="F19" s="27"/>
      <c r="G19" s="27"/>
    </row>
    <row r="20">
      <c r="A20" s="23" t="s">
        <v>135</v>
      </c>
      <c r="B20" s="27">
        <f>IF(B19&gt;0,B18/B19-1,0)</f>
        <v>0</v>
      </c>
      <c r="C20" s="27"/>
      <c r="D20" s="27"/>
      <c r="E20" s="27"/>
      <c r="F20" s="27"/>
      <c r="G20" s="27"/>
    </row>
    <row r="21">
      <c r="A21" s="18"/>
      <c r="B21" s="18"/>
      <c r="C21" s="18"/>
      <c r="D21" s="18"/>
      <c r="E21" s="18"/>
      <c r="F21" s="18"/>
      <c r="G21" s="18"/>
    </row>
    <row r="22">
      <c r="A22" s="18"/>
      <c r="B22" s="18"/>
      <c r="C22" s="18"/>
      <c r="D22" s="18"/>
      <c r="E22" s="18"/>
      <c r="F22" s="18"/>
      <c r="G22" s="18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1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136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137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52" t="s">
        <v>138</v>
      </c>
      <c r="B4" s="52">
        <v>0.07</v>
      </c>
      <c r="C4" s="52">
        <v>0.08</v>
      </c>
      <c r="D4" s="52">
        <v>0.09</v>
      </c>
      <c r="E4" s="52">
        <v>0.1</v>
      </c>
      <c r="F4" s="52">
        <v>0.11</v>
      </c>
    </row>
    <row r="5">
      <c r="A5" s="52">
        <v>0.01</v>
      </c>
      <c r="B5" s="27">
        <f>SUMPRODUCT(Valuation!$B$5:$F$5,1/(1+B$4)^{1,2,3,4,5})+IF(B$4&gt;$A5,Valuation!$F$5*(1+$A5)/(B$4-$A5)/(1+B$4)^5,0)</f>
        <v>1085799.0943215569</v>
      </c>
      <c r="C5" s="27">
        <f>SUMPRODUCT(Valuation!$B$5:$F$5,1/(1+C$4)^{1,2,3,4,5})+IF(C$4&gt;$A5,Valuation!$F$5*(1+$A5)/(C$4-$A5)/(1+C$4)^5,0)</f>
        <v>918394.4156126915</v>
      </c>
      <c r="D5" s="27">
        <f>SUMPRODUCT(Valuation!$B$5:$F$5,1/(1+D$4)^{1,2,3,4,5})+IF(D$4&gt;$A5,Valuation!$F$5*(1+$A5)/(D$4-$A5)/(1+D$4)^5,0)</f>
        <v>793245.3148527538</v>
      </c>
      <c r="E5" s="27">
        <f>SUMPRODUCT(Valuation!$B$5:$F$5,1/(1+E$4)^{1,2,3,4,5})+IF(E$4&gt;$A5,Valuation!$F$5*(1+$A5)/(E$4-$A5)/(1+E$4)^5,0)</f>
        <v>696249.286743569</v>
      </c>
      <c r="F5" s="27">
        <f>SUMPRODUCT(Valuation!$B$5:$F$5,1/(1+F$4)^{1,2,3,4,5})+IF(F$4&gt;$A5,Valuation!$F$5*(1+$A5)/(F$4-$A5)/(1+F$4)^5,0)</f>
        <v>618945.727856522</v>
      </c>
    </row>
    <row r="6">
      <c r="A6" s="52">
        <v>0.02</v>
      </c>
      <c r="B6" s="27">
        <f>SUMPRODUCT(Valuation!$B$5:$F$5,1/(1+B$4)^{1,2,3,4,5})+IF(B$4&gt;$A6,Valuation!$F$5*(1+$A6)/(B$4-$A6)/(1+B$4)^5,0)</f>
        <v>1273919.5186321847</v>
      </c>
      <c r="C6" s="27">
        <f>SUMPRODUCT(Valuation!$B$5:$F$5,1/(1+C$4)^{1,2,3,4,5})+IF(C$4&gt;$A6,Valuation!$F$5*(1+$A6)/(C$4-$A6)/(1+C$4)^5,0)</f>
        <v>1047858.1120356293</v>
      </c>
      <c r="D6" s="27">
        <f>SUMPRODUCT(Valuation!$B$5:$F$5,1/(1+D$4)^{1,2,3,4,5})+IF(D$4&gt;$A6,Valuation!$F$5*(1+$A6)/(D$4-$A6)/(1+D$4)^5,0)</f>
        <v>886828.6020975832</v>
      </c>
      <c r="E6" s="27">
        <f>SUMPRODUCT(Valuation!$B$5:$F$5,1/(1+E$4)^{1,2,3,4,5})+IF(E$4&gt;$A6,Valuation!$F$5*(1+$A6)/(E$4-$A6)/(1+E$4)^5,0)</f>
        <v>766425.3623719066</v>
      </c>
      <c r="F6" s="27">
        <f>SUMPRODUCT(Valuation!$B$5:$F$5,1/(1+F$4)^{1,2,3,4,5})+IF(F$4&gt;$A6,Valuation!$F$5*(1+$A6)/(F$4-$A6)/(1+F$4)^5,0)</f>
        <v>673090.6695670711</v>
      </c>
    </row>
    <row r="7">
      <c r="A7" s="52">
        <v>0.03</v>
      </c>
      <c r="B7" s="27">
        <f>SUMPRODUCT(Valuation!$B$5:$F$5,1/(1+B$4)^{1,2,3,4,5})+IF(B$4&gt;$A7,Valuation!$F$5*(1+$A7)/(B$4-$A7)/(1+B$4)^5,0)</f>
        <v>1556100.1550981256</v>
      </c>
      <c r="C7" s="27">
        <f>SUMPRODUCT(Valuation!$B$5:$F$5,1/(1+C$4)^{1,2,3,4,5})+IF(C$4&gt;$A7,Valuation!$F$5*(1+$A7)/(C$4-$A7)/(1+C$4)^5,0)</f>
        <v>1229107.287027742</v>
      </c>
      <c r="D7" s="27">
        <f>SUMPRODUCT(Valuation!$B$5:$F$5,1/(1+D$4)^{1,2,3,4,5})+IF(D$4&gt;$A7,Valuation!$F$5*(1+$A7)/(D$4-$A7)/(1+D$4)^5,0)</f>
        <v>1011606.3184240223</v>
      </c>
      <c r="E7" s="27">
        <f>SUMPRODUCT(Valuation!$B$5:$F$5,1/(1+E$4)^{1,2,3,4,5})+IF(E$4&gt;$A7,Valuation!$F$5*(1+$A7)/(E$4-$A7)/(1+E$4)^5,0)</f>
        <v>856651.7453226262</v>
      </c>
      <c r="F7" s="27">
        <f>SUMPRODUCT(Valuation!$B$5:$F$5,1/(1+F$4)^{1,2,3,4,5})+IF(F$4&gt;$A7,Valuation!$F$5*(1+$A7)/(F$4-$A7)/(1+F$4)^5,0)</f>
        <v>740771.8467052572</v>
      </c>
    </row>
    <row r="8">
      <c r="A8" s="52">
        <v>0.04</v>
      </c>
      <c r="B8" s="27">
        <f>SUMPRODUCT(Valuation!$B$5:$F$5,1/(1+B$4)^{1,2,3,4,5})+IF(B$4&gt;$A8,Valuation!$F$5*(1+$A8)/(B$4-$A8)/(1+B$4)^5,0)</f>
        <v>2026401.2158746938</v>
      </c>
      <c r="C8" s="27">
        <f>SUMPRODUCT(Valuation!$B$5:$F$5,1/(1+C$4)^{1,2,3,4,5})+IF(C$4&gt;$A8,Valuation!$F$5*(1+$A8)/(C$4-$A8)/(1+C$4)^5,0)</f>
        <v>1500981.049515911</v>
      </c>
      <c r="D8" s="27">
        <f>SUMPRODUCT(Valuation!$B$5:$F$5,1/(1+D$4)^{1,2,3,4,5})+IF(D$4&gt;$A8,Valuation!$F$5*(1+$A8)/(D$4-$A8)/(1+D$4)^5,0)</f>
        <v>1186295.1212810369</v>
      </c>
      <c r="E8" s="27">
        <f>SUMPRODUCT(Valuation!$B$5:$F$5,1/(1+E$4)^{1,2,3,4,5})+IF(E$4&gt;$A8,Valuation!$F$5*(1+$A8)/(E$4-$A8)/(1+E$4)^5,0)</f>
        <v>976953.5892569189</v>
      </c>
      <c r="F8" s="27">
        <f>SUMPRODUCT(Valuation!$B$5:$F$5,1/(1+F$4)^{1,2,3,4,5})+IF(F$4&gt;$A8,Valuation!$F$5*(1+$A8)/(F$4-$A8)/(1+F$4)^5,0)</f>
        <v>827790.5030257821</v>
      </c>
    </row>
    <row r="9">
      <c r="A9" s="52">
        <v>0.05</v>
      </c>
      <c r="B9" s="27">
        <f>SUMPRODUCT(Valuation!$B$5:$F$5,1/(1+B$4)^{1,2,3,4,5})+IF(B$4&gt;$A9,Valuation!$F$5*(1+$A9)/(B$4-$A9)/(1+B$4)^5,0)</f>
        <v>2967003.3374278303</v>
      </c>
      <c r="C9" s="27">
        <f>SUMPRODUCT(Valuation!$B$5:$F$5,1/(1+C$4)^{1,2,3,4,5})+IF(C$4&gt;$A9,Valuation!$F$5*(1+$A9)/(C$4-$A9)/(1+C$4)^5,0)</f>
        <v>1954103.9869961925</v>
      </c>
      <c r="D9" s="27">
        <f>SUMPRODUCT(Valuation!$B$5:$F$5,1/(1+D$4)^{1,2,3,4,5})+IF(D$4&gt;$A9,Valuation!$F$5*(1+$A9)/(D$4-$A9)/(1+D$4)^5,0)</f>
        <v>1448328.325566559</v>
      </c>
      <c r="E9" s="27">
        <f>SUMPRODUCT(Valuation!$B$5:$F$5,1/(1+E$4)^{1,2,3,4,5})+IF(E$4&gt;$A9,Valuation!$F$5*(1+$A9)/(E$4-$A9)/(1+E$4)^5,0)</f>
        <v>1145376.170764929</v>
      </c>
      <c r="F9" s="27">
        <f>SUMPRODUCT(Valuation!$B$5:$F$5,1/(1+F$4)^{1,2,3,4,5})+IF(F$4&gt;$A9,Valuation!$F$5*(1+$A9)/(F$4-$A9)/(1+F$4)^5,0)</f>
        <v>943815.3781198156</v>
      </c>
    </row>
    <row r="10">
      <c r="A10" s="18"/>
      <c r="B10" s="18"/>
      <c r="C10" s="18"/>
      <c r="D10" s="18"/>
      <c r="E10" s="18"/>
      <c r="F10" s="18"/>
    </row>
    <row r="11">
      <c r="A11" s="18"/>
      <c r="B11" s="18"/>
      <c r="C11" s="18"/>
      <c r="D11" s="18"/>
      <c r="E11" s="18"/>
      <c r="F11" s="18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4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0" customWidth="1"/>
    <col min="5" max="8" width="15" customWidth="1"/>
  </cols>
  <sheetData>
    <row r="1" ht="28" customHeight="1">
      <c r="A1" s="17" t="s">
        <v>139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140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141</v>
      </c>
      <c r="B4" s="19" t="s">
        <v>142</v>
      </c>
      <c r="C4" s="19" t="s">
        <v>143</v>
      </c>
      <c r="D4" s="19" t="s">
        <v>144</v>
      </c>
    </row>
    <row r="5">
      <c r="A5" s="23" t="s">
        <v>145</v>
      </c>
      <c r="B5" s="23" t="str">
        <f>IF(MIN(Forecast!C5:G5)&gt;=0,"PASS","FAIL")</f>
        <v>PASS</v>
      </c>
      <c r="C5" s="23" t="s">
        <v>146</v>
      </c>
      <c r="D5" s="23" t="s">
        <v>147</v>
      </c>
    </row>
    <row r="6">
      <c r="A6" s="23" t="s">
        <v>148</v>
      </c>
      <c r="B6" s="23" t="str">
        <f>IF(COUNT(Forecast!C14:G14)=5,"PASS","FAIL")</f>
        <v>PASS</v>
      </c>
      <c r="C6" s="23" t="s">
        <v>146</v>
      </c>
      <c r="D6" s="23" t="s">
        <v>149</v>
      </c>
    </row>
    <row r="7">
      <c r="A7" s="23" t="s">
        <v>150</v>
      </c>
      <c r="B7" s="23" t="str">
        <f>IF(Assumptions!E11&gt;Assumptions!E12,"PASS","FAIL")</f>
        <v>PASS</v>
      </c>
      <c r="C7" s="23" t="s">
        <v>146</v>
      </c>
      <c r="D7" s="23" t="s">
        <v>151</v>
      </c>
    </row>
    <row r="8">
      <c r="A8" s="23" t="s">
        <v>152</v>
      </c>
      <c r="B8" s="23" t="str">
        <f>IF(ABS(Valuation!B16-(Valuation!B13+Valuation!B14-Valuation!B15))&lt;0.1,"PASS","FAIL")</f>
        <v>PASS</v>
      </c>
      <c r="C8" s="23" t="s">
        <v>146</v>
      </c>
      <c r="D8" s="23" t="s">
        <v>153</v>
      </c>
    </row>
    <row r="9">
      <c r="A9" s="23" t="s">
        <v>154</v>
      </c>
      <c r="B9" s="23" t="s">
        <v>155</v>
      </c>
      <c r="C9" s="23" t="s">
        <v>156</v>
      </c>
      <c r="D9" s="23" t="s">
        <v>157</v>
      </c>
    </row>
    <row r="10">
      <c r="A10" s="23"/>
      <c r="B10" s="23"/>
      <c r="C10" s="23"/>
      <c r="D10" s="23"/>
    </row>
    <row r="11">
      <c r="A11" s="19" t="s">
        <v>158</v>
      </c>
      <c r="B11" s="19" t="str">
        <f>IF(COUNTIF(B5:B9,"FAIL")=0,IF(COUNTIF(B5:B9,"LIMITED")=0,"PASS","PASS WITH LIMITATIONS"),"FAIL")</f>
        <v>PASS WITH LIMITATIONS</v>
      </c>
      <c r="C11" s="23"/>
      <c r="D11" s="23"/>
    </row>
    <row r="12">
      <c r="A12" s="23" t="s">
        <v>159</v>
      </c>
      <c r="B12" s="23" t="s">
        <v>9</v>
      </c>
      <c r="C12" s="23"/>
      <c r="D12" s="23"/>
    </row>
    <row r="13">
      <c r="A13" s="18"/>
      <c r="B13" s="18"/>
      <c r="C13" s="18"/>
      <c r="D13" s="18"/>
    </row>
    <row r="14">
      <c r="A14" s="18"/>
      <c r="B14" s="18"/>
      <c r="C14" s="18"/>
      <c r="D14" s="18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2" customWidth="1"/>
    <col min="5" max="8" width="15" customWidth="1"/>
  </cols>
  <sheetData>
    <row r="1" ht="28" customHeight="1">
      <c r="A1" s="17" t="s">
        <v>160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161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162</v>
      </c>
      <c r="B4" s="19" t="s">
        <v>163</v>
      </c>
      <c r="C4" s="19" t="s">
        <v>164</v>
      </c>
      <c r="D4" s="19" t="s">
        <v>165</v>
      </c>
    </row>
    <row r="5">
      <c r="A5" s="23" t="s">
        <v>166</v>
      </c>
      <c r="B5" s="55"/>
      <c r="C5" s="55"/>
      <c r="D5" s="23" t="s">
        <v>167</v>
      </c>
    </row>
    <row r="6">
      <c r="A6" s="23" t="s">
        <v>168</v>
      </c>
      <c r="B6" s="55"/>
      <c r="C6" s="55"/>
      <c r="D6" s="23" t="s">
        <v>167</v>
      </c>
    </row>
    <row r="7">
      <c r="A7" s="23" t="s">
        <v>169</v>
      </c>
      <c r="B7" s="55"/>
      <c r="C7" s="55"/>
      <c r="D7" s="23" t="s">
        <v>167</v>
      </c>
    </row>
    <row r="8">
      <c r="A8" s="23" t="s">
        <v>170</v>
      </c>
      <c r="B8" s="55"/>
      <c r="C8" s="55"/>
      <c r="D8" s="23" t="s">
        <v>167</v>
      </c>
    </row>
    <row r="9">
      <c r="A9" s="23" t="s">
        <v>171</v>
      </c>
      <c r="B9" s="55"/>
      <c r="C9" s="55"/>
      <c r="D9" s="23" t="s">
        <v>167</v>
      </c>
    </row>
    <row r="10">
      <c r="A10" s="23" t="s">
        <v>172</v>
      </c>
      <c r="B10" s="55"/>
      <c r="C10" s="55"/>
      <c r="D10" s="23" t="s">
        <v>167</v>
      </c>
    </row>
    <row r="11">
      <c r="A11" s="23" t="s">
        <v>173</v>
      </c>
      <c r="B11" s="55"/>
      <c r="C11" s="55"/>
      <c r="D11" s="23" t="s">
        <v>167</v>
      </c>
    </row>
    <row r="12">
      <c r="A12" s="23" t="s">
        <v>174</v>
      </c>
      <c r="B12" s="55"/>
      <c r="C12" s="55"/>
      <c r="D12" s="23" t="s">
        <v>167</v>
      </c>
    </row>
    <row r="13">
      <c r="A13" s="23" t="s">
        <v>175</v>
      </c>
      <c r="B13" s="55"/>
      <c r="C13" s="55"/>
      <c r="D13" s="23" t="s">
        <v>167</v>
      </c>
    </row>
    <row r="14">
      <c r="A14" s="18"/>
      <c r="B14" s="18"/>
      <c r="C14" s="18"/>
      <c r="D14" s="18"/>
    </row>
    <row r="15">
      <c r="A15" s="18"/>
      <c r="B15" s="18"/>
      <c r="C15" s="18"/>
      <c r="D15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9"/>
  <sheetViews>
    <sheetView showGridLines="0" workbookViewId="0"/>
  </sheetViews>
  <sheetFormatPr defaultRowHeight="15"/>
  <cols>
    <col min="1" max="1" width="31" customWidth="1"/>
    <col min="2" max="3" width="15" customWidth="1"/>
    <col min="4" max="5" width="45" customWidth="1"/>
    <col min="6" max="8" width="15" customWidth="1"/>
  </cols>
  <sheetData>
    <row r="1" ht="28" customHeight="1">
      <c r="A1" s="17" t="s">
        <v>176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177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19" t="s">
        <v>178</v>
      </c>
      <c r="B4" s="19" t="s">
        <v>179</v>
      </c>
      <c r="C4" s="19" t="s">
        <v>180</v>
      </c>
      <c r="D4" s="19" t="s">
        <v>181</v>
      </c>
      <c r="E4" s="19" t="s">
        <v>182</v>
      </c>
      <c r="F4" s="19" t="s">
        <v>183</v>
      </c>
    </row>
    <row r="5">
      <c r="A5" s="23" t="s">
        <v>39</v>
      </c>
      <c r="B5" s="23" t="s">
        <v>184</v>
      </c>
      <c r="C5" s="23" t="s">
        <v>185</v>
      </c>
      <c r="D5" s="23" t="s">
        <v>186</v>
      </c>
      <c r="E5" s="23" t="s">
        <v>19</v>
      </c>
      <c r="F5" s="23" t="s">
        <v>187</v>
      </c>
    </row>
    <row r="6">
      <c r="A6" s="23" t="s">
        <v>39</v>
      </c>
      <c r="B6" s="23" t="s">
        <v>184</v>
      </c>
      <c r="C6" s="23" t="s">
        <v>185</v>
      </c>
      <c r="D6" s="23" t="s">
        <v>188</v>
      </c>
      <c r="E6" s="23" t="s">
        <v>189</v>
      </c>
      <c r="F6" s="23" t="s">
        <v>190</v>
      </c>
    </row>
    <row r="7">
      <c r="A7" s="18">
        <v>46224</v>
      </c>
      <c r="B7" s="18" t="s">
        <v>191</v>
      </c>
      <c r="C7" s="18" t="s">
        <v>192</v>
      </c>
      <c r="D7" s="18"/>
      <c r="E7" s="18"/>
      <c r="F7" s="18"/>
    </row>
    <row r="8">
      <c r="A8" s="18"/>
      <c r="B8" s="18"/>
      <c r="C8" s="18"/>
      <c r="D8" s="18"/>
      <c r="E8" s="18"/>
      <c r="F8" s="18"/>
    </row>
    <row r="9">
      <c r="A9" s="18"/>
      <c r="B9" s="18"/>
      <c r="C9" s="18"/>
      <c r="D9" s="18"/>
      <c r="E9" s="18"/>
      <c r="F9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ColWidth="8.375" defaultRowHeight="15"/>
  <sheetData>
    <row r="1">
      <c r="A1" t="s">
        <v>193</v>
      </c>
    </row>
    <row r="2">
      <c r="A2" t="s">
        <v>194</v>
      </c>
    </row>
    <row r="4">
      <c r="A4" t="s">
        <v>195</v>
      </c>
      <c r="B4" t="s">
        <v>196</v>
      </c>
      <c r="C4" t="s">
        <v>197</v>
      </c>
      <c r="D4" t="s">
        <v>198</v>
      </c>
      <c r="E4" t="s">
        <v>199</v>
      </c>
    </row>
    <row r="5">
      <c r="A5" t="s">
        <v>66</v>
      </c>
      <c r="B5">
        <v>32765719</v>
      </c>
      <c r="C5">
        <v>66192960</v>
      </c>
      <c r="D5">
        <v>97146675</v>
      </c>
      <c r="E5" t="s">
        <v>200</v>
      </c>
    </row>
    <row r="6">
      <c r="A6" t="s">
        <v>201</v>
      </c>
      <c r="B6">
        <v>33299167</v>
      </c>
      <c r="C6">
        <v>34364814</v>
      </c>
      <c r="D6">
        <v>38455885</v>
      </c>
      <c r="E6">
        <v>26.31</v>
      </c>
    </row>
    <row r="7">
      <c r="A7" t="s">
        <v>202</v>
      </c>
      <c r="B7">
        <v>-533448</v>
      </c>
      <c r="C7">
        <v>31828146</v>
      </c>
      <c r="D7">
        <v>58690790</v>
      </c>
    </row>
    <row r="8">
      <c r="A8" t="s">
        <v>203</v>
      </c>
      <c r="B8">
        <v>3446158</v>
      </c>
      <c r="C8">
        <v>3924486</v>
      </c>
      <c r="D8">
        <v>5018834</v>
      </c>
      <c r="E8">
        <v>25.26</v>
      </c>
    </row>
    <row r="9">
      <c r="A9" t="s">
        <v>204</v>
      </c>
      <c r="B9">
        <v>3750707</v>
      </c>
      <c r="C9">
        <v>4436341</v>
      </c>
      <c r="D9">
        <v>6465637</v>
      </c>
      <c r="E9">
        <v>25.26</v>
      </c>
    </row>
    <row r="10">
      <c r="A10" t="s">
        <v>205</v>
      </c>
      <c r="B10">
        <v>2261801</v>
      </c>
      <c r="C10">
        <v>4855082</v>
      </c>
      <c r="D10">
        <v>16373480</v>
      </c>
      <c r="E10">
        <v>5.27</v>
      </c>
    </row>
    <row r="11">
      <c r="A11" t="s">
        <v>206</v>
      </c>
      <c r="B11">
        <v>6093167</v>
      </c>
      <c r="C11">
        <v>5707997</v>
      </c>
      <c r="D11">
        <v>12504998</v>
      </c>
      <c r="E11">
        <v>5.27</v>
      </c>
    </row>
    <row r="12">
      <c r="A12" t="s">
        <v>207</v>
      </c>
      <c r="B12">
        <v>15061</v>
      </c>
      <c r="C12">
        <v>-38245</v>
      </c>
      <c r="D12">
        <v>-564553</v>
      </c>
      <c r="E12">
        <v>11</v>
      </c>
    </row>
    <row r="13">
      <c r="A13" t="s">
        <v>208</v>
      </c>
      <c r="B13">
        <v>623867</v>
      </c>
      <c r="C13">
        <v>1476579</v>
      </c>
      <c r="D13">
        <v>333277</v>
      </c>
      <c r="E13">
        <v>28</v>
      </c>
    </row>
    <row r="14">
      <c r="A14" t="s">
        <v>209</v>
      </c>
      <c r="B14">
        <v>735065</v>
      </c>
      <c r="C14">
        <v>167388</v>
      </c>
      <c r="D14">
        <v>377973</v>
      </c>
      <c r="E14">
        <v>28</v>
      </c>
    </row>
    <row r="15">
      <c r="A15" t="s">
        <v>210</v>
      </c>
      <c r="B15">
        <v>-11657816</v>
      </c>
      <c r="C15">
        <v>23885350</v>
      </c>
      <c r="D15">
        <v>50465552</v>
      </c>
    </row>
    <row r="16">
      <c r="A16" t="s">
        <v>211</v>
      </c>
      <c r="B16">
        <v>-2520269</v>
      </c>
      <c r="C16">
        <v>4088448</v>
      </c>
      <c r="D16">
        <v>7517650</v>
      </c>
      <c r="E16">
        <v>29</v>
      </c>
    </row>
    <row r="17">
      <c r="A17" t="s">
        <v>212</v>
      </c>
      <c r="B17">
        <v>-9137547</v>
      </c>
      <c r="C17">
        <v>19796902</v>
      </c>
      <c r="D17">
        <v>42947902</v>
      </c>
    </row>
    <row r="19">
      <c r="A19" t="s">
        <v>213</v>
      </c>
    </row>
    <row r="20">
      <c r="A20" t="s">
        <v>214</v>
      </c>
      <c r="B20">
        <v>-9112428</v>
      </c>
      <c r="C20">
        <v>19788681</v>
      </c>
      <c r="D20">
        <v>42919287</v>
      </c>
    </row>
    <row r="21">
      <c r="A21" t="s">
        <v>215</v>
      </c>
      <c r="B21">
        <v>-25119</v>
      </c>
      <c r="C21">
        <v>8221</v>
      </c>
      <c r="D21">
        <v>28615</v>
      </c>
    </row>
    <row r="23">
      <c r="A23" t="s">
        <v>216</v>
      </c>
      <c r="B23">
        <v>-13244</v>
      </c>
      <c r="C23">
        <v>28732</v>
      </c>
      <c r="D23">
        <v>62044</v>
      </c>
      <c r="E23">
        <v>30</v>
      </c>
    </row>
    <row r="24">
      <c r="A24" t="s">
        <v>217</v>
      </c>
      <c r="B24">
        <v>-13244</v>
      </c>
      <c r="C24">
        <v>28419</v>
      </c>
      <c r="D24">
        <v>60378</v>
      </c>
      <c r="E24">
        <v>30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ColWidth="8.375" defaultRowHeight="15"/>
  <sheetData>
    <row r="1">
      <c r="A1" t="s">
        <v>218</v>
      </c>
    </row>
    <row r="2">
      <c r="A2" t="s">
        <v>219</v>
      </c>
    </row>
    <row r="4">
      <c r="A4" t="s">
        <v>195</v>
      </c>
      <c r="B4" t="s">
        <v>196</v>
      </c>
      <c r="C4" t="s">
        <v>197</v>
      </c>
      <c r="D4" t="s">
        <v>198</v>
      </c>
      <c r="E4" t="s">
        <v>199</v>
      </c>
    </row>
    <row r="5">
      <c r="A5" t="s">
        <v>212</v>
      </c>
      <c r="B5">
        <v>-9137547</v>
      </c>
      <c r="C5">
        <v>19796902</v>
      </c>
      <c r="D5">
        <v>42947902</v>
      </c>
    </row>
    <row r="6">
      <c r="A6" t="s">
        <v>220</v>
      </c>
    </row>
    <row r="7">
      <c r="A7" t="s">
        <v>221</v>
      </c>
      <c r="B7">
        <v>-17944</v>
      </c>
      <c r="C7">
        <v>-273610</v>
      </c>
      <c r="D7">
        <v>-79633</v>
      </c>
      <c r="E7">
        <v>19</v>
      </c>
    </row>
    <row r="8">
      <c r="A8" t="s">
        <v>222</v>
      </c>
    </row>
    <row r="9">
      <c r="A9" t="s">
        <v>223</v>
      </c>
      <c r="B9">
        <v>132561</v>
      </c>
      <c r="C9">
        <v>1374587</v>
      </c>
      <c r="D9">
        <v>173701</v>
      </c>
    </row>
    <row r="10">
      <c r="A10" t="s">
        <v>224</v>
      </c>
      <c r="B10">
        <v>-22414</v>
      </c>
      <c r="C10">
        <v>637</v>
      </c>
      <c r="D10">
        <v>2118</v>
      </c>
      <c r="E10">
        <v>21</v>
      </c>
    </row>
    <row r="11">
      <c r="A11" t="s">
        <v>225</v>
      </c>
      <c r="B11">
        <v>7848</v>
      </c>
      <c r="C11">
        <v>145906</v>
      </c>
      <c r="D11">
        <v>-26740</v>
      </c>
      <c r="E11">
        <v>11</v>
      </c>
    </row>
    <row r="12">
      <c r="A12" t="s">
        <v>226</v>
      </c>
      <c r="B12">
        <v>100051</v>
      </c>
      <c r="C12">
        <v>1247520</v>
      </c>
      <c r="D12">
        <v>69446</v>
      </c>
    </row>
    <row r="13">
      <c r="A13" t="s">
        <v>227</v>
      </c>
      <c r="B13">
        <v>-9037496</v>
      </c>
      <c r="C13">
        <v>21044422</v>
      </c>
      <c r="D13">
        <v>43017348</v>
      </c>
    </row>
    <row r="14">
      <c r="A14" t="s">
        <v>228</v>
      </c>
    </row>
    <row r="15">
      <c r="A15" t="s">
        <v>214</v>
      </c>
      <c r="B15">
        <v>-9014999</v>
      </c>
      <c r="C15">
        <v>21033123</v>
      </c>
      <c r="D15">
        <v>42984408</v>
      </c>
    </row>
    <row r="16">
      <c r="A16" t="s">
        <v>215</v>
      </c>
      <c r="B16">
        <v>-22497</v>
      </c>
      <c r="C16">
        <v>11299</v>
      </c>
      <c r="D16">
        <v>32940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ColWidth="8.375" defaultRowHeight="15"/>
  <sheetData>
    <row r="1">
      <c r="A1" t="s">
        <v>229</v>
      </c>
    </row>
    <row r="2">
      <c r="A2" t="s">
        <v>230</v>
      </c>
    </row>
    <row r="4">
      <c r="A4" t="s">
        <v>195</v>
      </c>
      <c r="B4" t="s">
        <v>196</v>
      </c>
      <c r="C4" t="s">
        <v>197</v>
      </c>
      <c r="D4" t="s">
        <v>198</v>
      </c>
      <c r="E4" t="s">
        <v>199</v>
      </c>
    </row>
    <row r="5">
      <c r="A5" t="s">
        <v>75</v>
      </c>
    </row>
    <row r="6">
      <c r="A6" t="s">
        <v>231</v>
      </c>
    </row>
    <row r="7">
      <c r="A7" t="s">
        <v>232</v>
      </c>
      <c r="C7">
        <v>11205117</v>
      </c>
      <c r="D7">
        <v>14923766</v>
      </c>
      <c r="E7">
        <v>5.6</v>
      </c>
    </row>
    <row r="8">
      <c r="A8" t="s">
        <v>233</v>
      </c>
      <c r="C8">
        <v>2382010</v>
      </c>
      <c r="D8">
        <v>14679719</v>
      </c>
      <c r="E8" t="s">
        <v>234</v>
      </c>
    </row>
    <row r="9">
      <c r="A9" t="s">
        <v>235</v>
      </c>
      <c r="C9">
        <v>569236</v>
      </c>
      <c r="D9">
        <v>5338768</v>
      </c>
      <c r="E9">
        <v>5.6</v>
      </c>
    </row>
    <row r="10">
      <c r="A10" t="s">
        <v>236</v>
      </c>
      <c r="C10">
        <v>13019006</v>
      </c>
      <c r="D10">
        <v>18199078</v>
      </c>
      <c r="E10" t="s">
        <v>237</v>
      </c>
    </row>
    <row r="11">
      <c r="A11" t="s">
        <v>238</v>
      </c>
      <c r="C11">
        <v>293061</v>
      </c>
      <c r="D11">
        <v>386343</v>
      </c>
      <c r="E11" t="s">
        <v>237</v>
      </c>
    </row>
    <row r="12">
      <c r="A12" t="s">
        <v>239</v>
      </c>
      <c r="C12">
        <v>45309</v>
      </c>
      <c r="D12">
        <v>195259</v>
      </c>
      <c r="E12" t="s">
        <v>240</v>
      </c>
    </row>
    <row r="13">
      <c r="A13" t="s">
        <v>241</v>
      </c>
      <c r="C13">
        <v>13313937</v>
      </c>
      <c r="D13">
        <v>14289390</v>
      </c>
      <c r="E13">
        <v>9</v>
      </c>
    </row>
    <row r="14">
      <c r="A14" t="s">
        <v>242</v>
      </c>
      <c r="C14">
        <v>57467</v>
      </c>
      <c r="D14">
        <v>67715</v>
      </c>
    </row>
    <row r="15">
      <c r="A15" t="s">
        <v>243</v>
      </c>
      <c r="C15">
        <v>1393744</v>
      </c>
      <c r="D15">
        <v>1378035</v>
      </c>
      <c r="E15">
        <v>10</v>
      </c>
    </row>
    <row r="16">
      <c r="A16" t="s">
        <v>244</v>
      </c>
      <c r="C16">
        <v>42278887</v>
      </c>
      <c r="D16">
        <v>69458073</v>
      </c>
    </row>
    <row r="17">
      <c r="A17" t="s">
        <v>245</v>
      </c>
    </row>
    <row r="18">
      <c r="A18" t="s">
        <v>246</v>
      </c>
      <c r="C18">
        <v>1940663</v>
      </c>
      <c r="D18">
        <v>1320927</v>
      </c>
      <c r="E18">
        <v>11</v>
      </c>
    </row>
    <row r="19">
      <c r="A19" t="s">
        <v>247</v>
      </c>
      <c r="C19">
        <v>4041276</v>
      </c>
      <c r="D19">
        <v>14547099</v>
      </c>
      <c r="E19">
        <v>5.6</v>
      </c>
    </row>
    <row r="20">
      <c r="A20" t="s">
        <v>248</v>
      </c>
      <c r="C20">
        <v>444286</v>
      </c>
      <c r="D20">
        <v>420036</v>
      </c>
      <c r="E20" t="s">
        <v>237</v>
      </c>
    </row>
    <row r="21">
      <c r="A21" t="s">
        <v>249</v>
      </c>
      <c r="C21">
        <v>346749</v>
      </c>
      <c r="D21">
        <v>1114462</v>
      </c>
      <c r="E21" t="s">
        <v>240</v>
      </c>
    </row>
    <row r="22">
      <c r="A22" t="s">
        <v>250</v>
      </c>
      <c r="C22">
        <v>60157474</v>
      </c>
      <c r="D22">
        <v>77502704</v>
      </c>
      <c r="E22">
        <v>12.32</v>
      </c>
    </row>
    <row r="23">
      <c r="A23" t="s">
        <v>251</v>
      </c>
      <c r="C23">
        <v>2486871</v>
      </c>
      <c r="D23">
        <v>2336457</v>
      </c>
      <c r="E23">
        <v>13.31</v>
      </c>
    </row>
    <row r="24">
      <c r="A24" t="s">
        <v>252</v>
      </c>
      <c r="C24">
        <v>4018847</v>
      </c>
      <c r="D24">
        <v>4049402</v>
      </c>
      <c r="E24">
        <v>14</v>
      </c>
    </row>
    <row r="25">
      <c r="A25" t="s">
        <v>253</v>
      </c>
      <c r="C25">
        <v>200</v>
      </c>
      <c r="D25">
        <v>188</v>
      </c>
    </row>
    <row r="26">
      <c r="A26" t="s">
        <v>254</v>
      </c>
      <c r="C26">
        <v>2811559</v>
      </c>
      <c r="D26">
        <v>3660493</v>
      </c>
      <c r="E26">
        <v>20.29</v>
      </c>
    </row>
    <row r="27">
      <c r="A27" t="s">
        <v>255</v>
      </c>
      <c r="C27">
        <v>1154255</v>
      </c>
      <c r="D27">
        <v>1552888</v>
      </c>
      <c r="E27">
        <v>19</v>
      </c>
    </row>
    <row r="28">
      <c r="A28" t="s">
        <v>256</v>
      </c>
      <c r="C28">
        <v>174142</v>
      </c>
      <c r="D28">
        <v>144930</v>
      </c>
      <c r="E28">
        <v>10</v>
      </c>
    </row>
    <row r="29">
      <c r="A29" t="s">
        <v>257</v>
      </c>
      <c r="C29">
        <v>77576322</v>
      </c>
      <c r="D29">
        <v>106649586</v>
      </c>
    </row>
    <row r="30">
      <c r="A30" t="s">
        <v>258</v>
      </c>
      <c r="C30">
        <v>119855209</v>
      </c>
      <c r="D30">
        <v>176107659</v>
      </c>
    </row>
    <row r="32">
      <c r="A32" t="s">
        <v>76</v>
      </c>
    </row>
    <row r="33">
      <c r="A33" t="s">
        <v>259</v>
      </c>
    </row>
    <row r="34">
      <c r="A34" t="s">
        <v>260</v>
      </c>
      <c r="C34">
        <v>2277347</v>
      </c>
      <c r="D34">
        <v>2848455</v>
      </c>
      <c r="E34" t="s">
        <v>261</v>
      </c>
    </row>
    <row r="35">
      <c r="A35" t="s">
        <v>262</v>
      </c>
      <c r="C35">
        <v>6967013</v>
      </c>
      <c r="D35">
        <v>6434144</v>
      </c>
      <c r="E35" t="s">
        <v>263</v>
      </c>
    </row>
    <row r="36">
      <c r="A36" t="s">
        <v>264</v>
      </c>
      <c r="C36">
        <v>3983543</v>
      </c>
      <c r="D36">
        <v>6283111</v>
      </c>
      <c r="E36" t="s">
        <v>265</v>
      </c>
    </row>
    <row r="37">
      <c r="A37" t="s">
        <v>266</v>
      </c>
      <c r="C37">
        <v>5252238</v>
      </c>
      <c r="D37">
        <v>8161757</v>
      </c>
      <c r="E37" t="s">
        <v>267</v>
      </c>
    </row>
    <row r="38">
      <c r="A38" t="s">
        <v>268</v>
      </c>
      <c r="C38">
        <v>1741587</v>
      </c>
      <c r="D38">
        <v>4913879</v>
      </c>
      <c r="E38" t="s">
        <v>269</v>
      </c>
    </row>
    <row r="39">
      <c r="A39" t="s">
        <v>270</v>
      </c>
      <c r="C39">
        <v>270235</v>
      </c>
      <c r="D39">
        <v>228937</v>
      </c>
      <c r="E39">
        <v>18</v>
      </c>
    </row>
    <row r="40">
      <c r="A40" t="s">
        <v>271</v>
      </c>
      <c r="C40">
        <v>3083950</v>
      </c>
      <c r="D40">
        <v>7023813</v>
      </c>
    </row>
    <row r="41">
      <c r="A41" t="s">
        <v>272</v>
      </c>
      <c r="C41">
        <v>588355</v>
      </c>
      <c r="D41">
        <v>547296</v>
      </c>
      <c r="E41" t="s">
        <v>273</v>
      </c>
    </row>
    <row r="42">
      <c r="A42" t="s">
        <v>274</v>
      </c>
      <c r="C42">
        <v>801176</v>
      </c>
      <c r="D42">
        <v>937607</v>
      </c>
      <c r="E42">
        <v>17</v>
      </c>
    </row>
    <row r="43">
      <c r="A43" t="s">
        <v>275</v>
      </c>
      <c r="C43">
        <v>24965444</v>
      </c>
      <c r="D43">
        <v>37378999</v>
      </c>
    </row>
    <row r="44">
      <c r="A44" t="s">
        <v>276</v>
      </c>
    </row>
    <row r="45">
      <c r="A45" t="s">
        <v>277</v>
      </c>
      <c r="C45">
        <v>477027</v>
      </c>
      <c r="D45">
        <v>375141</v>
      </c>
      <c r="E45">
        <v>5.6</v>
      </c>
    </row>
    <row r="46">
      <c r="A46" t="s">
        <v>278</v>
      </c>
      <c r="C46">
        <v>51897</v>
      </c>
      <c r="D46">
        <v>19970</v>
      </c>
      <c r="E46" t="s">
        <v>265</v>
      </c>
    </row>
    <row r="47">
      <c r="A47" t="s">
        <v>279</v>
      </c>
      <c r="C47">
        <v>17431495</v>
      </c>
      <c r="D47">
        <v>14086148</v>
      </c>
      <c r="E47" t="s">
        <v>280</v>
      </c>
    </row>
    <row r="48">
      <c r="A48" t="s">
        <v>281</v>
      </c>
      <c r="C48">
        <v>5909</v>
      </c>
      <c r="D48">
        <v>2487</v>
      </c>
      <c r="E48" t="s">
        <v>282</v>
      </c>
    </row>
    <row r="49">
      <c r="A49" t="s">
        <v>283</v>
      </c>
      <c r="C49">
        <v>68090</v>
      </c>
      <c r="D49">
        <v>66144</v>
      </c>
      <c r="E49">
        <v>19</v>
      </c>
    </row>
    <row r="50">
      <c r="A50" t="s">
        <v>284</v>
      </c>
      <c r="C50">
        <v>217852</v>
      </c>
      <c r="D50">
        <v>248395</v>
      </c>
      <c r="E50">
        <v>20</v>
      </c>
    </row>
    <row r="51">
      <c r="A51" t="s">
        <v>285</v>
      </c>
      <c r="C51">
        <v>2180021</v>
      </c>
      <c r="D51">
        <v>1962647</v>
      </c>
      <c r="E51" t="s">
        <v>273</v>
      </c>
    </row>
    <row r="52">
      <c r="A52" t="s">
        <v>286</v>
      </c>
      <c r="C52">
        <v>541770</v>
      </c>
      <c r="D52">
        <v>1300977</v>
      </c>
      <c r="E52">
        <v>17</v>
      </c>
    </row>
    <row r="53">
      <c r="A53" t="s">
        <v>287</v>
      </c>
      <c r="C53">
        <v>20974061</v>
      </c>
      <c r="D53">
        <v>18061909</v>
      </c>
    </row>
    <row r="54">
      <c r="A54" t="s">
        <v>288</v>
      </c>
      <c r="C54">
        <v>45939505</v>
      </c>
      <c r="D54">
        <v>55440908</v>
      </c>
    </row>
    <row r="56">
      <c r="A56" t="s">
        <v>289</v>
      </c>
    </row>
    <row r="57">
      <c r="A57" t="s">
        <v>290</v>
      </c>
      <c r="C57">
        <v>3657652</v>
      </c>
      <c r="D57">
        <v>3657652</v>
      </c>
      <c r="E57">
        <v>22</v>
      </c>
    </row>
    <row r="58">
      <c r="A58" t="s">
        <v>291</v>
      </c>
      <c r="C58">
        <v>4487123</v>
      </c>
      <c r="D58">
        <v>8953714</v>
      </c>
      <c r="E58">
        <v>22</v>
      </c>
    </row>
    <row r="59">
      <c r="A59" t="s">
        <v>292</v>
      </c>
      <c r="C59">
        <v>-2191549</v>
      </c>
      <c r="D59">
        <v>-1348598</v>
      </c>
      <c r="E59">
        <v>22.34</v>
      </c>
    </row>
    <row r="60">
      <c r="A60" t="s">
        <v>293</v>
      </c>
      <c r="C60">
        <v>2532107</v>
      </c>
      <c r="D60">
        <v>2676862</v>
      </c>
      <c r="E60">
        <v>22</v>
      </c>
    </row>
    <row r="61">
      <c r="A61" t="s">
        <v>294</v>
      </c>
      <c r="C61">
        <v>65418061</v>
      </c>
      <c r="D61">
        <v>106576548</v>
      </c>
      <c r="E61">
        <v>23</v>
      </c>
    </row>
    <row r="62">
      <c r="A62" t="s">
        <v>295</v>
      </c>
      <c r="C62">
        <v>73903394</v>
      </c>
      <c r="D62">
        <v>120516178</v>
      </c>
    </row>
    <row r="63">
      <c r="A63" t="s">
        <v>215</v>
      </c>
      <c r="C63">
        <v>12310</v>
      </c>
      <c r="D63">
        <v>150573</v>
      </c>
    </row>
    <row r="64">
      <c r="A64" t="s">
        <v>296</v>
      </c>
      <c r="C64">
        <v>73915704</v>
      </c>
      <c r="D64">
        <v>120666751</v>
      </c>
    </row>
    <row r="65">
      <c r="A65" t="s">
        <v>297</v>
      </c>
      <c r="C65">
        <v>119855209</v>
      </c>
      <c r="D65">
        <v>176107659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ColWidth="8.375" defaultRowHeight="15"/>
  <sheetData>
    <row r="1">
      <c r="A1" t="s">
        <v>298</v>
      </c>
    </row>
    <row r="2">
      <c r="A2" t="s">
        <v>299</v>
      </c>
    </row>
    <row r="4">
      <c r="A4" t="s">
        <v>195</v>
      </c>
      <c r="B4" t="s">
        <v>196</v>
      </c>
      <c r="C4" t="s">
        <v>197</v>
      </c>
      <c r="D4" t="s">
        <v>198</v>
      </c>
      <c r="E4" t="s">
        <v>199</v>
      </c>
    </row>
    <row r="5">
      <c r="A5" t="s">
        <v>300</v>
      </c>
    </row>
    <row r="6">
      <c r="A6" t="s">
        <v>301</v>
      </c>
      <c r="B6">
        <v>6688866</v>
      </c>
      <c r="C6">
        <v>31250846</v>
      </c>
      <c r="D6">
        <v>58904432</v>
      </c>
      <c r="E6">
        <v>33</v>
      </c>
    </row>
    <row r="7">
      <c r="A7" t="s">
        <v>302</v>
      </c>
      <c r="B7">
        <v>198872</v>
      </c>
      <c r="C7">
        <v>322960</v>
      </c>
      <c r="D7">
        <v>337982</v>
      </c>
    </row>
    <row r="8">
      <c r="A8" t="s">
        <v>303</v>
      </c>
      <c r="B8">
        <v>-1261540</v>
      </c>
      <c r="C8">
        <v>-1276564</v>
      </c>
      <c r="D8">
        <v>-938849</v>
      </c>
    </row>
    <row r="9">
      <c r="A9" t="s">
        <v>304</v>
      </c>
      <c r="B9">
        <v>35935</v>
      </c>
      <c r="C9">
        <v>50731</v>
      </c>
      <c r="D9">
        <v>960716</v>
      </c>
    </row>
    <row r="10">
      <c r="A10" t="s">
        <v>305</v>
      </c>
      <c r="B10">
        <v>-1383942</v>
      </c>
      <c r="C10">
        <v>-552088</v>
      </c>
      <c r="D10">
        <v>-5891155</v>
      </c>
    </row>
    <row r="11">
      <c r="A11" t="s">
        <v>306</v>
      </c>
      <c r="B11">
        <v>4278191</v>
      </c>
      <c r="C11">
        <v>29795885</v>
      </c>
      <c r="D11">
        <v>53373126</v>
      </c>
    </row>
    <row r="13">
      <c r="A13" t="s">
        <v>307</v>
      </c>
    </row>
    <row r="14">
      <c r="A14" t="s">
        <v>308</v>
      </c>
      <c r="B14">
        <v>1409187</v>
      </c>
      <c r="C14">
        <v>1499026</v>
      </c>
      <c r="D14">
        <v>6513772</v>
      </c>
    </row>
    <row r="15">
      <c r="A15" t="s">
        <v>309</v>
      </c>
      <c r="B15">
        <v>-1469396</v>
      </c>
      <c r="C15">
        <v>-3370863</v>
      </c>
      <c r="D15">
        <v>-18804330</v>
      </c>
    </row>
    <row r="16">
      <c r="A16" t="s">
        <v>310</v>
      </c>
      <c r="B16">
        <v>199912</v>
      </c>
      <c r="C16">
        <v>457163</v>
      </c>
      <c r="D16">
        <v>-4552604</v>
      </c>
    </row>
    <row r="17">
      <c r="A17" t="s">
        <v>311</v>
      </c>
      <c r="B17">
        <v>47564</v>
      </c>
      <c r="C17">
        <v>38222</v>
      </c>
      <c r="D17">
        <v>32880</v>
      </c>
    </row>
    <row r="18">
      <c r="A18" t="s">
        <v>312</v>
      </c>
      <c r="B18">
        <v>-251498</v>
      </c>
      <c r="C18">
        <v>-47704</v>
      </c>
      <c r="D18">
        <v>-178331</v>
      </c>
    </row>
    <row r="19">
      <c r="A19" t="s">
        <v>313</v>
      </c>
      <c r="B19">
        <v>18279</v>
      </c>
      <c r="C19">
        <v>2373</v>
      </c>
      <c r="D19">
        <v>1233030</v>
      </c>
    </row>
    <row r="20">
      <c r="A20" t="s">
        <v>314</v>
      </c>
      <c r="B20">
        <v>-30537</v>
      </c>
      <c r="C20">
        <v>-19460</v>
      </c>
      <c r="D20">
        <v>-33956</v>
      </c>
    </row>
    <row r="21">
      <c r="A21" t="s">
        <v>315</v>
      </c>
      <c r="B21">
        <v>577</v>
      </c>
      <c r="C21">
        <v>57</v>
      </c>
      <c r="D21">
        <v>115091</v>
      </c>
    </row>
    <row r="22">
      <c r="A22" t="s">
        <v>316</v>
      </c>
      <c r="B22">
        <v>-5358</v>
      </c>
      <c r="C22">
        <v>-109646</v>
      </c>
      <c r="D22">
        <v>-1105649</v>
      </c>
    </row>
    <row r="23">
      <c r="A23" t="s">
        <v>317</v>
      </c>
      <c r="B23">
        <v>1539825</v>
      </c>
      <c r="C23">
        <v>47126</v>
      </c>
      <c r="D23">
        <v>144828</v>
      </c>
    </row>
    <row r="24">
      <c r="A24" t="s">
        <v>318</v>
      </c>
      <c r="B24">
        <v>-8325138</v>
      </c>
      <c r="C24">
        <v>-15945534</v>
      </c>
      <c r="D24">
        <v>-27518924</v>
      </c>
    </row>
    <row r="25">
      <c r="A25" t="s">
        <v>319</v>
      </c>
      <c r="B25">
        <v>484</v>
      </c>
      <c r="C25">
        <v>19703</v>
      </c>
      <c r="D25">
        <v>2142</v>
      </c>
    </row>
    <row r="26">
      <c r="A26" t="s">
        <v>320</v>
      </c>
      <c r="B26">
        <v>-454710</v>
      </c>
      <c r="C26">
        <v>-717106</v>
      </c>
      <c r="D26">
        <v>-1060419</v>
      </c>
    </row>
    <row r="27">
      <c r="A27" t="s">
        <v>321</v>
      </c>
      <c r="B27">
        <v>8847</v>
      </c>
      <c r="C27">
        <v>22510</v>
      </c>
      <c r="D27">
        <v>16875</v>
      </c>
    </row>
    <row r="28">
      <c r="A28" t="s">
        <v>322</v>
      </c>
      <c r="B28">
        <v>-22765</v>
      </c>
      <c r="C28">
        <v>-25859</v>
      </c>
      <c r="D28">
        <v>-9000</v>
      </c>
    </row>
    <row r="29">
      <c r="A29" t="s">
        <v>323</v>
      </c>
      <c r="C29">
        <v>145355</v>
      </c>
      <c r="D29">
        <v>85216</v>
      </c>
    </row>
    <row r="30">
      <c r="A30" t="s">
        <v>324</v>
      </c>
      <c r="D30">
        <v>-3079783</v>
      </c>
      <c r="E30">
        <v>32</v>
      </c>
    </row>
    <row r="31">
      <c r="A31" t="s">
        <v>325</v>
      </c>
      <c r="D31">
        <v>144911</v>
      </c>
    </row>
    <row r="32">
      <c r="A32" t="s">
        <v>326</v>
      </c>
      <c r="B32">
        <v>-7334727</v>
      </c>
      <c r="C32">
        <v>-18004637</v>
      </c>
      <c r="D32">
        <v>-48054251</v>
      </c>
    </row>
    <row r="34">
      <c r="A34" t="s">
        <v>327</v>
      </c>
    </row>
    <row r="35">
      <c r="A35" t="s">
        <v>328</v>
      </c>
      <c r="B35">
        <v>20657967</v>
      </c>
      <c r="C35">
        <v>8717964</v>
      </c>
      <c r="D35">
        <v>8183735</v>
      </c>
      <c r="E35">
        <v>33</v>
      </c>
    </row>
    <row r="36">
      <c r="A36" t="s">
        <v>329</v>
      </c>
      <c r="B36">
        <v>-13689433</v>
      </c>
      <c r="C36">
        <v>-16093621</v>
      </c>
      <c r="D36">
        <v>-7416131</v>
      </c>
      <c r="E36">
        <v>33</v>
      </c>
    </row>
    <row r="37">
      <c r="A37" t="s">
        <v>330</v>
      </c>
      <c r="B37">
        <v>-461466</v>
      </c>
      <c r="C37">
        <v>-601821</v>
      </c>
      <c r="D37">
        <v>-596465</v>
      </c>
      <c r="E37">
        <v>33</v>
      </c>
    </row>
    <row r="38">
      <c r="A38" t="s">
        <v>331</v>
      </c>
      <c r="B38">
        <v>-825575</v>
      </c>
      <c r="C38">
        <v>-826323</v>
      </c>
      <c r="D38">
        <v>-1681166</v>
      </c>
    </row>
    <row r="39">
      <c r="A39" t="s">
        <v>332</v>
      </c>
      <c r="B39">
        <v>53</v>
      </c>
    </row>
    <row r="40">
      <c r="A40" t="s">
        <v>333</v>
      </c>
      <c r="B40">
        <v>-9220</v>
      </c>
      <c r="C40">
        <v>6032</v>
      </c>
    </row>
    <row r="41">
      <c r="A41" t="s">
        <v>334</v>
      </c>
      <c r="B41">
        <v>24519</v>
      </c>
      <c r="C41">
        <v>93829</v>
      </c>
      <c r="D41">
        <v>65035</v>
      </c>
    </row>
    <row r="42">
      <c r="A42" t="s">
        <v>335</v>
      </c>
      <c r="B42">
        <v>5696845</v>
      </c>
      <c r="C42">
        <v>-8703940</v>
      </c>
      <c r="D42">
        <v>-1444992</v>
      </c>
    </row>
    <row r="44">
      <c r="A44" t="s">
        <v>336</v>
      </c>
      <c r="B44">
        <v>-29987</v>
      </c>
      <c r="C44">
        <v>530480</v>
      </c>
      <c r="D44">
        <v>-155234</v>
      </c>
    </row>
    <row r="45">
      <c r="A45" t="s">
        <v>337</v>
      </c>
      <c r="B45">
        <v>2610322</v>
      </c>
      <c r="C45">
        <v>3617788</v>
      </c>
      <c r="D45">
        <v>3718649</v>
      </c>
    </row>
    <row r="46">
      <c r="A46" t="s">
        <v>338</v>
      </c>
      <c r="B46">
        <v>4977007</v>
      </c>
      <c r="C46">
        <v>7587329</v>
      </c>
      <c r="D46">
        <v>11205117</v>
      </c>
    </row>
    <row r="47">
      <c r="A47" t="s">
        <v>339</v>
      </c>
      <c r="B47">
        <v>7587329</v>
      </c>
      <c r="C47">
        <v>11205117</v>
      </c>
      <c r="D47">
        <v>14923766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ColWidth="8.375" defaultRowHeight="15"/>
  <sheetData>
    <row r="1">
      <c r="A1" t="s">
        <v>340</v>
      </c>
    </row>
    <row r="2">
      <c r="A2" t="s">
        <v>341</v>
      </c>
    </row>
    <row r="4">
      <c r="A4" t="s">
        <v>195</v>
      </c>
      <c r="B4" t="s">
        <v>196</v>
      </c>
      <c r="C4" t="s">
        <v>197</v>
      </c>
      <c r="D4" t="s">
        <v>198</v>
      </c>
    </row>
    <row r="5">
      <c r="A5" t="s">
        <v>342</v>
      </c>
      <c r="C5">
        <v>52704853</v>
      </c>
      <c r="D5">
        <v>60157474</v>
      </c>
    </row>
    <row r="6">
      <c r="A6" t="s">
        <v>343</v>
      </c>
      <c r="C6">
        <v>17955821</v>
      </c>
      <c r="D6">
        <v>30172818</v>
      </c>
    </row>
    <row r="7">
      <c r="A7" t="s">
        <v>344</v>
      </c>
      <c r="C7">
        <v>9</v>
      </c>
      <c r="D7">
        <v>-45157</v>
      </c>
    </row>
    <row r="8">
      <c r="A8" t="s">
        <v>345</v>
      </c>
      <c r="C8">
        <v>-32050</v>
      </c>
      <c r="D8">
        <v>-91416</v>
      </c>
    </row>
    <row r="9">
      <c r="A9" t="s">
        <v>346</v>
      </c>
      <c r="C9">
        <v>-11535635</v>
      </c>
      <c r="D9">
        <v>-12663516</v>
      </c>
    </row>
    <row r="10">
      <c r="A10" t="s">
        <v>347</v>
      </c>
      <c r="C10">
        <v>-1071</v>
      </c>
      <c r="D10">
        <v>7660</v>
      </c>
    </row>
    <row r="11">
      <c r="A11" t="s">
        <v>348</v>
      </c>
      <c r="C11">
        <v>1542376</v>
      </c>
      <c r="D11">
        <v>-74055</v>
      </c>
    </row>
    <row r="12">
      <c r="A12" t="s">
        <v>349</v>
      </c>
      <c r="C12">
        <v>-478971</v>
      </c>
      <c r="D12">
        <v>-2363</v>
      </c>
    </row>
    <row r="13">
      <c r="A13" t="s">
        <v>350</v>
      </c>
      <c r="D13">
        <v>41259</v>
      </c>
    </row>
    <row r="14">
      <c r="A14" t="s">
        <v>351</v>
      </c>
      <c r="C14">
        <v>60157474</v>
      </c>
      <c r="D14">
        <v>77502704</v>
      </c>
    </row>
    <row r="16">
      <c r="A16" t="s">
        <v>352</v>
      </c>
      <c r="C16">
        <v>156604752</v>
      </c>
      <c r="D16">
        <v>184637341</v>
      </c>
    </row>
    <row r="17">
      <c r="A17" t="s">
        <v>353</v>
      </c>
      <c r="C17">
        <v>-95991943</v>
      </c>
      <c r="D17">
        <v>-106670892</v>
      </c>
    </row>
    <row r="18">
      <c r="A18" t="s">
        <v>354</v>
      </c>
      <c r="C18">
        <v>-368826</v>
      </c>
      <c r="D18">
        <v>-409571</v>
      </c>
    </row>
    <row r="19">
      <c r="A19" t="s">
        <v>355</v>
      </c>
      <c r="C19">
        <v>-86509</v>
      </c>
      <c r="D19">
        <v>-54174</v>
      </c>
    </row>
    <row r="21">
      <c r="A21" t="s">
        <v>356</v>
      </c>
      <c r="B21">
        <v>11810720</v>
      </c>
      <c r="C21">
        <v>10696150</v>
      </c>
      <c r="D21">
        <v>11839495</v>
      </c>
    </row>
    <row r="22">
      <c r="A22" t="s">
        <v>357</v>
      </c>
      <c r="B22">
        <v>250180</v>
      </c>
      <c r="C22">
        <v>249368</v>
      </c>
      <c r="D22">
        <v>242739</v>
      </c>
    </row>
    <row r="23">
      <c r="A23" t="s">
        <v>358</v>
      </c>
      <c r="B23">
        <v>669550</v>
      </c>
      <c r="C23">
        <v>590117</v>
      </c>
      <c r="D23">
        <v>581282</v>
      </c>
    </row>
    <row r="24">
      <c r="A24" t="s">
        <v>359</v>
      </c>
      <c r="B24">
        <v>12730450</v>
      </c>
      <c r="C24">
        <v>11535635</v>
      </c>
      <c r="D24">
        <v>12663516</v>
      </c>
    </row>
    <row r="26">
      <c r="A26" t="s">
        <v>360</v>
      </c>
      <c r="B26">
        <v>136622</v>
      </c>
      <c r="C26">
        <v>202995</v>
      </c>
      <c r="D26">
        <v>249760</v>
      </c>
    </row>
    <row r="27">
      <c r="A27" t="s">
        <v>361</v>
      </c>
      <c r="B27">
        <v>4.34</v>
      </c>
      <c r="C27">
        <v>6.32</v>
      </c>
      <c r="D27">
        <v>3.91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ColWidth="8.375" defaultRowHeight="15"/>
  <sheetData>
    <row r="1">
      <c r="A1" t="s">
        <v>362</v>
      </c>
    </row>
    <row r="2">
      <c r="A2" t="s">
        <v>363</v>
      </c>
    </row>
    <row r="4">
      <c r="A4" t="s">
        <v>195</v>
      </c>
      <c r="B4" t="s">
        <v>196</v>
      </c>
      <c r="C4" t="s">
        <v>197</v>
      </c>
      <c r="D4" t="s">
        <v>198</v>
      </c>
    </row>
    <row r="5">
      <c r="A5" t="s">
        <v>364</v>
      </c>
    </row>
    <row r="6">
      <c r="A6" t="s">
        <v>365</v>
      </c>
      <c r="C6">
        <v>1283488</v>
      </c>
      <c r="D6">
        <v>2395797</v>
      </c>
    </row>
    <row r="7">
      <c r="A7" t="s">
        <v>366</v>
      </c>
      <c r="C7">
        <v>1143258</v>
      </c>
      <c r="D7">
        <v>1470301</v>
      </c>
    </row>
    <row r="8">
      <c r="A8" t="s">
        <v>367</v>
      </c>
      <c r="C8">
        <v>2825492</v>
      </c>
      <c r="D8">
        <v>4295659</v>
      </c>
    </row>
    <row r="9">
      <c r="A9" t="s">
        <v>368</v>
      </c>
      <c r="C9">
        <v>5252238</v>
      </c>
      <c r="D9">
        <v>8161757</v>
      </c>
    </row>
    <row r="10">
      <c r="A10" t="s">
        <v>369</v>
      </c>
      <c r="C10">
        <v>5022069</v>
      </c>
      <c r="D10">
        <v>2879750</v>
      </c>
    </row>
    <row r="11">
      <c r="A11" t="s">
        <v>370</v>
      </c>
      <c r="C11">
        <v>12409426</v>
      </c>
      <c r="D11">
        <v>11206398</v>
      </c>
    </row>
    <row r="12">
      <c r="A12" t="s">
        <v>371</v>
      </c>
      <c r="C12">
        <v>17431495</v>
      </c>
      <c r="D12">
        <v>14086148</v>
      </c>
    </row>
    <row r="13">
      <c r="A13" t="s">
        <v>372</v>
      </c>
      <c r="C13">
        <v>22683733</v>
      </c>
      <c r="D13">
        <v>22247905</v>
      </c>
    </row>
    <row r="15">
      <c r="A15" t="s">
        <v>373</v>
      </c>
    </row>
    <row r="16">
      <c r="A16" t="s">
        <v>328</v>
      </c>
      <c r="B16">
        <v>20657967</v>
      </c>
      <c r="C16">
        <v>8717964</v>
      </c>
      <c r="D16">
        <v>8183735</v>
      </c>
    </row>
    <row r="17">
      <c r="A17" t="s">
        <v>329</v>
      </c>
      <c r="B17">
        <v>-13689433</v>
      </c>
      <c r="C17">
        <v>-16093621</v>
      </c>
      <c r="D17">
        <v>-7416131</v>
      </c>
    </row>
    <row r="18">
      <c r="A18" t="s">
        <v>374</v>
      </c>
      <c r="B18">
        <v>6968534</v>
      </c>
      <c r="C18">
        <v>-7375657</v>
      </c>
      <c r="D18">
        <v>767604</v>
      </c>
    </row>
    <row r="20">
      <c r="A20" t="s">
        <v>375</v>
      </c>
    </row>
    <row r="21">
      <c r="A21" t="s">
        <v>376</v>
      </c>
      <c r="B21">
        <v>6093167</v>
      </c>
      <c r="C21">
        <v>5707997</v>
      </c>
      <c r="D21">
        <v>12504998</v>
      </c>
    </row>
    <row r="22">
      <c r="A22" t="s">
        <v>377</v>
      </c>
      <c r="B22">
        <v>-1261540</v>
      </c>
      <c r="C22">
        <v>-1276564</v>
      </c>
      <c r="D22">
        <v>-938849</v>
      </c>
    </row>
    <row r="24">
      <c r="A24" t="s">
        <v>378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ColWidth="8.375" defaultRowHeight="15"/>
  <sheetData>
    <row r="1">
      <c r="A1" t="s">
        <v>379</v>
      </c>
    </row>
    <row r="2">
      <c r="A2" t="s">
        <v>380</v>
      </c>
    </row>
    <row r="4">
      <c r="A4" t="s">
        <v>195</v>
      </c>
      <c r="B4" t="s">
        <v>196</v>
      </c>
      <c r="C4" t="s">
        <v>197</v>
      </c>
      <c r="D4" t="s">
        <v>198</v>
      </c>
    </row>
    <row r="5">
      <c r="A5" t="s">
        <v>381</v>
      </c>
    </row>
    <row r="6">
      <c r="A6" t="s">
        <v>382</v>
      </c>
      <c r="D6">
        <v>5303</v>
      </c>
    </row>
    <row r="7">
      <c r="A7" t="s">
        <v>383</v>
      </c>
      <c r="D7">
        <v>2406965</v>
      </c>
    </row>
    <row r="8">
      <c r="A8" t="s">
        <v>384</v>
      </c>
      <c r="D8">
        <v>9207437</v>
      </c>
    </row>
    <row r="9">
      <c r="A9" t="s">
        <v>385</v>
      </c>
      <c r="D9">
        <v>1489313</v>
      </c>
    </row>
    <row r="10">
      <c r="A10" t="s">
        <v>386</v>
      </c>
      <c r="D10">
        <v>902612</v>
      </c>
    </row>
    <row r="11">
      <c r="A11" t="s">
        <v>387</v>
      </c>
      <c r="D11">
        <v>277760</v>
      </c>
    </row>
    <row r="12">
      <c r="A12" t="s">
        <v>388</v>
      </c>
      <c r="D12">
        <v>14289390</v>
      </c>
    </row>
    <row r="14">
      <c r="A14" t="s">
        <v>389</v>
      </c>
    </row>
    <row r="15">
      <c r="A15" t="s">
        <v>382</v>
      </c>
      <c r="C15">
        <v>6775</v>
      </c>
    </row>
    <row r="16">
      <c r="A16" t="s">
        <v>383</v>
      </c>
      <c r="C16">
        <v>2514283</v>
      </c>
    </row>
    <row r="17">
      <c r="A17" t="s">
        <v>384</v>
      </c>
      <c r="C17">
        <v>8622765</v>
      </c>
    </row>
    <row r="18">
      <c r="A18" t="s">
        <v>385</v>
      </c>
      <c r="C18">
        <v>1461026</v>
      </c>
    </row>
    <row r="19">
      <c r="A19" t="s">
        <v>386</v>
      </c>
      <c r="C19">
        <v>586299</v>
      </c>
    </row>
    <row r="20">
      <c r="A20" t="s">
        <v>387</v>
      </c>
      <c r="C20">
        <v>122789</v>
      </c>
    </row>
    <row r="21">
      <c r="A21" t="s">
        <v>390</v>
      </c>
      <c r="C21">
        <v>13313937</v>
      </c>
    </row>
    <row r="23">
      <c r="A23" t="s">
        <v>391</v>
      </c>
    </row>
    <row r="24">
      <c r="A24" t="s">
        <v>342</v>
      </c>
      <c r="C24">
        <v>2426602</v>
      </c>
      <c r="D24">
        <v>1156637</v>
      </c>
    </row>
    <row r="25">
      <c r="A25" t="s">
        <v>392</v>
      </c>
      <c r="C25">
        <v>98592</v>
      </c>
      <c r="D25">
        <v>112906</v>
      </c>
    </row>
    <row r="26">
      <c r="A26" t="s">
        <v>393</v>
      </c>
      <c r="C26">
        <v>-1368557</v>
      </c>
      <c r="D26">
        <v>-774638</v>
      </c>
    </row>
    <row r="27">
      <c r="A27" t="s">
        <v>351</v>
      </c>
      <c r="C27">
        <v>1156637</v>
      </c>
      <c r="D27">
        <v>494905</v>
      </c>
    </row>
    <row r="29">
      <c r="A29" t="s">
        <v>394</v>
      </c>
    </row>
    <row r="30">
      <c r="A30" t="s">
        <v>395</v>
      </c>
      <c r="B30">
        <v>32206255</v>
      </c>
      <c r="C30">
        <v>35634490</v>
      </c>
      <c r="D30">
        <v>39117310</v>
      </c>
    </row>
    <row r="31">
      <c r="A31" t="s">
        <v>396</v>
      </c>
      <c r="B31">
        <v>33299167</v>
      </c>
      <c r="C31">
        <v>34364814</v>
      </c>
      <c r="D31">
        <v>38455885</v>
      </c>
    </row>
    <row r="33">
      <c r="A33" t="s">
        <v>397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ColWidth="8.375" defaultRowHeight="15"/>
  <sheetData>
    <row r="1">
      <c r="A1" t="s">
        <v>398</v>
      </c>
    </row>
    <row r="2">
      <c r="A2" t="s">
        <v>399</v>
      </c>
      <c r="B2" t="str">
        <f>IF(COUNTIF(E5:E31,"FAIL")=0,"OK — ALL TIE-OUTS PASS","FAIL")</f>
        <v>OK — ALL TIE-OUTS PASS</v>
      </c>
    </row>
    <row r="4">
      <c r="A4" t="s">
        <v>141</v>
      </c>
      <c r="B4" t="s">
        <v>196</v>
      </c>
      <c r="C4" t="s">
        <v>197</v>
      </c>
      <c r="D4" t="s">
        <v>198</v>
      </c>
      <c r="E4" t="s">
        <v>32</v>
      </c>
    </row>
    <row r="5">
      <c r="A5" t="s">
        <v>400</v>
      </c>
      <c r="B5">
        <f>IS_Hist!B5-IS_Hist!B6-IS_Hist!B7</f>
        <v>0</v>
      </c>
      <c r="C5">
        <f>IS_Hist!C5-IS_Hist!C6-IS_Hist!C7</f>
        <v>0</v>
      </c>
      <c r="D5">
        <f>IS_Hist!D5-IS_Hist!D6-IS_Hist!D7</f>
        <v>0</v>
      </c>
      <c r="E5" t="str">
        <f>IF(AND(ABS(N(B5))&lt;=0.5,ABS(N(C5))&lt;=0.5,ABS(N(D5))&lt;=0.5),"PASS","FAIL")</f>
        <v>PASS</v>
      </c>
    </row>
    <row r="6">
      <c r="A6" t="s">
        <v>401</v>
      </c>
      <c r="B6">
        <f>IS_Hist!B7-IS_Hist!B8-IS_Hist!B9+IS_Hist!B10-IS_Hist!B11+IS_Hist!B12+IS_Hist!B13-IS_Hist!B14-IS_Hist!B15</f>
        <v>0</v>
      </c>
      <c r="C6">
        <f>IS_Hist!C7-IS_Hist!C8-IS_Hist!C9+IS_Hist!C10-IS_Hist!C11+IS_Hist!C12+IS_Hist!C13-IS_Hist!C14-IS_Hist!C15</f>
        <v>0</v>
      </c>
      <c r="D6">
        <f>IS_Hist!D7-IS_Hist!D8-IS_Hist!D9+IS_Hist!D10-IS_Hist!D11+IS_Hist!D12+IS_Hist!D13-IS_Hist!D14-IS_Hist!D15</f>
        <v>0</v>
      </c>
      <c r="E6" t="str">
        <f>IF(AND(ABS(N(B6))&lt;=0.5,ABS(N(C6))&lt;=0.5,ABS(N(D6))&lt;=0.5),"PASS","FAIL")</f>
        <v>PASS</v>
      </c>
    </row>
    <row r="7">
      <c r="A7" t="s">
        <v>402</v>
      </c>
      <c r="B7">
        <f>IS_Hist!B15-IS_Hist!B16-IS_Hist!B17</f>
        <v>0</v>
      </c>
      <c r="C7">
        <f>IS_Hist!C15-IS_Hist!C16-IS_Hist!C17</f>
        <v>0</v>
      </c>
      <c r="D7">
        <f>IS_Hist!D15-IS_Hist!D16-IS_Hist!D17</f>
        <v>0</v>
      </c>
      <c r="E7" t="str">
        <f>IF(AND(ABS(N(B7))&lt;=0.5,ABS(N(C7))&lt;=0.5,ABS(N(D7))&lt;=0.5),"PASS","FAIL")</f>
        <v>PASS</v>
      </c>
    </row>
    <row r="8">
      <c r="A8" t="s">
        <v>403</v>
      </c>
      <c r="B8">
        <f>IS_Hist!B20+IS_Hist!B21-IS_Hist!B17</f>
        <v>0</v>
      </c>
      <c r="C8">
        <f>IS_Hist!C20+IS_Hist!C21-IS_Hist!C17</f>
        <v>0</v>
      </c>
      <c r="D8">
        <f>IS_Hist!D20+IS_Hist!D21-IS_Hist!D17</f>
        <v>0</v>
      </c>
      <c r="E8" t="str">
        <f>IF(AND(ABS(N(B8))&lt;=0.5,ABS(N(C8))&lt;=0.5,ABS(N(D8))&lt;=0.5),"PASS","FAIL")</f>
        <v>PASS</v>
      </c>
    </row>
    <row r="9">
      <c r="A9" t="s">
        <v>404</v>
      </c>
      <c r="B9">
        <f>SUM(CI_Hist!B7:B11)-CI_Hist!B12</f>
        <v>0</v>
      </c>
      <c r="C9">
        <f>SUM(CI_Hist!C7:C11)-CI_Hist!C12</f>
        <v>0</v>
      </c>
      <c r="D9">
        <f>SUM(CI_Hist!D7:D11)-CI_Hist!D12</f>
        <v>0</v>
      </c>
      <c r="E9" t="str">
        <f>IF(AND(ABS(N(B9))&lt;=0.5,ABS(N(C9))&lt;=0.5,ABS(N(D9))&lt;=0.5),"PASS","FAIL")</f>
        <v>PASS</v>
      </c>
    </row>
    <row r="10">
      <c r="A10" t="s">
        <v>405</v>
      </c>
      <c r="B10">
        <f>CI_Hist!B5+CI_Hist!B12-CI_Hist!B13</f>
        <v>0</v>
      </c>
      <c r="C10">
        <f>CI_Hist!C5+CI_Hist!C12-CI_Hist!C13</f>
        <v>0</v>
      </c>
      <c r="D10">
        <f>CI_Hist!D5+CI_Hist!D12-CI_Hist!D13</f>
        <v>0</v>
      </c>
      <c r="E10" t="str">
        <f>IF(AND(ABS(N(B10))&lt;=0.5,ABS(N(C10))&lt;=0.5,ABS(N(D10))&lt;=0.5),"PASS","FAIL")</f>
        <v>PASS</v>
      </c>
    </row>
    <row r="11">
      <c r="A11" t="s">
        <v>406</v>
      </c>
      <c r="B11">
        <f>CI_Hist!B15+CI_Hist!B16-CI_Hist!B13</f>
        <v>0</v>
      </c>
      <c r="C11">
        <f>CI_Hist!C15+CI_Hist!C16-CI_Hist!C13</f>
        <v>0</v>
      </c>
      <c r="D11">
        <f>CI_Hist!D15+CI_Hist!D16-CI_Hist!D13</f>
        <v>0</v>
      </c>
      <c r="E11" t="str">
        <f>IF(AND(ABS(N(B11))&lt;=0.5,ABS(N(C11))&lt;=0.5,ABS(N(D11))&lt;=0.5),"PASS","FAIL")</f>
        <v>PASS</v>
      </c>
    </row>
    <row r="12">
      <c r="A12" t="s">
        <v>407</v>
      </c>
      <c r="B12">
        <f>CF_Hist!B6+CF_Hist!B7+CF_Hist!B8+CF_Hist!B9+CF_Hist!B10-CF_Hist!B11</f>
        <v>0</v>
      </c>
      <c r="C12">
        <f>CF_Hist!C6+CF_Hist!C7+CF_Hist!C8+CF_Hist!C9+CF_Hist!C10-CF_Hist!C11</f>
        <v>0</v>
      </c>
      <c r="D12">
        <f>CF_Hist!D6+CF_Hist!D7+CF_Hist!D8+CF_Hist!D9+CF_Hist!D10-CF_Hist!D11</f>
        <v>0</v>
      </c>
      <c r="E12" t="str">
        <f>IF(AND(ABS(N(B12))&lt;=0.5,ABS(N(C12))&lt;=0.5,ABS(N(D12))&lt;=0.5),"PASS","FAIL")</f>
        <v>PASS</v>
      </c>
    </row>
    <row r="13">
      <c r="A13" t="s">
        <v>408</v>
      </c>
      <c r="B13">
        <f>SUM(CF_Hist!B14:B31)-CF_Hist!B32</f>
        <v>0</v>
      </c>
      <c r="C13">
        <f>SUM(CF_Hist!C14:C31)-CF_Hist!C32</f>
        <v>0</v>
      </c>
      <c r="D13">
        <f>SUM(CF_Hist!D14:D31)-CF_Hist!D32</f>
        <v>0</v>
      </c>
      <c r="E13" t="str">
        <f>IF(AND(ABS(N(B13))&lt;=0.5,ABS(N(C13))&lt;=0.5,ABS(N(D13))&lt;=0.5),"PASS","FAIL")</f>
        <v>PASS</v>
      </c>
    </row>
    <row r="14">
      <c r="A14" t="s">
        <v>409</v>
      </c>
      <c r="B14">
        <f>SUM(CF_Hist!B35:B41)-CF_Hist!B42</f>
        <v>0</v>
      </c>
      <c r="C14">
        <f>SUM(CF_Hist!C35:C41)-CF_Hist!C42</f>
        <v>0</v>
      </c>
      <c r="D14">
        <f>SUM(CF_Hist!D35:D41)-CF_Hist!D42</f>
        <v>0</v>
      </c>
      <c r="E14" t="str">
        <f>IF(AND(ABS(N(B14))&lt;=0.5,ABS(N(C14))&lt;=0.5,ABS(N(D14))&lt;=0.5),"PASS","FAIL")</f>
        <v>PASS</v>
      </c>
    </row>
    <row r="15">
      <c r="A15" t="s">
        <v>410</v>
      </c>
      <c r="B15">
        <f>CF_Hist!B11+CF_Hist!B32+CF_Hist!B42+CF_Hist!B44-CF_Hist!B45</f>
        <v>0</v>
      </c>
      <c r="C15">
        <f>CF_Hist!C11+CF_Hist!C32+CF_Hist!C42+CF_Hist!C44-CF_Hist!C45</f>
        <v>0</v>
      </c>
      <c r="D15">
        <f>CF_Hist!D11+CF_Hist!D32+CF_Hist!D42+CF_Hist!D44-CF_Hist!D45</f>
        <v>0</v>
      </c>
      <c r="E15" t="str">
        <f>IF(AND(ABS(N(B15))&lt;=0.5,ABS(N(C15))&lt;=0.5,ABS(N(D15))&lt;=0.5),"PASS","FAIL")</f>
        <v>PASS</v>
      </c>
    </row>
    <row r="16">
      <c r="A16" t="s">
        <v>411</v>
      </c>
      <c r="B16">
        <f>CF_Hist!B46+CF_Hist!B45-CF_Hist!B47</f>
        <v>0</v>
      </c>
      <c r="C16">
        <f>CF_Hist!C46+CF_Hist!C45-CF_Hist!C47</f>
        <v>0</v>
      </c>
      <c r="D16">
        <f>CF_Hist!D46+CF_Hist!D45-CF_Hist!D47</f>
        <v>0</v>
      </c>
      <c r="E16" t="str">
        <f>IF(AND(ABS(N(B16))&lt;=0.5,ABS(N(C16))&lt;=0.5,ABS(N(D16))&lt;=0.5),"PASS","FAIL")</f>
        <v>PASS</v>
      </c>
    </row>
    <row r="17">
      <c r="A17" t="s">
        <v>412</v>
      </c>
      <c r="B17" t="s">
        <v>413</v>
      </c>
      <c r="C17">
        <f>SUM(BS_Hist!C7:C15)-BS_Hist!C16</f>
        <v>0</v>
      </c>
      <c r="D17">
        <f>SUM(BS_Hist!D7:D15)-BS_Hist!D16</f>
        <v>0</v>
      </c>
      <c r="E17" t="str">
        <f>IF(AND(ABS(N(C17))&lt;=0.5,ABS(N(D17))&lt;=0.5),"PASS","FAIL")</f>
        <v>PASS</v>
      </c>
    </row>
    <row r="18">
      <c r="A18" t="s">
        <v>414</v>
      </c>
      <c r="B18" t="s">
        <v>413</v>
      </c>
      <c r="C18">
        <f>SUM(BS_Hist!C18:C28)-BS_Hist!C29</f>
        <v>0</v>
      </c>
      <c r="D18">
        <f>SUM(BS_Hist!D18:D28)-BS_Hist!D29</f>
        <v>0</v>
      </c>
      <c r="E18" t="str">
        <f>IF(AND(ABS(N(C18))&lt;=0.5,ABS(N(D18))&lt;=0.5),"PASS","FAIL")</f>
        <v>PASS</v>
      </c>
    </row>
    <row r="19">
      <c r="A19" t="s">
        <v>415</v>
      </c>
      <c r="B19" t="s">
        <v>413</v>
      </c>
      <c r="C19">
        <f>BS_Hist!C16+BS_Hist!C29-BS_Hist!C30</f>
        <v>0</v>
      </c>
      <c r="D19">
        <f>BS_Hist!D16+BS_Hist!D29-BS_Hist!D30</f>
        <v>0</v>
      </c>
      <c r="E19" t="str">
        <f>IF(AND(ABS(N(C19))&lt;=0.5,ABS(N(D19))&lt;=0.5),"PASS","FAIL")</f>
        <v>PASS</v>
      </c>
    </row>
    <row r="20">
      <c r="A20" t="s">
        <v>416</v>
      </c>
      <c r="B20" t="s">
        <v>413</v>
      </c>
      <c r="C20">
        <f>SUM(BS_Hist!C34:C42)-BS_Hist!C43</f>
        <v>0</v>
      </c>
      <c r="D20">
        <f>SUM(BS_Hist!D34:D42)-BS_Hist!D43</f>
        <v>0</v>
      </c>
      <c r="E20" t="str">
        <f>IF(AND(ABS(N(C20))&lt;=0.5,ABS(N(D20))&lt;=0.5),"PASS","FAIL")</f>
        <v>PASS</v>
      </c>
    </row>
    <row r="21">
      <c r="A21" t="s">
        <v>417</v>
      </c>
      <c r="B21" t="s">
        <v>413</v>
      </c>
      <c r="C21">
        <f>SUM(BS_Hist!C45:C52)-BS_Hist!C53</f>
        <v>0</v>
      </c>
      <c r="D21">
        <f>SUM(BS_Hist!D45:D52)-BS_Hist!D53</f>
        <v>0</v>
      </c>
      <c r="E21" t="str">
        <f>IF(AND(ABS(N(C21))&lt;=0.5,ABS(N(D21))&lt;=0.5),"PASS","FAIL")</f>
        <v>PASS</v>
      </c>
    </row>
    <row r="22">
      <c r="A22" t="s">
        <v>418</v>
      </c>
      <c r="B22" t="s">
        <v>413</v>
      </c>
      <c r="C22">
        <f>BS_Hist!C43+BS_Hist!C53-BS_Hist!C54</f>
        <v>0</v>
      </c>
      <c r="D22">
        <f>BS_Hist!D43+BS_Hist!D53-BS_Hist!D54</f>
        <v>0</v>
      </c>
      <c r="E22" t="str">
        <f>IF(AND(ABS(N(C22))&lt;=0.5,ABS(N(D22))&lt;=0.5),"PASS","FAIL")</f>
        <v>PASS</v>
      </c>
    </row>
    <row r="23">
      <c r="A23" t="s">
        <v>419</v>
      </c>
      <c r="B23" t="s">
        <v>413</v>
      </c>
      <c r="C23">
        <f>SUM(BS_Hist!C57:C61)-BS_Hist!C62</f>
        <v>0</v>
      </c>
      <c r="D23">
        <f>SUM(BS_Hist!D57:D61)-BS_Hist!D62</f>
        <v>0</v>
      </c>
      <c r="E23" t="str">
        <f>IF(AND(ABS(N(C23))&lt;=0.5,ABS(N(D23))&lt;=0.5),"PASS","FAIL")</f>
        <v>PASS</v>
      </c>
    </row>
    <row r="24">
      <c r="A24" t="s">
        <v>420</v>
      </c>
      <c r="B24" t="s">
        <v>413</v>
      </c>
      <c r="C24">
        <f>BS_Hist!C62+BS_Hist!C63-BS_Hist!C64</f>
        <v>0</v>
      </c>
      <c r="D24">
        <f>BS_Hist!D62+BS_Hist!D63-BS_Hist!D64</f>
        <v>0</v>
      </c>
      <c r="E24" t="str">
        <f>IF(AND(ABS(N(C24))&lt;=0.5,ABS(N(D24))&lt;=0.5),"PASS","FAIL")</f>
        <v>PASS</v>
      </c>
    </row>
    <row r="25">
      <c r="A25" t="s">
        <v>421</v>
      </c>
      <c r="B25" t="s">
        <v>413</v>
      </c>
      <c r="C25">
        <f>BS_Hist!C54+BS_Hist!C64-BS_Hist!C65</f>
        <v>0</v>
      </c>
      <c r="D25">
        <f>BS_Hist!D54+BS_Hist!D64-BS_Hist!D65</f>
        <v>0</v>
      </c>
      <c r="E25" t="str">
        <f>IF(AND(ABS(N(C25))&lt;=0.5,ABS(N(D25))&lt;=0.5),"PASS","FAIL")</f>
        <v>PASS</v>
      </c>
    </row>
    <row r="26">
      <c r="A26" t="s">
        <v>422</v>
      </c>
      <c r="B26" t="s">
        <v>413</v>
      </c>
      <c r="C26">
        <f>BS_Hist!C30-BS_Hist!C65</f>
        <v>0</v>
      </c>
      <c r="D26">
        <f>BS_Hist!D30-BS_Hist!D65</f>
        <v>0</v>
      </c>
      <c r="E26" t="str">
        <f>IF(AND(ABS(N(C26))&lt;=0.5,ABS(N(D26))&lt;=0.5),"PASS","FAIL")</f>
        <v>PASS</v>
      </c>
    </row>
    <row r="27">
      <c r="A27" t="s">
        <v>423</v>
      </c>
      <c r="B27" t="s">
        <v>413</v>
      </c>
      <c r="C27">
        <f>CF_Hist!C47-BS_Hist!C7</f>
        <v>0</v>
      </c>
      <c r="D27">
        <f>CF_Hist!D47-BS_Hist!D7</f>
        <v>0</v>
      </c>
      <c r="E27" t="str">
        <f>IF(AND(ABS(N(C27))&lt;=0.5,ABS(N(D27))&lt;=0.5),"PASS","FAIL")</f>
        <v>PASS</v>
      </c>
    </row>
    <row r="28">
      <c r="A28" t="s">
        <v>424</v>
      </c>
      <c r="C28">
        <f>CF_Hist!C46-CF_Hist!B47</f>
        <v>0</v>
      </c>
      <c r="D28">
        <f>CF_Hist!D46-CF_Hist!C47</f>
        <v>0</v>
      </c>
      <c r="E28" t="str">
        <f>IF(AND(ABS(N(C28))&lt;=0.5,ABS(N(D28))&lt;=0.5),"PASS","FAIL")</f>
        <v>PASS</v>
      </c>
    </row>
    <row r="29">
      <c r="A29" t="s">
        <v>425</v>
      </c>
      <c r="B29" t="s">
        <v>413</v>
      </c>
      <c r="C29">
        <f>Debt_Schedule!C13-(BS_Hist!C37+BS_Hist!C47)</f>
        <v>0</v>
      </c>
      <c r="D29">
        <f>Debt_Schedule!D13-(BS_Hist!D37+BS_Hist!D47)</f>
        <v>0</v>
      </c>
      <c r="E29" t="str">
        <f>IF(AND(ABS(N(C29))&lt;=0.5,ABS(N(D29))&lt;=0.5),"PASS","FAIL")</f>
        <v>PASS</v>
      </c>
    </row>
    <row r="30">
      <c r="A30" t="s">
        <v>426</v>
      </c>
      <c r="B30" t="s">
        <v>413</v>
      </c>
      <c r="C30">
        <f>PPE_Capex!C14-BS_Hist!C22</f>
        <v>0</v>
      </c>
      <c r="D30">
        <f>PPE_Capex!D14-BS_Hist!D22</f>
        <v>0</v>
      </c>
      <c r="E30" t="str">
        <f>IF(AND(ABS(N(C30))&lt;=0.5,ABS(N(D30))&lt;=0.5),"PASS","FAIL")</f>
        <v>PASS</v>
      </c>
    </row>
    <row r="31">
      <c r="A31" t="s">
        <v>427</v>
      </c>
      <c r="B31" t="s">
        <v>413</v>
      </c>
      <c r="C31">
        <f>Inventory_Schedule!C21-BS_Hist!C13</f>
        <v>0</v>
      </c>
      <c r="D31">
        <f>Inventory_Schedule!D12-BS_Hist!D13</f>
        <v>0</v>
      </c>
      <c r="E31" t="str">
        <f>IF(AND(ABS(N(C31))&lt;=0.5,ABS(N(D31))&lt;=0.5),"PASS","FAIL")</f>
        <v>PASS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ColWidth="8.375" defaultRowHeight="15"/>
  <sheetData>
    <row r="1">
      <c r="A1" t="s">
        <v>428</v>
      </c>
    </row>
    <row r="3">
      <c r="A3" t="s">
        <v>429</v>
      </c>
      <c r="B3" t="s">
        <v>430</v>
      </c>
      <c r="C3" t="s">
        <v>431</v>
      </c>
      <c r="D3" t="s">
        <v>432</v>
      </c>
    </row>
    <row r="4">
      <c r="A4" t="s">
        <v>196</v>
      </c>
      <c r="B4" t="s">
        <v>433</v>
      </c>
      <c r="C4" t="s">
        <v>434</v>
      </c>
      <c r="D4">
        <v>1291</v>
      </c>
    </row>
    <row r="5">
      <c r="A5" t="s">
        <v>197</v>
      </c>
      <c r="B5" t="s">
        <v>435</v>
      </c>
      <c r="C5" t="s">
        <v>436</v>
      </c>
      <c r="D5">
        <v>1477.9</v>
      </c>
    </row>
    <row r="6">
      <c r="A6" t="s">
        <v>198</v>
      </c>
      <c r="B6" t="s">
        <v>437</v>
      </c>
      <c r="C6" t="s">
        <v>436</v>
      </c>
      <c r="D6">
        <v>1444.6</v>
      </c>
    </row>
    <row r="8">
      <c r="A8" t="s">
        <v>438</v>
      </c>
    </row>
    <row r="9">
      <c r="A9" t="s">
        <v>439</v>
      </c>
    </row>
    <row r="10">
      <c r="A10" t="s">
        <v>440</v>
      </c>
    </row>
    <row r="11">
      <c r="A11" t="s">
        <v>441</v>
      </c>
    </row>
    <row r="12">
      <c r="A12" t="s">
        <v>442</v>
      </c>
    </row>
    <row r="13">
      <c r="A13" t="s">
        <v>443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6" t="s">
        <v>444</v>
      </c>
      <c r="B1" s="56" t="s">
        <v>178</v>
      </c>
      <c r="C1" s="56" t="s">
        <v>445</v>
      </c>
      <c r="D1" s="56" t="s">
        <v>446</v>
      </c>
      <c r="E1" s="56" t="s">
        <v>447</v>
      </c>
      <c r="F1" s="56" t="s">
        <v>448</v>
      </c>
    </row>
    <row r="2">
      <c r="A2" s="57">
        <v>1</v>
      </c>
      <c r="B2" s="58">
        <v>46324.35933202546</v>
      </c>
      <c r="C2" s="57" t="s">
        <v>449</v>
      </c>
      <c r="D2" s="57" t="s">
        <v>450</v>
      </c>
      <c r="E2" s="57" t="s">
        <v>451</v>
      </c>
      <c r="F2" s="57" t="s">
        <v>452</v>
      </c>
    </row>
  </sheetData>
</worksheet>
</file>