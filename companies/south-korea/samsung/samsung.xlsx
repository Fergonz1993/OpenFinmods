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060ee73e3601491d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31b0645bd26a4c41"/>
    <sheet name="Sources" sheetId="2" r:id="Ra2bf3f0a5d804866"/>
    <sheet name="Historical" sheetId="3" r:id="R264eb95dcff342dc"/>
    <sheet name="Assumptions" sheetId="4" r:id="R38b09ddc0e2949c9"/>
    <sheet name="Forecast" sheetId="5" r:id="Rf21015476dc9479d"/>
    <sheet name="Valuation" sheetId="6" r:id="R733fe00193ea4194"/>
    <sheet name="Sensitivity" sheetId="7" r:id="Reb641cc07fa94e0d"/>
    <sheet name="Checks" sheetId="8" r:id="R66c0a572ce1f4701"/>
    <sheet name="Sector_KPIs" sheetId="9" r:id="Rcc7c564dcdab47c5"/>
    <sheet name="Change_Log" sheetId="10" r:id="R0e7dff479e19475b"/>
    <sheet name="IS_Hist" sheetId="11" r:id="rId1"/>
    <sheet name="CI_Hist" sheetId="12" r:id="rId2"/>
    <sheet name="BS_Hist" sheetId="13" r:id="rId3"/>
    <sheet name="CF_Hist" sheetId="14" r:id="rId4"/>
    <sheet name="Checks_TieOut" sheetId="15" r:id="rId5"/>
    <sheet name="Sources_Audited" sheetId="16" r:id="rId6"/>
    <sheet name="SCE_Hist" sheetId="17" r:id="rId7"/>
    <sheet name="USD_Hist" sheetId="18" r:id="rId8"/>
    <sheet name="Claude Code Log" sheetId="19" r:id="rId9"/>
  </sheets>
  <calcPr calcId="0"/>
</workbook>
</file>

<file path=xl/sharedStrings.xml><?xml version="1.0" encoding="utf-8"?>
<sst xmlns="http://schemas.openxmlformats.org/spreadsheetml/2006/main" count="646" uniqueCount="484">
  <si>
    <t>Samsung Electronics Co., Ltd. — Institutional Financial Model</t>
  </si>
  <si>
    <t>Consumer electronics / semiconductors | USD millions | As of 2026-07-15</t>
  </si>
  <si>
    <t>Model field</t>
  </si>
  <si>
    <t>Value</t>
  </si>
  <si>
    <t>Ticker / identifier</t>
  </si>
  <si>
    <t>KRX: 005930</t>
  </si>
  <si>
    <t>Model archetype</t>
  </si>
  <si>
    <t>Operating company / DCF</t>
  </si>
  <si>
    <t>Decision readiness</t>
  </si>
  <si>
    <t>Official-results operating model</t>
  </si>
  <si>
    <t>Reporting currency</t>
  </si>
  <si>
    <t>KRW</t>
  </si>
  <si>
    <t>Model currency</t>
  </si>
  <si>
    <t>USD millions</t>
  </si>
  <si>
    <t>Market-data date</t>
  </si>
  <si>
    <t>Not applicable</t>
  </si>
  <si>
    <t>Current market price</t>
  </si>
  <si>
    <t>Not available</t>
  </si>
  <si>
    <t>Primary source</t>
  </si>
  <si>
    <t>https://news.samsung.com/global/samsung-electronics-announces-fourth-quarter-and-fy-2025-results</t>
  </si>
  <si>
    <t>Key limitation</t>
  </si>
  <si>
    <t>KRW trillion disclosures translated to USD at the current FX snapshot.</t>
  </si>
  <si>
    <t>Institutional-grade means auditable sources, explicit assumptions, formula-driven forecasts, valuation, sensitivities, checks and governance. It does not mean that missing private-company disclosures have been invented.</t>
  </si>
  <si>
    <t>Sources and data lineage</t>
  </si>
  <si>
    <t>Every hardcode is mapped to a source, date, currency and transformation.</t>
  </si>
  <si>
    <t>Source ID</t>
  </si>
  <si>
    <t>Use</t>
  </si>
  <si>
    <t>URL / reference</t>
  </si>
  <si>
    <t>As of</t>
  </si>
  <si>
    <t>Source currency</t>
  </si>
  <si>
    <t>Transformation</t>
  </si>
  <si>
    <t>Limitation</t>
  </si>
  <si>
    <t>Status</t>
  </si>
  <si>
    <t>S1</t>
  </si>
  <si>
    <t>Historical financials</t>
  </si>
  <si>
    <t>Latest annual filing/results</t>
  </si>
  <si>
    <t>Converted at current snapshot FX (KRW to USD = 0.00067253)</t>
  </si>
  <si>
    <t>S2</t>
  </si>
  <si>
    <t>Market price</t>
  </si>
  <si>
    <t>2026-07-15</t>
  </si>
  <si>
    <t>N/A</t>
  </si>
  <si>
    <t>Dated market input; not a historical financial source</t>
  </si>
  <si>
    <t>Market prices move after the as-of date</t>
  </si>
  <si>
    <t>Not loaded</t>
  </si>
  <si>
    <t>S3</t>
  </si>
  <si>
    <t>FX snapshot</t>
  </si>
  <si>
    <t>Yahoo Finance KRW/USD chart snapshot</t>
  </si>
  <si>
    <t>KRW per USD, inverted</t>
  </si>
  <si>
    <t>Current FX used across historical years for comparability; not historical spot</t>
  </si>
  <si>
    <t>Loaded</t>
  </si>
  <si>
    <t>S4</t>
  </si>
  <si>
    <t>Forecast assumptions</t>
  </si>
  <si>
    <t>Model Assumptions sheet</t>
  </si>
  <si>
    <t>USD</t>
  </si>
  <si>
    <t>User-editable scenario inputs</t>
  </si>
  <si>
    <t>Forecasts are estimates, not reported facts</t>
  </si>
  <si>
    <t>Model input</t>
  </si>
  <si>
    <t>USD millions; converted from audited KRW statements via the documented/interpolated USD_Hist FX layer (Sources_Audited).</t>
  </si>
  <si>
    <t>Metric</t>
  </si>
  <si>
    <t>2021A</t>
  </si>
  <si>
    <t>2022A</t>
  </si>
  <si>
    <t>2023A</t>
  </si>
  <si>
    <t>2024A</t>
  </si>
  <si>
    <t>2025A</t>
  </si>
  <si>
    <t>Source tag / note</t>
  </si>
  <si>
    <t>Quality</t>
  </si>
  <si>
    <t>Revenue</t>
  </si>
  <si>
    <t>Audited FS via USD_Hist (documented/interpolated FX)</t>
  </si>
  <si>
    <t>Source-backed / audited</t>
  </si>
  <si>
    <t>Gross profit</t>
  </si>
  <si>
    <t>Operating income / EBIT</t>
  </si>
  <si>
    <t>Net income</t>
  </si>
  <si>
    <t>Cash from operations</t>
  </si>
  <si>
    <t>Capital expenditure</t>
  </si>
  <si>
    <t>Assets</t>
  </si>
  <si>
    <t>Liabilities</t>
  </si>
  <si>
    <t>Equity</t>
  </si>
  <si>
    <t>Cash</t>
  </si>
  <si>
    <t>Debt</t>
  </si>
  <si>
    <t>Sum of short-term borrowings + current portion of LT liabilities + debentures + long-term borrowings (BS_Hist), converted via USD FX layer</t>
  </si>
  <si>
    <t>Computed from audited components (not a single published line)</t>
  </si>
  <si>
    <t>Diluted shares (mm)</t>
  </si>
  <si>
    <t>Implied = NI attributable to parent / diluted EPS (IS_Hist, both audited); currency-neutral</t>
  </si>
  <si>
    <t>Assumptions and scenarios</t>
  </si>
  <si>
    <t>Blue-font cells are user inputs. Scenario selector: 1 = Base, 2 = Bull, 3 = Bear.</t>
  </si>
  <si>
    <t>Scenario selector</t>
  </si>
  <si>
    <t>Bear</t>
  </si>
  <si>
    <t>Base</t>
  </si>
  <si>
    <t>Bull</t>
  </si>
  <si>
    <t>Active</t>
  </si>
  <si>
    <t>Rationale / source</t>
  </si>
  <si>
    <t>Revenue growth</t>
  </si>
  <si>
    <t>FY2021A-&gt;FY2025A revenue CAGR from audited IS_Hist (KRW); Bull/Bear = Base +/-3pp</t>
  </si>
  <si>
    <t>EBIT margin</t>
  </si>
  <si>
    <t>FY2025A actual operating margin (Operating profit / Revenue) from audited IS_Hist; Bull/Bear = Base +/-3pp</t>
  </si>
  <si>
    <t>Cash tax rate</t>
  </si>
  <si>
    <t>FY2025A effective tax rate (income tax expense / profit before tax) from audited IS_Hist, used as cash-tax proxy; Bull/Bear = Base -/+3pp</t>
  </si>
  <si>
    <t>D&amp;A / revenue</t>
  </si>
  <si>
    <t>FY2021A-FY2025A average (CF_Hist "Adjustments" / Revenue) from audited CF_Hist/IS_Hist, used as a D&amp;A proxy — Note 27 does not disclose D&amp;A separately from other non-cash items (equity-method income, stock comp, FX, provisions) in the extracted statements, so this is a broader non-cash-addback proxy, not pure D&amp;A; Bull/Bear = Base -/+1pp. Placeholder 0.03/0.04/0.05 replaced because it was inconsistent with the audited capex/revenue driver below (produced a mechanically negative FCFF in perpetuity).</t>
  </si>
  <si>
    <t>Capex / revenue</t>
  </si>
  <si>
    <t>FY2021A-FY2025A average (Acquisition of PP&amp;E / Revenue) from audited CF_Hist/IS_Hist; Bull/Bear = Base -/+1.5pp</t>
  </si>
  <si>
    <t>NWC investment / incremental revenue</t>
  </si>
  <si>
    <t>Granular working-capital schedule not available from the headline statements extracted here; sector-typical placeholder pending Note-level detail — NOT sourced from audited statements.</t>
  </si>
  <si>
    <t>WACC</t>
  </si>
  <si>
    <t>USD discount-rate assumption</t>
  </si>
  <si>
    <t>Terminal growth</t>
  </si>
  <si>
    <t>Long-run nominal USD growth</t>
  </si>
  <si>
    <t>Forecast model</t>
  </si>
  <si>
    <t>Formula-driven five-year projection in USD millions, base year (2025A) bridged from the audited KRW statements (IS_Hist/CF_Hist/BS_Hist) via USD_Hist; growth/margin drivers are currency-neutral ratios anchored in Assumptions.</t>
  </si>
  <si>
    <t>2026E</t>
  </si>
  <si>
    <t>2027E</t>
  </si>
  <si>
    <t>2028E</t>
  </si>
  <si>
    <t>2029E</t>
  </si>
  <si>
    <t>2030E</t>
  </si>
  <si>
    <t>Growth</t>
  </si>
  <si>
    <t>EBIT</t>
  </si>
  <si>
    <t>NOPAT</t>
  </si>
  <si>
    <t>D&amp;A</t>
  </si>
  <si>
    <t>Change in NWC</t>
  </si>
  <si>
    <t>FCFF</t>
  </si>
  <si>
    <t>Discounted cash flow valuation</t>
  </si>
  <si>
    <t>Valuation is formula-driven and scenario-sensitive; private-company outputs are enterprise-value ranges only.</t>
  </si>
  <si>
    <t>Year 1</t>
  </si>
  <si>
    <t>Year 2</t>
  </si>
  <si>
    <t>Year 3</t>
  </si>
  <si>
    <t>Year 4</t>
  </si>
  <si>
    <t>Year 5</t>
  </si>
  <si>
    <t>Total / output</t>
  </si>
  <si>
    <t>Discount factor</t>
  </si>
  <si>
    <t>PV FCFF</t>
  </si>
  <si>
    <t>Output</t>
  </si>
  <si>
    <t>PV explicit FCFF</t>
  </si>
  <si>
    <t>Terminal value</t>
  </si>
  <si>
    <t>PV terminal value</t>
  </si>
  <si>
    <t>Enterprise value</t>
  </si>
  <si>
    <t>Equity value</t>
  </si>
  <si>
    <t>Implied value / share</t>
  </si>
  <si>
    <t>Upside / (downside)</t>
  </si>
  <si>
    <t>Valuation sensitivity</t>
  </si>
  <si>
    <t>Enterprise value sensitivity to WACC and terminal growth.</t>
  </si>
  <si>
    <t>WACC / g</t>
  </si>
  <si>
    <t>Model checks</t>
  </si>
  <si>
    <t>All critical checks should read PASS before decision use.</t>
  </si>
  <si>
    <t>Check</t>
  </si>
  <si>
    <t>Result</t>
  </si>
  <si>
    <t>Severity</t>
  </si>
  <si>
    <t>Interpretation</t>
  </si>
  <si>
    <t>Forecast revenue non-negative</t>
  </si>
  <si>
    <t>Critical</t>
  </si>
  <si>
    <t>No negative revenue</t>
  </si>
  <si>
    <t>FCFF formula populated</t>
  </si>
  <si>
    <t>Five forecast cash flows</t>
  </si>
  <si>
    <t>WACC exceeds terminal growth</t>
  </si>
  <si>
    <t>Required for convergent DCF</t>
  </si>
  <si>
    <t>Valuation bridge</t>
  </si>
  <si>
    <t>EV plus cash less debt equals equity value</t>
  </si>
  <si>
    <t>Historical source coverage</t>
  </si>
  <si>
    <t>Readiness</t>
  </si>
  <si>
    <t>All 12 historical metrics x 5 years now source-backed via audited statements and the documented/interpolated USD FX bridge (USD_Hist); Debt and Diluted shares are computed from audited components, not single published lines.</t>
  </si>
  <si>
    <t>Overall gate</t>
  </si>
  <si>
    <t>Decision use</t>
  </si>
  <si>
    <t>Sector KPI framework</t>
  </si>
  <si>
    <t>A decision-useful model requires sector drivers beyond the three statements.</t>
  </si>
  <si>
    <t>KPI</t>
  </si>
  <si>
    <t>Historical</t>
  </si>
  <si>
    <t>Forecast</t>
  </si>
  <si>
    <t>Status / source requirement</t>
  </si>
  <si>
    <t>Revenue by platform</t>
  </si>
  <si>
    <t>Input-ready; populate from issuer operating disclosures</t>
  </si>
  <si>
    <t>Units / wafer shipments</t>
  </si>
  <si>
    <t>ASP</t>
  </si>
  <si>
    <t>Gross margin</t>
  </si>
  <si>
    <t>R&amp;D intensity</t>
  </si>
  <si>
    <t>Capex intensity</t>
  </si>
  <si>
    <t>Backlog</t>
  </si>
  <si>
    <t>Inventory days</t>
  </si>
  <si>
    <t>Free cash flow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</si>
  <si>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</si>
  <si>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</si>
  <si>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</si>
  <si>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</si>
  <si>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</si>
  <si>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</si>
  <si>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</si>
  <si>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</si>
  <si>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1.0</t>
  </si>
  <si>
    <t>Codex</t>
  </si>
  <si>
    <t>Initial institutional model framework and source pack</t>
  </si>
  <si>
    <t>Builder-verified</t>
  </si>
  <si>
    <t>Formula, package and visual QA</t>
  </si>
  <si>
    <t>Checks sheet and preview artifacts</t>
  </si>
  <si>
    <t>Pending owner investment judgment</t>
  </si>
  <si>
    <t>Elevation pass 1: added audited FY2021-FY2025 statement sheets IS_Hist/CI_Hist/BS_Hist/CF_Hist (KRW mm, published constants), Checks_TieOut (27 tie-outs incl. cross-statement), Sources_Audited. Root model untouched; v2 saved under the maintainer's archive. Built via Mog SDK.</t>
  </si>
  <si>
    <t>Claude (run 96e5b44b)</t>
  </si>
  <si>
    <t>Rewire pass (run 41538014): added SCE_Hist (audited FY2021A-FY2025A, KRW constants, extracted from Samsung/*_sce.pdf) with 20 tie-outs incl. cross-statement checks vs BS_Hist/IS_Hist/CI_Hist; added USD_Hist FX conversion layer (documented rates FY2021/23/25, linear-interpolated FY2022/24, all in Sources_Audited) with round-trip checks; rewired Forecast base year (2025A) and cash/debt to the audited USD bridge; rewired Assumptions Base-case drivers (revenue growth, EBIT margin, tax rate, capex/revenue, D&amp;A/revenue non-cash-addback proxy) to formulas over audited KRW/CF data; backfilled legacy Historical sheet from USD_Hist, closing the "LIMITED" historical-coverage gate. Only the NWC/revenue driver remains an explicitly flagged sector placeholder (not sourced from audited statements — granular working-capital note detail unavailable in extracted PDFs). Root model untouched; saved under the maintainer's archive. Built via Mog SDK.</t>
  </si>
  <si>
    <t>Claude (run 41538014)</t>
  </si>
  <si>
    <t>Remediation (audit run 41538014, samsung-rewire_AUDIT.md finding #3): corrected FY2025A USD convenience-translation rate in Sources_Audited!F21 from 1421.87 to 1421.89 to match the audited FY2025 FS Note 2.18 literal disclosure ("W1,421.89 to $1") and the PDF's own implied USD-column rate (1421.8852). Sources_Audited!D6 (=F21), !E21 (=AVERAGE(D21,F21), FY2024A interpolation) and USD_Hist!E5/F5 (=Sources_Audited!E21/F21) and all downstream USD_Hist/Forecast/Valuation USD figures recalculate automatically off this single hardcoded source cell -- no other cell in the workbook held a hardcoded copy of the old rate (verified by full-workbook scan). Immaterial impact (~0.001% on USD-layer figures only per audit); no KRW figures, tie-outs, or checks affected.</t>
  </si>
  <si>
    <t>Claude (remediation, session da993791)</t>
  </si>
  <si>
    <t>Samsung Electronics — Consolidated Statements of Profit or Loss (audited)</t>
  </si>
  <si>
    <t>KRW millions. FY2021 per FY2021 audited FS; FY2022-23 per FY2023 audited FS; FY2024-25 per FY2025 audited FS (samsung.com IR).</t>
  </si>
  <si>
    <t>Line item</t>
  </si>
  <si>
    <t>FY2021A</t>
  </si>
  <si>
    <t>FY2022A</t>
  </si>
  <si>
    <t>FY2023A</t>
  </si>
  <si>
    <t>FY2024A</t>
  </si>
  <si>
    <t>FY2025A</t>
  </si>
  <si>
    <t>Note ref</t>
  </si>
  <si>
    <t>29/30</t>
  </si>
  <si>
    <t>Cost of sales</t>
  </si>
  <si>
    <t>Selling and administrative expenses</t>
  </si>
  <si>
    <t>21, 22</t>
  </si>
  <si>
    <t>Operating profit</t>
  </si>
  <si>
    <t>Other non-operating income</t>
  </si>
  <si>
    <t>Other non-operating expense</t>
  </si>
  <si>
    <t>Share of net profit of associates and joint ventures</t>
  </si>
  <si>
    <t>Financial income</t>
  </si>
  <si>
    <t>Financial expense</t>
  </si>
  <si>
    <t>Profit before income tax</t>
  </si>
  <si>
    <t>Income tax expense (benefit)</t>
  </si>
  <si>
    <t>Profit for the year</t>
  </si>
  <si>
    <t>Profit attributable to:</t>
  </si>
  <si>
    <t>Owners of the parent company</t>
  </si>
  <si>
    <t>Non-controlling interests</t>
  </si>
  <si>
    <t>Earnings per share — basic (KRW)</t>
  </si>
  <si>
    <t>Earnings per share — diluted (KRW)</t>
  </si>
  <si>
    <t>Samsung Electronics — Consolidated Statements of Comprehensive Income (audited)</t>
  </si>
  <si>
    <t>KRW millions. Same source basis as IS_Hist.</t>
  </si>
  <si>
    <t>Items that will not be reclassified to profit or loss:</t>
  </si>
  <si>
    <t>Gain (loss) on valuation of FVOCI financial assets, net of tax</t>
  </si>
  <si>
    <t>6, 20</t>
  </si>
  <si>
    <t>Share of OCI of associates and JVs (non-reclassifiable), net of tax</t>
  </si>
  <si>
    <t>9, 20</t>
  </si>
  <si>
    <t>Remeasurement of net defined benefit liabilities (assets), net of tax</t>
  </si>
  <si>
    <t>14, 20</t>
  </si>
  <si>
    <t>Items that may be reclassified to profit or loss:</t>
  </si>
  <si>
    <t>Share of OCI of associates and JVs (reclassifiable), net of tax</t>
  </si>
  <si>
    <t>Foreign currency translation differences, net of tax</t>
  </si>
  <si>
    <t>Gain (loss) on valuation of cash flow hedge derivatives</t>
  </si>
  <si>
    <t>Other comprehensive income for the year, net of tax</t>
  </si>
  <si>
    <t>Total comprehensive income for the year</t>
  </si>
  <si>
    <t>Comprehensive income attributable to:</t>
  </si>
  <si>
    <t>Samsung Electronics — Consolidated Statements of Financial Position (audited)</t>
  </si>
  <si>
    <t>KRW millions, as of December 31. Same source basis as IS_Hist. Blank = line not presented that year.</t>
  </si>
  <si>
    <t>Current assets</t>
  </si>
  <si>
    <t>Cash and cash equivalents</t>
  </si>
  <si>
    <t>4, 28/29</t>
  </si>
  <si>
    <t>Short-term financial instruments</t>
  </si>
  <si>
    <t>Short-term financial assets at amortized cost</t>
  </si>
  <si>
    <t>4, 28</t>
  </si>
  <si>
    <t>Short-term financial assets at FV through profit or loss</t>
  </si>
  <si>
    <t>4, 6, 28/29</t>
  </si>
  <si>
    <t>Trade receivables</t>
  </si>
  <si>
    <t>4, 5, 7, 28/29</t>
  </si>
  <si>
    <t>Non-trade receivables</t>
  </si>
  <si>
    <t>4, 7, 28/29</t>
  </si>
  <si>
    <t>Prepaid expenses</t>
  </si>
  <si>
    <t>Inventories</t>
  </si>
  <si>
    <t>Other current assets</t>
  </si>
  <si>
    <t>Assets held-for-sale</t>
  </si>
  <si>
    <t>Total current assets</t>
  </si>
  <si>
    <t>Non-current assets</t>
  </si>
  <si>
    <t>Financial assets at FV through other comprehensive income</t>
  </si>
  <si>
    <t>Financial assets at FV through profit or loss (non-current)</t>
  </si>
  <si>
    <t>Investments in associates and joint ventures</t>
  </si>
  <si>
    <t>Property, plant and equipment</t>
  </si>
  <si>
    <t>Intangible assets</t>
  </si>
  <si>
    <t>Net defined benefit assets</t>
  </si>
  <si>
    <t>Deferred income tax assets</t>
  </si>
  <si>
    <t>Other non-current assets</t>
  </si>
  <si>
    <t>Total non-current assets</t>
  </si>
  <si>
    <t>Total assets</t>
  </si>
  <si>
    <t>Current liabilities</t>
  </si>
  <si>
    <t>Trade payables</t>
  </si>
  <si>
    <t>Short-term borrowings</t>
  </si>
  <si>
    <t>4, 5, 12, 28/29</t>
  </si>
  <si>
    <t>Other payables</t>
  </si>
  <si>
    <t>Advances received</t>
  </si>
  <si>
    <t>Withholdings</t>
  </si>
  <si>
    <t>Accrued expenses</t>
  </si>
  <si>
    <t>4, 17, 28/29</t>
  </si>
  <si>
    <t>Current income tax liabilities</t>
  </si>
  <si>
    <t>Current portion of long-term liabilities</t>
  </si>
  <si>
    <t>4, 12, 13, 28/29</t>
  </si>
  <si>
    <t>Provisions</t>
  </si>
  <si>
    <t>Other current liabilities</t>
  </si>
  <si>
    <t>Liabilities held-for-sale</t>
  </si>
  <si>
    <t>Total current liabilities</t>
  </si>
  <si>
    <t>Non-current liabilities</t>
  </si>
  <si>
    <t>Debentures</t>
  </si>
  <si>
    <t>4, 13, 28/29</t>
  </si>
  <si>
    <t>Long-term borrowings</t>
  </si>
  <si>
    <t>4, 12, 28/29</t>
  </si>
  <si>
    <t>Long-term other payables</t>
  </si>
  <si>
    <t>Net defined benefit liabilities</t>
  </si>
  <si>
    <t>Deferred income tax liabilities</t>
  </si>
  <si>
    <t>Long-term provisions</t>
  </si>
  <si>
    <t>Other non-current liabilities</t>
  </si>
  <si>
    <t>Total non-current liabilities</t>
  </si>
  <si>
    <t>Total liabilities</t>
  </si>
  <si>
    <t>Equity attributable to owners of the parent company</t>
  </si>
  <si>
    <t>Preference shares</t>
  </si>
  <si>
    <t>Ordinary shares</t>
  </si>
  <si>
    <t>Share premium</t>
  </si>
  <si>
    <t>Retained earnings</t>
  </si>
  <si>
    <t>Other components of equity</t>
  </si>
  <si>
    <t>31/32</t>
  </si>
  <si>
    <t>Total equity</t>
  </si>
  <si>
    <t>Total liabilities and equity</t>
  </si>
  <si>
    <t>Samsung Electronics — Consolidated Statements of Cash Flows (audited)</t>
  </si>
  <si>
    <t>KRW millions. Same source basis as IS_Hist. Signs as published (outflows negative).</t>
  </si>
  <si>
    <t>Operating activities</t>
  </si>
  <si>
    <t>Adjustments</t>
  </si>
  <si>
    <t>Changes in assets and liabilities from operating activities</t>
  </si>
  <si>
    <t>Cash generated from operations</t>
  </si>
  <si>
    <t>Interest received</t>
  </si>
  <si>
    <t>Interest paid</t>
  </si>
  <si>
    <t>Dividends received</t>
  </si>
  <si>
    <t>Income tax paid</t>
  </si>
  <si>
    <t>Net cash provided by operating activities</t>
  </si>
  <si>
    <t>Investing activities</t>
  </si>
  <si>
    <t>Net change in short-term financial instruments</t>
  </si>
  <si>
    <t>Net change in short-term financial assets at amortized cost</t>
  </si>
  <si>
    <t>Net change in short-term financial assets at FVPL</t>
  </si>
  <si>
    <t>Disposal of long-term financial instruments</t>
  </si>
  <si>
    <t>Acquisition of long-term financial instruments</t>
  </si>
  <si>
    <t>Disposal of FVOCI financial assets</t>
  </si>
  <si>
    <t>Acquisition of FVOCI financial assets</t>
  </si>
  <si>
    <t>Disposal of FVPL financial assets</t>
  </si>
  <si>
    <t>Acquisition of FVPL financial assets</t>
  </si>
  <si>
    <t>Disposal of investments in associates and JVs</t>
  </si>
  <si>
    <t>Acquisition of investments in associates and JVs</t>
  </si>
  <si>
    <t>Disposal of property, plant and equipment</t>
  </si>
  <si>
    <t>Acquisition of property, plant and equipment</t>
  </si>
  <si>
    <t>Disposal of intangible assets</t>
  </si>
  <si>
    <t>Acquisition of intangible assets</t>
  </si>
  <si>
    <t>Receipt of government grants</t>
  </si>
  <si>
    <t>Cash outflow from business combinations</t>
  </si>
  <si>
    <t>Cash inflow from business divestiture</t>
  </si>
  <si>
    <t>Cash inflow from disposal of held-for-sale assets</t>
  </si>
  <si>
    <t>Cash inflow (outflow) from other investing activities</t>
  </si>
  <si>
    <t>Net cash used in investing activities</t>
  </si>
  <si>
    <t>Financing activities</t>
  </si>
  <si>
    <t>Net change in short-term borrowings</t>
  </si>
  <si>
    <t>Increase in long-term borrowings</t>
  </si>
  <si>
    <t>Repayment of debentures and long-term borrowings</t>
  </si>
  <si>
    <t>Dividends paid</t>
  </si>
  <si>
    <t>Purchase of treasury shares</t>
  </si>
  <si>
    <t>Transactions with non-controlling interests (net)</t>
  </si>
  <si>
    <t>Net cash used in financing activities</t>
  </si>
  <si>
    <t>Reclassification to assets held-for-sale</t>
  </si>
  <si>
    <t>32/33</t>
  </si>
  <si>
    <t>Effect of foreign exchange rate changes</t>
  </si>
  <si>
    <t>Net increase (decrease) in cash and cash equivalents</t>
  </si>
  <si>
    <t>Cash and cash equivalents — beginning of the year</t>
  </si>
  <si>
    <t>Cash and cash equivalents — end of the year</t>
  </si>
  <si>
    <t>Tie-out checks — audited historical statements (all deltas must be 0; KRW millions)</t>
  </si>
  <si>
    <t>MASTER</t>
  </si>
  <si>
    <t>IS: Gross profit = Revenue − COGS</t>
  </si>
  <si>
    <t>IS: Operating profit = Gross − SG&amp;A</t>
  </si>
  <si>
    <t>IS: PBT chain</t>
  </si>
  <si>
    <t>IS: NI = PBT − tax</t>
  </si>
  <si>
    <t>IS: NI = parent + NCI</t>
  </si>
  <si>
    <t>CI: OCI total = sum of components</t>
  </si>
  <si>
    <t>CI: TCI = NI + OCI</t>
  </si>
  <si>
    <t>CI: TCI = parent + NCI</t>
  </si>
  <si>
    <t>BS: Current assets sum</t>
  </si>
  <si>
    <t>BS: Non-current assets sum</t>
  </si>
  <si>
    <t>BS: Total assets = CA + NCA</t>
  </si>
  <si>
    <t>BS: Current liabilities sum</t>
  </si>
  <si>
    <t>BS: Non-current liabilities sum</t>
  </si>
  <si>
    <t>BS: Total liabilities = CL + NCL</t>
  </si>
  <si>
    <t>BS: Parent equity sum</t>
  </si>
  <si>
    <t>BS: Total equity = parent + NCI</t>
  </si>
  <si>
    <t>BS: TL&amp;E = TL + TE</t>
  </si>
  <si>
    <t>BS: Balance (TA − TL&amp;E)</t>
  </si>
  <si>
    <t>CF: Cash generated from operations</t>
  </si>
  <si>
    <t>CF: CFO chain</t>
  </si>
  <si>
    <t>CF: CFI sum</t>
  </si>
  <si>
    <t>CF: CFF sum</t>
  </si>
  <si>
    <t>CF: Net change = CFO+CFI+CFF+reclass+FX</t>
  </si>
  <si>
    <t>CF: End cash = begin + change</t>
  </si>
  <si>
    <t>X: CF end cash = BS cash</t>
  </si>
  <si>
    <t>X: CF profit = IS profit</t>
  </si>
  <si>
    <t>SCE: Opening parent = prior-year closing parent (FY22-FY25)</t>
  </si>
  <si>
    <t>SCE: Opening nci = prior-year closing nci (FY22-FY25)</t>
  </si>
  <si>
    <t>SCE: Opening tot = prior-year closing tot (FY22-FY25)</t>
  </si>
  <si>
    <t>SCE: TCI = Profit + OCI (parent)</t>
  </si>
  <si>
    <t>SCE: TCI = Profit + OCI (nci)</t>
  </si>
  <si>
    <t>SCE: TCI = Profit + OCI (total)</t>
  </si>
  <si>
    <t>SCE: Total transactions with owners = Dividends + Other (parent)</t>
  </si>
  <si>
    <t>SCE: Total transactions with owners = Dividends + Other (nci)</t>
  </si>
  <si>
    <t>SCE: Total transactions with owners = Dividends + Other (total)</t>
  </si>
  <si>
    <t>SCE: Closing parent = Opening + TCI + Total txns (parent)</t>
  </si>
  <si>
    <t>SCE: Closing NCI = Opening + TCI + Total txns (NCI)</t>
  </si>
  <si>
    <t>SCE: Closing total = Opening + TCI + Total txns (total)</t>
  </si>
  <si>
    <t>SCE: Closing parent equity = sum of components</t>
  </si>
  <si>
    <t>SCE: Closing total equity = parent + NCI</t>
  </si>
  <si>
    <t>X: SCE closing total equity = BS_Hist total equity</t>
  </si>
  <si>
    <t>X: SCE closing parent equity = BS_Hist parent equity</t>
  </si>
  <si>
    <t>X: SCE closing NCI = BS_Hist NCI</t>
  </si>
  <si>
    <t>X: SCE profit total = IS_Hist profit for the year</t>
  </si>
  <si>
    <t>X: SCE profit parent = IS_Hist owners of parent</t>
  </si>
  <si>
    <t>X: SCE profit NCI = IS_Hist NCI</t>
  </si>
  <si>
    <t>X: SCE OCI total = CI_Hist OCI total</t>
  </si>
  <si>
    <t>X: SCE TCI parent = CI_Hist TCI parent</t>
  </si>
  <si>
    <t>X: SCE TCI NCI = CI_Hist TCI NCI</t>
  </si>
  <si>
    <t>USD: USD_Hist Revenue x FX rate = IS_Hist Revenue (KRW, round-trip)</t>
  </si>
  <si>
    <t>USD: USD_Hist Total equity x FX rate = BS_Hist Total equity (KRW, round-trip)</t>
  </si>
  <si>
    <t>USD: Forecast!B5 (2025A revenue) = USD_Hist FY2025A Revenue (base-year bridge)</t>
  </si>
  <si>
    <t>Audited source register — Samsung Electronics consolidated FS (samsung.com IR PDFs)</t>
  </si>
  <si>
    <t>Model year</t>
  </si>
  <si>
    <t>Source report</t>
  </si>
  <si>
    <t>Files (BS / IS+CI / CF)</t>
  </si>
  <si>
    <t>Implied USD presentation rate (KRW/USD)</t>
  </si>
  <si>
    <t>FY2021 audited consolidated FS (Note 2.29 USD convenience translation)</t>
  </si>
  <si>
    <t>2021_con_quarter04_bs.pdf | _soi.pdf | _cf.pdf</t>
  </si>
  <si>
    <t>FY2022A + FY2023A</t>
  </si>
  <si>
    <t>FY2023 audited consolidated FS (comparatives used for FY2022; Note 2.18)</t>
  </si>
  <si>
    <t>2023_con_quarter04_bs.pdf | _soi.pdf | _cf.pdf</t>
  </si>
  <si>
    <t>FY2024A + FY2025A</t>
  </si>
  <si>
    <t>FY2025 audited consolidated FS (comparatives used for FY2024; Note 2.18)</t>
  </si>
  <si>
    <t>2025_con_quarter04_bs.pdf | _soi.pdf | _cf.pdf</t>
  </si>
  <si>
    <t>Notes: statements entered as published constants (KRW millions); all recomputation in Checks_TieOut. Statement of changes in equity (sce PDFs) and note-level schedules pending next elevation pass. Duplicate "(1)" PDF copies in folder are byte-identical downloads.</t>
  </si>
  <si>
    <t>Prior Historical sheet values (USD mm) are inconsistent with audited USD presentation (e.g. FY2025 revenue 224,356 vs audited USD 234,622) — presentation-currency policy decision pending before rewiring Forecast/Valuation.</t>
  </si>
  <si>
    <t>Statement of Changes in Equity (SCE) — audited source register</t>
  </si>
  <si>
    <t>File</t>
  </si>
  <si>
    <t>FY2021 audited consolidated FS SCE</t>
  </si>
  <si>
    <t>2021_con_quarter04_sce.pdf</t>
  </si>
  <si>
    <t>FY2022 audited consolidated FS SCE (also carried as comparative in FY2023 SCE)</t>
  </si>
  <si>
    <t>2022_con_quarter04_sce.pdf</t>
  </si>
  <si>
    <t>FY2023 audited consolidated FS SCE</t>
  </si>
  <si>
    <t>2023_con_quarter04_sce.pdf</t>
  </si>
  <si>
    <t>FY2024 SCE not separately extractable (2024_con_quarter04_sce.pdf yielded no text layer); used as comparative year in FY2025 audited consolidated FS SCE instead — same fleet, not an external source</t>
  </si>
  <si>
    <t>2025_con_quarter04_sce.pdf (FY2024 comparative column)</t>
  </si>
  <si>
    <t>FY2025 audited consolidated FS SCE</t>
  </si>
  <si>
    <t>2025_con_quarter04_sce.pdf</t>
  </si>
  <si>
    <t>USD conversion rates by year (KRW per USD) — implied from audited convenience-translation notes; interpolated where not separately disclosed</t>
  </si>
  <si>
    <t>Rate (KRW/USD)</t>
  </si>
  <si>
    <t>Rate basis</t>
  </si>
  <si>
    <t>Documented (FY2021 audited FS, Note 2.29 USD convenience translation)</t>
  </si>
  <si>
    <t>Interpolated (linear, average of FY2021A and FY2023A documented anchors — FY2022 audited FS did not carry a USD convenience-translation column)</t>
  </si>
  <si>
    <t>Documented (FY2023 audited FS, Note 2.18 USD convenience translation)</t>
  </si>
  <si>
    <t>Interpolated (linear, average of FY2023A and FY2025A documented anchors — FY2024 audited FS did not carry a USD convenience-translation column)</t>
  </si>
  <si>
    <t>Documented (FY2025 audited FS, Note 2.18 USD convenience translation)</t>
  </si>
  <si>
    <t>Rewire pass (run 41538014): added SCE_Hist (audited constants), USD_Hist (formula layer converting IS_Hist/BS_Hist/CF_Hist to USD at the rates above), rewired Forecast base year + Assumptions Base-case drivers (revenue growth, EBIT margin, tax rate, capex/revenue, D&amp;A/revenue proxy) to reference the audited KRW base directly (see Change_Log). Only NWC/incremental-revenue remains a sector-typical placeholder — Samsung does not disclose working-capital detail separately in the headline notes extracted here; flagged in Assumptions!F10, not sourced from audited statements.</t>
  </si>
  <si>
    <t>Samsung Electronics — Consolidated Statement of Changes in Equity (audited)</t>
  </si>
  <si>
    <t>KRW millions. FY2021/FY2022/FY2023 per FY2021/FY2023 audited FS; FY2024/FY2025 per FY2025 audited FS (samsung.com IR). Extracted from *_sce.pdf via pdftotext -layout.</t>
  </si>
  <si>
    <t>Opening balance (Jan 1)</t>
  </si>
  <si>
    <t>Movements during the year</t>
  </si>
  <si>
    <t>Profit for the year — owners of parent</t>
  </si>
  <si>
    <t>Profit for the year — non-controlling interests</t>
  </si>
  <si>
    <t>Profit for the year — total</t>
  </si>
  <si>
    <t>Other comprehensive income — owners of parent</t>
  </si>
  <si>
    <t>Other comprehensive income — non-controlling interests</t>
  </si>
  <si>
    <t>Other comprehensive income — total</t>
  </si>
  <si>
    <t>Total comprehensive income — owners of parent</t>
  </si>
  <si>
    <t>Total comprehensive income — non-controlling interests</t>
  </si>
  <si>
    <t>Total comprehensive income — total</t>
  </si>
  <si>
    <t>Dividends declared — owners of parent</t>
  </si>
  <si>
    <t>Dividends declared — non-controlling interests</t>
  </si>
  <si>
    <t>Dividends declared — total</t>
  </si>
  <si>
    <t>Other transactions with owners (net, residual of published total) — owners of parent</t>
  </si>
  <si>
    <t>Other transactions with owners (net, residual of published total) — non-controlling interests</t>
  </si>
  <si>
    <t>Other transactions with owners (net, residual of published total) — total</t>
  </si>
  <si>
    <t>Total transactions with owners — owners of parent</t>
  </si>
  <si>
    <t>Total transactions with owners — non-controlling interests</t>
  </si>
  <si>
    <t>Total transactions with owners — total</t>
  </si>
  <si>
    <t>Closing balance (Dec 31)</t>
  </si>
  <si>
    <t>Samsung Electronics — USD conversion layer (documented/interpolated implied rates)</t>
  </si>
  <si>
    <t>USD millions. Native KRW values from IS_Hist/CF_Hist/BS_Hist (audited constants) divided by the FX rate row below. FY2021/FY2023/FY2025 rates are audited convenience-translation implied rates (Sources_Audited); FY2022/FY2024 rates are linear interpolations between adjacent documented anchors (not separately audited).</t>
  </si>
  <si>
    <t>FX rate used (KRW per USD)</t>
  </si>
  <si>
    <t>Operating profit (EBIT)</t>
  </si>
  <si>
    <t>Net income (owners of parent)</t>
  </si>
  <si>
    <t>Acquisition of property, plant and equipment (capex, outflow negative)</t>
  </si>
  <si>
    <t>Diluted shares (mm, implied = NI parent (IS_Hist) / diluted EPS (IS_Hist); currency-neutral, not FX-divided)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</si>
  <si>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</si>
  <si>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</si>
  <si>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</si>
  <si>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</si>
  <si>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</si>
  <si>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</si>
  <si>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</si>
  <si>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2 cells written, at B7, B8; Sources_Audited: 8 cells written, at C4, C5, C6, C13, C14, C15, C16, C17.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</si>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</sst>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[Red](#,##0.0);-"/>
    <numFmt numFmtId="166" formatCode="0.0%;[Red](0.0%);-"/>
    <numFmt numFmtId="167" formatCode="0.0%"/>
    <numFmt numFmtId="168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 val="0"/>
      <i val="0"/>
      <strike val="0"/>
      <sz val="10"/>
      <color rgb="FF000000"/>
      <name val="Arial"/>
    </font>
    <font>
      <b/>
      <i val="0"/>
      <strike val="0"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60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 applyAlignment="1">
      <alignment horizontal="general" vertical="bottom" textRotation="0" wrapText="1" indent="0" readingOrder="0"/>
    </xf>
    <xf numFmtId="164" fontId="2" fillId="3" borderId="0" xfId="0" applyNumberFormat="1" applyFont="1" applyFill="1"/>
    <xf numFmtId="164" fontId="5" fillId="3" borderId="0" xfId="0" applyNumberFormat="1" applyFont="1" applyFill="1"/>
    <xf numFmtId="164" fontId="5" fillId="3" borderId="1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0" borderId="0" xfId="0" applyNumberFormat="1" applyFont="1" applyAlignment="1">
      <alignment horizontal="general" vertical="bottom" textRotation="0" wrapText="1" indent="0" readingOrder="0"/>
    </xf>
    <xf numFmtId="164" fontId="8" fillId="0" borderId="0" xfId="0" applyNumberFormat="1" applyFont="1"/>
    <xf numFmtId="164" fontId="6" fillId="3" borderId="1" xfId="0" applyNumberFormat="1" applyFont="1" applyFill="1" applyBorder="1"/>
    <xf numFmtId="164" fontId="8" fillId="4" borderId="0" xfId="0" applyNumberFormat="1" applyFont="1" applyFill="1"/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0" borderId="0" xfId="0" applyNumberFormat="1" applyFont="1" applyAlignment="1">
      <alignment horizontal="general" vertical="bottom" textRotation="0" wrapText="1" indent="0" readingOrder="0"/>
    </xf>
    <xf numFmtId="164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8" fillId="4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/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0" xfId="0" applyNumberFormat="1" applyFont="1"/>
    <xf numFmtId="165" fontId="2" fillId="0" borderId="1" xfId="0" applyNumberFormat="1" applyFont="1" applyBorder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general" vertical="bottom" textRotation="0" wrapText="1" indent="0" readingOrder="0"/>
    </xf>
    <xf numFmtId="164" fontId="9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9" fillId="0" borderId="1" xfId="0" applyNumberFormat="1" applyFont="1" applyBorder="1"/>
    <xf numFmtId="166" fontId="2" fillId="0" borderId="1" xfId="0" applyNumberFormat="1" applyFont="1" applyBorder="1"/>
    <xf numFmtId="164" fontId="10" fillId="0" borderId="0" xfId="0" applyNumberFormat="1" applyFont="1"/>
    <xf numFmtId="166" fontId="10" fillId="0" borderId="1" xfId="0" applyNumberFormat="1" applyFont="1" applyBorder="1"/>
    <xf numFmtId="166" fontId="8" fillId="0" borderId="1" xfId="0" applyNumberFormat="1" applyFont="1" applyBorder="1"/>
    <xf numFmtId="164" fontId="10" fillId="0" borderId="0" xfId="0" applyNumberFormat="1" applyFont="1" applyAlignment="1">
      <alignment horizontal="general" vertical="bottom" textRotation="0" wrapText="1" indent="0" readingOrder="0"/>
    </xf>
    <xf numFmtId="166" fontId="10" fillId="0" borderId="1" xfId="0" applyNumberFormat="1" applyFont="1" applyBorder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4" fontId="2" fillId="6" borderId="0" xfId="0" applyNumberFormat="1" applyFont="1" applyFill="1"/>
    <xf numFmtId="164" fontId="11" fillId="6" borderId="0" xfId="0" applyNumberFormat="1" applyFont="1" applyFill="1"/>
    <xf numFmtId="164" fontId="11" fillId="6" borderId="2" xfId="0" applyNumberFormat="1" applyFont="1" applyFill="1" applyBorder="1"/>
    <xf numFmtId="164" fontId="11" fillId="6" borderId="3" xfId="0" applyNumberFormat="1" applyFont="1" applyFill="1" applyBorder="1"/>
    <xf numFmtId="164" fontId="11" fillId="6" borderId="4" xfId="0" applyNumberFormat="1" applyFont="1" applyFill="1" applyBorder="1"/>
    <xf numFmtId="164" fontId="11" fillId="6" borderId="1" xfId="0" applyNumberFormat="1" applyFont="1" applyFill="1" applyBorder="1"/>
    <xf numFmtId="164" fontId="12" fillId="6" borderId="1" xfId="0" applyNumberFormat="1" applyFont="1" applyFill="1" applyBorder="1"/>
    <xf numFmtId="164" fontId="12" fillId="6" borderId="1" xfId="0" applyNumberFormat="1" applyFont="1" applyFill="1" applyBorder="1" applyAlignment="1">
      <alignment horizontal="general" vertical="bottom" textRotation="0" wrapText="1" indent="0" readingOrder="0"/>
    </xf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general" vertical="bottom" textRotation="0" wrapText="1" indent="0" readingOrder="0"/>
    </xf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0" borderId="1" xfId="0" applyNumberFormat="1" applyFont="1" applyBorder="1"/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general" vertical="bottom" textRotation="0" wrapText="1" indent="0" readingOrder="0"/>
    </xf>
    <xf numFmtId="165" fontId="1" fillId="0" borderId="0" xfId="0" applyNumberFormat="1" applyFont="1"/>
    <xf numFmtId="168" fontId="13" fillId="0" borderId="0" xfId="0" applyNumberFormat="1" applyFont="1" applyFill="1" applyAlignment="1" applyProtection="1">
      <alignment vertical="top"/>
      <protection locked="1" hidden="0"/>
    </xf>
    <xf numFmtId="0" fontId="14" fillId="0" borderId="0" xfId="0" applyFont="1" applyFill="1" applyProtection="1">
      <protection locked="1" hidden="0"/>
    </xf>
    <xf numFmtId="0" fontId="13" fillId="0" borderId="0" xfId="0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8a53a9caa6b04c11" Type="http://schemas.openxmlformats.org/officeDocument/2006/relationships/styles" Target="/xl/styles.xml"/><Relationship Id="R5814044ccf754ac1" Type="http://schemas.openxmlformats.org/officeDocument/2006/relationships/theme" Target="/xl/theme/theme1.xml"/><Relationship Id="Re98b5fe434cd4abc" Type="http://schemas.openxmlformats.org/officeDocument/2006/relationships/sharedStrings" Target="/xl/sharedStrings.xml"/><Relationship Id="R31b0645bd26a4c41" Type="http://schemas.openxmlformats.org/officeDocument/2006/relationships/worksheet" Target="/xl/worksheets/sheet1.xml"/><Relationship Id="Ra2bf3f0a5d804866" Type="http://schemas.openxmlformats.org/officeDocument/2006/relationships/worksheet" Target="/xl/worksheets/sheet2.xml"/><Relationship Id="R264eb95dcff342dc" Type="http://schemas.openxmlformats.org/officeDocument/2006/relationships/worksheet" Target="/xl/worksheets/sheet3.xml"/><Relationship Id="R38b09ddc0e2949c9" Type="http://schemas.openxmlformats.org/officeDocument/2006/relationships/worksheet" Target="/xl/worksheets/sheet4.xml"/><Relationship Id="Rf21015476dc9479d" Type="http://schemas.openxmlformats.org/officeDocument/2006/relationships/worksheet" Target="/xl/worksheets/sheet5.xml"/><Relationship Id="R733fe00193ea4194" Type="http://schemas.openxmlformats.org/officeDocument/2006/relationships/worksheet" Target="/xl/worksheets/sheet6.xml"/><Relationship Id="Reb641cc07fa94e0d" Type="http://schemas.openxmlformats.org/officeDocument/2006/relationships/worksheet" Target="/xl/worksheets/sheet7.xml"/><Relationship Id="R66c0a572ce1f4701" Type="http://schemas.openxmlformats.org/officeDocument/2006/relationships/worksheet" Target="/xl/worksheets/sheet8.xml"/><Relationship Id="Rcc7c564dcdab47c5" Type="http://schemas.openxmlformats.org/officeDocument/2006/relationships/worksheet" Target="/xl/worksheets/sheet9.xml"/><Relationship Id="R0e7dff479e19475b" Type="http://schemas.openxmlformats.org/officeDocument/2006/relationships/worksheet" Target="/xl/worksheets/sheet10.xml"/><Relationship Id="rId1" Type="http://schemas.openxmlformats.org/officeDocument/2006/relationships/worksheet" Target="worksheets/sheet11.xml"/><Relationship Id="rId2" Type="http://schemas.openxmlformats.org/officeDocument/2006/relationships/worksheet" Target="worksheets/sheet12.xml"/><Relationship Id="rId3" Type="http://schemas.openxmlformats.org/officeDocument/2006/relationships/worksheet" Target="worksheets/sheet13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 ht="45" customHeight="1">
      <c r="A15" s="16" t="s">
        <v>22</v>
      </c>
      <c r="B15" s="16"/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0"/>
  <sheetViews>
    <sheetView showGridLines="0" workbookViewId="0"/>
  </sheetViews>
  <sheetFormatPr defaultRowHeight="15"/>
  <cols>
    <col min="1" max="1" width="31" customWidth="1"/>
    <col min="2" max="2" width="15" customWidth="1"/>
    <col min="3" max="3" width="48" customWidth="1"/>
    <col min="4" max="6" width="15" customWidth="1"/>
    <col min="7" max="7" width="45" customWidth="1"/>
    <col min="8" max="8" width="15" customWidth="1"/>
  </cols>
  <sheetData>
    <row r="1" ht="28" customHeight="1">
      <c r="A1" s="17" t="s">
        <v>23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24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</row>
    <row r="5">
      <c r="A5" s="23" t="s">
        <v>33</v>
      </c>
      <c r="B5" s="23" t="s">
        <v>34</v>
      </c>
      <c r="C5" s="23" t="s">
        <v>19</v>
      </c>
      <c r="D5" s="23" t="s">
        <v>35</v>
      </c>
      <c r="E5" s="23" t="s">
        <v>11</v>
      </c>
      <c r="F5" s="23" t="s">
        <v>36</v>
      </c>
      <c r="G5" s="23" t="s">
        <v>21</v>
      </c>
      <c r="H5" s="23" t="s">
        <v>9</v>
      </c>
    </row>
    <row r="6">
      <c r="A6" s="23" t="s">
        <v>37</v>
      </c>
      <c r="B6" s="23" t="s">
        <v>38</v>
      </c>
      <c r="C6" s="23" t="s">
        <v>15</v>
      </c>
      <c r="D6" s="23" t="s">
        <v>39</v>
      </c>
      <c r="E6" s="23" t="s">
        <v>40</v>
      </c>
      <c r="F6" s="23" t="s">
        <v>41</v>
      </c>
      <c r="G6" s="23" t="s">
        <v>42</v>
      </c>
      <c r="H6" s="23" t="s">
        <v>43</v>
      </c>
    </row>
    <row r="7">
      <c r="A7" s="23" t="s">
        <v>44</v>
      </c>
      <c r="B7" s="23" t="s">
        <v>45</v>
      </c>
      <c r="C7" s="23" t="s">
        <v>46</v>
      </c>
      <c r="D7" s="23" t="s">
        <v>39</v>
      </c>
      <c r="E7" s="23" t="s">
        <v>11</v>
      </c>
      <c r="F7" s="23" t="s">
        <v>47</v>
      </c>
      <c r="G7" s="23" t="s">
        <v>48</v>
      </c>
      <c r="H7" s="23" t="s">
        <v>49</v>
      </c>
    </row>
    <row r="8">
      <c r="A8" s="23" t="s">
        <v>50</v>
      </c>
      <c r="B8" s="23" t="s">
        <v>51</v>
      </c>
      <c r="C8" s="23" t="s">
        <v>52</v>
      </c>
      <c r="D8" s="23" t="s">
        <v>39</v>
      </c>
      <c r="E8" s="23" t="s">
        <v>53</v>
      </c>
      <c r="F8" s="23" t="s">
        <v>54</v>
      </c>
      <c r="G8" s="23" t="s">
        <v>55</v>
      </c>
      <c r="H8" s="23" t="s">
        <v>56</v>
      </c>
    </row>
    <row r="9">
      <c r="A9" s="18"/>
      <c r="B9" s="18"/>
      <c r="C9" s="18"/>
      <c r="D9" s="18"/>
      <c r="E9" s="18"/>
      <c r="F9" s="18"/>
      <c r="G9" s="18"/>
      <c r="H9" s="18"/>
    </row>
    <row r="10">
      <c r="A10" s="18"/>
      <c r="B10" s="18"/>
      <c r="C10" s="18"/>
      <c r="D10" s="18"/>
      <c r="E10" s="18"/>
      <c r="F10" s="18"/>
      <c r="G10" s="18"/>
      <c r="H10" s="1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workbookViewId="0"/>
  </sheetViews>
  <sheetFormatPr defaultRowHeight="15"/>
  <cols>
    <col min="1" max="1" width="31" customWidth="1"/>
    <col min="2" max="6" width="15" customWidth="1"/>
    <col min="7" max="7" width="36" customWidth="1"/>
    <col min="8" max="8" width="22" customWidth="1"/>
  </cols>
  <sheetData>
    <row r="1" ht="28" customHeight="1">
      <c r="A1" s="17" t="s">
        <v>34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57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58</v>
      </c>
      <c r="B4" s="19" t="s">
        <v>59</v>
      </c>
      <c r="C4" s="19" t="s">
        <v>60</v>
      </c>
      <c r="D4" s="19" t="s">
        <v>61</v>
      </c>
      <c r="E4" s="19" t="s">
        <v>62</v>
      </c>
      <c r="F4" s="19" t="s">
        <v>63</v>
      </c>
      <c r="G4" s="19" t="s">
        <v>64</v>
      </c>
      <c r="H4" s="19" t="s">
        <v>65</v>
      </c>
    </row>
    <row r="5">
      <c r="A5" s="23" t="s">
        <v>66</v>
      </c>
      <c r="B5" s="27">
        <f>USD_Hist!B6</f>
        <v>244390.56280537372</v>
      </c>
      <c r="C5" s="27">
        <f>USD_Hist!C6</f>
        <v>246698.33197970784</v>
      </c>
      <c r="D5" s="27">
        <f>USD_Hist!D6</f>
        <v>198247.85930848622</v>
      </c>
      <c r="E5" s="27">
        <f>USD_Hist!E6</f>
        <v>220579.03233492543</v>
      </c>
      <c r="F5" s="27">
        <f>USD_Hist!F6</f>
        <v>234621.4812678899</v>
      </c>
      <c r="G5" s="23" t="s">
        <v>67</v>
      </c>
      <c r="H5" s="23" t="s">
        <v>68</v>
      </c>
    </row>
    <row r="6">
      <c r="A6" s="23" t="s">
        <v>69</v>
      </c>
      <c r="B6" s="27">
        <f>USD_Hist!B7</f>
        <v>98937.54599725547</v>
      </c>
      <c r="C6" s="27">
        <f>USD_Hist!C7</f>
        <v>91575.48944784324</v>
      </c>
      <c r="D6" s="27">
        <f>USD_Hist!D7</f>
        <v>60137.59378923836</v>
      </c>
      <c r="E6" s="27">
        <f>USD_Hist!E7</f>
        <v>83803.67740587461</v>
      </c>
      <c r="F6" s="27">
        <f>USD_Hist!F7</f>
        <v>92391.4121345533</v>
      </c>
      <c r="G6" s="23" t="s">
        <v>67</v>
      </c>
      <c r="H6" s="23" t="s">
        <v>68</v>
      </c>
    </row>
    <row r="7">
      <c r="A7" s="23" t="s">
        <v>70</v>
      </c>
      <c r="B7" s="27">
        <f>USD_Hist!B8</f>
        <v>45130.93899955424</v>
      </c>
      <c r="C7" s="27">
        <f>USD_Hist!C8</f>
        <v>35406.459038204885</v>
      </c>
      <c r="D7" s="27">
        <f>USD_Hist!D8</f>
        <v>5027.850427219551</v>
      </c>
      <c r="E7" s="27">
        <f>USD_Hist!E8</f>
        <v>23992.55208008768</v>
      </c>
      <c r="F7" s="27">
        <f>USD_Hist!F8</f>
        <v>30664.15193861691</v>
      </c>
      <c r="G7" s="23" t="s">
        <v>67</v>
      </c>
      <c r="H7" s="23" t="s">
        <v>68</v>
      </c>
    </row>
    <row r="8">
      <c r="A8" s="23" t="s">
        <v>71</v>
      </c>
      <c r="B8" s="27">
        <f>USD_Hist!B9</f>
        <v>34301.31458189478</v>
      </c>
      <c r="C8" s="27">
        <f>USD_Hist!C9</f>
        <v>44673.736536868266</v>
      </c>
      <c r="D8" s="27">
        <f>USD_Hist!D9</f>
        <v>11081.218417909535</v>
      </c>
      <c r="E8" s="27">
        <f>USD_Hist!E9</f>
        <v>24649.002752922457</v>
      </c>
      <c r="F8" s="27">
        <f>USD_Hist!F9</f>
        <v>31128.25605356251</v>
      </c>
      <c r="G8" s="23" t="s">
        <v>67</v>
      </c>
      <c r="H8" s="23" t="s">
        <v>68</v>
      </c>
    </row>
    <row r="9">
      <c r="A9" s="23" t="s">
        <v>72</v>
      </c>
      <c r="B9" s="27">
        <f>USD_Hist!B10</f>
        <v>56905.87978218497</v>
      </c>
      <c r="C9" s="27">
        <f>USD_Hist!C10</f>
        <v>50755.931940527546</v>
      </c>
      <c r="D9" s="27">
        <f>USD_Hist!D10</f>
        <v>33792.780908339206</v>
      </c>
      <c r="E9" s="27">
        <f>USD_Hist!E10</f>
        <v>53506.12424441259</v>
      </c>
      <c r="F9" s="27">
        <f>USD_Hist!F10</f>
        <v>60001.22934966839</v>
      </c>
      <c r="G9" s="23" t="s">
        <v>67</v>
      </c>
      <c r="H9" s="23" t="s">
        <v>68</v>
      </c>
    </row>
    <row r="10">
      <c r="A10" s="23" t="s">
        <v>73</v>
      </c>
      <c r="B10" s="27">
        <f>USD_Hist!B11</f>
        <v>-41187.41182948894</v>
      </c>
      <c r="C10" s="27">
        <f>USD_Hist!C11</f>
        <v>-40347.91140351235</v>
      </c>
      <c r="D10" s="27">
        <f>USD_Hist!D11</f>
        <v>-44108.72814136527</v>
      </c>
      <c r="E10" s="27">
        <f>USD_Hist!E11</f>
        <v>-37687.80539660778</v>
      </c>
      <c r="F10" s="27">
        <f>USD_Hist!F11</f>
        <v>-33421.839242135466</v>
      </c>
      <c r="G10" s="23" t="s">
        <v>67</v>
      </c>
      <c r="H10" s="23" t="s">
        <v>68</v>
      </c>
    </row>
    <row r="11">
      <c r="A11" s="23" t="s">
        <v>74</v>
      </c>
      <c r="B11" s="27">
        <f>USD_Hist!B12</f>
        <v>372891.25680671976</v>
      </c>
      <c r="C11" s="27">
        <f>USD_Hist!C12</f>
        <v>366029.44808812306</v>
      </c>
      <c r="D11" s="27">
        <f>USD_Hist!D12</f>
        <v>349053.67041313206</v>
      </c>
      <c r="E11" s="27">
        <f>USD_Hist!E12</f>
        <v>377221.4530005388</v>
      </c>
      <c r="F11" s="27">
        <f>USD_Hist!F12</f>
        <v>398724.31060067937</v>
      </c>
      <c r="G11" s="23" t="s">
        <v>67</v>
      </c>
      <c r="H11" s="23" t="s">
        <v>68</v>
      </c>
    </row>
    <row r="12">
      <c r="A12" s="23" t="s">
        <v>75</v>
      </c>
      <c r="B12" s="27">
        <f>USD_Hist!B13</f>
        <v>106391.30400580374</v>
      </c>
      <c r="C12" s="27">
        <f>USD_Hist!C13</f>
        <v>76462.75462103248</v>
      </c>
      <c r="D12" s="27">
        <f>USD_Hist!D13</f>
        <v>70612.28294490553</v>
      </c>
      <c r="E12" s="27">
        <f>USD_Hist!E13</f>
        <v>82360.31246219772</v>
      </c>
      <c r="F12" s="27">
        <f>USD_Hist!F13</f>
        <v>91864.89320552222</v>
      </c>
      <c r="G12" s="23" t="s">
        <v>67</v>
      </c>
      <c r="H12" s="23" t="s">
        <v>68</v>
      </c>
    </row>
    <row r="13">
      <c r="A13" s="23" t="s">
        <v>76</v>
      </c>
      <c r="B13" s="27">
        <f>USD_Hist!B14</f>
        <v>266499.95280091604</v>
      </c>
      <c r="C13" s="27">
        <f>USD_Hist!C14</f>
        <v>289566.69346709055</v>
      </c>
      <c r="D13" s="27">
        <f>USD_Hist!D14</f>
        <v>278441.38746822655</v>
      </c>
      <c r="E13" s="27">
        <f>USD_Hist!E14</f>
        <v>294861.14053834113</v>
      </c>
      <c r="F13" s="27">
        <f>USD_Hist!F14</f>
        <v>306859.41739515716</v>
      </c>
      <c r="G13" s="23" t="s">
        <v>67</v>
      </c>
      <c r="H13" s="23" t="s">
        <v>68</v>
      </c>
    </row>
    <row r="14">
      <c r="A14" s="23" t="s">
        <v>77</v>
      </c>
      <c r="B14" s="27">
        <f>USD_Hist!B15</f>
        <v>34115.685828912065</v>
      </c>
      <c r="C14" s="27">
        <f>USD_Hist!C15</f>
        <v>40552.205729304835</v>
      </c>
      <c r="D14" s="27">
        <f>USD_Hist!D15</f>
        <v>52890.15787217102</v>
      </c>
      <c r="E14" s="27">
        <f>USD_Hist!E15</f>
        <v>39373.44731141015</v>
      </c>
      <c r="F14" s="27">
        <f>USD_Hist!F15</f>
        <v>40689.77065736449</v>
      </c>
      <c r="G14" s="23" t="s">
        <v>67</v>
      </c>
      <c r="H14" s="23" t="s">
        <v>68</v>
      </c>
    </row>
    <row r="15">
      <c r="A15" s="23" t="s">
        <v>78</v>
      </c>
      <c r="B15" s="27">
        <f>(BS_Hist!B33+BS_Hist!B39+BS_Hist!B45+BS_Hist!B46)/Sources_Audited!B21</f>
        <v>16075.788618028304</v>
      </c>
      <c r="C15" s="27">
        <f>(BS_Hist!C33+BS_Hist!C39+BS_Hist!C45+BS_Hist!C46)/Sources_Audited!C21</f>
        <v>8434.576628125753</v>
      </c>
      <c r="D15" s="27">
        <f>(BS_Hist!D33+BS_Hist!D39+BS_Hist!D45+BS_Hist!D46)/Sources_Audited!D21</f>
        <v>9712.694086301413</v>
      </c>
      <c r="E15" s="27">
        <f>(BS_Hist!E33+BS_Hist!E39+BS_Hist!E45+BS_Hist!E46)/Sources_Audited!E21</f>
        <v>14171.637200743398</v>
      </c>
      <c r="F15" s="27">
        <f>(BS_Hist!F33+BS_Hist!F39+BS_Hist!F45+BS_Hist!F46)/Sources_Audited!F21</f>
        <v>17750.415995611475</v>
      </c>
      <c r="G15" s="23" t="s">
        <v>79</v>
      </c>
      <c r="H15" s="23" t="s">
        <v>80</v>
      </c>
    </row>
    <row r="16">
      <c r="A16" s="23" t="s">
        <v>81</v>
      </c>
      <c r="B16" s="27">
        <f>USD_Hist!B16</f>
        <v>6793.109053141769</v>
      </c>
      <c r="C16" s="27">
        <f>USD_Hist!C16</f>
        <v>6792.853171155517</v>
      </c>
      <c r="D16" s="27">
        <f>USD_Hist!D16</f>
        <v>6791.8352885969025</v>
      </c>
      <c r="E16" s="27">
        <f>USD_Hist!E16</f>
        <v>6792.194545454546</v>
      </c>
      <c r="F16" s="27">
        <f>USD_Hist!F16</f>
        <v>6703.1585642889595</v>
      </c>
      <c r="G16" s="23" t="s">
        <v>82</v>
      </c>
      <c r="H16" s="23" t="s">
        <v>80</v>
      </c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5" width="15" customWidth="1"/>
    <col min="6" max="6" width="55" customWidth="1"/>
    <col min="7" max="8" width="15" customWidth="1"/>
  </cols>
  <sheetData>
    <row r="1" ht="28" customHeight="1">
      <c r="A1" s="17" t="s">
        <v>83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84</v>
      </c>
      <c r="B2" s="12"/>
      <c r="C2" s="12"/>
      <c r="D2" s="12"/>
      <c r="E2" s="12"/>
      <c r="F2" s="12"/>
      <c r="G2" s="4"/>
      <c r="H2" s="4"/>
    </row>
    <row r="3">
      <c r="A3" s="18" t="s">
        <v>85</v>
      </c>
      <c r="B3" s="36">
        <v>1</v>
      </c>
      <c r="C3" s="18"/>
      <c r="D3" s="18"/>
      <c r="E3" s="18"/>
      <c r="F3" s="18"/>
    </row>
    <row r="4">
      <c r="A4" s="19" t="s">
        <v>58</v>
      </c>
      <c r="B4" s="19" t="s">
        <v>86</v>
      </c>
      <c r="C4" s="19" t="s">
        <v>87</v>
      </c>
      <c r="D4" s="19" t="s">
        <v>88</v>
      </c>
      <c r="E4" s="19" t="s">
        <v>89</v>
      </c>
      <c r="F4" s="19" t="s">
        <v>90</v>
      </c>
    </row>
    <row r="5">
      <c r="A5" s="23" t="s">
        <v>91</v>
      </c>
      <c r="B5" s="37">
        <f>C5-0.03</f>
        <v>0.015134749524406771</v>
      </c>
      <c r="C5" s="37">
        <f>(IS_Hist!F5/IS_Hist!B5)^(1/4)-1</f>
        <v>0.04513474952440677</v>
      </c>
      <c r="D5" s="37">
        <f>C5+0.03</f>
        <v>0.07513474952440677</v>
      </c>
      <c r="E5" s="38">
        <f>CHOOSE($B$3,C5,D5,B5)</f>
        <v>0.04513474952440677</v>
      </c>
      <c r="F5" s="23" t="s">
        <v>92</v>
      </c>
    </row>
    <row r="6">
      <c r="A6" s="23" t="s">
        <v>93</v>
      </c>
      <c r="B6" s="37">
        <f>C6-0.03</f>
        <v>0.10069626776247609</v>
      </c>
      <c r="C6" s="37">
        <f>IS_Hist!F9/IS_Hist!F5</f>
        <v>0.1306962677624761</v>
      </c>
      <c r="D6" s="37">
        <f>C6+0.03</f>
        <v>0.16069626776247609</v>
      </c>
      <c r="E6" s="38">
        <f>CHOOSE($B$3,C6,D6,B6)</f>
        <v>0.1306962677624761</v>
      </c>
      <c r="F6" s="23" t="s">
        <v>94</v>
      </c>
    </row>
    <row r="7">
      <c r="A7" s="23" t="s">
        <v>95</v>
      </c>
      <c r="B7" s="37">
        <f>C7+0.03</f>
        <v>0.1163892263833466</v>
      </c>
      <c r="C7" s="37">
        <f>IS_Hist!F16/IS_Hist!F15</f>
        <v>0.0863892263833466</v>
      </c>
      <c r="D7" s="37">
        <f>MAX(C7-0.03,0)</f>
        <v>0.056389226383346605</v>
      </c>
      <c r="E7" s="38">
        <f>CHOOSE($B$3,C7,D7,B7)</f>
        <v>0.0863892263833466</v>
      </c>
      <c r="F7" s="23" t="s">
        <v>96</v>
      </c>
    </row>
    <row r="8">
      <c r="A8" s="23" t="s">
        <v>97</v>
      </c>
      <c r="B8" s="37">
        <f>C8+0.01</f>
        <v>0.15514306459000166</v>
      </c>
      <c r="C8" s="37">
        <f>SUMPRODUCT(CF_Hist!B7:F7/IS_Hist!B5:F5)/5</f>
        <v>0.14514306459000165</v>
      </c>
      <c r="D8" s="37">
        <f>MAX(C8-0.01,0)</f>
        <v>0.13514306459000164</v>
      </c>
      <c r="E8" s="38">
        <f>CHOOSE($B$3,C8,D8,B8)</f>
        <v>0.14514306459000165</v>
      </c>
      <c r="F8" s="23" t="s">
        <v>98</v>
      </c>
    </row>
    <row r="9">
      <c r="A9" s="23" t="s">
        <v>99</v>
      </c>
      <c r="B9" s="37">
        <f>C9+0.015</f>
        <v>0.18857682212968108</v>
      </c>
      <c r="C9" s="37">
        <f>-SUMPRODUCT(CF_Hist!B29:F29/IS_Hist!B5:F5)/5</f>
        <v>0.17357682212968106</v>
      </c>
      <c r="D9" s="37">
        <f>MAX(C9-0.015,0)</f>
        <v>0.15857682212968105</v>
      </c>
      <c r="E9" s="38">
        <f>CHOOSE($B$3,C9,D9,B9)</f>
        <v>0.17357682212968106</v>
      </c>
      <c r="F9" s="23" t="s">
        <v>100</v>
      </c>
    </row>
    <row r="10">
      <c r="A10" s="23" t="s">
        <v>101</v>
      </c>
      <c r="B10" s="37">
        <v>0.025</v>
      </c>
      <c r="C10" s="37">
        <v>0.015</v>
      </c>
      <c r="D10" s="37">
        <v>0.005</v>
      </c>
      <c r="E10" s="38">
        <f>CHOOSE($B$3,C10,D10,B10)</f>
        <v>0.015</v>
      </c>
      <c r="F10" s="23" t="s">
        <v>102</v>
      </c>
    </row>
    <row r="11">
      <c r="A11" s="23" t="s">
        <v>103</v>
      </c>
      <c r="B11" s="37">
        <v>0.11</v>
      </c>
      <c r="C11" s="37">
        <v>0.09</v>
      </c>
      <c r="D11" s="37">
        <v>0.075</v>
      </c>
      <c r="E11" s="38">
        <f>CHOOSE($B$3,C11,D11,B11)</f>
        <v>0.09</v>
      </c>
      <c r="F11" s="23" t="s">
        <v>104</v>
      </c>
    </row>
    <row r="12">
      <c r="A12" s="23" t="s">
        <v>105</v>
      </c>
      <c r="B12" s="37">
        <v>0.015</v>
      </c>
      <c r="C12" s="37">
        <v>0.025</v>
      </c>
      <c r="D12" s="37">
        <v>0.035</v>
      </c>
      <c r="E12" s="38">
        <f>CHOOSE($B$3,C12,D12,B12)</f>
        <v>0.025</v>
      </c>
      <c r="F12" s="23" t="s">
        <v>106</v>
      </c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3"/>
      <c r="D15" s="23"/>
      <c r="E15" s="23"/>
      <c r="F15" s="2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8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107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108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63</v>
      </c>
      <c r="C4" s="19" t="s">
        <v>109</v>
      </c>
      <c r="D4" s="19" t="s">
        <v>110</v>
      </c>
      <c r="E4" s="19" t="s">
        <v>111</v>
      </c>
      <c r="F4" s="19" t="s">
        <v>112</v>
      </c>
      <c r="G4" s="19" t="s">
        <v>113</v>
      </c>
    </row>
    <row r="5">
      <c r="A5" s="46" t="s">
        <v>66</v>
      </c>
      <c r="B5" s="27">
        <f>USD_Hist!F6</f>
        <v>234621.4812678899</v>
      </c>
      <c r="C5" s="27">
        <f>B5*(1+Assumptions!$E$5)</f>
        <v>245211.0630579614</v>
      </c>
      <c r="D5" s="27">
        <f>C5*(1+Assumptions!$E$5)</f>
        <v>256278.60296969602</v>
      </c>
      <c r="E5" s="27">
        <f>D5*(1+Assumptions!$E$5)</f>
        <v>267845.6735231981</v>
      </c>
      <c r="F5" s="27">
        <f>E5*(1+Assumptions!$E$5)</f>
        <v>279934.8209088637</v>
      </c>
      <c r="G5" s="27">
        <f>F5*(1+Assumptions!$E$5)</f>
        <v>292569.6089337449</v>
      </c>
    </row>
    <row r="6">
      <c r="A6" s="46" t="s">
        <v>114</v>
      </c>
      <c r="B6" s="38"/>
      <c r="C6" s="38">
        <f>IF(B5&lt;&gt;0,C5/B5-1,0)</f>
        <v>0.04513474952440677</v>
      </c>
      <c r="D6" s="38">
        <f>IF(C5&lt;&gt;0,D5/C5-1,0)</f>
        <v>0.04513474952440677</v>
      </c>
      <c r="E6" s="38">
        <f>IF(D5&lt;&gt;0,E5/D5-1,0)</f>
        <v>0.04513474952440677</v>
      </c>
      <c r="F6" s="38">
        <f>IF(E5&lt;&gt;0,F5/E5-1,0)</f>
        <v>0.04513474952440677</v>
      </c>
      <c r="G6" s="38">
        <f>IF(F5&lt;&gt;0,G5/F5-1,0)</f>
        <v>0.04513474952440677</v>
      </c>
    </row>
    <row r="7">
      <c r="A7" s="46" t="s">
        <v>93</v>
      </c>
      <c r="B7" s="38">
        <f>USD_Hist!F8/USD_Hist!F6</f>
        <v>0.1306962677624761</v>
      </c>
      <c r="C7" s="38">
        <f>Assumptions!$E$6</f>
        <v>0.1306962677624761</v>
      </c>
      <c r="D7" s="38">
        <f>Assumptions!$E$6</f>
        <v>0.1306962677624761</v>
      </c>
      <c r="E7" s="38">
        <f>Assumptions!$E$6</f>
        <v>0.1306962677624761</v>
      </c>
      <c r="F7" s="38">
        <f>Assumptions!$E$6</f>
        <v>0.1306962677624761</v>
      </c>
      <c r="G7" s="38">
        <f>Assumptions!$E$6</f>
        <v>0.1306962677624761</v>
      </c>
    </row>
    <row r="8">
      <c r="A8" s="46" t="s">
        <v>115</v>
      </c>
      <c r="B8" s="27">
        <f>USD_Hist!F8</f>
        <v>30664.15193861691</v>
      </c>
      <c r="C8" s="27">
        <f>C5*C7</f>
        <v>32048.170755744733</v>
      </c>
      <c r="D8" s="27">
        <f>D5*D7</f>
        <v>33494.65691552069</v>
      </c>
      <c r="E8" s="27">
        <f>E5*E7</f>
        <v>35006.429865808655</v>
      </c>
      <c r="F8" s="27">
        <f>F5*F7</f>
        <v>36586.436309545636</v>
      </c>
      <c r="G8" s="27">
        <f>G5*G7</f>
        <v>38237.75594836764</v>
      </c>
    </row>
    <row r="9">
      <c r="A9" s="46" t="s">
        <v>95</v>
      </c>
      <c r="B9" s="38"/>
      <c r="C9" s="38">
        <f>Assumptions!$E$7</f>
        <v>0.0863892263833466</v>
      </c>
      <c r="D9" s="38">
        <f>Assumptions!$E$7</f>
        <v>0.0863892263833466</v>
      </c>
      <c r="E9" s="38">
        <f>Assumptions!$E$7</f>
        <v>0.0863892263833466</v>
      </c>
      <c r="F9" s="38">
        <f>Assumptions!$E$7</f>
        <v>0.0863892263833466</v>
      </c>
      <c r="G9" s="38">
        <f>Assumptions!$E$7</f>
        <v>0.0863892263833466</v>
      </c>
    </row>
    <row r="10">
      <c r="A10" s="46" t="s">
        <v>116</v>
      </c>
      <c r="B10" s="27"/>
      <c r="C10" s="27">
        <f>C8*(1-C9)</f>
        <v>29279.554077154557</v>
      </c>
      <c r="D10" s="27">
        <f>D8*(1-D9)</f>
        <v>30601.079416613247</v>
      </c>
      <c r="E10" s="27">
        <f>E8*(1-E9)</f>
        <v>31982.25147125857</v>
      </c>
      <c r="F10" s="27">
        <f>F8*(1-F9)</f>
        <v>33425.76238064041</v>
      </c>
      <c r="G10" s="27">
        <f>G8*(1-G9)</f>
        <v>34934.42579335295</v>
      </c>
    </row>
    <row r="11">
      <c r="A11" s="46" t="s">
        <v>117</v>
      </c>
      <c r="B11" s="27"/>
      <c r="C11" s="27">
        <f>C5*Assumptions!$E$8</f>
        <v>35590.685163604656</v>
      </c>
      <c r="D11" s="27">
        <f>D5*Assumptions!$E$8</f>
        <v>37197.06182386597</v>
      </c>
      <c r="E11" s="27">
        <f>E5*Assumptions!$E$8</f>
        <v>38875.94189233004</v>
      </c>
      <c r="F11" s="27">
        <f>F5*Assumptions!$E$8</f>
        <v>40630.59779216575</v>
      </c>
      <c r="G11" s="27">
        <f>G5*Assumptions!$E$8</f>
        <v>42464.44964654206</v>
      </c>
    </row>
    <row r="12">
      <c r="A12" s="46" t="s">
        <v>73</v>
      </c>
      <c r="B12" s="27"/>
      <c r="C12" s="27">
        <f>-C5*Assumptions!$E$9</f>
        <v>-42562.957076641775</v>
      </c>
      <c r="D12" s="27">
        <f>-D5*Assumptions!$E$9</f>
        <v>-44484.02548331408</v>
      </c>
      <c r="E12" s="27">
        <f>-E5*Assumptions!$E$9</f>
        <v>-46491.800831340784</v>
      </c>
      <c r="F12" s="27">
        <f>-F5*Assumptions!$E$9</f>
        <v>-48590.19661680196</v>
      </c>
      <c r="G12" s="27">
        <f>-G5*Assumptions!$E$9</f>
        <v>-50783.30297044299</v>
      </c>
    </row>
    <row r="13">
      <c r="A13" s="46" t="s">
        <v>118</v>
      </c>
      <c r="B13" s="27"/>
      <c r="C13" s="27">
        <f>-(C5-B5)*Assumptions!$E$10</f>
        <v>-158.84372685107257</v>
      </c>
      <c r="D13" s="27">
        <f>-(D5-C5)*Assumptions!$E$10</f>
        <v>-166.01309867601913</v>
      </c>
      <c r="E13" s="27">
        <f>-(E5-D5)*Assumptions!$E$10</f>
        <v>-173.50605830253144</v>
      </c>
      <c r="F13" s="27">
        <f>-(F5-E5)*Assumptions!$E$10</f>
        <v>-181.33721078498345</v>
      </c>
      <c r="G13" s="27">
        <f>-(G5-F5)*Assumptions!$E$10</f>
        <v>-189.52182037321822</v>
      </c>
    </row>
    <row r="14">
      <c r="A14" s="46" t="s">
        <v>119</v>
      </c>
      <c r="B14" s="27"/>
      <c r="C14" s="27">
        <f>C10+C11+C12+C13</f>
        <v>22148.438437266366</v>
      </c>
      <c r="D14" s="27">
        <f>D10+D11+D12+D13</f>
        <v>23148.102658489122</v>
      </c>
      <c r="E14" s="27">
        <f>E10+E11+E12+E13</f>
        <v>24192.886473945295</v>
      </c>
      <c r="F14" s="27">
        <f>F10+F11+F12+F13</f>
        <v>25284.826345219222</v>
      </c>
      <c r="G14" s="27">
        <f>G10+G11+G12+G13</f>
        <v>26426.050649078807</v>
      </c>
    </row>
    <row r="15">
      <c r="A15" s="46" t="s">
        <v>77</v>
      </c>
      <c r="B15" s="27">
        <f>USD_Hist!F15</f>
        <v>40689.77065736449</v>
      </c>
      <c r="C15" s="27">
        <f>$B$15</f>
        <v>40689.77065736449</v>
      </c>
      <c r="D15" s="27">
        <f>$B$15</f>
        <v>40689.77065736449</v>
      </c>
      <c r="E15" s="27">
        <f>$B$15</f>
        <v>40689.77065736449</v>
      </c>
      <c r="F15" s="27">
        <f>$B$15</f>
        <v>40689.77065736449</v>
      </c>
      <c r="G15" s="27">
        <f>$B$15</f>
        <v>40689.77065736449</v>
      </c>
    </row>
    <row r="16">
      <c r="A16" s="46" t="s">
        <v>78</v>
      </c>
      <c r="B16" s="27">
        <f>(BS_Hist!F33+BS_Hist!F39+BS_Hist!F45+BS_Hist!F46)/Sources_Audited!F21</f>
        <v>17750.415995611475</v>
      </c>
      <c r="C16" s="27">
        <f>$B$16</f>
        <v>17750.415995611475</v>
      </c>
      <c r="D16" s="27">
        <f>$B$16</f>
        <v>17750.415995611475</v>
      </c>
      <c r="E16" s="27">
        <f>$B$16</f>
        <v>17750.415995611475</v>
      </c>
      <c r="F16" s="27">
        <f>$B$16</f>
        <v>17750.415995611475</v>
      </c>
      <c r="G16" s="27">
        <f>$B$16</f>
        <v>17750.415995611475</v>
      </c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22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120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121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122</v>
      </c>
      <c r="C4" s="19" t="s">
        <v>123</v>
      </c>
      <c r="D4" s="19" t="s">
        <v>124</v>
      </c>
      <c r="E4" s="19" t="s">
        <v>125</v>
      </c>
      <c r="F4" s="19" t="s">
        <v>126</v>
      </c>
      <c r="G4" s="19" t="s">
        <v>127</v>
      </c>
    </row>
    <row r="5">
      <c r="A5" s="23" t="s">
        <v>119</v>
      </c>
      <c r="B5" s="27">
        <f>Forecast!C14</f>
        <v>22148.438437266366</v>
      </c>
      <c r="C5" s="27">
        <f>Forecast!D14</f>
        <v>23148.102658489122</v>
      </c>
      <c r="D5" s="27">
        <f>Forecast!E14</f>
        <v>24192.886473945295</v>
      </c>
      <c r="E5" s="27">
        <f>Forecast!F14</f>
        <v>25284.826345219222</v>
      </c>
      <c r="F5" s="27">
        <f>Forecast!G14</f>
        <v>26426.050649078807</v>
      </c>
      <c r="G5" s="27"/>
    </row>
    <row r="6">
      <c r="A6" s="23" t="s">
        <v>128</v>
      </c>
      <c r="B6" s="27">
        <f>1/(1+Assumptions!$E$11)^1</f>
        <v>0.9174311926605504</v>
      </c>
      <c r="C6" s="27">
        <f>1/(1+Assumptions!$E$11)^2</f>
        <v>0.84167999326656</v>
      </c>
      <c r="D6" s="27">
        <f>1/(1+Assumptions!$E$11)^3</f>
        <v>0.7721834800610642</v>
      </c>
      <c r="E6" s="27">
        <f>1/(1+Assumptions!$E$11)^4</f>
        <v>0.7084252110651963</v>
      </c>
      <c r="F6" s="27">
        <f>1/(1+Assumptions!$E$11)^5</f>
        <v>0.6499313862983452</v>
      </c>
      <c r="G6" s="27"/>
    </row>
    <row r="7">
      <c r="A7" s="23" t="s">
        <v>129</v>
      </c>
      <c r="B7" s="27">
        <f>B5*B6</f>
        <v>20319.66829107006</v>
      </c>
      <c r="C7" s="27">
        <f>C5*C6</f>
        <v>19483.29488973076</v>
      </c>
      <c r="D7" s="27">
        <f>D5*D6</f>
        <v>18681.347270173326</v>
      </c>
      <c r="E7" s="27">
        <f>E5*E6</f>
        <v>17912.408440358762</v>
      </c>
      <c r="F7" s="27">
        <f>F5*F6</f>
        <v>17175.119732746076</v>
      </c>
      <c r="G7" s="27"/>
    </row>
    <row r="8">
      <c r="A8" s="23"/>
      <c r="B8" s="27"/>
      <c r="C8" s="27"/>
      <c r="D8" s="27"/>
      <c r="E8" s="27"/>
      <c r="F8" s="27"/>
      <c r="G8" s="27"/>
    </row>
    <row r="9">
      <c r="A9" s="19" t="s">
        <v>130</v>
      </c>
      <c r="B9" s="49" t="s">
        <v>3</v>
      </c>
      <c r="C9" s="27"/>
      <c r="D9" s="27"/>
      <c r="E9" s="27"/>
      <c r="F9" s="27"/>
      <c r="G9" s="27"/>
    </row>
    <row r="10">
      <c r="A10" s="23" t="s">
        <v>131</v>
      </c>
      <c r="B10" s="27">
        <f>SUM(B7:F7)</f>
        <v>93571.83862407898</v>
      </c>
      <c r="C10" s="27"/>
      <c r="D10" s="27"/>
      <c r="E10" s="27"/>
      <c r="F10" s="27"/>
      <c r="G10" s="27"/>
    </row>
    <row r="11">
      <c r="A11" s="23" t="s">
        <v>132</v>
      </c>
      <c r="B11" s="27">
        <f>IF(Assumptions!$E$11&gt;Assumptions!$E$12,F5*(1+Assumptions!$E$12)/(Assumptions!$E$11-Assumptions!$E$12),0)</f>
        <v>416718.4910047042</v>
      </c>
      <c r="C11" s="27"/>
      <c r="D11" s="27"/>
      <c r="E11" s="27"/>
      <c r="F11" s="27"/>
      <c r="G11" s="27"/>
    </row>
    <row r="12">
      <c r="A12" s="23" t="s">
        <v>133</v>
      </c>
      <c r="B12" s="27">
        <f>B11*F6</f>
        <v>270838.4265548419</v>
      </c>
      <c r="C12" s="27"/>
      <c r="D12" s="27"/>
      <c r="E12" s="27"/>
      <c r="F12" s="27"/>
      <c r="G12" s="27"/>
    </row>
    <row r="13">
      <c r="A13" s="23" t="s">
        <v>134</v>
      </c>
      <c r="B13" s="27">
        <f>B10+B12</f>
        <v>364410.26517892093</v>
      </c>
      <c r="C13" s="27"/>
      <c r="D13" s="27"/>
      <c r="E13" s="27"/>
      <c r="F13" s="27"/>
      <c r="G13" s="27"/>
    </row>
    <row r="14">
      <c r="A14" s="23" t="s">
        <v>77</v>
      </c>
      <c r="B14" s="27">
        <f>Forecast!B15</f>
        <v>40689.77065736449</v>
      </c>
      <c r="C14" s="27"/>
      <c r="D14" s="27"/>
      <c r="E14" s="27"/>
      <c r="F14" s="27"/>
      <c r="G14" s="27"/>
    </row>
    <row r="15">
      <c r="A15" s="23" t="s">
        <v>78</v>
      </c>
      <c r="B15" s="27">
        <f>Forecast!B16</f>
        <v>17750.415995611475</v>
      </c>
      <c r="C15" s="27"/>
      <c r="D15" s="27"/>
      <c r="E15" s="27"/>
      <c r="F15" s="27"/>
      <c r="G15" s="27"/>
    </row>
    <row r="16">
      <c r="A16" s="23" t="s">
        <v>135</v>
      </c>
      <c r="B16" s="27">
        <f>B13+B14-B15</f>
        <v>387349.619840674</v>
      </c>
      <c r="C16" s="27"/>
      <c r="D16" s="27"/>
      <c r="E16" s="27"/>
      <c r="F16" s="27"/>
      <c r="G16" s="27"/>
    </row>
    <row r="17">
      <c r="A17" s="23" t="s">
        <v>81</v>
      </c>
      <c r="B17" s="27">
        <f>USD_Hist!F16</f>
        <v>6703.1585642889595</v>
      </c>
      <c r="C17" s="27"/>
      <c r="D17" s="27"/>
      <c r="E17" s="27"/>
      <c r="F17" s="27"/>
      <c r="G17" s="27"/>
    </row>
    <row r="18">
      <c r="A18" s="23" t="s">
        <v>136</v>
      </c>
      <c r="B18" s="27">
        <f>IF(B17&gt;0,B16/B17,0)</f>
        <v>57.78613412254291</v>
      </c>
      <c r="C18" s="27"/>
      <c r="D18" s="27"/>
      <c r="E18" s="27"/>
      <c r="F18" s="27"/>
      <c r="G18" s="27"/>
    </row>
    <row r="19">
      <c r="A19" s="23" t="s">
        <v>16</v>
      </c>
      <c r="B19" s="27"/>
      <c r="C19" s="27"/>
      <c r="D19" s="27"/>
      <c r="E19" s="27"/>
      <c r="F19" s="27"/>
      <c r="G19" s="27"/>
    </row>
    <row r="20">
      <c r="A20" s="23" t="s">
        <v>137</v>
      </c>
      <c r="B20" s="27">
        <f>IF(B19&gt;0,B18/B19-1,0)</f>
        <v>0</v>
      </c>
      <c r="C20" s="27"/>
      <c r="D20" s="27"/>
      <c r="E20" s="27"/>
      <c r="F20" s="27"/>
      <c r="G20" s="27"/>
    </row>
    <row r="21">
      <c r="A21" s="18"/>
      <c r="B21" s="18"/>
      <c r="C21" s="18"/>
      <c r="D21" s="18"/>
      <c r="E21" s="18"/>
      <c r="F21" s="18"/>
      <c r="G21" s="18"/>
    </row>
    <row r="22">
      <c r="A22" s="18"/>
      <c r="B22" s="18"/>
      <c r="C22" s="18"/>
      <c r="D22" s="18"/>
      <c r="E22" s="18"/>
      <c r="F22" s="18"/>
      <c r="G22" s="18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1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138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139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52" t="s">
        <v>140</v>
      </c>
      <c r="B4" s="52">
        <v>0.07</v>
      </c>
      <c r="C4" s="52">
        <v>0.08</v>
      </c>
      <c r="D4" s="52">
        <v>0.09</v>
      </c>
      <c r="E4" s="52">
        <v>0.1</v>
      </c>
      <c r="F4" s="52">
        <v>0.11</v>
      </c>
    </row>
    <row r="5">
      <c r="A5" s="52">
        <v>0.01</v>
      </c>
      <c r="B5" s="27">
        <f>SUMPRODUCT(Valuation!$B$5:$F$5,1/(1+B$4)^{1,2,3,4,5})+IF(B$4&gt;$A5,Valuation!$F$5*(1+$A5)/(B$4-$A5)/(1+B$4)^5,0)</f>
        <v>415961.32456887444</v>
      </c>
      <c r="C5" s="27">
        <f>SUMPRODUCT(Valuation!$B$5:$F$5,1/(1+C$4)^{1,2,3,4,5})+IF(C$4&gt;$A5,Valuation!$F$5*(1+$A5)/(C$4-$A5)/(1+C$4)^5,0)</f>
        <v>355628.57756021904</v>
      </c>
      <c r="D5" s="27">
        <f>SUMPRODUCT(Valuation!$B$5:$F$5,1/(1+D$4)^{1,2,3,4,5})+IF(D$4&gt;$A5,Valuation!$F$5*(1+$A5)/(D$4-$A5)/(1+D$4)^5,0)</f>
        <v>310407.72524999816</v>
      </c>
      <c r="E5" s="27">
        <f>SUMPRODUCT(Valuation!$B$5:$F$5,1/(1+E$4)^{1,2,3,4,5})+IF(E$4&gt;$A5,Valuation!$F$5*(1+$A5)/(E$4-$A5)/(1+E$4)^5,0)</f>
        <v>275260.27063253656</v>
      </c>
      <c r="F5" s="27">
        <f>SUMPRODUCT(Valuation!$B$5:$F$5,1/(1+F$4)^{1,2,3,4,5})+IF(F$4&gt;$A5,Valuation!$F$5*(1+$A5)/(F$4-$A5)/(1+F$4)^5,0)</f>
        <v>247163.17678309</v>
      </c>
    </row>
    <row r="6">
      <c r="A6" s="52">
        <v>0.02</v>
      </c>
      <c r="B6" s="27">
        <f>SUMPRODUCT(Valuation!$B$5:$F$5,1/(1+B$4)^{1,2,3,4,5})+IF(B$4&gt;$A6,Valuation!$F$5*(1+$A6)/(B$4-$A6)/(1+B$4)^5,0)</f>
        <v>483162.34961389983</v>
      </c>
      <c r="C6" s="27">
        <f>SUMPRODUCT(Valuation!$B$5:$F$5,1/(1+C$4)^{1,2,3,4,5})+IF(C$4&gt;$A6,Valuation!$F$5*(1+$A6)/(C$4-$A6)/(1+C$4)^5,0)</f>
        <v>401876.04450922855</v>
      </c>
      <c r="D6" s="27">
        <f>SUMPRODUCT(Valuation!$B$5:$F$5,1/(1+D$4)^{1,2,3,4,5})+IF(D$4&gt;$A6,Valuation!$F$5*(1+$A6)/(D$4-$A6)/(1+D$4)^5,0)</f>
        <v>343837.86901552184</v>
      </c>
      <c r="E6" s="27">
        <f>SUMPRODUCT(Valuation!$B$5:$F$5,1/(1+E$4)^{1,2,3,4,5})+IF(E$4&gt;$A6,Valuation!$F$5*(1+$A6)/(E$4-$A6)/(1+E$4)^5,0)</f>
        <v>300328.80975125835</v>
      </c>
      <c r="F6" s="27">
        <f>SUMPRODUCT(Valuation!$B$5:$F$5,1/(1+F$4)^{1,2,3,4,5})+IF(F$4&gt;$A6,Valuation!$F$5*(1+$A6)/(F$4-$A6)/(1+F$4)^5,0)</f>
        <v>266505.01910183753</v>
      </c>
    </row>
    <row r="7">
      <c r="A7" s="52">
        <v>0.03</v>
      </c>
      <c r="B7" s="27">
        <f>SUMPRODUCT(Valuation!$B$5:$F$5,1/(1+B$4)^{1,2,3,4,5})+IF(B$4&gt;$A7,Valuation!$F$5*(1+$A7)/(B$4-$A7)/(1+B$4)^5,0)</f>
        <v>583963.8871814378</v>
      </c>
      <c r="C7" s="27">
        <f>SUMPRODUCT(Valuation!$B$5:$F$5,1/(1+C$4)^{1,2,3,4,5})+IF(C$4&gt;$A7,Valuation!$F$5*(1+$A7)/(C$4-$A7)/(1+C$4)^5,0)</f>
        <v>466622.498237842</v>
      </c>
      <c r="D7" s="27">
        <f>SUMPRODUCT(Valuation!$B$5:$F$5,1/(1+D$4)^{1,2,3,4,5})+IF(D$4&gt;$A7,Valuation!$F$5*(1+$A7)/(D$4-$A7)/(1+D$4)^5,0)</f>
        <v>388411.39403622004</v>
      </c>
      <c r="E7" s="27">
        <f>SUMPRODUCT(Valuation!$B$5:$F$5,1/(1+E$4)^{1,2,3,4,5})+IF(E$4&gt;$A7,Valuation!$F$5*(1+$A7)/(E$4-$A7)/(1+E$4)^5,0)</f>
        <v>332559.7886181864</v>
      </c>
      <c r="F7" s="27">
        <f>SUMPRODUCT(Valuation!$B$5:$F$5,1/(1+F$4)^{1,2,3,4,5})+IF(F$4&gt;$A7,Valuation!$F$5*(1+$A7)/(F$4-$A7)/(1+F$4)^5,0)</f>
        <v>290682.322000272</v>
      </c>
    </row>
    <row r="8">
      <c r="A8" s="52">
        <v>0.04</v>
      </c>
      <c r="B8" s="27">
        <f>SUMPRODUCT(Valuation!$B$5:$F$5,1/(1+B$4)^{1,2,3,4,5})+IF(B$4&gt;$A8,Valuation!$F$5*(1+$A8)/(B$4-$A8)/(1+B$4)^5,0)</f>
        <v>751966.4497940012</v>
      </c>
      <c r="C8" s="27">
        <f>SUMPRODUCT(Valuation!$B$5:$F$5,1/(1+C$4)^{1,2,3,4,5})+IF(C$4&gt;$A8,Valuation!$F$5*(1+$A8)/(C$4-$A8)/(1+C$4)^5,0)</f>
        <v>563742.178830762</v>
      </c>
      <c r="D8" s="27">
        <f>SUMPRODUCT(Valuation!$B$5:$F$5,1/(1+D$4)^{1,2,3,4,5})+IF(D$4&gt;$A8,Valuation!$F$5*(1+$A8)/(D$4-$A8)/(1+D$4)^5,0)</f>
        <v>450814.3290651974</v>
      </c>
      <c r="E8" s="27">
        <f>SUMPRODUCT(Valuation!$B$5:$F$5,1/(1+E$4)^{1,2,3,4,5})+IF(E$4&gt;$A8,Valuation!$F$5*(1+$A8)/(E$4-$A8)/(1+E$4)^5,0)</f>
        <v>375534.42710742366</v>
      </c>
      <c r="F8" s="27">
        <f>SUMPRODUCT(Valuation!$B$5:$F$5,1/(1+F$4)^{1,2,3,4,5})+IF(F$4&gt;$A8,Valuation!$F$5*(1+$A8)/(F$4-$A8)/(1+F$4)^5,0)</f>
        <v>321767.4257268305</v>
      </c>
    </row>
    <row r="9">
      <c r="A9" s="52">
        <v>0.05</v>
      </c>
      <c r="B9" s="27">
        <f>SUMPRODUCT(Valuation!$B$5:$F$5,1/(1+B$4)^{1,2,3,4,5})+IF(B$4&gt;$A9,Valuation!$F$5*(1+$A9)/(B$4-$A9)/(1+B$4)^5,0)</f>
        <v>1087971.5750191282</v>
      </c>
      <c r="C9" s="27">
        <f>SUMPRODUCT(Valuation!$B$5:$F$5,1/(1+C$4)^{1,2,3,4,5})+IF(C$4&gt;$A9,Valuation!$F$5*(1+$A9)/(C$4-$A9)/(1+C$4)^5,0)</f>
        <v>725608.3131522955</v>
      </c>
      <c r="D9" s="27">
        <f>SUMPRODUCT(Valuation!$B$5:$F$5,1/(1+D$4)^{1,2,3,4,5})+IF(D$4&gt;$A9,Valuation!$F$5*(1+$A9)/(D$4-$A9)/(1+D$4)^5,0)</f>
        <v>544418.7316086636</v>
      </c>
      <c r="E9" s="27">
        <f>SUMPRODUCT(Valuation!$B$5:$F$5,1/(1+E$4)^{1,2,3,4,5})+IF(E$4&gt;$A9,Valuation!$F$5*(1+$A9)/(E$4-$A9)/(1+E$4)^5,0)</f>
        <v>435698.92099235597</v>
      </c>
      <c r="F9" s="27">
        <f>SUMPRODUCT(Valuation!$B$5:$F$5,1/(1+F$4)^{1,2,3,4,5})+IF(F$4&gt;$A9,Valuation!$F$5*(1+$A9)/(F$4-$A9)/(1+F$4)^5,0)</f>
        <v>363214.2306955753</v>
      </c>
    </row>
    <row r="10">
      <c r="A10" s="18"/>
      <c r="B10" s="18"/>
      <c r="C10" s="18"/>
      <c r="D10" s="18"/>
      <c r="E10" s="18"/>
      <c r="F10" s="18"/>
    </row>
    <row r="11">
      <c r="A11" s="18"/>
      <c r="B11" s="18"/>
      <c r="C11" s="18"/>
      <c r="D11" s="18"/>
      <c r="E11" s="18"/>
      <c r="F11" s="18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4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0" customWidth="1"/>
    <col min="5" max="8" width="15" customWidth="1"/>
  </cols>
  <sheetData>
    <row r="1" ht="28" customHeight="1">
      <c r="A1" s="17" t="s">
        <v>141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142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143</v>
      </c>
      <c r="B4" s="19" t="s">
        <v>144</v>
      </c>
      <c r="C4" s="19" t="s">
        <v>145</v>
      </c>
      <c r="D4" s="19" t="s">
        <v>146</v>
      </c>
    </row>
    <row r="5">
      <c r="A5" s="23" t="s">
        <v>147</v>
      </c>
      <c r="B5" s="23" t="str">
        <f>IF(MIN(Forecast!C5:G5)&gt;=0,"PASS","FAIL")</f>
        <v>PASS</v>
      </c>
      <c r="C5" s="23" t="s">
        <v>148</v>
      </c>
      <c r="D5" s="23" t="s">
        <v>149</v>
      </c>
    </row>
    <row r="6">
      <c r="A6" s="23" t="s">
        <v>150</v>
      </c>
      <c r="B6" s="23" t="str">
        <f>IF(COUNT(Forecast!C14:G14)=5,"PASS","FAIL")</f>
        <v>PASS</v>
      </c>
      <c r="C6" s="23" t="s">
        <v>148</v>
      </c>
      <c r="D6" s="23" t="s">
        <v>151</v>
      </c>
    </row>
    <row r="7">
      <c r="A7" s="23" t="s">
        <v>152</v>
      </c>
      <c r="B7" s="23" t="str">
        <f>IF(Assumptions!E11&gt;Assumptions!E12,"PASS","FAIL")</f>
        <v>PASS</v>
      </c>
      <c r="C7" s="23" t="s">
        <v>148</v>
      </c>
      <c r="D7" s="23" t="s">
        <v>153</v>
      </c>
    </row>
    <row r="8">
      <c r="A8" s="23" t="s">
        <v>154</v>
      </c>
      <c r="B8" s="23" t="str">
        <f>IF(ABS(Valuation!B16-(Valuation!B13+Valuation!B14-Valuation!B15))&lt;0.1,"PASS","FAIL")</f>
        <v>PASS</v>
      </c>
      <c r="C8" s="23" t="s">
        <v>148</v>
      </c>
      <c r="D8" s="23" t="s">
        <v>155</v>
      </c>
    </row>
    <row r="9">
      <c r="A9" s="23" t="s">
        <v>156</v>
      </c>
      <c r="B9" s="23" t="str">
        <f>IF(COUNTBLANK(Historical!B5:F16)=0,"PASS","LIMITED")</f>
        <v>PASS</v>
      </c>
      <c r="C9" s="23" t="s">
        <v>157</v>
      </c>
      <c r="D9" s="23" t="s">
        <v>158</v>
      </c>
    </row>
    <row r="10">
      <c r="A10" s="23"/>
      <c r="B10" s="23"/>
      <c r="C10" s="23"/>
      <c r="D10" s="23"/>
    </row>
    <row r="11">
      <c r="A11" s="19" t="s">
        <v>159</v>
      </c>
      <c r="B11" s="19" t="str">
        <f>IF(COUNTIF(B5:B9,"FAIL")=0,IF(COUNTIF(B5:B9,"LIMITED")=0,"PASS","PASS WITH LIMITATIONS"),"FAIL")</f>
        <v>PASS</v>
      </c>
      <c r="C11" s="23"/>
      <c r="D11" s="23"/>
    </row>
    <row r="12">
      <c r="A12" s="23" t="s">
        <v>160</v>
      </c>
      <c r="B12" s="23" t="s">
        <v>9</v>
      </c>
      <c r="C12" s="23"/>
      <c r="D12" s="23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2" customWidth="1"/>
    <col min="5" max="8" width="15" customWidth="1"/>
  </cols>
  <sheetData>
    <row r="1" ht="28" customHeight="1">
      <c r="A1" s="17" t="s">
        <v>161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162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163</v>
      </c>
      <c r="B4" s="19" t="s">
        <v>164</v>
      </c>
      <c r="C4" s="19" t="s">
        <v>165</v>
      </c>
      <c r="D4" s="19" t="s">
        <v>166</v>
      </c>
    </row>
    <row r="5">
      <c r="A5" s="23" t="s">
        <v>167</v>
      </c>
      <c r="B5" s="55"/>
      <c r="C5" s="55"/>
      <c r="D5" s="23" t="s">
        <v>168</v>
      </c>
    </row>
    <row r="6">
      <c r="A6" s="23" t="s">
        <v>169</v>
      </c>
      <c r="B6" s="55"/>
      <c r="C6" s="55"/>
      <c r="D6" s="23" t="s">
        <v>168</v>
      </c>
    </row>
    <row r="7">
      <c r="A7" s="23" t="s">
        <v>170</v>
      </c>
      <c r="B7" s="55"/>
      <c r="C7" s="55"/>
      <c r="D7" s="23" t="s">
        <v>168</v>
      </c>
    </row>
    <row r="8">
      <c r="A8" s="23" t="s">
        <v>171</v>
      </c>
      <c r="B8" s="55"/>
      <c r="C8" s="55"/>
      <c r="D8" s="23" t="s">
        <v>168</v>
      </c>
    </row>
    <row r="9">
      <c r="A9" s="23" t="s">
        <v>172</v>
      </c>
      <c r="B9" s="55"/>
      <c r="C9" s="55"/>
      <c r="D9" s="23" t="s">
        <v>168</v>
      </c>
    </row>
    <row r="10">
      <c r="A10" s="23" t="s">
        <v>173</v>
      </c>
      <c r="B10" s="55"/>
      <c r="C10" s="55"/>
      <c r="D10" s="23" t="s">
        <v>168</v>
      </c>
    </row>
    <row r="11">
      <c r="A11" s="23" t="s">
        <v>174</v>
      </c>
      <c r="B11" s="55"/>
      <c r="C11" s="55"/>
      <c r="D11" s="23" t="s">
        <v>168</v>
      </c>
    </row>
    <row r="12">
      <c r="A12" s="23" t="s">
        <v>175</v>
      </c>
      <c r="B12" s="55"/>
      <c r="C12" s="55"/>
      <c r="D12" s="23" t="s">
        <v>168</v>
      </c>
    </row>
    <row r="13">
      <c r="A13" s="23" t="s">
        <v>176</v>
      </c>
      <c r="B13" s="55"/>
      <c r="C13" s="55"/>
      <c r="D13" s="23" t="s">
        <v>168</v>
      </c>
    </row>
    <row r="14">
      <c r="A14" s="18"/>
      <c r="B14" s="18"/>
      <c r="C14" s="18"/>
      <c r="D14" s="18"/>
    </row>
    <row r="15">
      <c r="A15" s="18"/>
      <c r="B15" s="18"/>
      <c r="C15" s="18"/>
      <c r="D15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177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178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179</v>
      </c>
      <c r="B4" s="19" t="s">
        <v>180</v>
      </c>
      <c r="C4" s="19" t="s">
        <v>181</v>
      </c>
      <c r="D4" s="19" t="s">
        <v>182</v>
      </c>
      <c r="E4" s="19" t="s">
        <v>183</v>
      </c>
      <c r="F4" s="19" t="s">
        <v>184</v>
      </c>
    </row>
    <row r="5">
      <c r="A5" s="23" t="s">
        <v>39</v>
      </c>
      <c r="B5" s="23" t="s">
        <v>185</v>
      </c>
      <c r="C5" s="23" t="s">
        <v>186</v>
      </c>
      <c r="D5" s="23" t="s">
        <v>187</v>
      </c>
      <c r="E5" s="23" t="s">
        <v>19</v>
      </c>
      <c r="F5" s="23" t="s">
        <v>188</v>
      </c>
    </row>
    <row r="6">
      <c r="A6" s="23" t="s">
        <v>39</v>
      </c>
      <c r="B6" s="23" t="s">
        <v>185</v>
      </c>
      <c r="C6" s="23" t="s">
        <v>186</v>
      </c>
      <c r="D6" s="23" t="s">
        <v>189</v>
      </c>
      <c r="E6" s="23" t="s">
        <v>190</v>
      </c>
      <c r="F6" s="23" t="s">
        <v>191</v>
      </c>
    </row>
    <row r="7">
      <c r="A7" s="18">
        <v>46223</v>
      </c>
      <c r="B7" s="18" t="s">
        <v>192</v>
      </c>
      <c r="C7" s="18" t="s">
        <v>193</v>
      </c>
      <c r="D7" s="18"/>
      <c r="E7" s="18"/>
      <c r="F7" s="18"/>
    </row>
    <row r="8">
      <c r="A8" s="18">
        <v>46224</v>
      </c>
      <c r="B8" s="18" t="s">
        <v>194</v>
      </c>
      <c r="C8" s="18" t="s">
        <v>195</v>
      </c>
      <c r="D8" s="18"/>
      <c r="E8" s="18"/>
      <c r="F8" s="18"/>
    </row>
    <row r="9">
      <c r="A9" s="18">
        <v>46224</v>
      </c>
      <c r="B9" s="18" t="s">
        <v>196</v>
      </c>
      <c r="C9" s="18" t="s">
        <v>197</v>
      </c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ColWidth="8.375" defaultRowHeight="15"/>
  <sheetData>
    <row r="1">
      <c r="A1" t="s">
        <v>198</v>
      </c>
    </row>
    <row r="2">
      <c r="A2" t="s">
        <v>199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</row>
    <row r="5">
      <c r="A5" t="s">
        <v>66</v>
      </c>
      <c r="B5">
        <v>279604799</v>
      </c>
      <c r="C5">
        <v>302231360</v>
      </c>
      <c r="D5">
        <v>258935494</v>
      </c>
      <c r="E5">
        <v>300870903</v>
      </c>
      <c r="F5">
        <v>333605938</v>
      </c>
      <c r="G5" t="s">
        <v>207</v>
      </c>
    </row>
    <row r="6">
      <c r="A6" t="s">
        <v>208</v>
      </c>
      <c r="B6">
        <v>166411342</v>
      </c>
      <c r="C6">
        <v>190041770</v>
      </c>
      <c r="D6">
        <v>180388580</v>
      </c>
      <c r="E6">
        <v>186562268</v>
      </c>
      <c r="F6">
        <v>202235513</v>
      </c>
      <c r="G6">
        <v>21</v>
      </c>
    </row>
    <row r="7">
      <c r="A7" t="s">
        <v>69</v>
      </c>
      <c r="B7">
        <v>113193457</v>
      </c>
      <c r="C7">
        <v>112189590</v>
      </c>
      <c r="D7">
        <v>78546914</v>
      </c>
      <c r="E7">
        <v>114308635</v>
      </c>
      <c r="F7">
        <v>131370425</v>
      </c>
    </row>
    <row r="8">
      <c r="A8" t="s">
        <v>209</v>
      </c>
      <c r="B8">
        <v>61559601</v>
      </c>
      <c r="C8">
        <v>68812960</v>
      </c>
      <c r="D8">
        <v>71979938</v>
      </c>
      <c r="E8">
        <v>81582674</v>
      </c>
      <c r="F8">
        <v>87769374</v>
      </c>
      <c r="G8" t="s">
        <v>210</v>
      </c>
    </row>
    <row r="9">
      <c r="A9" t="s">
        <v>211</v>
      </c>
      <c r="B9">
        <v>51633856</v>
      </c>
      <c r="C9">
        <v>43376630</v>
      </c>
      <c r="D9">
        <v>6566976</v>
      </c>
      <c r="E9">
        <v>32725961</v>
      </c>
      <c r="F9">
        <v>43601051</v>
      </c>
      <c r="G9" t="s">
        <v>207</v>
      </c>
    </row>
    <row r="10">
      <c r="A10" t="s">
        <v>212</v>
      </c>
      <c r="B10">
        <v>2205695</v>
      </c>
      <c r="C10">
        <v>1962071</v>
      </c>
      <c r="D10">
        <v>1180448</v>
      </c>
      <c r="E10">
        <v>1960338</v>
      </c>
      <c r="F10">
        <v>2267083</v>
      </c>
      <c r="G10">
        <v>23</v>
      </c>
    </row>
    <row r="11">
      <c r="A11" t="s">
        <v>213</v>
      </c>
      <c r="B11">
        <v>2055971</v>
      </c>
      <c r="C11">
        <v>1790176</v>
      </c>
      <c r="D11">
        <v>1083327</v>
      </c>
      <c r="E11">
        <v>1625229</v>
      </c>
      <c r="F11">
        <v>1575901</v>
      </c>
      <c r="G11">
        <v>23</v>
      </c>
    </row>
    <row r="12">
      <c r="A12" t="s">
        <v>214</v>
      </c>
      <c r="B12">
        <v>729614</v>
      </c>
      <c r="C12">
        <v>1090643</v>
      </c>
      <c r="D12">
        <v>887550</v>
      </c>
      <c r="E12">
        <v>751044</v>
      </c>
      <c r="F12">
        <v>682700</v>
      </c>
      <c r="G12">
        <v>9</v>
      </c>
    </row>
    <row r="13">
      <c r="A13" t="s">
        <v>215</v>
      </c>
      <c r="B13">
        <v>8543187</v>
      </c>
      <c r="C13">
        <v>20828995</v>
      </c>
      <c r="D13">
        <v>16100148</v>
      </c>
      <c r="E13">
        <v>16703304</v>
      </c>
      <c r="F13">
        <v>16240302</v>
      </c>
      <c r="G13">
        <v>24</v>
      </c>
    </row>
    <row r="14">
      <c r="A14" t="s">
        <v>216</v>
      </c>
      <c r="B14">
        <v>7704554</v>
      </c>
      <c r="C14">
        <v>19027689</v>
      </c>
      <c r="D14">
        <v>12645530</v>
      </c>
      <c r="E14">
        <v>12985684</v>
      </c>
      <c r="F14">
        <v>11733764</v>
      </c>
      <c r="G14">
        <v>24</v>
      </c>
    </row>
    <row r="15">
      <c r="A15" t="s">
        <v>217</v>
      </c>
      <c r="B15">
        <v>53351827</v>
      </c>
      <c r="C15">
        <v>46440474</v>
      </c>
      <c r="D15">
        <v>11006265</v>
      </c>
      <c r="E15">
        <v>37529734</v>
      </c>
      <c r="F15">
        <v>49481471</v>
      </c>
    </row>
    <row r="16">
      <c r="A16" t="s">
        <v>218</v>
      </c>
      <c r="B16">
        <v>13444377</v>
      </c>
      <c r="C16">
        <v>-9213603</v>
      </c>
      <c r="D16">
        <v>-4480835</v>
      </c>
      <c r="E16">
        <v>3078383</v>
      </c>
      <c r="F16">
        <v>4274666</v>
      </c>
      <c r="G16">
        <v>25</v>
      </c>
    </row>
    <row r="17">
      <c r="A17" t="s">
        <v>219</v>
      </c>
      <c r="B17">
        <v>39907450</v>
      </c>
      <c r="C17">
        <v>55654077</v>
      </c>
      <c r="D17">
        <v>15487100</v>
      </c>
      <c r="E17">
        <v>34451351</v>
      </c>
      <c r="F17">
        <v>45206805</v>
      </c>
    </row>
    <row r="19">
      <c r="A19" t="s">
        <v>220</v>
      </c>
    </row>
    <row r="20">
      <c r="A20" t="s">
        <v>221</v>
      </c>
      <c r="B20">
        <v>39243791</v>
      </c>
      <c r="C20">
        <v>54730018</v>
      </c>
      <c r="D20">
        <v>14473401</v>
      </c>
      <c r="E20">
        <v>33621363</v>
      </c>
      <c r="F20">
        <v>44260956</v>
      </c>
    </row>
    <row r="21">
      <c r="A21" t="s">
        <v>222</v>
      </c>
      <c r="B21">
        <v>663659</v>
      </c>
      <c r="C21">
        <v>924059</v>
      </c>
      <c r="D21">
        <v>1013699</v>
      </c>
      <c r="E21">
        <v>829988</v>
      </c>
      <c r="F21">
        <v>945849</v>
      </c>
    </row>
    <row r="23">
      <c r="A23" t="s">
        <v>223</v>
      </c>
      <c r="B23">
        <v>5777</v>
      </c>
      <c r="C23">
        <v>8057</v>
      </c>
      <c r="D23">
        <v>2131</v>
      </c>
      <c r="E23">
        <v>4950</v>
      </c>
      <c r="F23">
        <v>6605</v>
      </c>
      <c r="G23">
        <v>26</v>
      </c>
    </row>
    <row r="24">
      <c r="A24" t="s">
        <v>224</v>
      </c>
      <c r="B24">
        <v>5777</v>
      </c>
      <c r="C24">
        <v>8057</v>
      </c>
      <c r="D24">
        <v>2131</v>
      </c>
      <c r="E24">
        <v>4950</v>
      </c>
      <c r="F24">
        <v>6603</v>
      </c>
      <c r="G24">
        <v>26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ColWidth="8.375" defaultRowHeight="15"/>
  <sheetData>
    <row r="1">
      <c r="A1" t="s">
        <v>225</v>
      </c>
    </row>
    <row r="2">
      <c r="A2" t="s">
        <v>226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</row>
    <row r="5">
      <c r="A5" t="s">
        <v>219</v>
      </c>
      <c r="B5">
        <v>39907450</v>
      </c>
      <c r="C5">
        <v>55654077</v>
      </c>
      <c r="D5">
        <v>15487100</v>
      </c>
      <c r="E5">
        <v>34451351</v>
      </c>
      <c r="F5">
        <v>45206805</v>
      </c>
    </row>
    <row r="6">
      <c r="A6" t="s">
        <v>227</v>
      </c>
    </row>
    <row r="7">
      <c r="A7" t="s">
        <v>228</v>
      </c>
      <c r="B7">
        <v>2980896</v>
      </c>
      <c r="C7">
        <v>-1969498</v>
      </c>
      <c r="D7">
        <v>1481091</v>
      </c>
      <c r="E7">
        <v>2300166</v>
      </c>
      <c r="F7">
        <v>4678338</v>
      </c>
      <c r="G7" t="s">
        <v>229</v>
      </c>
    </row>
    <row r="8">
      <c r="A8" t="s">
        <v>230</v>
      </c>
      <c r="B8">
        <v>51816</v>
      </c>
      <c r="C8">
        <v>-6318</v>
      </c>
      <c r="D8">
        <v>13150</v>
      </c>
      <c r="E8">
        <v>-71581</v>
      </c>
      <c r="F8">
        <v>92804</v>
      </c>
      <c r="G8" t="s">
        <v>231</v>
      </c>
    </row>
    <row r="9">
      <c r="A9" t="s">
        <v>232</v>
      </c>
      <c r="B9">
        <v>-524606</v>
      </c>
      <c r="C9">
        <v>1153679</v>
      </c>
      <c r="D9">
        <v>-828298</v>
      </c>
      <c r="E9">
        <v>-766078</v>
      </c>
      <c r="F9">
        <v>106691</v>
      </c>
      <c r="G9" t="s">
        <v>233</v>
      </c>
    </row>
    <row r="10">
      <c r="A10" t="s">
        <v>234</v>
      </c>
    </row>
    <row r="11">
      <c r="A11" t="s">
        <v>235</v>
      </c>
      <c r="B11">
        <v>160163</v>
      </c>
      <c r="C11">
        <v>-44192</v>
      </c>
      <c r="D11">
        <v>61962</v>
      </c>
      <c r="E11">
        <v>305327</v>
      </c>
      <c r="F11">
        <v>244161</v>
      </c>
      <c r="G11" t="s">
        <v>231</v>
      </c>
    </row>
    <row r="12">
      <c r="A12" t="s">
        <v>236</v>
      </c>
      <c r="B12">
        <v>7283620</v>
      </c>
      <c r="C12">
        <v>4884886</v>
      </c>
      <c r="D12">
        <v>2621479</v>
      </c>
      <c r="E12">
        <v>15116099</v>
      </c>
      <c r="F12">
        <v>960019</v>
      </c>
      <c r="G12">
        <v>20</v>
      </c>
    </row>
    <row r="13">
      <c r="A13" t="s">
        <v>237</v>
      </c>
      <c r="B13">
        <v>50410</v>
      </c>
      <c r="C13">
        <v>-12893</v>
      </c>
      <c r="D13">
        <v>927</v>
      </c>
      <c r="E13">
        <v>-38946</v>
      </c>
      <c r="F13">
        <v>1706</v>
      </c>
      <c r="G13">
        <v>20</v>
      </c>
    </row>
    <row r="14">
      <c r="A14" t="s">
        <v>238</v>
      </c>
      <c r="B14">
        <v>10002299</v>
      </c>
      <c r="C14">
        <v>4005664</v>
      </c>
      <c r="D14">
        <v>3350311</v>
      </c>
      <c r="E14">
        <v>16844987</v>
      </c>
      <c r="F14">
        <v>6083719</v>
      </c>
    </row>
    <row r="15">
      <c r="A15" t="s">
        <v>239</v>
      </c>
      <c r="B15">
        <v>49909749</v>
      </c>
      <c r="C15">
        <v>59659741</v>
      </c>
      <c r="D15">
        <v>18837411</v>
      </c>
      <c r="E15">
        <v>51296338</v>
      </c>
      <c r="F15">
        <v>51290524</v>
      </c>
    </row>
    <row r="16">
      <c r="A16" t="s">
        <v>240</v>
      </c>
    </row>
    <row r="17">
      <c r="A17" t="s">
        <v>221</v>
      </c>
      <c r="B17">
        <v>49037912</v>
      </c>
      <c r="C17">
        <v>58745107</v>
      </c>
      <c r="D17">
        <v>17845661</v>
      </c>
      <c r="E17">
        <v>50048199</v>
      </c>
      <c r="F17">
        <v>49903963</v>
      </c>
    </row>
    <row r="18">
      <c r="A18" t="s">
        <v>222</v>
      </c>
      <c r="B18">
        <v>871837</v>
      </c>
      <c r="C18">
        <v>914634</v>
      </c>
      <c r="D18">
        <v>991750</v>
      </c>
      <c r="E18">
        <v>1248139</v>
      </c>
      <c r="F18">
        <v>1386561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ColWidth="8.375" defaultRowHeight="15"/>
  <sheetData>
    <row r="1">
      <c r="A1" t="s">
        <v>241</v>
      </c>
    </row>
    <row r="2">
      <c r="A2" t="s">
        <v>242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</row>
    <row r="5">
      <c r="A5" t="s">
        <v>74</v>
      </c>
    </row>
    <row r="6">
      <c r="A6" t="s">
        <v>243</v>
      </c>
    </row>
    <row r="7">
      <c r="A7" t="s">
        <v>244</v>
      </c>
      <c r="B7">
        <v>39031415</v>
      </c>
      <c r="C7">
        <v>49680710</v>
      </c>
      <c r="D7">
        <v>69080893</v>
      </c>
      <c r="E7">
        <v>53705579</v>
      </c>
      <c r="F7">
        <v>57856378</v>
      </c>
      <c r="G7" t="s">
        <v>245</v>
      </c>
    </row>
    <row r="8">
      <c r="A8" t="s">
        <v>246</v>
      </c>
      <c r="B8">
        <v>81708986</v>
      </c>
      <c r="C8">
        <v>65102886</v>
      </c>
      <c r="D8">
        <v>22690924</v>
      </c>
      <c r="E8">
        <v>58909334</v>
      </c>
      <c r="F8">
        <v>67965021</v>
      </c>
      <c r="G8" t="s">
        <v>245</v>
      </c>
    </row>
    <row r="9">
      <c r="A9" t="s">
        <v>247</v>
      </c>
      <c r="B9">
        <v>3369034</v>
      </c>
      <c r="C9">
        <v>414610</v>
      </c>
      <c r="D9">
        <v>608281</v>
      </c>
      <c r="G9" t="s">
        <v>248</v>
      </c>
    </row>
    <row r="10">
      <c r="A10" t="s">
        <v>249</v>
      </c>
      <c r="B10">
        <v>40757</v>
      </c>
      <c r="C10">
        <v>29080</v>
      </c>
      <c r="D10">
        <v>27112</v>
      </c>
      <c r="E10">
        <v>36877</v>
      </c>
      <c r="F10">
        <v>25715</v>
      </c>
      <c r="G10" t="s">
        <v>250</v>
      </c>
    </row>
    <row r="11">
      <c r="A11" t="s">
        <v>251</v>
      </c>
      <c r="B11">
        <v>40713415</v>
      </c>
      <c r="C11">
        <v>35721563</v>
      </c>
      <c r="D11">
        <v>36647393</v>
      </c>
      <c r="E11">
        <v>43623073</v>
      </c>
      <c r="F11">
        <v>51127642</v>
      </c>
      <c r="G11" t="s">
        <v>252</v>
      </c>
    </row>
    <row r="12">
      <c r="A12" t="s">
        <v>253</v>
      </c>
      <c r="B12">
        <v>4497257</v>
      </c>
      <c r="C12">
        <v>6149209</v>
      </c>
      <c r="D12">
        <v>6633248</v>
      </c>
      <c r="E12">
        <v>9622974</v>
      </c>
      <c r="F12">
        <v>7481327</v>
      </c>
      <c r="G12" t="s">
        <v>254</v>
      </c>
    </row>
    <row r="13">
      <c r="A13" t="s">
        <v>255</v>
      </c>
      <c r="B13">
        <v>2336252</v>
      </c>
      <c r="C13">
        <v>2867823</v>
      </c>
      <c r="D13">
        <v>3366130</v>
      </c>
      <c r="E13">
        <v>3362824</v>
      </c>
      <c r="F13">
        <v>3627172</v>
      </c>
    </row>
    <row r="14">
      <c r="A14" t="s">
        <v>256</v>
      </c>
      <c r="B14">
        <v>41384404</v>
      </c>
      <c r="C14">
        <v>52187866</v>
      </c>
      <c r="D14">
        <v>51625874</v>
      </c>
      <c r="E14">
        <v>51754865</v>
      </c>
      <c r="F14">
        <v>52636828</v>
      </c>
      <c r="G14">
        <v>8</v>
      </c>
    </row>
    <row r="15">
      <c r="A15" t="s">
        <v>257</v>
      </c>
      <c r="B15">
        <v>5081665</v>
      </c>
      <c r="C15">
        <v>6316834</v>
      </c>
      <c r="D15">
        <v>5038838</v>
      </c>
      <c r="E15">
        <v>6046740</v>
      </c>
      <c r="F15">
        <v>6964529</v>
      </c>
      <c r="G15" t="s">
        <v>245</v>
      </c>
    </row>
    <row r="16">
      <c r="A16" t="s">
        <v>258</v>
      </c>
      <c r="D16">
        <v>217864</v>
      </c>
      <c r="G16">
        <v>33</v>
      </c>
    </row>
    <row r="17">
      <c r="A17" t="s">
        <v>259</v>
      </c>
      <c r="B17">
        <v>218163185</v>
      </c>
      <c r="C17">
        <v>218470581</v>
      </c>
      <c r="D17">
        <v>195936557</v>
      </c>
      <c r="E17">
        <v>227062266</v>
      </c>
      <c r="F17">
        <v>247684612</v>
      </c>
    </row>
    <row r="18">
      <c r="A18" t="s">
        <v>260</v>
      </c>
    </row>
    <row r="19">
      <c r="A19" t="s">
        <v>261</v>
      </c>
      <c r="B19">
        <v>13965839</v>
      </c>
      <c r="C19">
        <v>11397012</v>
      </c>
      <c r="D19">
        <v>7481297</v>
      </c>
      <c r="E19">
        <v>10580932</v>
      </c>
      <c r="F19">
        <v>16295005</v>
      </c>
      <c r="G19" t="s">
        <v>250</v>
      </c>
    </row>
    <row r="20">
      <c r="A20" t="s">
        <v>262</v>
      </c>
      <c r="B20">
        <v>1525344</v>
      </c>
      <c r="C20">
        <v>1405468</v>
      </c>
      <c r="D20">
        <v>1431394</v>
      </c>
      <c r="E20">
        <v>1175749</v>
      </c>
      <c r="F20">
        <v>1280501</v>
      </c>
      <c r="G20" t="s">
        <v>250</v>
      </c>
    </row>
    <row r="21">
      <c r="A21" t="s">
        <v>263</v>
      </c>
      <c r="B21">
        <v>8932251</v>
      </c>
      <c r="C21">
        <v>10893869</v>
      </c>
      <c r="D21">
        <v>11767444</v>
      </c>
      <c r="E21">
        <v>12592117</v>
      </c>
      <c r="F21">
        <v>13772121</v>
      </c>
      <c r="G21">
        <v>9</v>
      </c>
    </row>
    <row r="22">
      <c r="A22" t="s">
        <v>264</v>
      </c>
      <c r="B22">
        <v>149928539</v>
      </c>
      <c r="C22">
        <v>168045388</v>
      </c>
      <c r="D22">
        <v>187256262</v>
      </c>
      <c r="E22">
        <v>205945209</v>
      </c>
      <c r="F22">
        <v>215304784</v>
      </c>
      <c r="G22">
        <v>10</v>
      </c>
    </row>
    <row r="23">
      <c r="A23" t="s">
        <v>265</v>
      </c>
      <c r="B23">
        <v>20236244</v>
      </c>
      <c r="C23">
        <v>20217754</v>
      </c>
      <c r="D23">
        <v>22741862</v>
      </c>
      <c r="E23">
        <v>23738566</v>
      </c>
      <c r="F23">
        <v>29480565</v>
      </c>
      <c r="G23">
        <v>11</v>
      </c>
    </row>
    <row r="24">
      <c r="A24" t="s">
        <v>266</v>
      </c>
      <c r="B24">
        <v>2809590</v>
      </c>
      <c r="C24">
        <v>5851972</v>
      </c>
      <c r="D24">
        <v>4905219</v>
      </c>
      <c r="E24">
        <v>3089571</v>
      </c>
      <c r="F24">
        <v>4271547</v>
      </c>
      <c r="G24">
        <v>14</v>
      </c>
    </row>
    <row r="25">
      <c r="A25" t="s">
        <v>267</v>
      </c>
      <c r="B25">
        <v>4261214</v>
      </c>
      <c r="C25">
        <v>5101318</v>
      </c>
      <c r="D25">
        <v>10211797</v>
      </c>
      <c r="E25">
        <v>14236468</v>
      </c>
      <c r="F25">
        <v>18840559</v>
      </c>
      <c r="G25">
        <v>25</v>
      </c>
    </row>
    <row r="26">
      <c r="A26" t="s">
        <v>268</v>
      </c>
      <c r="B26">
        <v>6798952</v>
      </c>
      <c r="C26">
        <v>7041145</v>
      </c>
      <c r="D26">
        <v>14174148</v>
      </c>
      <c r="E26">
        <v>16111070</v>
      </c>
      <c r="F26">
        <v>20012416</v>
      </c>
      <c r="G26" t="s">
        <v>254</v>
      </c>
    </row>
    <row r="27">
      <c r="A27" t="s">
        <v>269</v>
      </c>
      <c r="B27">
        <v>208457973</v>
      </c>
      <c r="C27">
        <v>229953926</v>
      </c>
      <c r="D27">
        <v>259969423</v>
      </c>
      <c r="E27">
        <v>287469682</v>
      </c>
      <c r="F27">
        <v>319257498</v>
      </c>
    </row>
    <row r="28">
      <c r="A28" t="s">
        <v>270</v>
      </c>
      <c r="B28">
        <v>426621158</v>
      </c>
      <c r="C28">
        <v>448424507</v>
      </c>
      <c r="D28">
        <v>455905980</v>
      </c>
      <c r="E28">
        <v>514531948</v>
      </c>
      <c r="F28">
        <v>566942110</v>
      </c>
    </row>
    <row r="30">
      <c r="A30" t="s">
        <v>75</v>
      </c>
    </row>
    <row r="31">
      <c r="A31" t="s">
        <v>271</v>
      </c>
    </row>
    <row r="32">
      <c r="A32" t="s">
        <v>272</v>
      </c>
      <c r="B32">
        <v>13453351</v>
      </c>
      <c r="C32">
        <v>10644686</v>
      </c>
      <c r="D32">
        <v>11319824</v>
      </c>
      <c r="E32">
        <v>12370177</v>
      </c>
      <c r="F32">
        <v>13039380</v>
      </c>
      <c r="G32" t="s">
        <v>245</v>
      </c>
    </row>
    <row r="33">
      <c r="A33" t="s">
        <v>273</v>
      </c>
      <c r="B33">
        <v>13687793</v>
      </c>
      <c r="C33">
        <v>5147315</v>
      </c>
      <c r="D33">
        <v>7114601</v>
      </c>
      <c r="E33">
        <v>13172504</v>
      </c>
      <c r="F33">
        <v>17574980</v>
      </c>
      <c r="G33" t="s">
        <v>274</v>
      </c>
    </row>
    <row r="34">
      <c r="A34" t="s">
        <v>275</v>
      </c>
      <c r="B34">
        <v>15584866</v>
      </c>
      <c r="C34">
        <v>17592366</v>
      </c>
      <c r="D34">
        <v>15324119</v>
      </c>
      <c r="E34">
        <v>18547365</v>
      </c>
      <c r="F34">
        <v>21365657</v>
      </c>
      <c r="G34" t="s">
        <v>245</v>
      </c>
    </row>
    <row r="35">
      <c r="A35" t="s">
        <v>276</v>
      </c>
      <c r="B35">
        <v>1224812</v>
      </c>
      <c r="C35">
        <v>1314934</v>
      </c>
      <c r="D35">
        <v>1492602</v>
      </c>
      <c r="E35">
        <v>1841420</v>
      </c>
      <c r="F35">
        <v>1933598</v>
      </c>
      <c r="G35">
        <v>17</v>
      </c>
    </row>
    <row r="36">
      <c r="A36" t="s">
        <v>277</v>
      </c>
      <c r="B36">
        <v>1294052</v>
      </c>
      <c r="C36">
        <v>1298244</v>
      </c>
      <c r="D36">
        <v>892441</v>
      </c>
      <c r="E36">
        <v>991812</v>
      </c>
      <c r="F36">
        <v>1001885</v>
      </c>
      <c r="G36" t="s">
        <v>245</v>
      </c>
    </row>
    <row r="37">
      <c r="A37" t="s">
        <v>278</v>
      </c>
      <c r="B37">
        <v>27928031</v>
      </c>
      <c r="C37">
        <v>29211487</v>
      </c>
      <c r="D37">
        <v>26013273</v>
      </c>
      <c r="E37">
        <v>29613258</v>
      </c>
      <c r="F37">
        <v>32707431</v>
      </c>
      <c r="G37" t="s">
        <v>279</v>
      </c>
    </row>
    <row r="38">
      <c r="A38" t="s">
        <v>280</v>
      </c>
      <c r="B38">
        <v>6749149</v>
      </c>
      <c r="C38">
        <v>4250397</v>
      </c>
      <c r="D38">
        <v>3358715</v>
      </c>
      <c r="E38">
        <v>4340171</v>
      </c>
      <c r="F38">
        <v>7037174</v>
      </c>
    </row>
    <row r="39">
      <c r="A39" t="s">
        <v>281</v>
      </c>
      <c r="B39">
        <v>1329968</v>
      </c>
      <c r="C39">
        <v>1089162</v>
      </c>
      <c r="D39">
        <v>1308875</v>
      </c>
      <c r="E39">
        <v>2207290</v>
      </c>
      <c r="F39">
        <v>1177508</v>
      </c>
      <c r="G39" t="s">
        <v>282</v>
      </c>
    </row>
    <row r="40">
      <c r="A40" t="s">
        <v>283</v>
      </c>
      <c r="B40">
        <v>5372872</v>
      </c>
      <c r="C40">
        <v>5844907</v>
      </c>
      <c r="D40">
        <v>6524876</v>
      </c>
      <c r="E40">
        <v>8216469</v>
      </c>
      <c r="F40">
        <v>7690559</v>
      </c>
      <c r="G40">
        <v>15</v>
      </c>
    </row>
    <row r="41">
      <c r="A41" t="s">
        <v>284</v>
      </c>
      <c r="B41">
        <v>1492239</v>
      </c>
      <c r="C41">
        <v>1951354</v>
      </c>
      <c r="D41">
        <v>2308472</v>
      </c>
      <c r="E41">
        <v>2025833</v>
      </c>
      <c r="F41">
        <v>2883176</v>
      </c>
      <c r="G41" t="s">
        <v>279</v>
      </c>
    </row>
    <row r="42">
      <c r="A42" t="s">
        <v>285</v>
      </c>
      <c r="D42">
        <v>61654</v>
      </c>
      <c r="G42">
        <v>33</v>
      </c>
    </row>
    <row r="43">
      <c r="A43" t="s">
        <v>286</v>
      </c>
      <c r="B43">
        <v>88117133</v>
      </c>
      <c r="C43">
        <v>78344852</v>
      </c>
      <c r="D43">
        <v>75719452</v>
      </c>
      <c r="E43">
        <v>93326299</v>
      </c>
      <c r="F43">
        <v>106411348</v>
      </c>
    </row>
    <row r="44">
      <c r="A44" t="s">
        <v>287</v>
      </c>
    </row>
    <row r="45">
      <c r="A45" t="s">
        <v>288</v>
      </c>
      <c r="B45">
        <v>508232</v>
      </c>
      <c r="C45">
        <v>536093</v>
      </c>
      <c r="D45">
        <v>537618</v>
      </c>
      <c r="E45">
        <v>14530</v>
      </c>
      <c r="F45">
        <v>7134</v>
      </c>
      <c r="G45" t="s">
        <v>289</v>
      </c>
    </row>
    <row r="46">
      <c r="A46" t="s">
        <v>290</v>
      </c>
      <c r="B46">
        <v>2866156</v>
      </c>
      <c r="C46">
        <v>3560672</v>
      </c>
      <c r="D46">
        <v>3724850</v>
      </c>
      <c r="E46">
        <v>3935860</v>
      </c>
      <c r="F46">
        <v>6479517</v>
      </c>
      <c r="G46" t="s">
        <v>291</v>
      </c>
    </row>
    <row r="47">
      <c r="A47" t="s">
        <v>292</v>
      </c>
      <c r="B47">
        <v>2991440</v>
      </c>
      <c r="C47">
        <v>2753305</v>
      </c>
      <c r="D47">
        <v>5488283</v>
      </c>
      <c r="E47">
        <v>5510455</v>
      </c>
      <c r="F47">
        <v>5602031</v>
      </c>
      <c r="G47" t="s">
        <v>245</v>
      </c>
    </row>
    <row r="48">
      <c r="A48" t="s">
        <v>293</v>
      </c>
      <c r="B48">
        <v>465884</v>
      </c>
      <c r="C48">
        <v>268370</v>
      </c>
      <c r="D48">
        <v>456557</v>
      </c>
      <c r="E48">
        <v>521410</v>
      </c>
      <c r="F48">
        <v>558520</v>
      </c>
      <c r="G48">
        <v>14</v>
      </c>
    </row>
    <row r="49">
      <c r="A49" t="s">
        <v>294</v>
      </c>
      <c r="B49">
        <v>23198205</v>
      </c>
      <c r="C49">
        <v>5111332</v>
      </c>
      <c r="D49">
        <v>620549</v>
      </c>
      <c r="E49">
        <v>528231</v>
      </c>
      <c r="F49">
        <v>709226</v>
      </c>
      <c r="G49">
        <v>25</v>
      </c>
    </row>
    <row r="50">
      <c r="A50" t="s">
        <v>295</v>
      </c>
      <c r="B50">
        <v>2306994</v>
      </c>
      <c r="C50">
        <v>1928518</v>
      </c>
      <c r="D50">
        <v>2878450</v>
      </c>
      <c r="E50">
        <v>3120044</v>
      </c>
      <c r="F50">
        <v>2900411</v>
      </c>
      <c r="G50">
        <v>15</v>
      </c>
    </row>
    <row r="51">
      <c r="A51" t="s">
        <v>296</v>
      </c>
      <c r="B51">
        <v>1267183</v>
      </c>
      <c r="C51">
        <v>1171761</v>
      </c>
      <c r="D51">
        <v>2802356</v>
      </c>
      <c r="E51">
        <v>5383049</v>
      </c>
      <c r="F51">
        <v>7953586</v>
      </c>
      <c r="G51" t="s">
        <v>279</v>
      </c>
    </row>
    <row r="52">
      <c r="A52" t="s">
        <v>297</v>
      </c>
      <c r="B52">
        <v>33604094</v>
      </c>
      <c r="C52">
        <v>15330051</v>
      </c>
      <c r="D52">
        <v>16508663</v>
      </c>
      <c r="E52">
        <v>19013579</v>
      </c>
      <c r="F52">
        <v>24210425</v>
      </c>
    </row>
    <row r="53">
      <c r="A53" t="s">
        <v>298</v>
      </c>
      <c r="B53">
        <v>121721227</v>
      </c>
      <c r="C53">
        <v>93674903</v>
      </c>
      <c r="D53">
        <v>92228115</v>
      </c>
      <c r="E53">
        <v>112339878</v>
      </c>
      <c r="F53">
        <v>130621773</v>
      </c>
    </row>
    <row r="55">
      <c r="A55" t="s">
        <v>299</v>
      </c>
    </row>
    <row r="56">
      <c r="A56" t="s">
        <v>300</v>
      </c>
      <c r="B56">
        <v>119467</v>
      </c>
      <c r="C56">
        <v>119467</v>
      </c>
      <c r="D56">
        <v>119467</v>
      </c>
      <c r="E56">
        <v>119467</v>
      </c>
      <c r="F56">
        <v>119467</v>
      </c>
      <c r="G56">
        <v>18</v>
      </c>
    </row>
    <row r="57">
      <c r="A57" t="s">
        <v>301</v>
      </c>
      <c r="B57">
        <v>778047</v>
      </c>
      <c r="C57">
        <v>778047</v>
      </c>
      <c r="D57">
        <v>778047</v>
      </c>
      <c r="E57">
        <v>778047</v>
      </c>
      <c r="F57">
        <v>778047</v>
      </c>
      <c r="G57">
        <v>18</v>
      </c>
    </row>
    <row r="58">
      <c r="A58" t="s">
        <v>302</v>
      </c>
      <c r="B58">
        <v>4403893</v>
      </c>
      <c r="C58">
        <v>4403893</v>
      </c>
      <c r="D58">
        <v>4403893</v>
      </c>
      <c r="E58">
        <v>4403893</v>
      </c>
      <c r="F58">
        <v>4403893</v>
      </c>
    </row>
    <row r="59">
      <c r="A59" t="s">
        <v>303</v>
      </c>
      <c r="B59">
        <v>293064763</v>
      </c>
      <c r="C59">
        <v>337946407</v>
      </c>
      <c r="D59">
        <v>346652238</v>
      </c>
      <c r="E59">
        <v>370513188</v>
      </c>
      <c r="F59">
        <v>402135600</v>
      </c>
      <c r="G59">
        <v>19</v>
      </c>
    </row>
    <row r="60">
      <c r="A60" t="s">
        <v>304</v>
      </c>
      <c r="B60">
        <v>-2128473</v>
      </c>
      <c r="C60">
        <v>1938328</v>
      </c>
      <c r="D60">
        <v>1280130</v>
      </c>
      <c r="E60">
        <v>15873008</v>
      </c>
      <c r="F60">
        <v>16876248</v>
      </c>
      <c r="G60">
        <v>20</v>
      </c>
    </row>
    <row r="61">
      <c r="A61" t="s">
        <v>299</v>
      </c>
      <c r="B61">
        <v>296237697</v>
      </c>
      <c r="C61">
        <v>345186142</v>
      </c>
      <c r="D61">
        <v>353233775</v>
      </c>
      <c r="E61">
        <v>391687603</v>
      </c>
      <c r="F61">
        <v>424313255</v>
      </c>
    </row>
    <row r="62">
      <c r="A62" t="s">
        <v>222</v>
      </c>
      <c r="B62">
        <v>8662234</v>
      </c>
      <c r="C62">
        <v>9563462</v>
      </c>
      <c r="D62">
        <v>10444090</v>
      </c>
      <c r="E62">
        <v>10504467</v>
      </c>
      <c r="F62">
        <v>12007082</v>
      </c>
      <c r="G62" t="s">
        <v>305</v>
      </c>
    </row>
    <row r="63">
      <c r="A63" t="s">
        <v>306</v>
      </c>
      <c r="B63">
        <v>304899931</v>
      </c>
      <c r="C63">
        <v>354749604</v>
      </c>
      <c r="D63">
        <v>363677865</v>
      </c>
      <c r="E63">
        <v>402192070</v>
      </c>
      <c r="F63">
        <v>436320337</v>
      </c>
    </row>
    <row r="64">
      <c r="A64" t="s">
        <v>307</v>
      </c>
      <c r="B64">
        <v>426621158</v>
      </c>
      <c r="C64">
        <v>448424507</v>
      </c>
      <c r="D64">
        <v>455905980</v>
      </c>
      <c r="E64">
        <v>514531948</v>
      </c>
      <c r="F64">
        <v>566942110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ColWidth="8.375" defaultRowHeight="15"/>
  <sheetData>
    <row r="1">
      <c r="A1" t="s">
        <v>308</v>
      </c>
    </row>
    <row r="2">
      <c r="A2" t="s">
        <v>309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</row>
    <row r="5">
      <c r="A5" t="s">
        <v>310</v>
      </c>
    </row>
    <row r="6">
      <c r="A6" t="s">
        <v>219</v>
      </c>
      <c r="B6">
        <v>39907450</v>
      </c>
      <c r="C6">
        <v>55654077</v>
      </c>
      <c r="D6">
        <v>15487100</v>
      </c>
      <c r="E6">
        <v>34451351</v>
      </c>
      <c r="F6">
        <v>45206805</v>
      </c>
    </row>
    <row r="7">
      <c r="A7" t="s">
        <v>311</v>
      </c>
      <c r="B7">
        <v>49055633</v>
      </c>
      <c r="C7">
        <v>33073439</v>
      </c>
      <c r="D7">
        <v>36519534</v>
      </c>
      <c r="E7">
        <v>42947079</v>
      </c>
      <c r="F7">
        <v>52395616</v>
      </c>
      <c r="G7">
        <v>27</v>
      </c>
    </row>
    <row r="8">
      <c r="A8" t="s">
        <v>312</v>
      </c>
      <c r="B8">
        <v>-16286884</v>
      </c>
      <c r="C8">
        <v>-16998948</v>
      </c>
      <c r="D8">
        <v>-5458745</v>
      </c>
      <c r="E8">
        <v>-1567557</v>
      </c>
      <c r="F8">
        <v>-9613906</v>
      </c>
      <c r="G8">
        <v>27</v>
      </c>
    </row>
    <row r="9">
      <c r="A9" t="s">
        <v>313</v>
      </c>
      <c r="B9">
        <v>72676199</v>
      </c>
      <c r="C9">
        <v>71728568</v>
      </c>
      <c r="D9">
        <v>46547889</v>
      </c>
      <c r="E9">
        <v>75830873</v>
      </c>
      <c r="F9">
        <v>87988515</v>
      </c>
    </row>
    <row r="10">
      <c r="A10" t="s">
        <v>314</v>
      </c>
      <c r="B10">
        <v>1406706</v>
      </c>
      <c r="C10">
        <v>2136795</v>
      </c>
      <c r="D10">
        <v>4786010</v>
      </c>
      <c r="E10">
        <v>4008359</v>
      </c>
      <c r="F10">
        <v>4680553</v>
      </c>
    </row>
    <row r="11">
      <c r="A11" t="s">
        <v>315</v>
      </c>
      <c r="B11">
        <v>-434441</v>
      </c>
      <c r="C11">
        <v>-714543</v>
      </c>
      <c r="D11">
        <v>-844691</v>
      </c>
      <c r="E11">
        <v>-675049</v>
      </c>
      <c r="F11">
        <v>-469730</v>
      </c>
    </row>
    <row r="12">
      <c r="A12" t="s">
        <v>316</v>
      </c>
      <c r="B12">
        <v>299033</v>
      </c>
      <c r="C12">
        <v>529421</v>
      </c>
      <c r="D12">
        <v>269169</v>
      </c>
      <c r="E12">
        <v>268482</v>
      </c>
      <c r="F12">
        <v>253105</v>
      </c>
    </row>
    <row r="13">
      <c r="A13" t="s">
        <v>317</v>
      </c>
      <c r="B13">
        <v>-8842049</v>
      </c>
      <c r="C13">
        <v>-11498895</v>
      </c>
      <c r="D13">
        <v>-6620950</v>
      </c>
      <c r="E13">
        <v>-6450044</v>
      </c>
      <c r="F13">
        <v>-7137295</v>
      </c>
    </row>
    <row r="14">
      <c r="A14" t="s">
        <v>318</v>
      </c>
      <c r="B14">
        <v>65105448</v>
      </c>
      <c r="C14">
        <v>62181346</v>
      </c>
      <c r="D14">
        <v>44137427</v>
      </c>
      <c r="E14">
        <v>72982621</v>
      </c>
      <c r="F14">
        <v>85315148</v>
      </c>
    </row>
    <row r="16">
      <c r="A16" t="s">
        <v>319</v>
      </c>
    </row>
    <row r="17">
      <c r="A17" t="s">
        <v>320</v>
      </c>
      <c r="B17">
        <v>10917128</v>
      </c>
      <c r="C17">
        <v>15214321</v>
      </c>
      <c r="D17">
        <v>39421565</v>
      </c>
      <c r="E17">
        <v>-32976756</v>
      </c>
      <c r="F17">
        <v>-6701150</v>
      </c>
    </row>
    <row r="18">
      <c r="A18" t="s">
        <v>321</v>
      </c>
      <c r="B18">
        <v>-336959</v>
      </c>
      <c r="C18">
        <v>3050104</v>
      </c>
      <c r="D18">
        <v>-195616</v>
      </c>
      <c r="E18">
        <v>620858</v>
      </c>
    </row>
    <row r="19">
      <c r="A19" t="s">
        <v>322</v>
      </c>
      <c r="B19">
        <v>30694</v>
      </c>
      <c r="C19">
        <v>11677</v>
      </c>
      <c r="D19">
        <v>2718</v>
      </c>
      <c r="E19">
        <v>-9735</v>
      </c>
      <c r="F19">
        <v>11163</v>
      </c>
    </row>
    <row r="20">
      <c r="A20" t="s">
        <v>323</v>
      </c>
      <c r="B20">
        <v>10216082</v>
      </c>
      <c r="C20">
        <v>8272909</v>
      </c>
      <c r="D20">
        <v>4565426</v>
      </c>
      <c r="E20">
        <v>4100008</v>
      </c>
      <c r="F20">
        <v>4519179</v>
      </c>
    </row>
    <row r="21">
      <c r="A21" t="s">
        <v>324</v>
      </c>
      <c r="B21">
        <v>-6981810</v>
      </c>
      <c r="C21">
        <v>-4393754</v>
      </c>
      <c r="D21">
        <v>-5307770</v>
      </c>
      <c r="E21">
        <v>-3987279</v>
      </c>
      <c r="F21">
        <v>-13533556</v>
      </c>
    </row>
    <row r="22">
      <c r="A22" t="s">
        <v>325</v>
      </c>
      <c r="B22">
        <v>2919888</v>
      </c>
      <c r="C22">
        <v>496090</v>
      </c>
      <c r="D22">
        <v>6521568</v>
      </c>
      <c r="E22">
        <v>389680</v>
      </c>
      <c r="F22">
        <v>851834</v>
      </c>
    </row>
    <row r="23">
      <c r="A23" t="s">
        <v>326</v>
      </c>
      <c r="B23">
        <v>-1121201</v>
      </c>
      <c r="C23">
        <v>-37687</v>
      </c>
      <c r="D23">
        <v>-124488</v>
      </c>
      <c r="E23">
        <v>-185876</v>
      </c>
      <c r="F23">
        <v>-129636</v>
      </c>
    </row>
    <row r="24">
      <c r="A24" t="s">
        <v>327</v>
      </c>
      <c r="B24">
        <v>350212</v>
      </c>
      <c r="C24">
        <v>166315</v>
      </c>
      <c r="D24">
        <v>63962</v>
      </c>
      <c r="E24">
        <v>309970</v>
      </c>
      <c r="F24">
        <v>142584</v>
      </c>
    </row>
    <row r="25">
      <c r="A25" t="s">
        <v>328</v>
      </c>
      <c r="B25">
        <v>-208262</v>
      </c>
      <c r="C25">
        <v>-158244</v>
      </c>
      <c r="D25">
        <v>-130459</v>
      </c>
      <c r="E25">
        <v>-70982</v>
      </c>
      <c r="F25">
        <v>-146774</v>
      </c>
    </row>
    <row r="26">
      <c r="A26" t="s">
        <v>329</v>
      </c>
      <c r="B26">
        <v>19169</v>
      </c>
      <c r="C26">
        <v>13233</v>
      </c>
      <c r="D26">
        <v>33457</v>
      </c>
      <c r="E26">
        <v>33178</v>
      </c>
      <c r="F26">
        <v>6643</v>
      </c>
    </row>
    <row r="27">
      <c r="A27" t="s">
        <v>330</v>
      </c>
      <c r="B27">
        <v>-47090</v>
      </c>
      <c r="C27">
        <v>-907958</v>
      </c>
      <c r="D27">
        <v>-78690</v>
      </c>
      <c r="E27">
        <v>-11710</v>
      </c>
      <c r="F27">
        <v>-325146</v>
      </c>
    </row>
    <row r="28">
      <c r="A28" t="s">
        <v>331</v>
      </c>
      <c r="B28">
        <v>358284</v>
      </c>
      <c r="C28">
        <v>217878</v>
      </c>
      <c r="D28">
        <v>98341</v>
      </c>
      <c r="E28">
        <v>156191</v>
      </c>
      <c r="F28">
        <v>149828</v>
      </c>
    </row>
    <row r="29">
      <c r="A29" t="s">
        <v>332</v>
      </c>
      <c r="B29">
        <v>-47122106</v>
      </c>
      <c r="C29">
        <v>-49430428</v>
      </c>
      <c r="D29">
        <v>-57611292</v>
      </c>
      <c r="E29">
        <v>-51406355</v>
      </c>
      <c r="F29">
        <v>-47522179</v>
      </c>
    </row>
    <row r="30">
      <c r="A30" t="s">
        <v>333</v>
      </c>
      <c r="B30">
        <v>1752</v>
      </c>
      <c r="C30">
        <v>23462</v>
      </c>
      <c r="D30">
        <v>11744</v>
      </c>
      <c r="E30">
        <v>15869</v>
      </c>
      <c r="F30">
        <v>13554</v>
      </c>
    </row>
    <row r="31">
      <c r="A31" t="s">
        <v>334</v>
      </c>
      <c r="B31">
        <v>-2706915</v>
      </c>
      <c r="C31">
        <v>-3696304</v>
      </c>
      <c r="D31">
        <v>-2922875</v>
      </c>
      <c r="E31">
        <v>-2335284</v>
      </c>
      <c r="F31">
        <v>-4630970</v>
      </c>
    </row>
    <row r="32">
      <c r="A32" t="s">
        <v>335</v>
      </c>
      <c r="F32">
        <v>1722357</v>
      </c>
    </row>
    <row r="33">
      <c r="A33" t="s">
        <v>336</v>
      </c>
      <c r="B33">
        <v>-5926</v>
      </c>
      <c r="C33">
        <v>-31383</v>
      </c>
      <c r="D33">
        <v>-356511</v>
      </c>
      <c r="E33">
        <v>-142156</v>
      </c>
      <c r="F33">
        <v>-3131539</v>
      </c>
    </row>
    <row r="34">
      <c r="A34" t="s">
        <v>337</v>
      </c>
      <c r="F34">
        <v>418093</v>
      </c>
    </row>
    <row r="35">
      <c r="A35" t="s">
        <v>338</v>
      </c>
      <c r="B35">
        <v>661168</v>
      </c>
      <c r="E35">
        <v>101563</v>
      </c>
    </row>
    <row r="36">
      <c r="A36" t="s">
        <v>339</v>
      </c>
      <c r="B36">
        <v>8129</v>
      </c>
      <c r="C36">
        <v>-413035</v>
      </c>
      <c r="D36">
        <v>-913897</v>
      </c>
      <c r="E36">
        <v>17114</v>
      </c>
      <c r="F36">
        <v>-226491</v>
      </c>
    </row>
    <row r="37">
      <c r="A37" t="s">
        <v>340</v>
      </c>
      <c r="B37">
        <v>-33047763</v>
      </c>
      <c r="C37">
        <v>-31602804</v>
      </c>
      <c r="D37">
        <v>-16922817</v>
      </c>
      <c r="E37">
        <v>-85381702</v>
      </c>
      <c r="F37">
        <v>-68512206</v>
      </c>
    </row>
    <row r="39">
      <c r="A39" t="s">
        <v>341</v>
      </c>
    </row>
    <row r="40">
      <c r="A40" t="s">
        <v>342</v>
      </c>
      <c r="B40">
        <v>-2616943</v>
      </c>
      <c r="C40">
        <v>-8339149</v>
      </c>
      <c r="D40">
        <v>2145400</v>
      </c>
      <c r="E40">
        <v>5871346</v>
      </c>
      <c r="F40">
        <v>4655349</v>
      </c>
      <c r="G40">
        <v>27</v>
      </c>
    </row>
    <row r="41">
      <c r="A41" t="s">
        <v>343</v>
      </c>
      <c r="B41">
        <v>58279</v>
      </c>
      <c r="C41">
        <v>271997</v>
      </c>
      <c r="D41">
        <v>354712</v>
      </c>
      <c r="E41">
        <v>404954</v>
      </c>
      <c r="F41">
        <v>2807001</v>
      </c>
      <c r="G41">
        <v>27</v>
      </c>
    </row>
    <row r="42">
      <c r="A42" t="s">
        <v>344</v>
      </c>
      <c r="B42">
        <v>-894749</v>
      </c>
      <c r="C42">
        <v>-1508465</v>
      </c>
      <c r="D42">
        <v>-1219579</v>
      </c>
      <c r="E42">
        <v>-1364508</v>
      </c>
      <c r="F42">
        <v>-2852971</v>
      </c>
      <c r="G42">
        <v>27</v>
      </c>
    </row>
    <row r="43">
      <c r="A43" t="s">
        <v>345</v>
      </c>
      <c r="B43">
        <v>-20510350</v>
      </c>
      <c r="C43">
        <v>-9814426</v>
      </c>
      <c r="D43">
        <v>-9864474</v>
      </c>
      <c r="E43">
        <v>-10888749</v>
      </c>
      <c r="F43">
        <v>-9897183</v>
      </c>
    </row>
    <row r="44">
      <c r="A44" t="s">
        <v>346</v>
      </c>
      <c r="E44">
        <v>-1811775</v>
      </c>
      <c r="F44">
        <v>-8189263</v>
      </c>
    </row>
    <row r="45">
      <c r="A45" t="s">
        <v>347</v>
      </c>
      <c r="B45">
        <v>-27270</v>
      </c>
      <c r="C45">
        <v>-6</v>
      </c>
      <c r="D45">
        <v>-9118</v>
      </c>
      <c r="E45">
        <v>-8511</v>
      </c>
      <c r="F45">
        <v>-973</v>
      </c>
    </row>
    <row r="46">
      <c r="A46" t="s">
        <v>348</v>
      </c>
      <c r="B46">
        <v>-23991033</v>
      </c>
      <c r="C46">
        <v>-19390049</v>
      </c>
      <c r="D46">
        <v>-8593059</v>
      </c>
      <c r="E46">
        <v>-7797243</v>
      </c>
      <c r="F46">
        <v>-13478040</v>
      </c>
    </row>
    <row r="48">
      <c r="A48" t="s">
        <v>349</v>
      </c>
      <c r="B48">
        <v>139</v>
      </c>
      <c r="D48">
        <v>-14153</v>
      </c>
      <c r="G48" t="s">
        <v>350</v>
      </c>
    </row>
    <row r="49">
      <c r="A49" t="s">
        <v>351</v>
      </c>
      <c r="B49">
        <v>1582046</v>
      </c>
      <c r="C49">
        <v>-539198</v>
      </c>
      <c r="D49">
        <v>792785</v>
      </c>
      <c r="E49">
        <v>4821010</v>
      </c>
      <c r="F49">
        <v>825897</v>
      </c>
    </row>
    <row r="50">
      <c r="A50" t="s">
        <v>352</v>
      </c>
      <c r="B50">
        <v>9648837</v>
      </c>
      <c r="C50">
        <v>10649295</v>
      </c>
      <c r="D50">
        <v>19400183</v>
      </c>
      <c r="E50">
        <v>-15375314</v>
      </c>
      <c r="F50">
        <v>4150799</v>
      </c>
    </row>
    <row r="51">
      <c r="A51" t="s">
        <v>353</v>
      </c>
      <c r="B51">
        <v>29382578</v>
      </c>
      <c r="C51">
        <v>39031415</v>
      </c>
      <c r="D51">
        <v>49680710</v>
      </c>
      <c r="E51">
        <v>69080893</v>
      </c>
      <c r="F51">
        <v>53705579</v>
      </c>
    </row>
    <row r="52">
      <c r="A52" t="s">
        <v>354</v>
      </c>
      <c r="B52">
        <v>39031415</v>
      </c>
      <c r="C52">
        <v>49680710</v>
      </c>
      <c r="D52">
        <v>69080893</v>
      </c>
      <c r="E52">
        <v>53705579</v>
      </c>
      <c r="F52">
        <v>57856378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ColWidth="8.375" defaultRowHeight="15"/>
  <sheetData>
    <row r="1">
      <c r="A1" t="s">
        <v>355</v>
      </c>
    </row>
    <row r="2">
      <c r="A2" t="s">
        <v>356</v>
      </c>
      <c r="B2" t="str">
        <f>IF(COUNTIF(G5:G56,"FAIL")=0,"OK — ALL TIE-OUTS PASS","FAIL")</f>
        <v>OK — ALL TIE-OUTS PASS</v>
      </c>
    </row>
    <row r="4">
      <c r="A4" t="s">
        <v>143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32</v>
      </c>
    </row>
    <row r="5">
      <c r="A5" t="s">
        <v>357</v>
      </c>
      <c r="B5">
        <f>IS_Hist!B5-IS_Hist!B6-IS_Hist!B7</f>
        <v>0</v>
      </c>
      <c r="C5">
        <f>IS_Hist!C5-IS_Hist!C6-IS_Hist!C7</f>
        <v>0</v>
      </c>
      <c r="D5">
        <f>IS_Hist!D5-IS_Hist!D6-IS_Hist!D7</f>
        <v>0</v>
      </c>
      <c r="E5">
        <f>IS_Hist!E5-IS_Hist!E6-IS_Hist!E7</f>
        <v>0</v>
      </c>
      <c r="F5">
        <f>IS_Hist!F5-IS_Hist!F6-IS_Hist!F7</f>
        <v>0</v>
      </c>
      <c r="G5" t="str">
        <f>IF(AND(ABS(N(B5))&lt;=0.5,ABS(N(C5))&lt;=0.5,ABS(N(D5))&lt;=0.5,ABS(N(E5))&lt;=0.5,ABS(N(F5))&lt;=0.5),"PASS","FAIL")</f>
        <v>PASS</v>
      </c>
    </row>
    <row r="6">
      <c r="A6" t="s">
        <v>358</v>
      </c>
      <c r="B6">
        <f>IS_Hist!B7-IS_Hist!B8-IS_Hist!B9</f>
        <v>0</v>
      </c>
      <c r="C6">
        <f>IS_Hist!C7-IS_Hist!C8-IS_Hist!C9</f>
        <v>0</v>
      </c>
      <c r="D6">
        <f>IS_Hist!D7-IS_Hist!D8-IS_Hist!D9</f>
        <v>0</v>
      </c>
      <c r="E6">
        <f>IS_Hist!E7-IS_Hist!E8-IS_Hist!E9</f>
        <v>0</v>
      </c>
      <c r="F6">
        <f>IS_Hist!F7-IS_Hist!F8-IS_Hist!F9</f>
        <v>0</v>
      </c>
      <c r="G6" t="str">
        <f>IF(AND(ABS(N(B6))&lt;=0.5,ABS(N(C6))&lt;=0.5,ABS(N(D6))&lt;=0.5,ABS(N(E6))&lt;=0.5,ABS(N(F6))&lt;=0.5),"PASS","FAIL")</f>
        <v>PASS</v>
      </c>
    </row>
    <row r="7">
      <c r="A7" t="s">
        <v>359</v>
      </c>
      <c r="B7">
        <f>IS_Hist!B9+IS_Hist!B10-IS_Hist!B11+IS_Hist!B12+IS_Hist!B13-IS_Hist!B14-IS_Hist!B15</f>
        <v>0</v>
      </c>
      <c r="C7">
        <f>IS_Hist!C9+IS_Hist!C10-IS_Hist!C11+IS_Hist!C12+IS_Hist!C13-IS_Hist!C14-IS_Hist!C15</f>
        <v>0</v>
      </c>
      <c r="D7">
        <f>IS_Hist!D9+IS_Hist!D10-IS_Hist!D11+IS_Hist!D12+IS_Hist!D13-IS_Hist!D14-IS_Hist!D15</f>
        <v>0</v>
      </c>
      <c r="E7">
        <f>IS_Hist!E9+IS_Hist!E10-IS_Hist!E11+IS_Hist!E12+IS_Hist!E13-IS_Hist!E14-IS_Hist!E15</f>
        <v>0</v>
      </c>
      <c r="F7">
        <f>IS_Hist!F9+IS_Hist!F10-IS_Hist!F11+IS_Hist!F12+IS_Hist!F13-IS_Hist!F14-IS_Hist!F15</f>
        <v>0</v>
      </c>
      <c r="G7" t="str">
        <f>IF(AND(ABS(N(B7))&lt;=0.5,ABS(N(C7))&lt;=0.5,ABS(N(D7))&lt;=0.5,ABS(N(E7))&lt;=0.5,ABS(N(F7))&lt;=0.5),"PASS","FAIL")</f>
        <v>PASS</v>
      </c>
    </row>
    <row r="8">
      <c r="A8" t="s">
        <v>360</v>
      </c>
      <c r="B8">
        <f>IS_Hist!B15-IS_Hist!B16-IS_Hist!B17</f>
        <v>0</v>
      </c>
      <c r="C8">
        <f>IS_Hist!C15-IS_Hist!C16-IS_Hist!C17</f>
        <v>0</v>
      </c>
      <c r="D8">
        <f>IS_Hist!D15-IS_Hist!D16-IS_Hist!D17</f>
        <v>0</v>
      </c>
      <c r="E8">
        <f>IS_Hist!E15-IS_Hist!E16-IS_Hist!E17</f>
        <v>0</v>
      </c>
      <c r="F8">
        <f>IS_Hist!F15-IS_Hist!F16-IS_Hist!F17</f>
        <v>0</v>
      </c>
      <c r="G8" t="str">
        <f>IF(AND(ABS(N(B8))&lt;=0.5,ABS(N(C8))&lt;=0.5,ABS(N(D8))&lt;=0.5,ABS(N(E8))&lt;=0.5,ABS(N(F8))&lt;=0.5),"PASS","FAIL")</f>
        <v>PASS</v>
      </c>
    </row>
    <row r="9">
      <c r="A9" t="s">
        <v>361</v>
      </c>
      <c r="B9">
        <f>IS_Hist!B20+IS_Hist!B21-IS_Hist!B17</f>
        <v>0</v>
      </c>
      <c r="C9">
        <f>IS_Hist!C20+IS_Hist!C21-IS_Hist!C17</f>
        <v>0</v>
      </c>
      <c r="D9">
        <f>IS_Hist!D20+IS_Hist!D21-IS_Hist!D17</f>
        <v>0</v>
      </c>
      <c r="E9">
        <f>IS_Hist!E20+IS_Hist!E21-IS_Hist!E17</f>
        <v>0</v>
      </c>
      <c r="F9">
        <f>IS_Hist!F20+IS_Hist!F21-IS_Hist!F17</f>
        <v>0</v>
      </c>
      <c r="G9" t="str">
        <f>IF(AND(ABS(N(B9))&lt;=0.5,ABS(N(C9))&lt;=0.5,ABS(N(D9))&lt;=0.5,ABS(N(E9))&lt;=0.5,ABS(N(F9))&lt;=0.5),"PASS","FAIL")</f>
        <v>PASS</v>
      </c>
    </row>
    <row r="10">
      <c r="A10" t="s">
        <v>362</v>
      </c>
      <c r="B10">
        <f>SUM(CI_Hist!B7:B9)+SUM(CI_Hist!B11:B13)-CI_Hist!B14</f>
        <v>0</v>
      </c>
      <c r="C10">
        <f>SUM(CI_Hist!C7:C9)+SUM(CI_Hist!C11:C13)-CI_Hist!C14</f>
        <v>0</v>
      </c>
      <c r="D10">
        <f>SUM(CI_Hist!D7:D9)+SUM(CI_Hist!D11:D13)-CI_Hist!D14</f>
        <v>0</v>
      </c>
      <c r="E10">
        <f>SUM(CI_Hist!E7:E9)+SUM(CI_Hist!E11:E13)-CI_Hist!E14</f>
        <v>0</v>
      </c>
      <c r="F10">
        <f>SUM(CI_Hist!F7:F9)+SUM(CI_Hist!F11:F13)-CI_Hist!F14</f>
        <v>0</v>
      </c>
      <c r="G10" t="str">
        <f>IF(AND(ABS(N(B10))&lt;=0.5,ABS(N(C10))&lt;=0.5,ABS(N(D10))&lt;=0.5,ABS(N(E10))&lt;=0.5,ABS(N(F10))&lt;=0.5),"PASS","FAIL")</f>
        <v>PASS</v>
      </c>
    </row>
    <row r="11">
      <c r="A11" t="s">
        <v>363</v>
      </c>
      <c r="B11">
        <f>CI_Hist!B5+CI_Hist!B14-CI_Hist!B15</f>
        <v>0</v>
      </c>
      <c r="C11">
        <f>CI_Hist!C5+CI_Hist!C14-CI_Hist!C15</f>
        <v>0</v>
      </c>
      <c r="D11">
        <f>CI_Hist!D5+CI_Hist!D14-CI_Hist!D15</f>
        <v>0</v>
      </c>
      <c r="E11">
        <f>CI_Hist!E5+CI_Hist!E14-CI_Hist!E15</f>
        <v>0</v>
      </c>
      <c r="F11">
        <f>CI_Hist!F5+CI_Hist!F14-CI_Hist!F15</f>
        <v>0</v>
      </c>
      <c r="G11" t="str">
        <f>IF(AND(ABS(N(B11))&lt;=0.5,ABS(N(C11))&lt;=0.5,ABS(N(D11))&lt;=0.5,ABS(N(E11))&lt;=0.5,ABS(N(F11))&lt;=0.5),"PASS","FAIL")</f>
        <v>PASS</v>
      </c>
    </row>
    <row r="12">
      <c r="A12" t="s">
        <v>364</v>
      </c>
      <c r="B12">
        <f>CI_Hist!B17+CI_Hist!B18-CI_Hist!B15</f>
        <v>0</v>
      </c>
      <c r="C12">
        <f>CI_Hist!C17+CI_Hist!C18-CI_Hist!C15</f>
        <v>0</v>
      </c>
      <c r="D12">
        <f>CI_Hist!D17+CI_Hist!D18-CI_Hist!D15</f>
        <v>0</v>
      </c>
      <c r="E12">
        <f>CI_Hist!E17+CI_Hist!E18-CI_Hist!E15</f>
        <v>0</v>
      </c>
      <c r="F12">
        <f>CI_Hist!F17+CI_Hist!F18-CI_Hist!F15</f>
        <v>0</v>
      </c>
      <c r="G12" t="str">
        <f>IF(AND(ABS(N(B12))&lt;=0.5,ABS(N(C12))&lt;=0.5,ABS(N(D12))&lt;=0.5,ABS(N(E12))&lt;=0.5,ABS(N(F12))&lt;=0.5),"PASS","FAIL")</f>
        <v>PASS</v>
      </c>
    </row>
    <row r="13">
      <c r="A13" t="s">
        <v>365</v>
      </c>
      <c r="B13">
        <f>SUM(BS_Hist!B7:B16)-BS_Hist!B17</f>
        <v>0</v>
      </c>
      <c r="C13">
        <f>SUM(BS_Hist!C7:C16)-BS_Hist!C17</f>
        <v>0</v>
      </c>
      <c r="D13">
        <f>SUM(BS_Hist!D7:D16)-BS_Hist!D17</f>
        <v>0</v>
      </c>
      <c r="E13">
        <f>SUM(BS_Hist!E7:E16)-BS_Hist!E17</f>
        <v>0</v>
      </c>
      <c r="F13">
        <f>SUM(BS_Hist!F7:F16)-BS_Hist!F17</f>
        <v>0</v>
      </c>
      <c r="G13" t="str">
        <f>IF(AND(ABS(N(B13))&lt;=0.5,ABS(N(C13))&lt;=0.5,ABS(N(D13))&lt;=0.5,ABS(N(E13))&lt;=0.5,ABS(N(F13))&lt;=0.5),"PASS","FAIL")</f>
        <v>PASS</v>
      </c>
    </row>
    <row r="14">
      <c r="A14" t="s">
        <v>366</v>
      </c>
      <c r="B14">
        <f>SUM(BS_Hist!B19:B26)-BS_Hist!B27</f>
        <v>0</v>
      </c>
      <c r="C14">
        <f>SUM(BS_Hist!C19:C26)-BS_Hist!C27</f>
        <v>0</v>
      </c>
      <c r="D14">
        <f>SUM(BS_Hist!D19:D26)-BS_Hist!D27</f>
        <v>0</v>
      </c>
      <c r="E14">
        <f>SUM(BS_Hist!E19:E26)-BS_Hist!E27</f>
        <v>0</v>
      </c>
      <c r="F14">
        <f>SUM(BS_Hist!F19:F26)-BS_Hist!F27</f>
        <v>0</v>
      </c>
      <c r="G14" t="str">
        <f>IF(AND(ABS(N(B14))&lt;=0.5,ABS(N(C14))&lt;=0.5,ABS(N(D14))&lt;=0.5,ABS(N(E14))&lt;=0.5,ABS(N(F14))&lt;=0.5),"PASS","FAIL")</f>
        <v>PASS</v>
      </c>
    </row>
    <row r="15">
      <c r="A15" t="s">
        <v>367</v>
      </c>
      <c r="B15">
        <f>BS_Hist!B17+BS_Hist!B27-BS_Hist!B28</f>
        <v>0</v>
      </c>
      <c r="C15">
        <f>BS_Hist!C17+BS_Hist!C27-BS_Hist!C28</f>
        <v>0</v>
      </c>
      <c r="D15">
        <f>BS_Hist!D17+BS_Hist!D27-BS_Hist!D28</f>
        <v>0</v>
      </c>
      <c r="E15">
        <f>BS_Hist!E17+BS_Hist!E27-BS_Hist!E28</f>
        <v>0</v>
      </c>
      <c r="F15">
        <f>BS_Hist!F17+BS_Hist!F27-BS_Hist!F28</f>
        <v>0</v>
      </c>
      <c r="G15" t="str">
        <f>IF(AND(ABS(N(B15))&lt;=0.5,ABS(N(C15))&lt;=0.5,ABS(N(D15))&lt;=0.5,ABS(N(E15))&lt;=0.5,ABS(N(F15))&lt;=0.5),"PASS","FAIL")</f>
        <v>PASS</v>
      </c>
    </row>
    <row r="16">
      <c r="A16" t="s">
        <v>368</v>
      </c>
      <c r="B16">
        <f>SUM(BS_Hist!B32:B42)-BS_Hist!B43</f>
        <v>0</v>
      </c>
      <c r="C16">
        <f>SUM(BS_Hist!C32:C42)-BS_Hist!C43</f>
        <v>0</v>
      </c>
      <c r="D16">
        <f>SUM(BS_Hist!D32:D42)-BS_Hist!D43</f>
        <v>0</v>
      </c>
      <c r="E16">
        <f>SUM(BS_Hist!E32:E42)-BS_Hist!E43</f>
        <v>0</v>
      </c>
      <c r="F16">
        <f>SUM(BS_Hist!F32:F42)-BS_Hist!F43</f>
        <v>0</v>
      </c>
      <c r="G16" t="str">
        <f>IF(AND(ABS(N(B16))&lt;=0.5,ABS(N(C16))&lt;=0.5,ABS(N(D16))&lt;=0.5,ABS(N(E16))&lt;=0.5,ABS(N(F16))&lt;=0.5),"PASS","FAIL")</f>
        <v>PASS</v>
      </c>
    </row>
    <row r="17">
      <c r="A17" t="s">
        <v>369</v>
      </c>
      <c r="B17">
        <f>SUM(BS_Hist!B45:B51)-BS_Hist!B52</f>
        <v>0</v>
      </c>
      <c r="C17">
        <f>SUM(BS_Hist!C45:C51)-BS_Hist!C52</f>
        <v>0</v>
      </c>
      <c r="D17">
        <f>SUM(BS_Hist!D45:D51)-BS_Hist!D52</f>
        <v>0</v>
      </c>
      <c r="E17">
        <f>SUM(BS_Hist!E45:E51)-BS_Hist!E52</f>
        <v>0</v>
      </c>
      <c r="F17">
        <f>SUM(BS_Hist!F45:F51)-BS_Hist!F52</f>
        <v>0</v>
      </c>
      <c r="G17" t="str">
        <f>IF(AND(ABS(N(B17))&lt;=0.5,ABS(N(C17))&lt;=0.5,ABS(N(D17))&lt;=0.5,ABS(N(E17))&lt;=0.5,ABS(N(F17))&lt;=0.5),"PASS","FAIL")</f>
        <v>PASS</v>
      </c>
    </row>
    <row r="18">
      <c r="A18" t="s">
        <v>370</v>
      </c>
      <c r="B18">
        <f>BS_Hist!B43+BS_Hist!B52-BS_Hist!B53</f>
        <v>0</v>
      </c>
      <c r="C18">
        <f>BS_Hist!C43+BS_Hist!C52-BS_Hist!C53</f>
        <v>0</v>
      </c>
      <c r="D18">
        <f>BS_Hist!D43+BS_Hist!D52-BS_Hist!D53</f>
        <v>0</v>
      </c>
      <c r="E18">
        <f>BS_Hist!E43+BS_Hist!E52-BS_Hist!E53</f>
        <v>0</v>
      </c>
      <c r="F18">
        <f>BS_Hist!F43+BS_Hist!F52-BS_Hist!F53</f>
        <v>0</v>
      </c>
      <c r="G18" t="str">
        <f>IF(AND(ABS(N(B18))&lt;=0.5,ABS(N(C18))&lt;=0.5,ABS(N(D18))&lt;=0.5,ABS(N(E18))&lt;=0.5,ABS(N(F18))&lt;=0.5),"PASS","FAIL")</f>
        <v>PASS</v>
      </c>
    </row>
    <row r="19">
      <c r="A19" t="s">
        <v>371</v>
      </c>
      <c r="B19">
        <f>SUM(BS_Hist!B56:B60)-BS_Hist!B61</f>
        <v>0</v>
      </c>
      <c r="C19">
        <f>SUM(BS_Hist!C56:C60)-BS_Hist!C61</f>
        <v>0</v>
      </c>
      <c r="D19">
        <f>SUM(BS_Hist!D56:D60)-BS_Hist!D61</f>
        <v>0</v>
      </c>
      <c r="E19">
        <f>SUM(BS_Hist!E56:E60)-BS_Hist!E61</f>
        <v>0</v>
      </c>
      <c r="F19">
        <f>SUM(BS_Hist!F56:F60)-BS_Hist!F61</f>
        <v>0</v>
      </c>
      <c r="G19" t="str">
        <f>IF(AND(ABS(N(B19))&lt;=0.5,ABS(N(C19))&lt;=0.5,ABS(N(D19))&lt;=0.5,ABS(N(E19))&lt;=0.5,ABS(N(F19))&lt;=0.5),"PASS","FAIL")</f>
        <v>PASS</v>
      </c>
    </row>
    <row r="20">
      <c r="A20" t="s">
        <v>372</v>
      </c>
      <c r="B20">
        <f>BS_Hist!B61+BS_Hist!B62-BS_Hist!B63</f>
        <v>0</v>
      </c>
      <c r="C20">
        <f>BS_Hist!C61+BS_Hist!C62-BS_Hist!C63</f>
        <v>0</v>
      </c>
      <c r="D20">
        <f>BS_Hist!D61+BS_Hist!D62-BS_Hist!D63</f>
        <v>0</v>
      </c>
      <c r="E20">
        <f>BS_Hist!E61+BS_Hist!E62-BS_Hist!E63</f>
        <v>0</v>
      </c>
      <c r="F20">
        <f>BS_Hist!F61+BS_Hist!F62-BS_Hist!F63</f>
        <v>0</v>
      </c>
      <c r="G20" t="str">
        <f>IF(AND(ABS(N(B20))&lt;=0.5,ABS(N(C20))&lt;=0.5,ABS(N(D20))&lt;=0.5,ABS(N(E20))&lt;=0.5,ABS(N(F20))&lt;=0.5),"PASS","FAIL")</f>
        <v>PASS</v>
      </c>
    </row>
    <row r="21">
      <c r="A21" t="s">
        <v>373</v>
      </c>
      <c r="B21">
        <f>BS_Hist!B53+BS_Hist!B63-BS_Hist!B64</f>
        <v>0</v>
      </c>
      <c r="C21">
        <f>BS_Hist!C53+BS_Hist!C63-BS_Hist!C64</f>
        <v>0</v>
      </c>
      <c r="D21">
        <f>BS_Hist!D53+BS_Hist!D63-BS_Hist!D64</f>
        <v>0</v>
      </c>
      <c r="E21">
        <f>BS_Hist!E53+BS_Hist!E63-BS_Hist!E64</f>
        <v>0</v>
      </c>
      <c r="F21">
        <f>BS_Hist!F53+BS_Hist!F63-BS_Hist!F64</f>
        <v>0</v>
      </c>
      <c r="G21" t="str">
        <f>IF(AND(ABS(N(B21))&lt;=0.5,ABS(N(C21))&lt;=0.5,ABS(N(D21))&lt;=0.5,ABS(N(E21))&lt;=0.5,ABS(N(F21))&lt;=0.5),"PASS","FAIL")</f>
        <v>PASS</v>
      </c>
    </row>
    <row r="22">
      <c r="A22" t="s">
        <v>374</v>
      </c>
      <c r="B22">
        <f>BS_Hist!B28-BS_Hist!B64</f>
        <v>0</v>
      </c>
      <c r="C22">
        <f>BS_Hist!C28-BS_Hist!C64</f>
        <v>0</v>
      </c>
      <c r="D22">
        <f>BS_Hist!D28-BS_Hist!D64</f>
        <v>0</v>
      </c>
      <c r="E22">
        <f>BS_Hist!E28-BS_Hist!E64</f>
        <v>0</v>
      </c>
      <c r="F22">
        <f>BS_Hist!F28-BS_Hist!F64</f>
        <v>0</v>
      </c>
      <c r="G22" t="str">
        <f>IF(AND(ABS(N(B22))&lt;=0.5,ABS(N(C22))&lt;=0.5,ABS(N(D22))&lt;=0.5,ABS(N(E22))&lt;=0.5,ABS(N(F22))&lt;=0.5),"PASS","FAIL")</f>
        <v>PASS</v>
      </c>
    </row>
    <row r="23">
      <c r="A23" t="s">
        <v>375</v>
      </c>
      <c r="B23">
        <f>SUM(CF_Hist!B6:B8)-CF_Hist!B9</f>
        <v>0</v>
      </c>
      <c r="C23">
        <f>SUM(CF_Hist!C6:C8)-CF_Hist!C9</f>
        <v>0</v>
      </c>
      <c r="D23">
        <f>SUM(CF_Hist!D6:D8)-CF_Hist!D9</f>
        <v>0</v>
      </c>
      <c r="E23">
        <f>SUM(CF_Hist!E6:E8)-CF_Hist!E9</f>
        <v>0</v>
      </c>
      <c r="F23">
        <f>SUM(CF_Hist!F6:F8)-CF_Hist!F9</f>
        <v>0</v>
      </c>
      <c r="G23" t="str">
        <f>IF(AND(ABS(N(B23))&lt;=0.5,ABS(N(C23))&lt;=0.5,ABS(N(D23))&lt;=0.5,ABS(N(E23))&lt;=0.5,ABS(N(F23))&lt;=0.5),"PASS","FAIL")</f>
        <v>PASS</v>
      </c>
    </row>
    <row r="24">
      <c r="A24" t="s">
        <v>376</v>
      </c>
      <c r="B24">
        <f>CF_Hist!B9+SUM(CF_Hist!B10:B13)-CF_Hist!B14</f>
        <v>0</v>
      </c>
      <c r="C24">
        <f>CF_Hist!C9+SUM(CF_Hist!C10:C13)-CF_Hist!C14</f>
        <v>0</v>
      </c>
      <c r="D24">
        <f>CF_Hist!D9+SUM(CF_Hist!D10:D13)-CF_Hist!D14</f>
        <v>0</v>
      </c>
      <c r="E24">
        <f>CF_Hist!E9+SUM(CF_Hist!E10:E13)-CF_Hist!E14</f>
        <v>0</v>
      </c>
      <c r="F24">
        <f>CF_Hist!F9+SUM(CF_Hist!F10:F13)-CF_Hist!F14</f>
        <v>0</v>
      </c>
      <c r="G24" t="str">
        <f>IF(AND(ABS(N(B24))&lt;=0.5,ABS(N(C24))&lt;=0.5,ABS(N(D24))&lt;=0.5,ABS(N(E24))&lt;=0.5,ABS(N(F24))&lt;=0.5),"PASS","FAIL")</f>
        <v>PASS</v>
      </c>
    </row>
    <row r="25">
      <c r="A25" t="s">
        <v>377</v>
      </c>
      <c r="B25">
        <f>SUM(CF_Hist!B17:B36)-CF_Hist!B37</f>
        <v>0</v>
      </c>
      <c r="C25">
        <f>SUM(CF_Hist!C17:C36)-CF_Hist!C37</f>
        <v>0</v>
      </c>
      <c r="D25">
        <f>SUM(CF_Hist!D17:D36)-CF_Hist!D37</f>
        <v>0</v>
      </c>
      <c r="E25">
        <f>SUM(CF_Hist!E17:E36)-CF_Hist!E37</f>
        <v>0</v>
      </c>
      <c r="F25">
        <f>SUM(CF_Hist!F17:F36)-CF_Hist!F37</f>
        <v>0</v>
      </c>
      <c r="G25" t="str">
        <f>IF(AND(ABS(N(B25))&lt;=0.5,ABS(N(C25))&lt;=0.5,ABS(N(D25))&lt;=0.5,ABS(N(E25))&lt;=0.5,ABS(N(F25))&lt;=0.5),"PASS","FAIL")</f>
        <v>PASS</v>
      </c>
    </row>
    <row r="26">
      <c r="A26" t="s">
        <v>378</v>
      </c>
      <c r="B26">
        <f>SUM(CF_Hist!B40:B45)-CF_Hist!B46</f>
        <v>0</v>
      </c>
      <c r="C26">
        <f>SUM(CF_Hist!C40:C45)-CF_Hist!C46</f>
        <v>0</v>
      </c>
      <c r="D26">
        <f>SUM(CF_Hist!D40:D45)-CF_Hist!D46</f>
        <v>0</v>
      </c>
      <c r="E26">
        <f>SUM(CF_Hist!E40:E45)-CF_Hist!E46</f>
        <v>0</v>
      </c>
      <c r="F26">
        <f>SUM(CF_Hist!F40:F45)-CF_Hist!F46</f>
        <v>0</v>
      </c>
      <c r="G26" t="str">
        <f>IF(AND(ABS(N(B26))&lt;=0.5,ABS(N(C26))&lt;=0.5,ABS(N(D26))&lt;=0.5,ABS(N(E26))&lt;=0.5,ABS(N(F26))&lt;=0.5),"PASS","FAIL")</f>
        <v>PASS</v>
      </c>
    </row>
    <row r="27">
      <c r="A27" t="s">
        <v>379</v>
      </c>
      <c r="B27">
        <f>CF_Hist!B14+CF_Hist!B37+CF_Hist!B46+N(CF_Hist!B48)+CF_Hist!B49-CF_Hist!B50</f>
        <v>0</v>
      </c>
      <c r="C27">
        <f>CF_Hist!C14+CF_Hist!C37+CF_Hist!C46+N(CF_Hist!C48)+CF_Hist!C49-CF_Hist!C50</f>
        <v>0</v>
      </c>
      <c r="D27">
        <f>CF_Hist!D14+CF_Hist!D37+CF_Hist!D46+N(CF_Hist!D48)+CF_Hist!D49-CF_Hist!D50</f>
        <v>0</v>
      </c>
      <c r="E27">
        <f>CF_Hist!E14+CF_Hist!E37+CF_Hist!E46+N(CF_Hist!E48)+CF_Hist!E49-CF_Hist!E50</f>
        <v>0</v>
      </c>
      <c r="F27">
        <f>CF_Hist!F14+CF_Hist!F37+CF_Hist!F46+N(CF_Hist!F48)+CF_Hist!F49-CF_Hist!F50</f>
        <v>0</v>
      </c>
      <c r="G27" t="str">
        <f>IF(AND(ABS(N(B27))&lt;=0.5,ABS(N(C27))&lt;=0.5,ABS(N(D27))&lt;=0.5,ABS(N(E27))&lt;=0.5,ABS(N(F27))&lt;=0.5),"PASS","FAIL")</f>
        <v>PASS</v>
      </c>
    </row>
    <row r="28">
      <c r="A28" t="s">
        <v>380</v>
      </c>
      <c r="B28">
        <f>CF_Hist!B51+CF_Hist!B50-CF_Hist!B52</f>
        <v>0</v>
      </c>
      <c r="C28">
        <f>CF_Hist!C51+CF_Hist!C50-CF_Hist!C52</f>
        <v>0</v>
      </c>
      <c r="D28">
        <f>CF_Hist!D51+CF_Hist!D50-CF_Hist!D52</f>
        <v>0</v>
      </c>
      <c r="E28">
        <f>CF_Hist!E51+CF_Hist!E50-CF_Hist!E52</f>
        <v>0</v>
      </c>
      <c r="F28">
        <f>CF_Hist!F51+CF_Hist!F50-CF_Hist!F52</f>
        <v>0</v>
      </c>
      <c r="G28" t="str">
        <f>IF(AND(ABS(N(B28))&lt;=0.5,ABS(N(C28))&lt;=0.5,ABS(N(D28))&lt;=0.5,ABS(N(E28))&lt;=0.5,ABS(N(F28))&lt;=0.5),"PASS","FAIL")</f>
        <v>PASS</v>
      </c>
    </row>
    <row r="29">
      <c r="A29" t="s">
        <v>381</v>
      </c>
      <c r="B29">
        <f>CF_Hist!B52-BS_Hist!B7</f>
        <v>0</v>
      </c>
      <c r="C29">
        <f>CF_Hist!C52-BS_Hist!C7</f>
        <v>0</v>
      </c>
      <c r="D29">
        <f>CF_Hist!D52-BS_Hist!D7</f>
        <v>0</v>
      </c>
      <c r="E29">
        <f>CF_Hist!E52-BS_Hist!E7</f>
        <v>0</v>
      </c>
      <c r="F29">
        <f>CF_Hist!F52-BS_Hist!F7</f>
        <v>0</v>
      </c>
      <c r="G29" t="str">
        <f>IF(AND(ABS(N(B29))&lt;=0.5,ABS(N(C29))&lt;=0.5,ABS(N(D29))&lt;=0.5,ABS(N(E29))&lt;=0.5,ABS(N(F29))&lt;=0.5),"PASS","FAIL")</f>
        <v>PASS</v>
      </c>
    </row>
    <row r="30">
      <c r="A30" t="s">
        <v>382</v>
      </c>
      <c r="B30">
        <f>CF_Hist!B6-IS_Hist!B17</f>
        <v>0</v>
      </c>
      <c r="C30">
        <f>CF_Hist!C6-IS_Hist!C17</f>
        <v>0</v>
      </c>
      <c r="D30">
        <f>CF_Hist!D6-IS_Hist!D17</f>
        <v>0</v>
      </c>
      <c r="E30">
        <f>CF_Hist!E6-IS_Hist!E17</f>
        <v>0</v>
      </c>
      <c r="F30">
        <f>CF_Hist!F6-IS_Hist!F17</f>
        <v>0</v>
      </c>
      <c r="G30" t="str">
        <f>IF(AND(ABS(N(B30))&lt;=0.5,ABS(N(C30))&lt;=0.5,ABS(N(D30))&lt;=0.5,ABS(N(E30))&lt;=0.5,ABS(N(F30))&lt;=0.5),"PASS","FAIL")</f>
        <v>PASS</v>
      </c>
    </row>
    <row r="31">
      <c r="A31" t="s">
        <v>383</v>
      </c>
      <c r="C31">
        <f>SCE_Hist!C11-SCE_Hist!B41</f>
        <v>0</v>
      </c>
      <c r="D31">
        <f>SCE_Hist!D11-SCE_Hist!C41</f>
        <v>0</v>
      </c>
      <c r="E31">
        <f>SCE_Hist!E11-SCE_Hist!D41</f>
        <v>0</v>
      </c>
      <c r="F31">
        <f>SCE_Hist!F11-SCE_Hist!E41</f>
        <v>0</v>
      </c>
      <c r="G31" t="str">
        <f>IF(AND(ABS(N(C31))&lt;=0.5,ABS(N(D31))&lt;=0.5,ABS(N(E31))&lt;=0.5,ABS(N(F31))&lt;=0.5),"PASS","FAIL")</f>
        <v>PASS</v>
      </c>
    </row>
    <row r="32">
      <c r="A32" t="s">
        <v>384</v>
      </c>
      <c r="C32">
        <f>SCE_Hist!C12-SCE_Hist!B42</f>
        <v>0</v>
      </c>
      <c r="D32">
        <f>SCE_Hist!D12-SCE_Hist!C42</f>
        <v>0</v>
      </c>
      <c r="E32">
        <f>SCE_Hist!E12-SCE_Hist!D42</f>
        <v>0</v>
      </c>
      <c r="F32">
        <f>SCE_Hist!F12-SCE_Hist!E42</f>
        <v>0</v>
      </c>
      <c r="G32" t="str">
        <f>IF(AND(ABS(N(C32))&lt;=0.5,ABS(N(D32))&lt;=0.5,ABS(N(E32))&lt;=0.5,ABS(N(F32))&lt;=0.5),"PASS","FAIL")</f>
        <v>PASS</v>
      </c>
    </row>
    <row r="33">
      <c r="A33" t="s">
        <v>385</v>
      </c>
      <c r="C33">
        <f>SCE_Hist!C13-SCE_Hist!B43</f>
        <v>0</v>
      </c>
      <c r="D33">
        <f>SCE_Hist!D13-SCE_Hist!C43</f>
        <v>0</v>
      </c>
      <c r="E33">
        <f>SCE_Hist!E13-SCE_Hist!D43</f>
        <v>0</v>
      </c>
      <c r="F33">
        <f>SCE_Hist!F13-SCE_Hist!E43</f>
        <v>0</v>
      </c>
      <c r="G33" t="str">
        <f>IF(AND(ABS(N(C33))&lt;=0.5,ABS(N(D33))&lt;=0.5,ABS(N(E33))&lt;=0.5,ABS(N(F33))&lt;=0.5),"PASS","FAIL")</f>
        <v>PASS</v>
      </c>
    </row>
    <row r="34">
      <c r="A34" t="s">
        <v>386</v>
      </c>
      <c r="B34">
        <f>SCE_Hist!B16+SCE_Hist!B19-SCE_Hist!B22</f>
        <v>0</v>
      </c>
      <c r="C34">
        <f>SCE_Hist!C16+SCE_Hist!C19-SCE_Hist!C22</f>
        <v>0</v>
      </c>
      <c r="D34">
        <f>SCE_Hist!D16+SCE_Hist!D19-SCE_Hist!D22</f>
        <v>0</v>
      </c>
      <c r="E34">
        <f>SCE_Hist!E16+SCE_Hist!E19-SCE_Hist!E22</f>
        <v>0</v>
      </c>
      <c r="F34">
        <f>SCE_Hist!F16+SCE_Hist!F19-SCE_Hist!F22</f>
        <v>0</v>
      </c>
      <c r="G34" t="str">
        <f>IF(AND(ABS(N(B34))&lt;=0.5,ABS(N(C34))&lt;=0.5,ABS(N(D34))&lt;=0.5,ABS(N(E34))&lt;=0.5,ABS(N(F34))&lt;=0.5),"PASS","FAIL")</f>
        <v>PASS</v>
      </c>
    </row>
    <row r="35">
      <c r="A35" t="s">
        <v>387</v>
      </c>
      <c r="B35">
        <f>SCE_Hist!B17+SCE_Hist!B20-SCE_Hist!B23</f>
        <v>0</v>
      </c>
      <c r="C35">
        <f>SCE_Hist!C17+SCE_Hist!C20-SCE_Hist!C23</f>
        <v>0</v>
      </c>
      <c r="D35">
        <f>SCE_Hist!D17+SCE_Hist!D20-SCE_Hist!D23</f>
        <v>0</v>
      </c>
      <c r="E35">
        <f>SCE_Hist!E17+SCE_Hist!E20-SCE_Hist!E23</f>
        <v>0</v>
      </c>
      <c r="F35">
        <f>SCE_Hist!F17+SCE_Hist!F20-SCE_Hist!F23</f>
        <v>0</v>
      </c>
      <c r="G35" t="str">
        <f>IF(AND(ABS(N(B35))&lt;=0.5,ABS(N(C35))&lt;=0.5,ABS(N(D35))&lt;=0.5,ABS(N(E35))&lt;=0.5,ABS(N(F35))&lt;=0.5),"PASS","FAIL")</f>
        <v>PASS</v>
      </c>
    </row>
    <row r="36">
      <c r="A36" t="s">
        <v>388</v>
      </c>
      <c r="B36">
        <f>SCE_Hist!B18+SCE_Hist!B21-SCE_Hist!B24</f>
        <v>0</v>
      </c>
      <c r="C36">
        <f>SCE_Hist!C18+SCE_Hist!C21-SCE_Hist!C24</f>
        <v>0</v>
      </c>
      <c r="D36">
        <f>SCE_Hist!D18+SCE_Hist!D21-SCE_Hist!D24</f>
        <v>0</v>
      </c>
      <c r="E36">
        <f>SCE_Hist!E18+SCE_Hist!E21-SCE_Hist!E24</f>
        <v>0</v>
      </c>
      <c r="F36">
        <f>SCE_Hist!F18+SCE_Hist!F21-SCE_Hist!F24</f>
        <v>0</v>
      </c>
      <c r="G36" t="str">
        <f>IF(AND(ABS(N(B36))&lt;=0.5,ABS(N(C36))&lt;=0.5,ABS(N(D36))&lt;=0.5,ABS(N(E36))&lt;=0.5,ABS(N(F36))&lt;=0.5),"PASS","FAIL")</f>
        <v>PASS</v>
      </c>
    </row>
    <row r="37">
      <c r="A37" t="s">
        <v>389</v>
      </c>
      <c r="B37">
        <f>SCE_Hist!B25+SCE_Hist!B28-SCE_Hist!B31</f>
        <v>0</v>
      </c>
      <c r="C37">
        <f>SCE_Hist!C25+SCE_Hist!C28-SCE_Hist!C31</f>
        <v>0</v>
      </c>
      <c r="D37">
        <f>SCE_Hist!D25+SCE_Hist!D28-SCE_Hist!D31</f>
        <v>0</v>
      </c>
      <c r="E37">
        <f>SCE_Hist!E25+SCE_Hist!E28-SCE_Hist!E31</f>
        <v>0</v>
      </c>
      <c r="F37">
        <f>SCE_Hist!F25+SCE_Hist!F28-SCE_Hist!F31</f>
        <v>0</v>
      </c>
      <c r="G37" t="str">
        <f>IF(AND(ABS(N(B37))&lt;=0.5,ABS(N(C37))&lt;=0.5,ABS(N(D37))&lt;=0.5,ABS(N(E37))&lt;=0.5,ABS(N(F37))&lt;=0.5),"PASS","FAIL")</f>
        <v>PASS</v>
      </c>
    </row>
    <row r="38">
      <c r="A38" t="s">
        <v>390</v>
      </c>
      <c r="B38">
        <f>SCE_Hist!B26+SCE_Hist!B29-SCE_Hist!B32</f>
        <v>0</v>
      </c>
      <c r="C38">
        <f>SCE_Hist!C26+SCE_Hist!C29-SCE_Hist!C32</f>
        <v>0</v>
      </c>
      <c r="D38">
        <f>SCE_Hist!D26+SCE_Hist!D29-SCE_Hist!D32</f>
        <v>0</v>
      </c>
      <c r="E38">
        <f>SCE_Hist!E26+SCE_Hist!E29-SCE_Hist!E32</f>
        <v>0</v>
      </c>
      <c r="F38">
        <f>SCE_Hist!F26+SCE_Hist!F29-SCE_Hist!F32</f>
        <v>0</v>
      </c>
      <c r="G38" t="str">
        <f>IF(AND(ABS(N(B38))&lt;=0.5,ABS(N(C38))&lt;=0.5,ABS(N(D38))&lt;=0.5,ABS(N(E38))&lt;=0.5,ABS(N(F38))&lt;=0.5),"PASS","FAIL")</f>
        <v>PASS</v>
      </c>
    </row>
    <row r="39">
      <c r="A39" t="s">
        <v>391</v>
      </c>
      <c r="B39">
        <f>SCE_Hist!B27+SCE_Hist!B30-SCE_Hist!B33</f>
        <v>0</v>
      </c>
      <c r="C39">
        <f>SCE_Hist!C27+SCE_Hist!C30-SCE_Hist!C33</f>
        <v>0</v>
      </c>
      <c r="D39">
        <f>SCE_Hist!D27+SCE_Hist!D30-SCE_Hist!D33</f>
        <v>0</v>
      </c>
      <c r="E39">
        <f>SCE_Hist!E27+SCE_Hist!E30-SCE_Hist!E33</f>
        <v>0</v>
      </c>
      <c r="F39">
        <f>SCE_Hist!F27+SCE_Hist!F30-SCE_Hist!F33</f>
        <v>0</v>
      </c>
      <c r="G39" t="str">
        <f>IF(AND(ABS(N(B39))&lt;=0.5,ABS(N(C39))&lt;=0.5,ABS(N(D39))&lt;=0.5,ABS(N(E39))&lt;=0.5,ABS(N(F39))&lt;=0.5),"PASS","FAIL")</f>
        <v>PASS</v>
      </c>
    </row>
    <row r="40">
      <c r="A40" t="s">
        <v>392</v>
      </c>
      <c r="B40">
        <f>SCE_Hist!B11+SCE_Hist!B22+SCE_Hist!B31-SCE_Hist!B41</f>
        <v>0</v>
      </c>
      <c r="C40">
        <f>SCE_Hist!C11+SCE_Hist!C22+SCE_Hist!C31-SCE_Hist!C41</f>
        <v>0</v>
      </c>
      <c r="D40">
        <f>SCE_Hist!D11+SCE_Hist!D22+SCE_Hist!D31-SCE_Hist!D41</f>
        <v>0</v>
      </c>
      <c r="E40">
        <f>SCE_Hist!E11+SCE_Hist!E22+SCE_Hist!E31-SCE_Hist!E41</f>
        <v>0</v>
      </c>
      <c r="F40">
        <f>SCE_Hist!F11+SCE_Hist!F22+SCE_Hist!F31-SCE_Hist!F41</f>
        <v>0</v>
      </c>
      <c r="G40" t="str">
        <f>IF(AND(ABS(N(B40))&lt;=0.5,ABS(N(C40))&lt;=0.5,ABS(N(D40))&lt;=0.5,ABS(N(E40))&lt;=0.5,ABS(N(F40))&lt;=0.5),"PASS","FAIL")</f>
        <v>PASS</v>
      </c>
    </row>
    <row r="41">
      <c r="A41" t="s">
        <v>393</v>
      </c>
      <c r="B41">
        <f>SCE_Hist!B12+SCE_Hist!B23+SCE_Hist!B32-SCE_Hist!B42</f>
        <v>0</v>
      </c>
      <c r="C41">
        <f>SCE_Hist!C12+SCE_Hist!C23+SCE_Hist!C32-SCE_Hist!C42</f>
        <v>0</v>
      </c>
      <c r="D41">
        <f>SCE_Hist!D12+SCE_Hist!D23+SCE_Hist!D32-SCE_Hist!D42</f>
        <v>0</v>
      </c>
      <c r="E41">
        <f>SCE_Hist!E12+SCE_Hist!E23+SCE_Hist!E32-SCE_Hist!E42</f>
        <v>0</v>
      </c>
      <c r="F41">
        <f>SCE_Hist!F12+SCE_Hist!F23+SCE_Hist!F32-SCE_Hist!F42</f>
        <v>0</v>
      </c>
      <c r="G41" t="str">
        <f>IF(AND(ABS(N(B41))&lt;=0.5,ABS(N(C41))&lt;=0.5,ABS(N(D41))&lt;=0.5,ABS(N(E41))&lt;=0.5,ABS(N(F41))&lt;=0.5),"PASS","FAIL")</f>
        <v>PASS</v>
      </c>
    </row>
    <row r="42">
      <c r="A42" t="s">
        <v>394</v>
      </c>
      <c r="B42">
        <f>SCE_Hist!B13+SCE_Hist!B24+SCE_Hist!B33-SCE_Hist!B43</f>
        <v>0</v>
      </c>
      <c r="C42">
        <f>SCE_Hist!C13+SCE_Hist!C24+SCE_Hist!C33-SCE_Hist!C43</f>
        <v>0</v>
      </c>
      <c r="D42">
        <f>SCE_Hist!D13+SCE_Hist!D24+SCE_Hist!D33-SCE_Hist!D43</f>
        <v>0</v>
      </c>
      <c r="E42">
        <f>SCE_Hist!E13+SCE_Hist!E24+SCE_Hist!E33-SCE_Hist!E43</f>
        <v>0</v>
      </c>
      <c r="F42">
        <f>SCE_Hist!F13+SCE_Hist!F24+SCE_Hist!F33-SCE_Hist!F43</f>
        <v>0</v>
      </c>
      <c r="G42" t="str">
        <f>IF(AND(ABS(N(B42))&lt;=0.5,ABS(N(C42))&lt;=0.5,ABS(N(D42))&lt;=0.5,ABS(N(E42))&lt;=0.5,ABS(N(F42))&lt;=0.5),"PASS","FAIL")</f>
        <v>PASS</v>
      </c>
    </row>
    <row r="43">
      <c r="A43" t="s">
        <v>395</v>
      </c>
      <c r="B43">
        <f>SUM(SCE_Hist!B36:B40)-SCE_Hist!B41</f>
        <v>0</v>
      </c>
      <c r="C43">
        <f>SUM(SCE_Hist!C36:C40)-SCE_Hist!C41</f>
        <v>0</v>
      </c>
      <c r="D43">
        <f>SUM(SCE_Hist!D36:D40)-SCE_Hist!D41</f>
        <v>0</v>
      </c>
      <c r="E43">
        <f>SUM(SCE_Hist!E36:E40)-SCE_Hist!E41</f>
        <v>0</v>
      </c>
      <c r="F43">
        <f>SUM(SCE_Hist!F36:F40)-SCE_Hist!F41</f>
        <v>0</v>
      </c>
      <c r="G43" t="str">
        <f>IF(AND(ABS(N(B43))&lt;=0.5,ABS(N(C43))&lt;=0.5,ABS(N(D43))&lt;=0.5,ABS(N(E43))&lt;=0.5,ABS(N(F43))&lt;=0.5),"PASS","FAIL")</f>
        <v>PASS</v>
      </c>
    </row>
    <row r="44">
      <c r="A44" t="s">
        <v>396</v>
      </c>
      <c r="B44">
        <f>SCE_Hist!B41+SCE_Hist!B42-SCE_Hist!B43</f>
        <v>0</v>
      </c>
      <c r="C44">
        <f>SCE_Hist!C41+SCE_Hist!C42-SCE_Hist!C43</f>
        <v>0</v>
      </c>
      <c r="D44">
        <f>SCE_Hist!D41+SCE_Hist!D42-SCE_Hist!D43</f>
        <v>0</v>
      </c>
      <c r="E44">
        <f>SCE_Hist!E41+SCE_Hist!E42-SCE_Hist!E43</f>
        <v>0</v>
      </c>
      <c r="F44">
        <f>SCE_Hist!F41+SCE_Hist!F42-SCE_Hist!F43</f>
        <v>0</v>
      </c>
      <c r="G44" t="str">
        <f>IF(AND(ABS(N(B44))&lt;=0.5,ABS(N(C44))&lt;=0.5,ABS(N(D44))&lt;=0.5,ABS(N(E44))&lt;=0.5,ABS(N(F44))&lt;=0.5),"PASS","FAIL")</f>
        <v>PASS</v>
      </c>
    </row>
    <row r="45">
      <c r="A45" t="s">
        <v>397</v>
      </c>
      <c r="B45">
        <f>SCE_Hist!B43-BS_Hist!B63</f>
        <v>0</v>
      </c>
      <c r="C45">
        <f>SCE_Hist!C43-BS_Hist!C63</f>
        <v>0</v>
      </c>
      <c r="D45">
        <f>SCE_Hist!D43-BS_Hist!D63</f>
        <v>0</v>
      </c>
      <c r="E45">
        <f>SCE_Hist!E43-BS_Hist!E63</f>
        <v>0</v>
      </c>
      <c r="F45">
        <f>SCE_Hist!F43-BS_Hist!F63</f>
        <v>0</v>
      </c>
      <c r="G45" t="str">
        <f>IF(AND(ABS(N(B45))&lt;=0.5,ABS(N(C45))&lt;=0.5,ABS(N(D45))&lt;=0.5,ABS(N(E45))&lt;=0.5,ABS(N(F45))&lt;=0.5),"PASS","FAIL")</f>
        <v>PASS</v>
      </c>
    </row>
    <row r="46">
      <c r="A46" t="s">
        <v>398</v>
      </c>
      <c r="B46">
        <f>SCE_Hist!B41-BS_Hist!B61</f>
        <v>0</v>
      </c>
      <c r="C46">
        <f>SCE_Hist!C41-BS_Hist!C61</f>
        <v>0</v>
      </c>
      <c r="D46">
        <f>SCE_Hist!D41-BS_Hist!D61</f>
        <v>0</v>
      </c>
      <c r="E46">
        <f>SCE_Hist!E41-BS_Hist!E61</f>
        <v>0</v>
      </c>
      <c r="F46">
        <f>SCE_Hist!F41-BS_Hist!F61</f>
        <v>0</v>
      </c>
      <c r="G46" t="str">
        <f>IF(AND(ABS(N(B46))&lt;=0.5,ABS(N(C46))&lt;=0.5,ABS(N(D46))&lt;=0.5,ABS(N(E46))&lt;=0.5,ABS(N(F46))&lt;=0.5),"PASS","FAIL")</f>
        <v>PASS</v>
      </c>
    </row>
    <row r="47">
      <c r="A47" t="s">
        <v>399</v>
      </c>
      <c r="B47">
        <f>SCE_Hist!B42-BS_Hist!B62</f>
        <v>0</v>
      </c>
      <c r="C47">
        <f>SCE_Hist!C42-BS_Hist!C62</f>
        <v>0</v>
      </c>
      <c r="D47">
        <f>SCE_Hist!D42-BS_Hist!D62</f>
        <v>0</v>
      </c>
      <c r="E47">
        <f>SCE_Hist!E42-BS_Hist!E62</f>
        <v>0</v>
      </c>
      <c r="F47">
        <f>SCE_Hist!F42-BS_Hist!F62</f>
        <v>0</v>
      </c>
      <c r="G47" t="str">
        <f>IF(AND(ABS(N(B47))&lt;=0.5,ABS(N(C47))&lt;=0.5,ABS(N(D47))&lt;=0.5,ABS(N(E47))&lt;=0.5,ABS(N(F47))&lt;=0.5),"PASS","FAIL")</f>
        <v>PASS</v>
      </c>
    </row>
    <row r="48">
      <c r="A48" t="s">
        <v>400</v>
      </c>
      <c r="B48">
        <f>SCE_Hist!B18-IS_Hist!B17</f>
        <v>0</v>
      </c>
      <c r="C48">
        <f>SCE_Hist!C18-IS_Hist!C17</f>
        <v>0</v>
      </c>
      <c r="D48">
        <f>SCE_Hist!D18-IS_Hist!D17</f>
        <v>0</v>
      </c>
      <c r="E48">
        <f>SCE_Hist!E18-IS_Hist!E17</f>
        <v>0</v>
      </c>
      <c r="F48">
        <f>SCE_Hist!F18-IS_Hist!F17</f>
        <v>0</v>
      </c>
      <c r="G48" t="str">
        <f>IF(AND(ABS(N(B48))&lt;=0.5,ABS(N(C48))&lt;=0.5,ABS(N(D48))&lt;=0.5,ABS(N(E48))&lt;=0.5,ABS(N(F48))&lt;=0.5),"PASS","FAIL")</f>
        <v>PASS</v>
      </c>
    </row>
    <row r="49">
      <c r="A49" t="s">
        <v>401</v>
      </c>
      <c r="B49">
        <f>SCE_Hist!B16-IS_Hist!B20</f>
        <v>0</v>
      </c>
      <c r="C49">
        <f>SCE_Hist!C16-IS_Hist!C20</f>
        <v>0</v>
      </c>
      <c r="D49">
        <f>SCE_Hist!D16-IS_Hist!D20</f>
        <v>0</v>
      </c>
      <c r="E49">
        <f>SCE_Hist!E16-IS_Hist!E20</f>
        <v>0</v>
      </c>
      <c r="F49">
        <f>SCE_Hist!F16-IS_Hist!F20</f>
        <v>0</v>
      </c>
      <c r="G49" t="str">
        <f>IF(AND(ABS(N(B49))&lt;=0.5,ABS(N(C49))&lt;=0.5,ABS(N(D49))&lt;=0.5,ABS(N(E49))&lt;=0.5,ABS(N(F49))&lt;=0.5),"PASS","FAIL")</f>
        <v>PASS</v>
      </c>
    </row>
    <row r="50">
      <c r="A50" t="s">
        <v>402</v>
      </c>
      <c r="B50">
        <f>SCE_Hist!B17-IS_Hist!B21</f>
        <v>0</v>
      </c>
      <c r="C50">
        <f>SCE_Hist!C17-IS_Hist!C21</f>
        <v>0</v>
      </c>
      <c r="D50">
        <f>SCE_Hist!D17-IS_Hist!D21</f>
        <v>0</v>
      </c>
      <c r="E50">
        <f>SCE_Hist!E17-IS_Hist!E21</f>
        <v>0</v>
      </c>
      <c r="F50">
        <f>SCE_Hist!F17-IS_Hist!F21</f>
        <v>0</v>
      </c>
      <c r="G50" t="str">
        <f>IF(AND(ABS(N(B50))&lt;=0.5,ABS(N(C50))&lt;=0.5,ABS(N(D50))&lt;=0.5,ABS(N(E50))&lt;=0.5,ABS(N(F50))&lt;=0.5),"PASS","FAIL")</f>
        <v>PASS</v>
      </c>
    </row>
    <row r="51">
      <c r="A51" t="s">
        <v>403</v>
      </c>
      <c r="B51">
        <f>SCE_Hist!B21-CI_Hist!B14</f>
        <v>0</v>
      </c>
      <c r="C51">
        <f>SCE_Hist!C21-CI_Hist!C14</f>
        <v>0</v>
      </c>
      <c r="D51">
        <f>SCE_Hist!D21-CI_Hist!D14</f>
        <v>0</v>
      </c>
      <c r="E51">
        <f>SCE_Hist!E21-CI_Hist!E14</f>
        <v>0</v>
      </c>
      <c r="F51">
        <f>SCE_Hist!F21-CI_Hist!F14</f>
        <v>0</v>
      </c>
      <c r="G51" t="str">
        <f>IF(AND(ABS(N(B51))&lt;=0.5,ABS(N(C51))&lt;=0.5,ABS(N(D51))&lt;=0.5,ABS(N(E51))&lt;=0.5,ABS(N(F51))&lt;=0.5),"PASS","FAIL")</f>
        <v>PASS</v>
      </c>
    </row>
    <row r="52">
      <c r="A52" t="s">
        <v>404</v>
      </c>
      <c r="B52">
        <f>SCE_Hist!B22-CI_Hist!B17</f>
        <v>0</v>
      </c>
      <c r="C52">
        <f>SCE_Hist!C22-CI_Hist!C17</f>
        <v>0</v>
      </c>
      <c r="D52">
        <f>SCE_Hist!D22-CI_Hist!D17</f>
        <v>0</v>
      </c>
      <c r="E52">
        <f>SCE_Hist!E22-CI_Hist!E17</f>
        <v>0</v>
      </c>
      <c r="F52">
        <f>SCE_Hist!F22-CI_Hist!F17</f>
        <v>0</v>
      </c>
      <c r="G52" t="str">
        <f>IF(AND(ABS(N(B52))&lt;=0.5,ABS(N(C52))&lt;=0.5,ABS(N(D52))&lt;=0.5,ABS(N(E52))&lt;=0.5,ABS(N(F52))&lt;=0.5),"PASS","FAIL")</f>
        <v>PASS</v>
      </c>
    </row>
    <row r="53">
      <c r="A53" t="s">
        <v>405</v>
      </c>
      <c r="B53">
        <f>SCE_Hist!B23-CI_Hist!B18</f>
        <v>0</v>
      </c>
      <c r="C53">
        <f>SCE_Hist!C23-CI_Hist!C18</f>
        <v>0</v>
      </c>
      <c r="D53">
        <f>SCE_Hist!D23-CI_Hist!D18</f>
        <v>0</v>
      </c>
      <c r="E53">
        <f>SCE_Hist!E23-CI_Hist!E18</f>
        <v>0</v>
      </c>
      <c r="F53">
        <f>SCE_Hist!F23-CI_Hist!F18</f>
        <v>0</v>
      </c>
      <c r="G53" t="str">
        <f>IF(AND(ABS(N(B53))&lt;=0.5,ABS(N(C53))&lt;=0.5,ABS(N(D53))&lt;=0.5,ABS(N(E53))&lt;=0.5,ABS(N(F53))&lt;=0.5),"PASS","FAIL")</f>
        <v>PASS</v>
      </c>
    </row>
    <row r="54">
      <c r="A54" t="s">
        <v>406</v>
      </c>
      <c r="B54">
        <f>USD_Hist!B6*USD_Hist!B5-IS_Hist!B5</f>
        <v>0</v>
      </c>
      <c r="C54">
        <f>USD_Hist!C6*USD_Hist!C5-IS_Hist!C5</f>
        <v>0</v>
      </c>
      <c r="D54">
        <f>USD_Hist!D6*USD_Hist!D5-IS_Hist!D5</f>
        <v>0</v>
      </c>
      <c r="E54">
        <f>USD_Hist!E6*USD_Hist!E5-IS_Hist!E5</f>
        <v>0</v>
      </c>
      <c r="F54">
        <f>USD_Hist!F6*USD_Hist!F5-IS_Hist!F5</f>
        <v>0</v>
      </c>
      <c r="G54" t="str">
        <f>IF(AND(ABS(N(B54))&lt;=1,ABS(N(C54))&lt;=1,ABS(N(D54))&lt;=1,ABS(N(E54))&lt;=1,ABS(N(F54))&lt;=1),"PASS","FAIL")</f>
        <v>PASS</v>
      </c>
    </row>
    <row r="55">
      <c r="A55" t="s">
        <v>407</v>
      </c>
      <c r="B55">
        <f>USD_Hist!B14*USD_Hist!B5-BS_Hist!B63</f>
        <v>0</v>
      </c>
      <c r="C55">
        <f>USD_Hist!C14*USD_Hist!C5-BS_Hist!C63</f>
        <v>0</v>
      </c>
      <c r="D55">
        <f>USD_Hist!D14*USD_Hist!D5-BS_Hist!D63</f>
        <v>0</v>
      </c>
      <c r="E55">
        <f>USD_Hist!E14*USD_Hist!E5-BS_Hist!E63</f>
        <v>0</v>
      </c>
      <c r="F55">
        <f>USD_Hist!F14*USD_Hist!F5-BS_Hist!F63</f>
        <v>0</v>
      </c>
      <c r="G55" t="str">
        <f>IF(AND(ABS(N(B55))&lt;=1,ABS(N(C55))&lt;=1,ABS(N(D55))&lt;=1,ABS(N(E55))&lt;=1,ABS(N(F55))&lt;=1),"PASS","FAIL")</f>
        <v>PASS</v>
      </c>
    </row>
    <row r="56">
      <c r="A56" t="s">
        <v>408</v>
      </c>
      <c r="B56" s="56">
        <f>Forecast!B5-USD_Hist!F6</f>
        <v>0</v>
      </c>
      <c r="G56" s="56" t="str">
        <f>IF(ABS(N(B56))&lt;=0.01,"PASS","FAIL")</f>
        <v>PASS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ColWidth="8.375" defaultRowHeight="15"/>
  <sheetData>
    <row r="1">
      <c r="A1" t="s">
        <v>409</v>
      </c>
    </row>
    <row r="3">
      <c r="A3" t="s">
        <v>410</v>
      </c>
      <c r="B3" t="s">
        <v>411</v>
      </c>
      <c r="C3" t="s">
        <v>412</v>
      </c>
      <c r="D3" t="s">
        <v>413</v>
      </c>
    </row>
    <row r="4">
      <c r="A4" t="s">
        <v>201</v>
      </c>
      <c r="B4" t="s">
        <v>414</v>
      </c>
      <c r="C4" t="s">
        <v>415</v>
      </c>
      <c r="D4">
        <f>B21</f>
        <v>1144.09</v>
      </c>
    </row>
    <row r="5">
      <c r="A5" t="s">
        <v>416</v>
      </c>
      <c r="B5" t="s">
        <v>417</v>
      </c>
      <c r="C5" t="s">
        <v>418</v>
      </c>
      <c r="D5">
        <f>D21</f>
        <v>1306.12</v>
      </c>
    </row>
    <row r="6">
      <c r="A6" t="s">
        <v>419</v>
      </c>
      <c r="B6" t="s">
        <v>420</v>
      </c>
      <c r="C6" t="s">
        <v>421</v>
      </c>
      <c r="D6">
        <f>F21</f>
        <v>1421.89</v>
      </c>
    </row>
    <row r="8">
      <c r="A8" t="s">
        <v>422</v>
      </c>
    </row>
    <row r="9">
      <c r="A9" t="s">
        <v>423</v>
      </c>
    </row>
    <row r="11">
      <c r="A11" t="s">
        <v>424</v>
      </c>
    </row>
    <row r="12">
      <c r="A12" t="s">
        <v>410</v>
      </c>
      <c r="B12" t="s">
        <v>411</v>
      </c>
      <c r="C12" t="s">
        <v>425</v>
      </c>
    </row>
    <row r="13">
      <c r="A13" t="s">
        <v>201</v>
      </c>
      <c r="B13" t="s">
        <v>426</v>
      </c>
      <c r="C13" t="s">
        <v>427</v>
      </c>
    </row>
    <row r="14">
      <c r="A14" t="s">
        <v>202</v>
      </c>
      <c r="B14" t="s">
        <v>428</v>
      </c>
      <c r="C14" t="s">
        <v>429</v>
      </c>
    </row>
    <row r="15">
      <c r="A15" t="s">
        <v>203</v>
      </c>
      <c r="B15" t="s">
        <v>430</v>
      </c>
      <c r="C15" t="s">
        <v>431</v>
      </c>
    </row>
    <row r="16">
      <c r="A16" t="s">
        <v>204</v>
      </c>
      <c r="B16" t="s">
        <v>432</v>
      </c>
      <c r="C16" t="s">
        <v>433</v>
      </c>
    </row>
    <row r="17">
      <c r="A17" t="s">
        <v>205</v>
      </c>
      <c r="B17" t="s">
        <v>434</v>
      </c>
      <c r="C17" t="s">
        <v>435</v>
      </c>
    </row>
    <row r="19">
      <c r="A19" t="s">
        <v>436</v>
      </c>
    </row>
    <row r="20">
      <c r="A20" t="s">
        <v>58</v>
      </c>
      <c r="B20" t="s">
        <v>201</v>
      </c>
      <c r="C20" t="s">
        <v>202</v>
      </c>
      <c r="D20" t="s">
        <v>203</v>
      </c>
      <c r="E20" t="s">
        <v>204</v>
      </c>
      <c r="F20" t="s">
        <v>205</v>
      </c>
    </row>
    <row r="21">
      <c r="A21" t="s">
        <v>437</v>
      </c>
      <c r="B21">
        <v>1144.09</v>
      </c>
      <c r="C21">
        <f>AVERAGE(B21,D21)</f>
        <v>1225.105</v>
      </c>
      <c r="D21">
        <v>1306.12</v>
      </c>
      <c r="E21">
        <f>AVERAGE(D21,F21)</f>
        <v>1364.005</v>
      </c>
      <c r="F21">
        <v>1421.89</v>
      </c>
    </row>
    <row r="22">
      <c r="A22" t="s">
        <v>438</v>
      </c>
      <c r="B22" t="s">
        <v>439</v>
      </c>
      <c r="C22" t="s">
        <v>440</v>
      </c>
      <c r="D22" t="s">
        <v>441</v>
      </c>
      <c r="E22" t="s">
        <v>442</v>
      </c>
      <c r="F22" t="s">
        <v>443</v>
      </c>
    </row>
    <row r="24">
      <c r="A24" t="s">
        <v>444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ColWidth="8.375" defaultRowHeight="15"/>
  <sheetData>
    <row r="1">
      <c r="A1" t="s">
        <v>445</v>
      </c>
    </row>
    <row r="2">
      <c r="A2" t="s">
        <v>446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</row>
    <row r="5">
      <c r="A5" t="s">
        <v>447</v>
      </c>
    </row>
    <row r="6">
      <c r="A6" t="s">
        <v>300</v>
      </c>
      <c r="B6">
        <v>119467</v>
      </c>
      <c r="C6">
        <v>119467</v>
      </c>
      <c r="D6">
        <v>119467</v>
      </c>
      <c r="E6">
        <v>119467</v>
      </c>
      <c r="F6">
        <v>119467</v>
      </c>
    </row>
    <row r="7">
      <c r="A7" t="s">
        <v>301</v>
      </c>
      <c r="B7">
        <v>778047</v>
      </c>
      <c r="C7">
        <v>778047</v>
      </c>
      <c r="D7">
        <v>778047</v>
      </c>
      <c r="E7">
        <v>778047</v>
      </c>
      <c r="F7">
        <v>778047</v>
      </c>
    </row>
    <row r="8">
      <c r="A8" t="s">
        <v>302</v>
      </c>
      <c r="B8">
        <v>4403893</v>
      </c>
      <c r="C8">
        <v>4403893</v>
      </c>
      <c r="D8">
        <v>4403893</v>
      </c>
      <c r="E8">
        <v>4403893</v>
      </c>
      <c r="F8">
        <v>4403893</v>
      </c>
    </row>
    <row r="9">
      <c r="A9" t="s">
        <v>303</v>
      </c>
      <c r="B9">
        <v>271068211</v>
      </c>
      <c r="C9">
        <v>293064763</v>
      </c>
      <c r="D9">
        <v>337946407</v>
      </c>
      <c r="E9">
        <v>346652238</v>
      </c>
      <c r="F9">
        <v>370513188</v>
      </c>
    </row>
    <row r="10">
      <c r="A10" t="s">
        <v>304</v>
      </c>
      <c r="B10">
        <v>-8687155</v>
      </c>
      <c r="C10">
        <v>-2128473</v>
      </c>
      <c r="D10">
        <v>1938328</v>
      </c>
      <c r="E10">
        <v>1280130</v>
      </c>
      <c r="F10">
        <v>15873008</v>
      </c>
    </row>
    <row r="11">
      <c r="A11" t="s">
        <v>299</v>
      </c>
      <c r="B11">
        <v>267670331</v>
      </c>
      <c r="C11">
        <v>296237697</v>
      </c>
      <c r="D11">
        <v>345186142</v>
      </c>
      <c r="E11">
        <v>353233775</v>
      </c>
      <c r="F11">
        <v>391687603</v>
      </c>
    </row>
    <row r="12">
      <c r="A12" t="s">
        <v>222</v>
      </c>
      <c r="B12">
        <v>8277685</v>
      </c>
      <c r="C12">
        <v>8662234</v>
      </c>
      <c r="D12">
        <v>9563462</v>
      </c>
      <c r="E12">
        <v>10444090</v>
      </c>
      <c r="F12">
        <v>10504467</v>
      </c>
    </row>
    <row r="13">
      <c r="A13" t="s">
        <v>306</v>
      </c>
      <c r="B13">
        <v>275948016</v>
      </c>
      <c r="C13">
        <v>304899931</v>
      </c>
      <c r="D13">
        <v>354749604</v>
      </c>
      <c r="E13">
        <v>363677865</v>
      </c>
      <c r="F13">
        <v>402192070</v>
      </c>
    </row>
    <row r="15">
      <c r="A15" t="s">
        <v>448</v>
      </c>
    </row>
    <row r="16">
      <c r="A16" t="s">
        <v>449</v>
      </c>
      <c r="B16">
        <v>39243791</v>
      </c>
      <c r="C16">
        <v>54730018</v>
      </c>
      <c r="D16">
        <v>14473401</v>
      </c>
      <c r="E16">
        <v>33621363</v>
      </c>
      <c r="F16">
        <v>44260956</v>
      </c>
    </row>
    <row r="17">
      <c r="A17" t="s">
        <v>450</v>
      </c>
      <c r="B17">
        <v>663659</v>
      </c>
      <c r="C17">
        <v>924059</v>
      </c>
      <c r="D17">
        <v>1013699</v>
      </c>
      <c r="E17">
        <v>829988</v>
      </c>
      <c r="F17">
        <v>945849</v>
      </c>
    </row>
    <row r="18">
      <c r="A18" t="s">
        <v>451</v>
      </c>
      <c r="B18">
        <v>39907450</v>
      </c>
      <c r="C18">
        <v>55654077</v>
      </c>
      <c r="D18">
        <v>15487100</v>
      </c>
      <c r="E18">
        <v>34451351</v>
      </c>
      <c r="F18">
        <v>45206805</v>
      </c>
    </row>
    <row r="19">
      <c r="A19" t="s">
        <v>452</v>
      </c>
      <c r="B19">
        <v>9794121</v>
      </c>
      <c r="C19">
        <v>4015089</v>
      </c>
      <c r="D19">
        <v>3372260</v>
      </c>
      <c r="E19">
        <v>16426836</v>
      </c>
      <c r="F19">
        <v>5643007</v>
      </c>
    </row>
    <row r="20">
      <c r="A20" t="s">
        <v>453</v>
      </c>
      <c r="B20">
        <v>208178</v>
      </c>
      <c r="C20">
        <v>-9425</v>
      </c>
      <c r="D20">
        <v>-21949</v>
      </c>
      <c r="E20">
        <v>418151</v>
      </c>
      <c r="F20">
        <v>440712</v>
      </c>
    </row>
    <row r="21">
      <c r="A21" t="s">
        <v>454</v>
      </c>
      <c r="B21">
        <v>10002299</v>
      </c>
      <c r="C21">
        <v>4005664</v>
      </c>
      <c r="D21">
        <v>3350311</v>
      </c>
      <c r="E21">
        <v>16844987</v>
      </c>
      <c r="F21">
        <v>6083719</v>
      </c>
    </row>
    <row r="22">
      <c r="A22" t="s">
        <v>455</v>
      </c>
      <c r="B22">
        <v>49037912</v>
      </c>
      <c r="C22">
        <v>58745107</v>
      </c>
      <c r="D22">
        <v>17845661</v>
      </c>
      <c r="E22">
        <v>50048199</v>
      </c>
      <c r="F22">
        <v>49903963</v>
      </c>
    </row>
    <row r="23">
      <c r="A23" t="s">
        <v>456</v>
      </c>
      <c r="B23">
        <v>871837</v>
      </c>
      <c r="C23">
        <v>914634</v>
      </c>
      <c r="D23">
        <v>991750</v>
      </c>
      <c r="E23">
        <v>1248139</v>
      </c>
      <c r="F23">
        <v>1386561</v>
      </c>
    </row>
    <row r="24">
      <c r="A24" t="s">
        <v>457</v>
      </c>
      <c r="B24">
        <v>49909749</v>
      </c>
      <c r="C24">
        <v>59659741</v>
      </c>
      <c r="D24">
        <v>18837411</v>
      </c>
      <c r="E24">
        <v>51296338</v>
      </c>
      <c r="F24">
        <v>51290524</v>
      </c>
    </row>
    <row r="25">
      <c r="A25" t="s">
        <v>458</v>
      </c>
      <c r="B25">
        <v>-20480721</v>
      </c>
      <c r="C25">
        <v>-9809437</v>
      </c>
      <c r="D25">
        <v>-9809437</v>
      </c>
      <c r="E25">
        <v>-9809437</v>
      </c>
      <c r="F25">
        <v>-9808728</v>
      </c>
    </row>
    <row r="26">
      <c r="A26" t="s">
        <v>459</v>
      </c>
      <c r="B26">
        <v>-32005</v>
      </c>
      <c r="C26">
        <v>-5523</v>
      </c>
      <c r="D26">
        <v>-101984</v>
      </c>
      <c r="E26">
        <v>-1102625</v>
      </c>
      <c r="F26">
        <v>-87444</v>
      </c>
    </row>
    <row r="27">
      <c r="A27" t="s">
        <v>460</v>
      </c>
      <c r="B27">
        <v>-20512726</v>
      </c>
      <c r="C27">
        <v>-9814960</v>
      </c>
      <c r="D27">
        <v>-9911421</v>
      </c>
      <c r="E27">
        <v>-10912062</v>
      </c>
      <c r="F27">
        <v>-9896172</v>
      </c>
    </row>
    <row r="28">
      <c r="A28" t="s">
        <v>461</v>
      </c>
      <c r="B28">
        <v>10175</v>
      </c>
      <c r="C28">
        <v>12775</v>
      </c>
      <c r="D28">
        <v>11409</v>
      </c>
      <c r="E28">
        <v>-1784934</v>
      </c>
      <c r="F28">
        <v>-7469583</v>
      </c>
    </row>
    <row r="29">
      <c r="A29" t="s">
        <v>462</v>
      </c>
      <c r="B29">
        <v>-455283</v>
      </c>
      <c r="C29">
        <v>-7883</v>
      </c>
      <c r="D29">
        <v>-9138</v>
      </c>
      <c r="E29">
        <v>-85137</v>
      </c>
      <c r="F29">
        <v>203498</v>
      </c>
    </row>
    <row r="30">
      <c r="A30" t="s">
        <v>463</v>
      </c>
      <c r="B30">
        <v>-445108</v>
      </c>
      <c r="C30">
        <v>4892</v>
      </c>
      <c r="D30">
        <v>2271</v>
      </c>
      <c r="E30">
        <v>-1870071</v>
      </c>
      <c r="F30">
        <v>-7266085</v>
      </c>
    </row>
    <row r="31">
      <c r="A31" t="s">
        <v>464</v>
      </c>
      <c r="B31">
        <v>-20470546</v>
      </c>
      <c r="C31">
        <v>-9796662</v>
      </c>
      <c r="D31">
        <v>-9798028</v>
      </c>
      <c r="E31">
        <v>-11594371</v>
      </c>
      <c r="F31">
        <v>-17278311</v>
      </c>
    </row>
    <row r="32">
      <c r="A32" t="s">
        <v>465</v>
      </c>
      <c r="B32">
        <v>-487288</v>
      </c>
      <c r="C32">
        <v>-13406</v>
      </c>
      <c r="D32">
        <v>-111122</v>
      </c>
      <c r="E32">
        <v>-1187762</v>
      </c>
      <c r="F32">
        <v>116054</v>
      </c>
    </row>
    <row r="33">
      <c r="A33" t="s">
        <v>466</v>
      </c>
      <c r="B33">
        <v>-20957834</v>
      </c>
      <c r="C33">
        <v>-9810068</v>
      </c>
      <c r="D33">
        <v>-9909150</v>
      </c>
      <c r="E33">
        <v>-12782133</v>
      </c>
      <c r="F33">
        <v>-17162257</v>
      </c>
    </row>
    <row r="35">
      <c r="A35" t="s">
        <v>467</v>
      </c>
    </row>
    <row r="36">
      <c r="A36" t="s">
        <v>300</v>
      </c>
      <c r="B36">
        <v>119467</v>
      </c>
      <c r="C36">
        <v>119467</v>
      </c>
      <c r="D36">
        <v>119467</v>
      </c>
      <c r="E36">
        <v>119467</v>
      </c>
      <c r="F36">
        <v>119467</v>
      </c>
    </row>
    <row r="37">
      <c r="A37" t="s">
        <v>301</v>
      </c>
      <c r="B37">
        <v>778047</v>
      </c>
      <c r="C37">
        <v>778047</v>
      </c>
      <c r="D37">
        <v>778047</v>
      </c>
      <c r="E37">
        <v>778047</v>
      </c>
      <c r="F37">
        <v>778047</v>
      </c>
    </row>
    <row r="38">
      <c r="A38" t="s">
        <v>302</v>
      </c>
      <c r="B38">
        <v>4403893</v>
      </c>
      <c r="C38">
        <v>4403893</v>
      </c>
      <c r="D38">
        <v>4403893</v>
      </c>
      <c r="E38">
        <v>4403893</v>
      </c>
      <c r="F38">
        <v>4403893</v>
      </c>
    </row>
    <row r="39">
      <c r="A39" t="s">
        <v>303</v>
      </c>
      <c r="B39">
        <v>293064763</v>
      </c>
      <c r="C39">
        <v>337946407</v>
      </c>
      <c r="D39">
        <v>346652238</v>
      </c>
      <c r="E39">
        <v>370513188</v>
      </c>
      <c r="F39">
        <v>402135600</v>
      </c>
    </row>
    <row r="40">
      <c r="A40" t="s">
        <v>304</v>
      </c>
      <c r="B40">
        <v>-2128473</v>
      </c>
      <c r="C40">
        <v>1938328</v>
      </c>
      <c r="D40">
        <v>1280130</v>
      </c>
      <c r="E40">
        <v>15873008</v>
      </c>
      <c r="F40">
        <v>16876248</v>
      </c>
    </row>
    <row r="41">
      <c r="A41" t="s">
        <v>299</v>
      </c>
      <c r="B41">
        <v>296237697</v>
      </c>
      <c r="C41">
        <v>345186142</v>
      </c>
      <c r="D41">
        <v>353233775</v>
      </c>
      <c r="E41">
        <v>391687603</v>
      </c>
      <c r="F41">
        <v>424313255</v>
      </c>
    </row>
    <row r="42">
      <c r="A42" t="s">
        <v>222</v>
      </c>
      <c r="B42">
        <v>8662234</v>
      </c>
      <c r="C42">
        <v>9563462</v>
      </c>
      <c r="D42">
        <v>10444090</v>
      </c>
      <c r="E42">
        <v>10504467</v>
      </c>
      <c r="F42">
        <v>12007082</v>
      </c>
    </row>
    <row r="43">
      <c r="A43" t="s">
        <v>306</v>
      </c>
      <c r="B43">
        <v>304899931</v>
      </c>
      <c r="C43">
        <v>354749604</v>
      </c>
      <c r="D43">
        <v>363677865</v>
      </c>
      <c r="E43">
        <v>402192070</v>
      </c>
      <c r="F43">
        <v>436320337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ColWidth="8.375" defaultRowHeight="15"/>
  <sheetData>
    <row r="1">
      <c r="A1" t="s">
        <v>468</v>
      </c>
    </row>
    <row r="2">
      <c r="A2" t="s">
        <v>469</v>
      </c>
    </row>
    <row r="4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</row>
    <row r="5">
      <c r="A5" t="s">
        <v>470</v>
      </c>
      <c r="B5">
        <f>Sources_Audited!B21</f>
        <v>1144.09</v>
      </c>
      <c r="C5">
        <f>Sources_Audited!C21</f>
        <v>1225.105</v>
      </c>
      <c r="D5">
        <f>Sources_Audited!D21</f>
        <v>1306.12</v>
      </c>
      <c r="E5">
        <f>Sources_Audited!E21</f>
        <v>1364.005</v>
      </c>
      <c r="F5">
        <f>Sources_Audited!F21</f>
        <v>1421.89</v>
      </c>
    </row>
    <row r="6">
      <c r="A6" t="s">
        <v>66</v>
      </c>
      <c r="B6">
        <f>IS_Hist!B5/B5</f>
        <v>244390.56280537372</v>
      </c>
      <c r="C6">
        <f>IS_Hist!C5/C5</f>
        <v>246698.33197970784</v>
      </c>
      <c r="D6">
        <f>IS_Hist!D5/D5</f>
        <v>198247.85930848622</v>
      </c>
      <c r="E6">
        <f>IS_Hist!E5/E5</f>
        <v>220579.03233492543</v>
      </c>
      <c r="F6">
        <f>IS_Hist!F5/F5</f>
        <v>234621.4812678899</v>
      </c>
    </row>
    <row r="7">
      <c r="A7" t="s">
        <v>69</v>
      </c>
      <c r="B7">
        <f>IS_Hist!B7/B5</f>
        <v>98937.54599725547</v>
      </c>
      <c r="C7">
        <f>IS_Hist!C7/C5</f>
        <v>91575.48944784324</v>
      </c>
      <c r="D7">
        <f>IS_Hist!D7/D5</f>
        <v>60137.59378923836</v>
      </c>
      <c r="E7">
        <f>IS_Hist!E7/E5</f>
        <v>83803.67740587461</v>
      </c>
      <c r="F7">
        <f>IS_Hist!F7/F5</f>
        <v>92391.4121345533</v>
      </c>
    </row>
    <row r="8">
      <c r="A8" t="s">
        <v>471</v>
      </c>
      <c r="B8">
        <f>IS_Hist!B9/B5</f>
        <v>45130.93899955424</v>
      </c>
      <c r="C8">
        <f>IS_Hist!C9/C5</f>
        <v>35406.459038204885</v>
      </c>
      <c r="D8">
        <f>IS_Hist!D9/D5</f>
        <v>5027.850427219551</v>
      </c>
      <c r="E8">
        <f>IS_Hist!E9/E5</f>
        <v>23992.55208008768</v>
      </c>
      <c r="F8">
        <f>IS_Hist!F9/F5</f>
        <v>30664.15193861691</v>
      </c>
    </row>
    <row r="9">
      <c r="A9" t="s">
        <v>472</v>
      </c>
      <c r="B9">
        <f>IS_Hist!B20/B5</f>
        <v>34301.31458189478</v>
      </c>
      <c r="C9">
        <f>IS_Hist!C20/C5</f>
        <v>44673.736536868266</v>
      </c>
      <c r="D9">
        <f>IS_Hist!D20/D5</f>
        <v>11081.218417909535</v>
      </c>
      <c r="E9">
        <f>IS_Hist!E20/E5</f>
        <v>24649.002752922457</v>
      </c>
      <c r="F9">
        <f>IS_Hist!F20/F5</f>
        <v>31128.25605356251</v>
      </c>
    </row>
    <row r="10">
      <c r="A10" t="s">
        <v>318</v>
      </c>
      <c r="B10">
        <f>CF_Hist!B14/B5</f>
        <v>56905.87978218497</v>
      </c>
      <c r="C10">
        <f>CF_Hist!C14/C5</f>
        <v>50755.931940527546</v>
      </c>
      <c r="D10">
        <f>CF_Hist!D14/D5</f>
        <v>33792.780908339206</v>
      </c>
      <c r="E10">
        <f>CF_Hist!E14/E5</f>
        <v>53506.12424441259</v>
      </c>
      <c r="F10">
        <f>CF_Hist!F14/F5</f>
        <v>60001.22934966839</v>
      </c>
    </row>
    <row r="11">
      <c r="A11" t="s">
        <v>473</v>
      </c>
      <c r="B11">
        <f>CF_Hist!B29/B5</f>
        <v>-41187.41182948894</v>
      </c>
      <c r="C11">
        <f>CF_Hist!C29/C5</f>
        <v>-40347.91140351235</v>
      </c>
      <c r="D11">
        <f>CF_Hist!D29/D5</f>
        <v>-44108.72814136527</v>
      </c>
      <c r="E11">
        <f>CF_Hist!E29/E5</f>
        <v>-37687.80539660778</v>
      </c>
      <c r="F11">
        <f>CF_Hist!F29/F5</f>
        <v>-33421.839242135466</v>
      </c>
    </row>
    <row r="12">
      <c r="A12" t="s">
        <v>270</v>
      </c>
      <c r="B12">
        <f>BS_Hist!B28/B5</f>
        <v>372891.25680671976</v>
      </c>
      <c r="C12">
        <f>BS_Hist!C28/C5</f>
        <v>366029.44808812306</v>
      </c>
      <c r="D12">
        <f>BS_Hist!D28/D5</f>
        <v>349053.67041313206</v>
      </c>
      <c r="E12">
        <f>BS_Hist!E28/E5</f>
        <v>377221.4530005388</v>
      </c>
      <c r="F12">
        <f>BS_Hist!F28/F5</f>
        <v>398724.31060067937</v>
      </c>
    </row>
    <row r="13">
      <c r="A13" t="s">
        <v>298</v>
      </c>
      <c r="B13">
        <f>BS_Hist!B53/B5</f>
        <v>106391.30400580374</v>
      </c>
      <c r="C13">
        <f>BS_Hist!C53/C5</f>
        <v>76462.75462103248</v>
      </c>
      <c r="D13">
        <f>BS_Hist!D53/D5</f>
        <v>70612.28294490553</v>
      </c>
      <c r="E13">
        <f>BS_Hist!E53/E5</f>
        <v>82360.31246219772</v>
      </c>
      <c r="F13">
        <f>BS_Hist!F53/F5</f>
        <v>91864.89320552222</v>
      </c>
    </row>
    <row r="14">
      <c r="A14" t="s">
        <v>306</v>
      </c>
      <c r="B14">
        <f>BS_Hist!B63/B5</f>
        <v>266499.95280091604</v>
      </c>
      <c r="C14">
        <f>BS_Hist!C63/C5</f>
        <v>289566.69346709055</v>
      </c>
      <c r="D14">
        <f>BS_Hist!D63/D5</f>
        <v>278441.38746822655</v>
      </c>
      <c r="E14">
        <f>BS_Hist!E63/E5</f>
        <v>294861.14053834113</v>
      </c>
      <c r="F14">
        <f>BS_Hist!F63/F5</f>
        <v>306859.41739515716</v>
      </c>
    </row>
    <row r="15">
      <c r="A15" t="s">
        <v>244</v>
      </c>
      <c r="B15">
        <f>BS_Hist!B7/B5</f>
        <v>34115.685828912065</v>
      </c>
      <c r="C15">
        <f>BS_Hist!C7/C5</f>
        <v>40552.205729304835</v>
      </c>
      <c r="D15">
        <f>BS_Hist!D7/D5</f>
        <v>52890.15787217102</v>
      </c>
      <c r="E15">
        <f>BS_Hist!E7/E5</f>
        <v>39373.44731141015</v>
      </c>
      <c r="F15">
        <f>BS_Hist!F7/F5</f>
        <v>40689.77065736449</v>
      </c>
    </row>
    <row r="16">
      <c r="A16" t="s">
        <v>474</v>
      </c>
      <c r="B16">
        <f>IS_Hist!B20/IS_Hist!B24</f>
        <v>6793.109053141769</v>
      </c>
      <c r="C16">
        <f>IS_Hist!C20/IS_Hist!C24</f>
        <v>6792.853171155517</v>
      </c>
      <c r="D16">
        <f>IS_Hist!D20/IS_Hist!D24</f>
        <v>6791.8352885969025</v>
      </c>
      <c r="E16">
        <f>IS_Hist!E20/IS_Hist!E24</f>
        <v>6792.194545454546</v>
      </c>
      <c r="F16">
        <f>IS_Hist!F20/IS_Hist!F24</f>
        <v>6703.1585642889595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8" t="s">
        <v>475</v>
      </c>
      <c r="B1" s="58" t="s">
        <v>179</v>
      </c>
      <c r="C1" s="58" t="s">
        <v>476</v>
      </c>
      <c r="D1" s="58" t="s">
        <v>477</v>
      </c>
      <c r="E1" s="58" t="s">
        <v>478</v>
      </c>
      <c r="F1" s="58" t="s">
        <v>479</v>
      </c>
    </row>
    <row r="2">
      <c r="A2" s="59">
        <v>1</v>
      </c>
      <c r="B2" s="57">
        <v>46324.35933204861</v>
      </c>
      <c r="C2" s="59" t="s">
        <v>480</v>
      </c>
      <c r="D2" s="59" t="s">
        <v>481</v>
      </c>
      <c r="E2" s="59" t="s">
        <v>482</v>
      </c>
      <c r="F2" s="59" t="s">
        <v>483</v>
      </c>
    </row>
  </sheetData>
</worksheet>
</file>