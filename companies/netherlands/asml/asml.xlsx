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Gate_9of10" sheetId="11" r:id="rId13"/>
    <sheet name="IS_Hist" sheetId="12" r:id="rId15"/>
    <sheet name="CF_Hist" sheetId="13" r:id="rId16"/>
    <sheet name="BS_Hist" sheetId="14" r:id="rId17"/>
    <sheet name="SCE_Hist" sheetId="15" r:id="rId18"/>
    <sheet name="Checks_TieOut" sheetId="16" r:id="rId19"/>
    <sheet name="Sources_Audited" sheetId="17" r:id="rId20"/>
    <sheet name="Drivers_MDA" sheetId="18" r:id="rId21"/>
    <sheet name="Market_Package" sheetId="19" r:id="rId22"/>
    <sheet name="Claude Code Log" sheetId="20" r:id="rId23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<sst xmlns="http://schemas.openxmlformats.org/spreadsheetml/2006/main" count="3139" uniqueCount="1246">
  <si>
    <t>ASML Holding N.V. — Regated institutional model</t>
  </si>
  <si>
    <t>Native-currency, source-ledgered semiconductor model | 2026-07-16 | owner-ready, independent certification pending</t>
  </si>
  <si>
    <t>Model identifier</t>
  </si>
  <si>
    <t>ASML_9of10_Regated</t>
  </si>
  <si>
    <t>Ticker / CIK</t>
  </si>
  <si>
    <t>ASML / 0000937966</t>
  </si>
  <si>
    <t>Reporting currency / scale</t>
  </si>
  <si>
    <t>EUR / EUR millions</t>
  </si>
  <si>
    <t>Latest historical period</t>
  </si>
  <si>
    <t>FY2025A</t>
  </si>
  <si>
    <t>Forecast horizon</t>
  </si>
  <si>
    <t>Five fiscal years</t>
  </si>
  <si>
    <t>Valuation method</t>
  </si>
  <si>
    <t>Unlevered DCF to USD traded-security value</t>
  </si>
  <si>
    <t>Scenario control</t>
  </si>
  <si>
    <t>Assumptions!B3 — 1 Base / 2 Bull / 3 Bear</t>
  </si>
  <si>
    <t>Source gate</t>
  </si>
  <si>
    <t>Formula-driven exact claim ledger</t>
  </si>
  <si>
    <t>Native recalculation</t>
  </si>
  <si>
    <t>LibreOffice 26.2.4.2; two isolated-profile passes + reopen</t>
  </si>
  <si>
    <t>Architecture</t>
  </si>
  <si>
    <t>Prior ten-sheet order preserved; Gate_9of10 appended last</t>
  </si>
  <si>
    <t>Decision status</t>
  </si>
  <si>
    <t>READY FOR INDEPENDENT 9/10 REVIEW — not self-certified</t>
  </si>
  <si>
    <t>Use sequence: Sources → Historical → Assumptions → Forecast → Valuation → Sensitivity → Checks → Gate_9of10. Forecasts are estimates. Historical values remain in native currency; only the final security bridge uses dated FX and ADR ratio.</t>
  </si>
  <si>
    <t>Claim-level source and provenance ledger</t>
  </si>
  <si>
    <t>Every historical hardcode and external valuation input carries exact identity, period, value, locator, accession/URL, target, transform and review status.</t>
  </si>
  <si>
    <t>Source ID</t>
  </si>
  <si>
    <t>Legal entity / identifier</t>
  </si>
  <si>
    <t>Metric / line item</t>
  </si>
  <si>
    <t>Value</t>
  </si>
  <si>
    <t>Unit</t>
  </si>
  <si>
    <t>Period / as-of</t>
  </si>
  <si>
    <t>Source / class</t>
  </si>
  <si>
    <t>Taxonomy / claim locator</t>
  </si>
  <si>
    <t>Form</t>
  </si>
  <si>
    <t>Filed</t>
  </si>
  <si>
    <t>Accession</t>
  </si>
  <si>
    <t>Target cell</t>
  </si>
  <si>
    <t>Scale / FX / sign transform</t>
  </si>
  <si>
    <t>Exact official URL</t>
  </si>
  <si>
    <t>Retrieved</t>
  </si>
  <si>
    <t>Preparer</t>
  </si>
  <si>
    <t>Verification</t>
  </si>
  <si>
    <t>Limitation / disposition</t>
  </si>
  <si>
    <t>ASML-S001</t>
  </si>
  <si>
    <t>ASML Holding N.V. | ASML | CIK 0000937966</t>
  </si>
  <si>
    <t>Revenue</t>
  </si>
  <si>
    <t>EURm</t>
  </si>
  <si>
    <t>2021-12-31</t>
  </si>
  <si>
    <t>20-F / Official regulator filing / XBRL</t>
  </si>
  <si>
    <t>us-gaap:RevenueFromContractWithCustomerExcludingAssessedTax</t>
  </si>
  <si>
    <t>20-F</t>
  </si>
  <si>
    <t>2024-02-14</t>
  </si>
  <si>
    <t>0000937966-24-000008</t>
  </si>
  <si>
    <t>Historical!B5</t>
  </si>
  <si>
    <t>EUR / 1e6; sign preserved</t>
  </si>
  <si>
    <t>https://www.sec.gov/Archives/edgar/data/937966/000093796624000008/0000937966-24-000008-index.html</t>
  </si>
  <si>
    <t>2026-07-16</t>
  </si>
  <si>
    <t>Codex / semiconductor cluster</t>
  </si>
  <si>
    <t>VERIFIED</t>
  </si>
  <si>
    <t>None</t>
  </si>
  <si>
    <t>ASML-S002</t>
  </si>
  <si>
    <t>2022-12-31</t>
  </si>
  <si>
    <t>2025-03-05</t>
  </si>
  <si>
    <t>0000937966-25-000009</t>
  </si>
  <si>
    <t>Historical!C5</t>
  </si>
  <si>
    <t>https://www.sec.gov/Archives/edgar/data/937966/000093796625000009/0000937966-25-000009-index.html</t>
  </si>
  <si>
    <t>ASML-S003</t>
  </si>
  <si>
    <t>2023-12-31</t>
  </si>
  <si>
    <t>2026-02-25</t>
  </si>
  <si>
    <t>0001628280-26-011378</t>
  </si>
  <si>
    <t>Historical!D5</t>
  </si>
  <si>
    <t>https://www.sec.gov/Archives/edgar/data/937966/000162828026011378/0001628280-26-011378-index.html</t>
  </si>
  <si>
    <t>ASML-S004</t>
  </si>
  <si>
    <t>2024-12-31</t>
  </si>
  <si>
    <t>Historical!E5</t>
  </si>
  <si>
    <t>ASML-S005</t>
  </si>
  <si>
    <t>2025-12-31</t>
  </si>
  <si>
    <t>Historical!F5</t>
  </si>
  <si>
    <t>ASML-S006</t>
  </si>
  <si>
    <t>Gross profit</t>
  </si>
  <si>
    <t>us-gaap:GrossProfit</t>
  </si>
  <si>
    <t>Historical!B7</t>
  </si>
  <si>
    <t>ASML-S007</t>
  </si>
  <si>
    <t>Historical!C7</t>
  </si>
  <si>
    <t>ASML-S008</t>
  </si>
  <si>
    <t>Historical!D7</t>
  </si>
  <si>
    <t>ASML-S009</t>
  </si>
  <si>
    <t>Historical!E7</t>
  </si>
  <si>
    <t>ASML-S010</t>
  </si>
  <si>
    <t>Historical!F7</t>
  </si>
  <si>
    <t>ASML-S011</t>
  </si>
  <si>
    <t>Operating income</t>
  </si>
  <si>
    <t>us-gaap:OperatingIncomeLoss</t>
  </si>
  <si>
    <t>Historical!B9</t>
  </si>
  <si>
    <t>ASML-S012</t>
  </si>
  <si>
    <t>Historical!C9</t>
  </si>
  <si>
    <t>ASML-S013</t>
  </si>
  <si>
    <t>Historical!D9</t>
  </si>
  <si>
    <t>ASML-S014</t>
  </si>
  <si>
    <t>Historical!E9</t>
  </si>
  <si>
    <t>ASML-S015</t>
  </si>
  <si>
    <t>Historical!F9</t>
  </si>
  <si>
    <t>ASML-S016</t>
  </si>
  <si>
    <t>Net income attributable / consolidated</t>
  </si>
  <si>
    <t>us-gaap:NetIncomeLoss</t>
  </si>
  <si>
    <t>Historical!B11</t>
  </si>
  <si>
    <t>ASML-S017</t>
  </si>
  <si>
    <t>Historical!C11</t>
  </si>
  <si>
    <t>ASML-S018</t>
  </si>
  <si>
    <t>Historical!D11</t>
  </si>
  <si>
    <t>ASML-S019</t>
  </si>
  <si>
    <t>Historical!E11</t>
  </si>
  <si>
    <t>ASML-S020</t>
  </si>
  <si>
    <t>Historical!F11</t>
  </si>
  <si>
    <t>ASML-S021</t>
  </si>
  <si>
    <t>Cash flow from operations</t>
  </si>
  <si>
    <t>us-gaap:NetCashProvidedByUsedInOperatingActivities</t>
  </si>
  <si>
    <t>Historical!B12</t>
  </si>
  <si>
    <t>ASML-S022</t>
  </si>
  <si>
    <t>Historical!C12</t>
  </si>
  <si>
    <t>ASML-S023</t>
  </si>
  <si>
    <t>Historical!D12</t>
  </si>
  <si>
    <t>ASML-S024</t>
  </si>
  <si>
    <t>Historical!E12</t>
  </si>
  <si>
    <t>ASML-S025</t>
  </si>
  <si>
    <t>Historical!F12</t>
  </si>
  <si>
    <t>ASML-S026</t>
  </si>
  <si>
    <t>Capital expenditure</t>
  </si>
  <si>
    <t>us-gaap:PaymentsToAcquirePropertyPlantAndEquipment</t>
  </si>
  <si>
    <t>Historical!B13</t>
  </si>
  <si>
    <t>ASML-S027</t>
  </si>
  <si>
    <t>Historical!C13</t>
  </si>
  <si>
    <t>ASML-S028</t>
  </si>
  <si>
    <t>Historical!D13</t>
  </si>
  <si>
    <t>ASML-S029</t>
  </si>
  <si>
    <t>Historical!E13</t>
  </si>
  <si>
    <t>ASML-S030</t>
  </si>
  <si>
    <t>Historical!F13</t>
  </si>
  <si>
    <t>ASML-S031</t>
  </si>
  <si>
    <t>Research and development</t>
  </si>
  <si>
    <t>us-gaap:ResearchAndDevelopmentExpense</t>
  </si>
  <si>
    <t>Historical!B14</t>
  </si>
  <si>
    <t>ASML-S032</t>
  </si>
  <si>
    <t>Historical!C14</t>
  </si>
  <si>
    <t>ASML-S033</t>
  </si>
  <si>
    <t>Historical!D14</t>
  </si>
  <si>
    <t>ASML-S034</t>
  </si>
  <si>
    <t>Historical!E14</t>
  </si>
  <si>
    <t>ASML-S035</t>
  </si>
  <si>
    <t>Historical!F14</t>
  </si>
  <si>
    <t>ASML-S036</t>
  </si>
  <si>
    <t>Total assets</t>
  </si>
  <si>
    <t>us-gaap:Assets</t>
  </si>
  <si>
    <t>2023-02-15</t>
  </si>
  <si>
    <t>0000937966-23-000014</t>
  </si>
  <si>
    <t>Historical!B15</t>
  </si>
  <si>
    <t>https://www.sec.gov/Archives/edgar/data/937966/000093796623000014/0000937966-23-000014-index.html</t>
  </si>
  <si>
    <t>ASML-S037</t>
  </si>
  <si>
    <t>Historical!C15</t>
  </si>
  <si>
    <t>ASML-S038</t>
  </si>
  <si>
    <t>Historical!D15</t>
  </si>
  <si>
    <t>ASML-S039</t>
  </si>
  <si>
    <t>Historical!E15</t>
  </si>
  <si>
    <t>ASML-S040</t>
  </si>
  <si>
    <t>Historical!F15</t>
  </si>
  <si>
    <t>ASML-S041</t>
  </si>
  <si>
    <t>Total liabilities</t>
  </si>
  <si>
    <t>us-gaap:Liabilities</t>
  </si>
  <si>
    <t>Historical!B16</t>
  </si>
  <si>
    <t>ASML-S042</t>
  </si>
  <si>
    <t>Historical!C16</t>
  </si>
  <si>
    <t>ASML-S043</t>
  </si>
  <si>
    <t>Historical!D16</t>
  </si>
  <si>
    <t>ASML-S044</t>
  </si>
  <si>
    <t>Historical!E16</t>
  </si>
  <si>
    <t>ASML-S045</t>
  </si>
  <si>
    <t>Historical!F16</t>
  </si>
  <si>
    <t>ASML-S046</t>
  </si>
  <si>
    <t>Equity attributable / stockholders' equity</t>
  </si>
  <si>
    <t>us-gaap:StockholdersEquity</t>
  </si>
  <si>
    <t>Historical!B17</t>
  </si>
  <si>
    <t>ASML-S047</t>
  </si>
  <si>
    <t>Historical!C17</t>
  </si>
  <si>
    <t>ASML-S048</t>
  </si>
  <si>
    <t>Historical!D17</t>
  </si>
  <si>
    <t>ASML-S049</t>
  </si>
  <si>
    <t>Historical!E17</t>
  </si>
  <si>
    <t>ASML-S050</t>
  </si>
  <si>
    <t>Historical!F17</t>
  </si>
  <si>
    <t>ASML-S051</t>
  </si>
  <si>
    <t>Cash and cash equivalents</t>
  </si>
  <si>
    <t>us-gaap:CashAndCashEquivalentsAtCarryingValue</t>
  </si>
  <si>
    <t>Historical!B18</t>
  </si>
  <si>
    <t>ASML-S052</t>
  </si>
  <si>
    <t>Historical!C18</t>
  </si>
  <si>
    <t>ASML-S053</t>
  </si>
  <si>
    <t>Historical!D18</t>
  </si>
  <si>
    <t>ASML-S054</t>
  </si>
  <si>
    <t>Historical!E18</t>
  </si>
  <si>
    <t>ASML-S055</t>
  </si>
  <si>
    <t>Historical!F18</t>
  </si>
  <si>
    <t>ASML-S056</t>
  </si>
  <si>
    <t>Interest-bearing debt</t>
  </si>
  <si>
    <t>us-gaap:LongTermDebtAndCapitalLeaseObligations</t>
  </si>
  <si>
    <t>Historical!B19</t>
  </si>
  <si>
    <t>ASML-S057</t>
  </si>
  <si>
    <t>Historical!C19</t>
  </si>
  <si>
    <t>ASML-S058</t>
  </si>
  <si>
    <t>Historical!D19</t>
  </si>
  <si>
    <t>ASML-S059</t>
  </si>
  <si>
    <t>Historical!E19</t>
  </si>
  <si>
    <t>ASML-S060</t>
  </si>
  <si>
    <t>Historical!F19</t>
  </si>
  <si>
    <t>ASML-S061</t>
  </si>
  <si>
    <t>Diluted weighted-average shares</t>
  </si>
  <si>
    <t>millions of shares</t>
  </si>
  <si>
    <t>us-gaap:WeightedAverageNumberOfDilutedSharesOutstanding</t>
  </si>
  <si>
    <t>Historical!B20</t>
  </si>
  <si>
    <t>reported shares / 1e6</t>
  </si>
  <si>
    <t>ASML-S062</t>
  </si>
  <si>
    <t>Historical!C20</t>
  </si>
  <si>
    <t>ASML-S063</t>
  </si>
  <si>
    <t>Historical!D20</t>
  </si>
  <si>
    <t>ASML-S064</t>
  </si>
  <si>
    <t>Historical!E20</t>
  </si>
  <si>
    <t>ASML-S065</t>
  </si>
  <si>
    <t>Historical!F20</t>
  </si>
  <si>
    <t>ASML-S066</t>
  </si>
  <si>
    <t>Current traded-security price</t>
  </si>
  <si>
    <t>USD / traded security</t>
  </si>
  <si>
    <t>2026-07-15</t>
  </si>
  <si>
    <t>Market data / Dated market-data source</t>
  </si>
  <si>
    <t>ASML regularMarketPrice</t>
  </si>
  <si>
    <t>Market data</t>
  </si>
  <si>
    <t>n/a</t>
  </si>
  <si>
    <t>Assumptions!B24:D24</t>
  </si>
  <si>
    <t>dated spot; no historical normalization</t>
  </si>
  <si>
    <t>https://query1.finance.yahoo.com/v8/finance/chart/ASML?interval=1m&amp;range=5d</t>
  </si>
  <si>
    <t>Not an audited filing</t>
  </si>
  <si>
    <t>ASML-S067</t>
  </si>
  <si>
    <t>EUR/USD spot</t>
  </si>
  <si>
    <t>USD per EUR</t>
  </si>
  <si>
    <t>EURUSD=X</t>
  </si>
  <si>
    <t>Assumptions!B22:D22</t>
  </si>
  <si>
    <t>used only in final per-security bridge</t>
  </si>
  <si>
    <t>https://query1.finance.yahoo.com/v8/finance/chart/EURUSD=X?interval=1m&amp;range=5d</t>
  </si>
  <si>
    <t>No current FX applied to history</t>
  </si>
  <si>
    <t>ASML-S068</t>
  </si>
  <si>
    <t>Ordinary shares per traded security</t>
  </si>
  <si>
    <t>ratio</t>
  </si>
  <si>
    <t>20-F / Official regulator filing</t>
  </si>
  <si>
    <t>One listed security represents one ordinary/common share</t>
  </si>
  <si>
    <t>Assumptions!B23:D23</t>
  </si>
  <si>
    <t>structural ratio</t>
  </si>
  <si>
    <t>https://www.sec.gov/Archives/edgar/data/937966/000162828026011378/asml-20251231.htm</t>
  </si>
  <si>
    <t>ASML-S069</t>
  </si>
  <si>
    <t>Net system sales</t>
  </si>
  <si>
    <t>Issuer annual report / results</t>
  </si>
  <si>
    <t>Official FY2025 annual report</t>
  </si>
  <si>
    <t>Issuer report</t>
  </si>
  <si>
    <t>Sector_KPIs!B5</t>
  </si>
  <si>
    <t>reported value; native units</t>
  </si>
  <si>
    <t>https://www.asml.com/en/investors/annual-report/2025/financials</t>
  </si>
  <si>
    <t>Codex / semiconductor finish-high</t>
  </si>
  <si>
    <t>ASML-S070</t>
  </si>
  <si>
    <t>Installed Base Management sales</t>
  </si>
  <si>
    <t>Sector_KPIs!B6</t>
  </si>
  <si>
    <t>ASML-S071</t>
  </si>
  <si>
    <t>Systems sold</t>
  </si>
  <si>
    <t>systems</t>
  </si>
  <si>
    <t>48 EUV + 279 DUV + 208 metrology/inspection</t>
  </si>
  <si>
    <t>Sector_KPIs!B7</t>
  </si>
  <si>
    <t>ASML-S072</t>
  </si>
  <si>
    <t>Average revenue / system</t>
  </si>
  <si>
    <t>EURm / system</t>
  </si>
  <si>
    <t>Formula-derived KPI / issuer-reported components</t>
  </si>
  <si>
    <t>Formula-derived from net system sales and systems sold</t>
  </si>
  <si>
    <t>Formula-derived KPI</t>
  </si>
  <si>
    <t>Sector_KPIs!B8</t>
  </si>
  <si>
    <t>formula-derived from separately cited components</t>
  </si>
  <si>
    <t>Formula-derived from cited values</t>
  </si>
  <si>
    <t>ASML-S073</t>
  </si>
  <si>
    <t>Year-end backlog</t>
  </si>
  <si>
    <t>Sector_KPIs!B9</t>
  </si>
  <si>
    <t>ASML-S074</t>
  </si>
  <si>
    <t>Gross margin</t>
  </si>
  <si>
    <t>%</t>
  </si>
  <si>
    <t>Sector_KPIs!B10</t>
  </si>
  <si>
    <t>ASML-S075</t>
  </si>
  <si>
    <t>2026 revenue guidance low</t>
  </si>
  <si>
    <t>FY2026 guidance</t>
  </si>
  <si>
    <t>Official Q4 FY2025 results</t>
  </si>
  <si>
    <t>2026-01-28</t>
  </si>
  <si>
    <t>Sector_KPIs!B11</t>
  </si>
  <si>
    <t>https://www.asml.com/en/news/press-releases/2026/q4-2025-financial-results</t>
  </si>
  <si>
    <t>ASML-S076</t>
  </si>
  <si>
    <t>2026 revenue guidance high</t>
  </si>
  <si>
    <t>Sector_KPIs!B12</t>
  </si>
  <si>
    <t>ASML-S077</t>
  </si>
  <si>
    <t>System units growth — Y1</t>
  </si>
  <si>
    <t>model input</t>
  </si>
  <si>
    <t>Model input / Forecast assumption / model input</t>
  </si>
  <si>
    <t>Base/Bull/Bear estimate</t>
  </si>
  <si>
    <t>Model input</t>
  </si>
  <si>
    <t>Assumptions!B5:D5</t>
  </si>
  <si>
    <t>blue model input</t>
  </si>
  <si>
    <t>Not a reported fact</t>
  </si>
  <si>
    <t>ASML-S078</t>
  </si>
  <si>
    <t>System units growth — Y5</t>
  </si>
  <si>
    <t>Assumptions!B6:D6</t>
  </si>
  <si>
    <t>ASML-S079</t>
  </si>
  <si>
    <t>Average system revenue growth — Y1</t>
  </si>
  <si>
    <t>Assumptions!B7:D7</t>
  </si>
  <si>
    <t>ASML-S080</t>
  </si>
  <si>
    <t>Average system revenue growth — Y5</t>
  </si>
  <si>
    <t>Assumptions!B8:D8</t>
  </si>
  <si>
    <t>ASML-S081</t>
  </si>
  <si>
    <t>Installed-base revenue growth — Y1</t>
  </si>
  <si>
    <t>Assumptions!B9:D9</t>
  </si>
  <si>
    <t>ASML-S082</t>
  </si>
  <si>
    <t>Installed-base revenue growth — Y5</t>
  </si>
  <si>
    <t>Assumptions!B10:D10</t>
  </si>
  <si>
    <t>ASML-S083</t>
  </si>
  <si>
    <t>Gross margin — Y1</t>
  </si>
  <si>
    <t>Assumptions!B11:D11</t>
  </si>
  <si>
    <t>ASML-S084</t>
  </si>
  <si>
    <t>Gross margin — Y5</t>
  </si>
  <si>
    <t>Assumptions!B12:D12</t>
  </si>
  <si>
    <t>ASML-S085</t>
  </si>
  <si>
    <t>R&amp;D / revenue</t>
  </si>
  <si>
    <t>Assumptions!B13:D13</t>
  </si>
  <si>
    <t>ASML-S086</t>
  </si>
  <si>
    <t>Other operating expense / revenue</t>
  </si>
  <si>
    <t>Assumptions!B14:D14</t>
  </si>
  <si>
    <t>ASML-S087</t>
  </si>
  <si>
    <t>Cash tax rate</t>
  </si>
  <si>
    <t>Assumptions!B15:D15</t>
  </si>
  <si>
    <t>ASML-S088</t>
  </si>
  <si>
    <t>D&amp;A / revenue</t>
  </si>
  <si>
    <t>Assumptions!B16:D16</t>
  </si>
  <si>
    <t>ASML-S089</t>
  </si>
  <si>
    <t>Capex / revenue — Y1</t>
  </si>
  <si>
    <t>Assumptions!B17:D17</t>
  </si>
  <si>
    <t>ASML-S090</t>
  </si>
  <si>
    <t>Capex / revenue — Y5</t>
  </si>
  <si>
    <t>Assumptions!B18:D18</t>
  </si>
  <si>
    <t>ASML-S091</t>
  </si>
  <si>
    <t>Change in NWC / incremental revenue</t>
  </si>
  <si>
    <t>Assumptions!B19:D19</t>
  </si>
  <si>
    <t>ASML-S092</t>
  </si>
  <si>
    <t>WACC</t>
  </si>
  <si>
    <t>Assumptions!B20:D20</t>
  </si>
  <si>
    <t>ASML-S093</t>
  </si>
  <si>
    <t>Terminal growth</t>
  </si>
  <si>
    <t>Assumptions!B21:D21</t>
  </si>
  <si>
    <t>Historical financials</t>
  </si>
  <si>
    <t>EUR millions; native reported history. Percent rows are formula-derived.</t>
  </si>
  <si>
    <t>Metric</t>
  </si>
  <si>
    <t>FY2021A</t>
  </si>
  <si>
    <t>FY2022A</t>
  </si>
  <si>
    <t>FY2023A</t>
  </si>
  <si>
    <t>FY2024A</t>
  </si>
  <si>
    <t>Source coverage</t>
  </si>
  <si>
    <t>EUR millions</t>
  </si>
  <si>
    <t>Growth</t>
  </si>
  <si>
    <t>Formula-derived</t>
  </si>
  <si>
    <t>Operating margin</t>
  </si>
  <si>
    <t>Scenario assumptions</t>
  </si>
  <si>
    <t>Blue = input; green = selected formula. Selector 1 Base / 2 Bull / 3 Bear. EUR stays native through DCF.</t>
  </si>
  <si>
    <t>Scenario selector</t>
  </si>
  <si>
    <t>Driver</t>
  </si>
  <si>
    <t>Base</t>
  </si>
  <si>
    <t>Bull</t>
  </si>
  <si>
    <t>Bear</t>
  </si>
  <si>
    <t>Active</t>
  </si>
  <si>
    <t>Classification / rationale</t>
  </si>
  <si>
    <t>Company-specific revenue driver estimate</t>
  </si>
  <si>
    <t>Operating / FCFF estimate</t>
  </si>
  <si>
    <t>Valuation input</t>
  </si>
  <si>
    <t>Dated market / structural bridge</t>
  </si>
  <si>
    <t>Current traded-security price (USD)</t>
  </si>
  <si>
    <t>Shareholder distributions / FCFF (dividends + buybacks payout ratio)</t>
  </si>
  <si>
    <t>Cash roll-forward driver — FY2022-25A avg payout (dividend+buyback)/FCFF ≈0.62; Bull lower buyback intensity, Bear higher (defensive capital return). Fixes Forecast!C26:G26 frozen-cash defect.</t>
  </si>
  <si>
    <t>Debt policy</t>
  </si>
  <si>
    <t>Static — no financing driver modeled (documented simplifying assumption, not a hidden freeze)</t>
  </si>
  <si>
    <t>Company-specific operating forecast</t>
  </si>
  <si>
    <t>EUR millions; sector operating drivers build revenue bottom-up.</t>
  </si>
  <si>
    <t>FY2026E</t>
  </si>
  <si>
    <t>FY2027E</t>
  </si>
  <si>
    <t>FY2028E</t>
  </si>
  <si>
    <t>FY2029E</t>
  </si>
  <si>
    <t>FY2030E</t>
  </si>
  <si>
    <t>Average system revenue</t>
  </si>
  <si>
    <t>Installed Base Management revenue</t>
  </si>
  <si>
    <t>Total revenue</t>
  </si>
  <si>
    <t>Revenue growth</t>
  </si>
  <si>
    <t>R&amp;D</t>
  </si>
  <si>
    <t>Other operating expense</t>
  </si>
  <si>
    <t>NOPAT</t>
  </si>
  <si>
    <t>D&amp;A</t>
  </si>
  <si>
    <t>Capex / revenue</t>
  </si>
  <si>
    <t>Change in NWC</t>
  </si>
  <si>
    <t>FCFF</t>
  </si>
  <si>
    <t>Cash / liquidity</t>
  </si>
  <si>
    <t>Diluted shares</t>
  </si>
  <si>
    <t>Discounted cash flow valuation</t>
  </si>
  <si>
    <t>EUR millions; DCF stays native through equity value. Final line converts to the USD traded security.</t>
  </si>
  <si>
    <t>Year 1</t>
  </si>
  <si>
    <t>Year 2</t>
  </si>
  <si>
    <t>Year 3</t>
  </si>
  <si>
    <t>Year 4</t>
  </si>
  <si>
    <t>Year 5</t>
  </si>
  <si>
    <t>Output</t>
  </si>
  <si>
    <t>Discount factor</t>
  </si>
  <si>
    <t>PV of FCFF</t>
  </si>
  <si>
    <t>PV explicit FCFF</t>
  </si>
  <si>
    <t>Terminal value</t>
  </si>
  <si>
    <t>PV terminal value</t>
  </si>
  <si>
    <t>Enterprise value</t>
  </si>
  <si>
    <t>Equity value</t>
  </si>
  <si>
    <t>Diluted shares (mm)</t>
  </si>
  <si>
    <t>Implied EUR / ordinary share</t>
  </si>
  <si>
    <t>FX conversion input</t>
  </si>
  <si>
    <t>Implied USD / traded security</t>
  </si>
  <si>
    <t>Upside / (downside)</t>
  </si>
  <si>
    <t>DCF sensitivity — implied USD / traded security</t>
  </si>
  <si>
    <t>Dynamic per-share matrix; center is active WACC / terminal growth.</t>
  </si>
  <si>
    <t>Terminal growth / WACC</t>
  </si>
  <si>
    <t>Formula-driven model checks</t>
  </si>
  <si>
    <t>Critical checks must pass after native recalculation/reopen; source coverage is computed, never hardcoded.</t>
  </si>
  <si>
    <t>Assertion</t>
  </si>
  <si>
    <t>Actual</t>
  </si>
  <si>
    <t>Expected</t>
  </si>
  <si>
    <t>Difference</t>
  </si>
  <si>
    <t>Tolerance</t>
  </si>
  <si>
    <t>Status</t>
  </si>
  <si>
    <t>Severity</t>
  </si>
  <si>
    <t>Fix hint</t>
  </si>
  <si>
    <t>Source records verified</t>
  </si>
  <si>
    <t>Critical</t>
  </si>
  <si>
    <t>Complete missing ledger rows</t>
  </si>
  <si>
    <t>Historical source coverage</t>
  </si>
  <si>
    <t>Resolve metric-to-source mapping</t>
  </si>
  <si>
    <t>Revenue driver tie</t>
  </si>
  <si>
    <t>Repair bottom-up formula</t>
  </si>
  <si>
    <t>Operating income tie</t>
  </si>
  <si>
    <t>Repair operating formula</t>
  </si>
  <si>
    <t>FCFF tie</t>
  </si>
  <si>
    <t>Repair FCFF formula</t>
  </si>
  <si>
    <t>WACC exceeds terminal growth</t>
  </si>
  <si>
    <t>Adjust WACC / g</t>
  </si>
  <si>
    <t>Valuation bridge</t>
  </si>
  <si>
    <t>Repair bridge</t>
  </si>
  <si>
    <t>Sensitivity center tie</t>
  </si>
  <si>
    <t>Repair matrix</t>
  </si>
  <si>
    <t>Scenario selector valid</t>
  </si>
  <si>
    <t>Reset 1/2/3</t>
  </si>
  <si>
    <t>Forecast revenue non-negative</t>
  </si>
  <si>
    <t>Review drivers</t>
  </si>
  <si>
    <t>Cash and debt non-negative</t>
  </si>
  <si>
    <t>Review balances</t>
  </si>
  <si>
    <t>Traded-security price positive</t>
  </si>
  <si>
    <t>Review FX / ADR bridge</t>
  </si>
  <si>
    <t>Semantic KPI links</t>
  </si>
  <si>
    <t>Repair company-specific KPI links</t>
  </si>
  <si>
    <t>KPI unit / range sanity</t>
  </si>
  <si>
    <t>Repair units or economic ranges</t>
  </si>
  <si>
    <t>Source target-cell link coverage</t>
  </si>
  <si>
    <t>Add exact sheet-and-cell targets</t>
  </si>
  <si>
    <t>Source unit completeness</t>
  </si>
  <si>
    <t>Populate source units</t>
  </si>
  <si>
    <t>Exact source URL completeness</t>
  </si>
  <si>
    <t>Use exact primary-source URLs</t>
  </si>
  <si>
    <t>Overall gate</t>
  </si>
  <si>
    <t>Decision use</t>
  </si>
  <si>
    <t>Owner-ready only after independent review</t>
  </si>
  <si>
    <t>Semiconductor operating KPI framework</t>
  </si>
  <si>
    <t>Reported sector drivers plus formula-linked active outputs; no generic blanks.</t>
  </si>
  <si>
    <t>KPI</t>
  </si>
  <si>
    <t>Reported latest</t>
  </si>
  <si>
    <t>Forecast / active output</t>
  </si>
  <si>
    <t>Source / method</t>
  </si>
  <si>
    <t>Change log and governance</t>
  </si>
  <si>
    <t>Controlled rebuild; prior workbook preserved unchanged.</t>
  </si>
  <si>
    <t>Date</t>
  </si>
  <si>
    <t>Version</t>
  </si>
  <si>
    <t>Author</t>
  </si>
  <si>
    <t>Change</t>
  </si>
  <si>
    <t>Evidence</t>
  </si>
  <si>
    <t>Reviewer status</t>
  </si>
  <si>
    <t>Disposition</t>
  </si>
  <si>
    <t>2.0</t>
  </si>
  <si>
    <t>Codex</t>
  </si>
  <si>
    <t>Preserved prior ten sheets; appended Gate_9of10</t>
  </si>
  <si>
    <t>Prior SHA-256 20c141773a2c775de7cfa826f5a62e4986727cdbe8baf5a5e6f46e579487e3eb</t>
  </si>
  <si>
    <t>Builder verified</t>
  </si>
  <si>
    <t>No overwrite</t>
  </si>
  <si>
    <t>Native-currency exact-source history</t>
  </si>
  <si>
    <t>Sources + Historical</t>
  </si>
  <si>
    <t>Independent review pending</t>
  </si>
  <si>
    <t>Company-specific forecast, DCF, sensitivity and checks</t>
  </si>
  <si>
    <t>Forecast + Valuation + Checks</t>
  </si>
  <si>
    <t>Native recalc/reopen and full-sheet QA</t>
  </si>
  <si>
    <t>internal QA evidence (not published)</t>
  </si>
  <si>
    <t>Post-LO evidence</t>
  </si>
  <si>
    <t>2.1</t>
  </si>
  <si>
    <t>Repaired KPI semantics, exact source targets, unit/range/link gates and TSMC H1/H2/H5</t>
  </si>
  <si>
    <t>Sector_KPIs + Sources + Checks + Gate_9of10</t>
  </si>
  <si>
    <t>High-effort repair; independent review pending</t>
  </si>
  <si>
    <t>Frozen only after native recalc and hash-bound QA</t>
  </si>
  <si>
    <t>Claude (run 24e4a1f1)</t>
  </si>
  <si>
    <t>Ola 2 elevation: added IS_Hist/CF_Hist (FY2022A-25A), BS_Hist/SCE_Hist (FY2023A-25A) full line-item audited statements, Checks_TieOut (cross-statement + dual-filing consistency), Sources_Audited. Fixed Forecast!C26:G26 frozen cash/debt defect — cash now rolls forward via FCFF less a documented payout-ratio driver (Assumptions!E26); debt kept flat under an explicit documented assumption (Assumptions!B27), not a bare self-reference.</t>
  </si>
  <si>
    <t>Sources: 20-F_2025-12-31 (accn 0001628280-26-011378) R3/R4/R6/R7/R8/R10/R11; 20-F_2024-12-31_Financial_Report.xlsx; companyfacts.json</t>
  </si>
  <si>
    <t>Independent review pending; FY2021A-22A BS and FY2021A IS/CF full line-item detail remain a documented gap (PARTIAL), not fabricated</t>
  </si>
  <si>
    <t>2026-08-14</t>
  </si>
  <si>
    <t>2.3</t>
  </si>
  <si>
    <t>Claude (builder de cobertura, Ola 1 flota internacional)</t>
  </si>
  <si>
    <t>Capa de cobertura aditiva segun plantilla Apple: hojas nuevas Drivers_MDA (drivers del 20-F FY2021A-FY2025A: lineas de negocio, tecnologia/unidades/ASP, end-use, geografia, long-lived assets, backlog/RPO/contract liabilities, clientes, empleados, FX, deuda, retornos, guidance, NOT_AVAILABLE, puente al Forecast) y Market_Package (doble cotizacion EUR/USD fechada, puente a EV, WACC fechado, multiplos, implicitos del DCF, control de procedencia, anclas de extraccion independiente); 26 tie-outs nuevos en Checks_TieOut filas 36-61. UNICA celda preexistente modificada: Checks_TieOut!B2 (rango del COUNTIF ampliado J5:J33 -&gt; J5:J61 — endurece el gate). Forecast intacto (fuera de alcance de la ola).</t>
  </si>
  <si>
    <t>Respaldo pre-cobertura SHA-256 5e7a68fb8aa65786786f32c5b4de1bbd22d8ae619d2b088df22193c2427751ef; fuentes: 20-F FY2021-FY2025 locales (asml/) + mercado fechado 2026-08-13/14</t>
  </si>
  <si>
    <t>Builder verificado; refutacion independiente pendiente</t>
  </si>
  <si>
    <t>NOTA de gobernanza: Checks_TieOut NO esta cableado a Checks!B23 ni a Gate_9of10 (hallazgo M1 heredado del patron de flota); el MASTER de esta hoja es el gate de la capa. Cablearlo requiere tocar Checks — fuera del alcance de esta capa.</t>
  </si>
  <si>
    <t>9-of-10 gate evidence</t>
  </si>
  <si>
    <t>Owner evidence register aligned exactly to the governing independent rubric; PASS means ready for review, not self-certification.</t>
  </si>
  <si>
    <t>Gate</t>
  </si>
  <si>
    <t>Weight</t>
  </si>
  <si>
    <t>Earned</t>
  </si>
  <si>
    <t>Exact workbook / external evidence</t>
  </si>
  <si>
    <t>Blocker class</t>
  </si>
  <si>
    <t>Notes</t>
  </si>
  <si>
    <t>H0 Controlled lineage / package</t>
  </si>
  <si>
    <t>PASS</t>
  </si>
  <si>
    <t>Change_Log!A5:G5; internal QA evidence (not published)</t>
  </si>
  <si>
    <t>Lineage</t>
  </si>
  <si>
    <t>Prior file preserved; 10-sheet order + Gate_9of10</t>
  </si>
  <si>
    <t>H1 Source fidelity</t>
  </si>
  <si>
    <t>Sources!A4:R; Checks!A5:F6; Checks!A19:F21</t>
  </si>
  <si>
    <t>Source</t>
  </si>
  <si>
    <t>Claim-level exact-source ledger</t>
  </si>
  <si>
    <t>H2 Historical / formula / schedule mechanics</t>
  </si>
  <si>
    <t>Historical!A4:H20; Forecast!A5:G28; Sector_KPIs!A4:F12; Checks!A7:F9; Checks!A17:F18</t>
  </si>
  <si>
    <t>Mechanics</t>
  </si>
  <si>
    <t>Native history and formula-driven operating schedule</t>
  </si>
  <si>
    <t>H3 Scenario / sensitivity</t>
  </si>
  <si>
    <t>Assumptions!B3:E24; Sensitivity!A4:F9; Checks!A12:F13</t>
  </si>
  <si>
    <t>Scenario</t>
  </si>
  <si>
    <t>B/B/B perturb-reset evidence in support JSON</t>
  </si>
  <si>
    <t>H4 Valuation fit / mechanics</t>
  </si>
  <si>
    <t>Valuation!A4:G23; Checks!A10:F12</t>
  </si>
  <si>
    <t>Valuation</t>
  </si>
  <si>
    <t>Native-currency DCF and dated security bridge</t>
  </si>
  <si>
    <t>H5 Checks / error state</t>
  </si>
  <si>
    <t>Checks!A4:H23; internal QA evidence (not published)</t>
  </si>
  <si>
    <t>Checks</t>
  </si>
  <si>
    <t>All critical checks and post-recalc error scan</t>
  </si>
  <si>
    <t>H6 Native recalc / reproducibility</t>
  </si>
  <si>
    <t>internal QA evidence (not published) | native LibreOffice x2 + reopen</t>
  </si>
  <si>
    <t>Recalc</t>
  </si>
  <si>
    <t>Two unique LibreOffice profiles; evidence bound to final SHA-256</t>
  </si>
  <si>
    <t>H7 Post-recalc visual QA</t>
  </si>
  <si>
    <t>Visual</t>
  </si>
  <si>
    <t>Every final sheet rendered and reviewed</t>
  </si>
  <si>
    <t>H8 Economic upgrade</t>
  </si>
  <si>
    <t>Forecast!A5:G28; Sector_KPIs!A4:F</t>
  </si>
  <si>
    <t>Economics</t>
  </si>
  <si>
    <t>Company-specific semiconductor operating build</t>
  </si>
  <si>
    <t>H9 Governance / handoff</t>
  </si>
  <si>
    <t>00_Cover!A14:B18; Change_Log!A4:G8; Gate_9of10!A16:B18</t>
  </si>
  <si>
    <t>Governance</t>
  </si>
  <si>
    <t>Independent certification remains pending</t>
  </si>
  <si>
    <t>Owner score</t>
  </si>
  <si>
    <t>Decision</t>
  </si>
  <si>
    <t>Independent certification</t>
  </si>
  <si>
    <t>PENDING</t>
  </si>
  <si>
    <t>ASML Holding N.V. — Consolidated Statements of Operations (audited, as published)</t>
  </si>
  <si>
    <t>EUR millions, shares in millions. FY2022A-FY2024A per 20-F_2024-12-31 Financial_Report.xlsx; FY2023A-FY2025A per 20-F_2025-12-31 R3/R4 (FY2023A &amp; FY2024A byte-identical across both filings — verified in Checks_TieOut).</t>
  </si>
  <si>
    <t>Line item</t>
  </si>
  <si>
    <t>Note ref</t>
  </si>
  <si>
    <t>Total net sales</t>
  </si>
  <si>
    <t>Total cost of sales</t>
  </si>
  <si>
    <t>Research and development (R&amp;D) costs</t>
  </si>
  <si>
    <t>Selling, general and administrative (SG&amp;A) costs</t>
  </si>
  <si>
    <t>Income from operations</t>
  </si>
  <si>
    <t>Interest and other, net</t>
  </si>
  <si>
    <t>Income before income taxes</t>
  </si>
  <si>
    <t>Income tax expense</t>
  </si>
  <si>
    <t>Income after income taxes</t>
  </si>
  <si>
    <t>Profit from equity method investments</t>
  </si>
  <si>
    <t>Net income</t>
  </si>
  <si>
    <t>Basic net income per ordinary share (EUR)</t>
  </si>
  <si>
    <t>Diluted net income per ordinary share (EUR)</t>
  </si>
  <si>
    <t>Basic weighted-average shares (mm)</t>
  </si>
  <si>
    <t>Diluted weighted-average shares (mm)</t>
  </si>
  <si>
    <t>Memo — net sales by category</t>
  </si>
  <si>
    <t>Net system cost of sales</t>
  </si>
  <si>
    <t>Net service and field option sales</t>
  </si>
  <si>
    <t>Net service and field option cost of sales</t>
  </si>
  <si>
    <t>ASML Holding N.V. — Consolidated Statements of Cash Flows (audited, as published)</t>
  </si>
  <si>
    <t>EUR millions. Same dual-filing source basis as IS_Hist; signs as published (outflows negative). Blank/0.0 = line not presented that year in the source filing.</t>
  </si>
  <si>
    <t>Adjustments to reconcile net income to operating cash flows:</t>
  </si>
  <si>
    <t>Depreciation and amortization</t>
  </si>
  <si>
    <t>Impairment and loss on disposal</t>
  </si>
  <si>
    <t>Share-based compensation expense</t>
  </si>
  <si>
    <t>Inventory reserves</t>
  </si>
  <si>
    <t>Deferred tax expense (benefit)</t>
  </si>
  <si>
    <t>Equity method investments</t>
  </si>
  <si>
    <t>Changes in assets and liabilities:</t>
  </si>
  <si>
    <t>Accounts receivable, net</t>
  </si>
  <si>
    <t>Finance receivables, net</t>
  </si>
  <si>
    <t>Inventories</t>
  </si>
  <si>
    <t>Other assets</t>
  </si>
  <si>
    <t>Accrued and other liabilities</t>
  </si>
  <si>
    <t>Accounts payable</t>
  </si>
  <si>
    <t>Current tax assets and liabilities</t>
  </si>
  <si>
    <t>Contract assets and liabilities</t>
  </si>
  <si>
    <t>Net cash provided by operating activities</t>
  </si>
  <si>
    <t>Investing activities</t>
  </si>
  <si>
    <t>Purchase of property, plant and equipment</t>
  </si>
  <si>
    <t>Purchase of intangible assets</t>
  </si>
  <si>
    <t>Purchase of short-term investments</t>
  </si>
  <si>
    <t>Maturity of short-term investments</t>
  </si>
  <si>
    <t>Purchase of equity investments</t>
  </si>
  <si>
    <t>Loans issued and other investments</t>
  </si>
  <si>
    <t>Repayment on loans</t>
  </si>
  <si>
    <t>Acquisition of subsidiaries (net of cash acquired)</t>
  </si>
  <si>
    <t>Net cash used in investing activities</t>
  </si>
  <si>
    <t>Financing activities</t>
  </si>
  <si>
    <t>Dividend paid</t>
  </si>
  <si>
    <t>Purchase of treasury shares</t>
  </si>
  <si>
    <t>Net proceeds from issuance of shares</t>
  </si>
  <si>
    <t>Net proceeds from issuance of notes / borrowings</t>
  </si>
  <si>
    <t>Repayment of debt and finance lease obligations</t>
  </si>
  <si>
    <t>Net cash used in financing activities</t>
  </si>
  <si>
    <t>Net cash flows</t>
  </si>
  <si>
    <t>Effect of foreign exchange rate changes</t>
  </si>
  <si>
    <t>Net increase (decrease) in cash and cash equivalents</t>
  </si>
  <si>
    <t>Cash and cash equivalents — beginning of the year</t>
  </si>
  <si>
    <t>Cash and cash equivalents — end of the year</t>
  </si>
  <si>
    <t>Supplemental disclosures</t>
  </si>
  <si>
    <t>Unpaid PP&amp;E in accounts payable (non-cash)</t>
  </si>
  <si>
    <t>Interest received</t>
  </si>
  <si>
    <t>Interest paid</t>
  </si>
  <si>
    <t>Income taxes paid, net of refunds</t>
  </si>
  <si>
    <t>ASML Holding N.V. — Consolidated Balance Sheets (audited, as published)</t>
  </si>
  <si>
    <t>EUR millions, as of December 31. FY2023A-FY2024A per 20-F_2024-12-31 Financial_Report.xlsx; FY2024A-FY2025A per 20-F_2025-12-31 R6/R7 (FY2024A byte-identical across both filings). FY2021A-FY2022A full line-item BS not in this source package — documented gap; Historical!B15:C19 retains the previously verified 5-yr summary aggregates unchanged.</t>
  </si>
  <si>
    <t>Assets</t>
  </si>
  <si>
    <t>Short-term investments</t>
  </si>
  <si>
    <t>Finance receivables, net (current)</t>
  </si>
  <si>
    <t>Current tax assets</t>
  </si>
  <si>
    <t>Contract assets</t>
  </si>
  <si>
    <t>Inventories, net</t>
  </si>
  <si>
    <t>Loans receivable (current)</t>
  </si>
  <si>
    <t>Other assets (current)</t>
  </si>
  <si>
    <t>Total current assets</t>
  </si>
  <si>
    <t>Finance receivables, net (non-current)</t>
  </si>
  <si>
    <t>Deferred tax assets</t>
  </si>
  <si>
    <t>Loans receivable (non-current)</t>
  </si>
  <si>
    <t>Other assets (non-current)</t>
  </si>
  <si>
    <t>Equity investments</t>
  </si>
  <si>
    <t>Goodwill</t>
  </si>
  <si>
    <t>Other intangible assets, net</t>
  </si>
  <si>
    <t>Property, plant and equipment, net</t>
  </si>
  <si>
    <t>Right-of-use assets</t>
  </si>
  <si>
    <t>Total non-current assets</t>
  </si>
  <si>
    <t>Liabilities and shareholders’ equity</t>
  </si>
  <si>
    <t>Accrued and other liabilities (current)</t>
  </si>
  <si>
    <t>Current tax liabilities</t>
  </si>
  <si>
    <t>Short-term borrowings / current portion of long-term debt</t>
  </si>
  <si>
    <t>Contract liabilities (current)</t>
  </si>
  <si>
    <t>Total current liabilities</t>
  </si>
  <si>
    <t>Long-term debt</t>
  </si>
  <si>
    <t>Deferred and other income tax liabilities</t>
  </si>
  <si>
    <t>Contract liabilities (non-current)</t>
  </si>
  <si>
    <t>Accrued and other liabilities (non-current)</t>
  </si>
  <si>
    <t>Total non-current liabilities</t>
  </si>
  <si>
    <t>Issued and outstanding shares (par value)</t>
  </si>
  <si>
    <t>Share premium</t>
  </si>
  <si>
    <t>Treasury shares at cost</t>
  </si>
  <si>
    <t>Retained earnings</t>
  </si>
  <si>
    <t>Accumulated other comprehensive income</t>
  </si>
  <si>
    <t>Total shareholders’ equity</t>
  </si>
  <si>
    <t>Total liabilities and shareholders’ equity</t>
  </si>
  <si>
    <t>ASML Holding N.V. — Consolidated Statements of Shareholders’ Equity (audited, as published)</t>
  </si>
  <si>
    <t>EUR millions. Source: 20-F_2025-12-31 R8, rollforward from beginning balance at Dec 31, 2022 (€8,810.8mm, matches companyfacts.json us-gaap:StockholdersEquity). Each column is that fiscal year’s own movements.</t>
  </si>
  <si>
    <t>Beginning balance, total equity</t>
  </si>
  <si>
    <t>Proportionate share of OCI from equity method investments</t>
  </si>
  <si>
    <t>Gain (loss) on foreign currency translation</t>
  </si>
  <si>
    <t>Gain (loss) on financial instruments</t>
  </si>
  <si>
    <t>Total comprehensive income</t>
  </si>
  <si>
    <t>Cancellation of treasury shares (net zero, intra-equity reclass)</t>
  </si>
  <si>
    <t>Share-based payments</t>
  </si>
  <si>
    <t>Issuance of shares</t>
  </si>
  <si>
    <t>Ending balance, total equity</t>
  </si>
  <si>
    <t>Tie-out checks — audited historical statements (all deltas must be 0; EUR millions)</t>
  </si>
  <si>
    <t>MASTER</t>
  </si>
  <si>
    <t>Check</t>
  </si>
  <si>
    <t>IS: Gross profit = Net sales − COGS</t>
  </si>
  <si>
    <t>IS: Income from ops = GP − R&amp;D − SG&amp;A</t>
  </si>
  <si>
    <t>IS: PBT = Ops income + interest/other</t>
  </si>
  <si>
    <t>IS: Income after tax = PBT − tax</t>
  </si>
  <si>
    <t>IS: Net income = after-tax + equity method</t>
  </si>
  <si>
    <t>IS: Net sales = system + service memo</t>
  </si>
  <si>
    <t>CF: CFO build sums to reported CFO</t>
  </si>
  <si>
    <t>CF: CFI build sums to reported CFI</t>
  </si>
  <si>
    <t>CF: CFF build sums to reported CFF</t>
  </si>
  <si>
    <t>CF: Net change = CFO+CFI+CFF</t>
  </si>
  <si>
    <t>CF: End cash = begin + change + FX</t>
  </si>
  <si>
    <t>X: CF net income = IS net income</t>
  </si>
  <si>
    <t>BS: Total current assets sum</t>
  </si>
  <si>
    <t>BS: Total non-current assets sum</t>
  </si>
  <si>
    <t>BS: Total assets = CA + NCA</t>
  </si>
  <si>
    <t>BS: Total current liabilities sum</t>
  </si>
  <si>
    <t>BS: Total non-current liabilities sum</t>
  </si>
  <si>
    <t>BS: Total liabilities = CL + NCL</t>
  </si>
  <si>
    <t>BS: Equity components sum</t>
  </si>
  <si>
    <t>BS: TL&amp;E = TL + TE</t>
  </si>
  <si>
    <t>BS: Balance (TA − TL&amp;E)</t>
  </si>
  <si>
    <t>SCE: Ending = Begin + TCI + capital actions</t>
  </si>
  <si>
    <t>SCE: TCI = NI + OCI components</t>
  </si>
  <si>
    <t>X: SCE ending equity = BS total equity</t>
  </si>
  <si>
    <t>X: CF end cash (FY2023A-25A) = BS cash</t>
  </si>
  <si>
    <t>X: FY2023A/FY2024A net sales identical across both source filings</t>
  </si>
  <si>
    <t>X: FY2024A total assets identical across both source filings</t>
  </si>
  <si>
    <t>X: Forecast cash roll-forward ties (C26 = B26 + FCFF*(1-payout))</t>
  </si>
  <si>
    <t>X: Forecast cash no longer frozen (G26 &lt;&gt; B26)</t>
  </si>
  <si>
    <t>COBERTURA 2026-08-14 — Drivers_MDA y Market_Package. Convención de columnas de ESTE bloque (filas 36-61): B=FY2021A, C=FY2022A, D=FY2023A, E=FY2024A, F=FY2025A (alineadas a las columnas de Drivers_MDA; distinto del bloque original que usa F:I), J=status, K=años cubiertos.</t>
  </si>
  <si>
    <t>DRV: sistemas + Installed Base Management = total de ventas netas (FY21 vs Historical, FY22-25 vs IS_Hist)</t>
  </si>
  <si>
    <t>B-F</t>
  </si>
  <si>
    <t>DRV: sistemas y servicio coinciden con las filas memo de IS_Hist (23/25)</t>
  </si>
  <si>
    <t>C-F</t>
  </si>
  <si>
    <t>DRV: costo de sistemas + costo de servicio = costo total del IS (FY21: utilidad bruta implícita vs Historical!B7)</t>
  </si>
  <si>
    <t>DRV: margen bruto REPORTADO vs calculado del modelo (tol 0.001 — el filing redondea a 0.1pp)</t>
  </si>
  <si>
    <t>DRV: ingreso por tecnología (Nota 2) suma al net system sales — dos tablas independientes del filing</t>
  </si>
  <si>
    <t>DRV: unidades — total FY2025 = Sector_KPIs!B7 y sistemas litográficos (excl. M&amp;I) = KPI reportado del 20-F (FY2024: 418, FY2025: 327)</t>
  </si>
  <si>
    <t>E-F</t>
  </si>
  <si>
    <t>DRV: end-use (Logic + Memory) = net system sales, en unidades y en ingreso — tablas independientes</t>
  </si>
  <si>
    <t>DRV: ventas por geografía (Nota 3) suman al total de ventas netas</t>
  </si>
  <si>
    <t>DRV: long-lived assets por región = PP&amp;E neto + right-of-use del balance (FY23-25)</t>
  </si>
  <si>
    <t>D-F</t>
  </si>
  <si>
    <t>DRV: contract liabilities de la Nota 2 = corrientes + no corrientes del balance (FY23-25)</t>
  </si>
  <si>
    <t>DRV: sistemas nuevos + usados = net system sales</t>
  </si>
  <si>
    <t>DRV: concentración de clientes — % reportado vs monto/ventas (tol 0.005, el filing publica €bn con un decimal)</t>
  </si>
  <si>
    <t>DRV: deuda del filing (ECP + porción corriente | no corriente, Nota 16) = BS_Hist filas 32 y 35 (FY24-25)</t>
  </si>
  <si>
    <t>DRV: recompras del filing = purchase of treasury shares del CF_Hist (FY24-25)</t>
  </si>
  <si>
    <t>DRV: backlog FY2025 = Sector_KPIs!B9 y guidance FY2026 = Sector_KPIs!B11/B12</t>
  </si>
  <si>
    <t>F</t>
  </si>
  <si>
    <t>FCST: anclas FY2025A del motor (Forecast!B5:B8) = filing (unidades, ASP, IBM, ingreso total; tol 0.01)</t>
  </si>
  <si>
    <t>KPI: Sector_KPIs (net system sales, IBM, gross margin) = Drivers_MDA FY2025A</t>
  </si>
  <si>
    <t>MKT: procedencia de los inputs de mercado — fuente presente, fecha con serial válido, sin desfases internos ni paquete obsoleto (tol 0)</t>
  </si>
  <si>
    <t>MKT: paridad de doble cotización (|EUR×FX/USD − 1| ≤ 2%), precio USD dentro de ±25% del ancla del modelo (Assumptions!E24) y FX dentro de ±10% del FX del modelo (Assumptions!E22)</t>
  </si>
  <si>
    <t>MKT: capitalización = precio × acciones (cableado) y acciones de la portada del 20-F dentro de ±3% de las diluidas del DCF (Forecast!B28)</t>
  </si>
  <si>
    <t>MKT: efectivo e inversiones del paquete = anclas tecleadas de la Nota 4 (extracción PDF, independiente de los R-files), FY2025 y vintage FY2024</t>
  </si>
  <si>
    <t>MKT: deuda del paquete = anclas de la Nota 16 (corto plazo = ECP + porción corriente; LP = no corriente) y brecha vs la deuda del DCF exactamente = BS_Hist!D32 (H1 mecanizado)</t>
  </si>
  <si>
    <t>MKT: WACC recomputado desde los inputs crudos (B31/B32/B33/B35 y la tasa efectiva del IS) SIN pasar por Ke ni Kd después de impuestos, tol 1e-6; más bandas de sanidad (Rf 0.5-8%, beta 0.3-2.5, Kd 0.5-12%, WACC 4-20%)</t>
  </si>
  <si>
    <t>MKT: enterprise value = reconstrucción con anclas tecleadas (precio × acciones + deuda de Nota 16 − caja de Nota 4), EV &gt; 0, y EV de mercado entre 1x y 6x el EV del DCF (Valuation!B13)</t>
  </si>
  <si>
    <t>MKT: bandas de plausibilidad de múltiplos (NO es tie): EV/EBITDA 5-80x, P/E 5-120x, FCF yield 0.2-15%</t>
  </si>
  <si>
    <t>DRV: bandas de plausibilidad (NO es tie) para constantes sin tie mecanizado — FTEs promedio 20k-80k, RPO/ventas 0.8x-2.5x, % clientes &gt;10% entre 30-90%, top-3 AR entre 20-95%</t>
  </si>
  <si>
    <t>SIN TIE MECANIZADO (declarado, FUERA del rango del MASTER): Drivers_MDA filas 84 (% RPO a 12m), 86 D-E (backlog FY23-24; FY24 es 'around €36bn' aproximado), 93-95 y 97 (concentración: solo banda), 100 (FTEs: solo banda), 102 (FTEs cierre), 105-113 (notionals y sensibilidades FX/tasas), 117-119 (Eurobonds principal/carrying/FV), 125 (dividendo declarado), 127 (número de acciones recompradas), 131-132 (componentes de interés) — verificación manual contra el filing; el muestreo es del refutador.</t>
  </si>
  <si>
    <t>Audited source register — ASML statement-grade blocks (Ola 2 elevation, run 24e4a1f1)</t>
  </si>
  <si>
    <t>Sheet / block</t>
  </si>
  <si>
    <t>Years covered</t>
  </si>
  <si>
    <t>Primary source file(s)</t>
  </si>
  <si>
    <t>R-file / XBRL tag / accession</t>
  </si>
  <si>
    <t>IS_Hist</t>
  </si>
  <si>
    <t>FY2022A-FY2024A</t>
  </si>
  <si>
    <t>20-F_2024-12-31_Financial_Report.xlsx — "Consolidated Statements of Oper[ations]" sheet</t>
  </si>
  <si>
    <t>Accession 0000937966-25-000009 (20-F filed 2025-03-05, FY2024 annual report)</t>
  </si>
  <si>
    <t>Read via Mog SDK only, per hard rule.</t>
  </si>
  <si>
    <t>FY2023A-FY2025A</t>
  </si>
  <si>
    <t>20-F_2025-12-31_Rfiles/R3.htm, R4.htm</t>
  </si>
  <si>
    <t>Accession 0001628280-26-011378 (20-F filed 2026-02-25, FY2025 annual report)</t>
  </si>
  <si>
    <t>FY2023A/FY2024A values cross-checked identical to Financial_Report.xlsx — see Checks_TieOut dual-filing rows.</t>
  </si>
  <si>
    <t>CF_Hist</t>
  </si>
  <si>
    <t>20-F_2024-12-31_Financial_Report.xlsx — "Consolidated Statements of Cash" sheet</t>
  </si>
  <si>
    <t>Accession 0000937966-25-000009</t>
  </si>
  <si>
    <t>20-F_2025-12-31_Rfiles/R10.htm, R11.htm</t>
  </si>
  <si>
    <t>Accession 0001628280-26-011378</t>
  </si>
  <si>
    <t>BS_Hist</t>
  </si>
  <si>
    <t>FY2023A-FY2024A</t>
  </si>
  <si>
    <t>20-F_2024-12-31_Financial_Report.xlsx — "Consolidated Balance Sheets" sheet</t>
  </si>
  <si>
    <t>FY2024A-FY2025A</t>
  </si>
  <si>
    <t>20-F_2025-12-31_Rfiles/R6.htm, R7.htm</t>
  </si>
  <si>
    <t>FY2024A values cross-checked identical across both filings.</t>
  </si>
  <si>
    <t>SCE_Hist</t>
  </si>
  <si>
    <t>20-F_2025-12-31_Rfiles/R8.htm</t>
  </si>
  <si>
    <t>Beginning balance Dec-31-2022 (€8,810.8mm) cross-checked to companyfacts.json us-gaap:StockholdersEquity, accn 0000937966-23-000014.</t>
  </si>
  <si>
    <t>Gap (documented, not fabricated)</t>
  </si>
  <si>
    <t>FY2021A-FY2022A BS; FY2021A IS/CF full line item</t>
  </si>
  <si>
    <t>Not present in this run's source package (prior 20-F R-files/Financial_Report not pulled)</t>
  </si>
  <si>
    <t>companyfacts.json confirms only headline tags (Assets, Liabilities, StockholdersEquity, Revenue, GrossProfit, OperatingIncomeLoss, NetIncomeLoss, R&amp;D, PP&amp;E capex, CFO) for these years — matches existing Historical sheet summary, already sourced there.</t>
  </si>
  <si>
    <t>Historical!B5:B20 (FY2021A column) is untouched and remains the audit trail for these years at summary granularity.</t>
  </si>
  <si>
    <t>Forecast cash defect fix</t>
  </si>
  <si>
    <t>Assumptions!A26:F26 (new payout-ratio driver), Forecast!C26:G26 (rebuilt formulas)</t>
  </si>
  <si>
    <t>n/a — model mechanics fix, not a sourced claim</t>
  </si>
  <si>
    <t>Payout ratio 0.62 = (avg dividends+buybacks)/(avg FCFF) FY2022A-FY2025A from CF_Hist, computed off audited actuals; see Checks_TieOut cash-defect rows.</t>
  </si>
  <si>
    <t>Drivers_MDA (hoja nueva, capa de cobertura)</t>
  </si>
  <si>
    <t>FY2021A-FY2025A</t>
  </si>
  <si>
    <t>20-F FY2021 a FY2025 (PDFs locales asml/asml-20211231.pdf ... asml-20251231.pdf), Notas 2/3/4/16/25, Item 5 y KPIs; leidos con pdftotext -layout</t>
  </si>
  <si>
    <t>Accessions: 0000937966-22-000013 / 0000937966-23-000014 / 0000937966-24-000008 / 0000937966-25-000009 / 0001628280-26-011378</t>
  </si>
  <si>
    <t>Constantes tecleadas con tie mecanizado contra IS_Hist/BS_Hist/CF_Hist/Historical/Sector_KPIs/Forecast (Checks_TieOut filas 36-52). FY2023 verificado dual-filing (20-F FY2023 vs FY2025).</t>
  </si>
  <si>
    <t>Market_Package (hoja nueva, capa de cobertura)</t>
  </si>
  <si>
    <t>as-of 2026-08-13 (precios, FX, Rf) / 2026-08-14 (beta) / 2026-01-01 (ERP) / 2025-12-31 (acciones y anclas)</t>
  </si>
  <si>
    <t>Euronext y Nasdaq via stockanalysis.com (historicos diarios); EUR/USD referencia BCE via api.frankfurter.dev; Bund 10Y via investing.com (secundaria, declarada); ERP Damodaran ene-2026; spread AA USD de FRED BAMLC0A2CAAEY menos UST 10Y (CSVs primarios en scratchpad/audit/ de la corrida de flota); acciones de la portada del 20-F FY2025</t>
  </si>
  <si>
    <t>n/a — datos de mercado fechados; control mecanizado en Market_Package!B80:B83 y Checks_TieOut filas 53-60</t>
  </si>
  <si>
    <t>Todos los inputs de mercado con fuente y fecha serial. Kd construido (Bund + spread AA USD) declarado como proxy — limitacion L3 de la hoja.</t>
  </si>
  <si>
    <t>Gap declarado (capa de cobertura)</t>
  </si>
  <si>
    <t>Backlog FY2021-22; notionals FX FY2021-23; FTEs de cierre FY2024-25; balances intermedios 2026</t>
  </si>
  <si>
    <t>No presentes en los 20-F del paquete local o no localizados en la extraccion de texto; ASML no publica economia por nodo (proxy: mezcla por tecnologia y end-use en Drivers_MDA bloques 2-3)</t>
  </si>
  <si>
    <t>Declarados en Drivers_MDA bloque 12 con razon por fila</t>
  </si>
  <si>
    <t>Regla de flota: un NOT_AVAILABLE con razon vale mas que un numero sin fuente. Nada se fabrico.</t>
  </si>
  <si>
    <t>ASML Holding N.V. — Drivers de negocio del 20-F y disclosures (FY2021A–FY2025A)</t>
  </si>
  <si>
    <t>EUR millones salvo indicación. CAPA DE COBERTURA ADITIVA: no altera ninguna hoja histórica ni el Forecast. Todo dato 'Reportado' es una constante publicada tecleada del filing; todo 'Calculado' es fórmula viva; los 'Tie' deben ser 0. Los checks mecanizados viven en Checks_TieOut filas 36-61.</t>
  </si>
  <si>
    <t>Métrica</t>
  </si>
  <si>
    <t>Unidad</t>
  </si>
  <si>
    <t>Fuente (documento - sección - accession)</t>
  </si>
  <si>
    <t>Estado</t>
  </si>
  <si>
    <t>1. VENTAS NETAS POR LÍNEA DE NEGOCIO (sistemas vs Installed Base Management)</t>
  </si>
  <si>
    <t>EUR m</t>
  </si>
  <si>
    <t>FY21-22: 20-F FY2022 (accn 0000937966-23-000014), Consolidated Statements of Operations | FY23-25: 20-F FY2025 (accn 0001628280-26-011378), Consolidated Statements of Operations; FY2023 verificado dual-filing contra 20-F FY2023 (accn 0000937966-24-000008)</t>
  </si>
  <si>
    <t>Reportado</t>
  </si>
  <si>
    <t>Net service and field option sales (Installed Base Management)</t>
  </si>
  <si>
    <t>Calculado</t>
  </si>
  <si>
    <t>Tie: total vs modelo (FY21 vs Historical!B5; FY22-25 vs IS_Hist)</t>
  </si>
  <si>
    <t>Debe ser 0 los cinco años</t>
  </si>
  <si>
    <t>Tie</t>
  </si>
  <si>
    <t>Tie: sistemas vs memo IS_Hist (FY22-25)</t>
  </si>
  <si>
    <t>IS_Hist filas memo 23/25; FY2021 no está en IS_Hist (ventana FY22-25)</t>
  </si>
  <si>
    <t>Tie: servicio vs memo IS_Hist (FY22-25)</t>
  </si>
  <si>
    <t>Debe ser 0</t>
  </si>
  <si>
    <t>Cost of system sales</t>
  </si>
  <si>
    <t>FY21-22: 20-F FY2022 (accn 0000937966-23-000014), Consolidated Statements of Operations | FY23-25: 20-F FY2025 (accn 0001628280-26-011378), Consolidated Statements of Operations; FY2023 verificado dual-filing contra 20-F FY2023 (accn 0000937966-24-000008) | FY2021 verificado también en 20-F FY2023 (accn 0000937966-24-000008)</t>
  </si>
  <si>
    <t>Cost of service and field option sales</t>
  </si>
  <si>
    <t>Tie: costo total vs IS_Hist (FY22-25)</t>
  </si>
  <si>
    <t>Tie FY2021: utilidad bruta implícita vs Historical!B7</t>
  </si>
  <si>
    <t>18.611,0 - 8.802,0 = 9.809,0; Historical no trae fila de costo FY2021</t>
  </si>
  <si>
    <t>Margen bruto de sistemas</t>
  </si>
  <si>
    <t>Margen bruto de servicio / IBM</t>
  </si>
  <si>
    <t>Margen bruto total REPORTADO (%)</t>
  </si>
  <si>
    <t>Item 5 'Operating results' / KPIs de cada 20-F: 52.7 / 50.5 / 51.3 / 51.3 / 52.8. FY2025: accn 0001628280-26-011378</t>
  </si>
  <si>
    <t>Tie: margen reportado vs calculado del modelo (Historical fila 8; tol 0.001 por redondeo a 0.1pp)</t>
  </si>
  <si>
    <t>pp</t>
  </si>
  <si>
    <t>Reportado redondeado a 0.1pp convive con el calculado; no se sobrescriben</t>
  </si>
  <si>
    <t>2. SISTEMAS POR TECNOLOGÍA — unidades e ingreso reconocido (Nota 2)</t>
  </si>
  <si>
    <t>EUV NXE — unidades</t>
  </si>
  <si>
    <t>sistemas</t>
  </si>
  <si>
    <t>FY21-22: 20-F FY2022 (accn 0000937966-23-000014), Nota 2 'Revenue from contracts with customers', desagregación por tecnología/end-use | FY23-25: 20-F FY2025 (accn 0001628280-26-011378), Nota 2; FY2023 dual-filing vs 20-F FY2023 (accn 0000937966-24-000008)</t>
  </si>
  <si>
    <t>EUV EXE (High-NA) — unidades</t>
  </si>
  <si>
    <t>EXE (High-NA): primer ingreso reconocido en FY2024 (2 unidades). El '—' de la tabla del filing para FY2023 y la ausencia de línea en FY21-22 son cero económico (el producto no había generado ingreso), no dato faltante. FY21-22: 20-F FY2022 (accn 0000937966-23-000014), Nota 2 'Revenue from contracts with customers', desagregación por tecnología/end-use | FY23-25: 20-F FY2025 (accn 0001628280-26-011378), Nota 2; FY2023 dual-filing vs 20-F FY2023 (accn 0000937966-24-000008)</t>
  </si>
  <si>
    <t>ArF immersion — unidades</t>
  </si>
  <si>
    <t>ArF dry — unidades</t>
  </si>
  <si>
    <t>KrF — unidades</t>
  </si>
  <si>
    <t>i-line — unidades</t>
  </si>
  <si>
    <t>Metrology &amp; Inspection — unidades</t>
  </si>
  <si>
    <t>Total unidades vendidas</t>
  </si>
  <si>
    <t>Calculado: 505 / 561 / 600 / 583 / 535</t>
  </si>
  <si>
    <t>Tie: unidades FY2025 vs Sector_KPIs!B7</t>
  </si>
  <si>
    <t>EUV NXE — ingreso</t>
  </si>
  <si>
    <t>EUV EXE (High-NA) — ingreso</t>
  </si>
  <si>
    <t>Mismo tratamiento del cero económico que la fila 25. FY21-22: 20-F FY2022 (accn 0000937966-23-000014), Nota 2 'Revenue from contracts with customers', desagregación por tecnología/end-use | FY23-25: 20-F FY2025 (accn 0001628280-26-011378), Nota 2; FY2023 dual-filing vs 20-F FY2023 (accn 0000937966-24-000008)</t>
  </si>
  <si>
    <t>ArF immersion — ingreso</t>
  </si>
  <si>
    <t>ArF dry — ingreso</t>
  </si>
  <si>
    <t>KrF — ingreso</t>
  </si>
  <si>
    <t>i-line — ingreso</t>
  </si>
  <si>
    <t>Metrology &amp; Inspection — ingreso</t>
  </si>
  <si>
    <t>Total ingreso por tecnología</t>
  </si>
  <si>
    <t>Tie: total tecnología vs net system sales (fila 7)</t>
  </si>
  <si>
    <t>Dos tablas independientes del filing; debe ser 0</t>
  </si>
  <si>
    <t>ASP promedio por sistema</t>
  </si>
  <si>
    <t>EUR m / sistema</t>
  </si>
  <si>
    <t>Calculado: 27.0 / 27.5 / 36.6 / 37.3 / 45.7 — la escalera de precio del roadmap</t>
  </si>
  <si>
    <t>Tie: ASP FY2025 vs Sector_KPIs!B8</t>
  </si>
  <si>
    <t>Ingreso EUV total (NXE + EXE)</t>
  </si>
  <si>
    <t>Mix EUV / ingreso de sistemas</t>
  </si>
  <si>
    <t>Calculado: 46.0% / 45.7% / 41.6% / 38.2% / 47.4%</t>
  </si>
  <si>
    <t>ASP EUV (NXE+EXE)</t>
  </si>
  <si>
    <t>Calculado: 149.6 / 176.1 / 172.2 / 189.1 / 241.7 — economía por transición de plataforma (proxy público de la economía por nodo)</t>
  </si>
  <si>
    <t>ASP DUV (ArFi + ArF dry + KrF + i-line)</t>
  </si>
  <si>
    <t>Sistemas nuevos — ingreso</t>
  </si>
  <si>
    <t>FY21-22: 20-F FY2022 (accn 0000937966-23-000014), Nota 3 'Segment disclosure' (geografía, new/used, clientes) | FY23-25: 20-F FY2025 (accn 0001628280-26-011378), Nota 3</t>
  </si>
  <si>
    <t>Sistemas usados — ingreso</t>
  </si>
  <si>
    <t>FY21-22: 20-F FY2022 (accn 0000937966-23-000014), Nota 3 'Segment disclosure' (geografía, new/used, clientes) | FY23-25: 20-F FY2025 (accn 0001628280-26-011378), Nota 3 | En 2025 se vendieron 27 sistemas litográficos refurbished (informe de circularidad del 20-F FY2025)</t>
  </si>
  <si>
    <t>Tie: nuevos + usados vs net system sales</t>
  </si>
  <si>
    <t>Memo: sistemas litográficos vendidos (excl. Metrology &amp; Inspection)</t>
  </si>
  <si>
    <t>Calculado: 309 / 345 / 449 / 418 / 327. El KPI del 20-F FY2025 reporta 327 (2024: 418) — amarrado en Checks_TieOut fila 41</t>
  </si>
  <si>
    <t>3. SISTEMAS POR END-USE (Logic vs Memory, Nota 2)</t>
  </si>
  <si>
    <t>Logic — unidades</t>
  </si>
  <si>
    <t>Memory — unidades</t>
  </si>
  <si>
    <t>Logic — ingreso</t>
  </si>
  <si>
    <t>Memory — ingreso</t>
  </si>
  <si>
    <t>Tie: unidades Logic + Memory vs total unidades</t>
  </si>
  <si>
    <t>Tie: ingreso Logic + Memory vs net system sales</t>
  </si>
  <si>
    <t>Mix Memory / ingreso de sistemas</t>
  </si>
  <si>
    <t>Calculado: 29.8% / 35.3% / 27.1% / 39.4% / 34.4% — HBM/DDR5 empujan el ciclo de Memory</t>
  </si>
  <si>
    <t>4. VENTAS NETAS POR GEOGRAFÍA (ubicación de la fábrica del cliente, Nota 3)</t>
  </si>
  <si>
    <t>Japón</t>
  </si>
  <si>
    <t>Corea del Sur</t>
  </si>
  <si>
    <t>Singapur</t>
  </si>
  <si>
    <t>Taiwán</t>
  </si>
  <si>
    <t>China</t>
  </si>
  <si>
    <t>Resto de Asia</t>
  </si>
  <si>
    <t>Países Bajos</t>
  </si>
  <si>
    <t>EMEA (resto)</t>
  </si>
  <si>
    <t>Estados Unidos</t>
  </si>
  <si>
    <t>Total por geografía</t>
  </si>
  <si>
    <t>Tie: geografía vs total ventas netas (FY21 vs Historical!B5)</t>
  </si>
  <si>
    <t>Mix China</t>
  </si>
  <si>
    <t>Calculado: 14.7% / 13.8% / 26.3% / 36.1% / 29.1% — el driver de riesgo geopolítico más visible de la serie (controles de exportación DUV)</t>
  </si>
  <si>
    <t>Mix Taiwán + Corea del Sur</t>
  </si>
  <si>
    <t>Calculado — el eje leading-edge (foundry + HBM)</t>
  </si>
  <si>
    <t>5. LONG-LIVED ASSETS POR GEOGRAFÍA (PP&amp;E + right-of-use, Nota 3)</t>
  </si>
  <si>
    <t>Total long-lived assets</t>
  </si>
  <si>
    <t>— de los cuales Países Bajos (Veldhoven)</t>
  </si>
  <si>
    <t>FY21-22: 20-F FY2022 (accn 0000937966-23-000014), Nota 3 'Segment disclosure' (geografía, new/used, clientes) | FY23-25: 20-F FY2025 (accn 0001628280-26-011378), Nota 3 | Expansiones de fábrica e investigación en Veldhoven</t>
  </si>
  <si>
    <t>Tie: total vs BS_Hist (PP&amp;E neto + right-of-use; FY23-25 — el BS del modelo empieza en FY2023)</t>
  </si>
  <si>
    <t>Debe ser 0; FY21-22 sin BS de línea completa en el modelo (gap documentado en Sources_Audited!A11) — sin tie</t>
  </si>
  <si>
    <t>6. BACKLOG, RPO Y CONTRACT LIABILITIES (el motor de demanda)</t>
  </si>
  <si>
    <t>Remaining performance obligations (RPO, auditado)</t>
  </si>
  <si>
    <t>Nota 2 de cada 20-F: €28.9bn / €45.4bn / €45.0bn / €43.3bn / €46.5bn. FY21-22: accn 0000937966-23-000014; FY23: accn 0000937966-24-000008; FY24-25: accn 0001628280-26-011378</t>
  </si>
  <si>
    <t>% del RPO a reconocer en los próximos 12 meses</t>
  </si>
  <si>
    <t>Misma nota; FY2023: 57% per 20-F FY2023</t>
  </si>
  <si>
    <t>RPO / ventas netas del año</t>
  </si>
  <si>
    <t>x</t>
  </si>
  <si>
    <t>Calculado: 1.55x / 2.14x / 1.63x / 1.53x / 1.42x</t>
  </si>
  <si>
    <t>Backlog (valor de pedidos según definición ASML, no auditado)</t>
  </si>
  <si>
    <t>FY2023: 'backlog of €39.0 billion' (20-F FY2023, accn 0000937966-24-000008, carta del presidente). FY2024: 'around a healthy €36 billion' (20-F FY2024, accn 0000937966-25-000009) — APROXIMADO. FY2025: €38,797m exacto (annual report IFRS, asml.com/investors — misma fuente de Sector_KPIs!B9; el 20-F dice €38.8bn). FY2021-22: no está en los 20-F del paquete — ver bloque 12</t>
  </si>
  <si>
    <t>Tie: backlog FY2025 vs Sector_KPIs!B9</t>
  </si>
  <si>
    <t>Contract liabilities totales (corrientes + no corrientes)</t>
  </si>
  <si>
    <t>Nota 2 (tabla de contract assets/liabilities). FY21-22: accn 0000937966-23-000014; FY23-25: accn 0001628280-26-011378</t>
  </si>
  <si>
    <t>Tie: contract liabilities vs BS_Hist (corriente + no corriente; FY23-25)</t>
  </si>
  <si>
    <t>Debe ser 0 — los down payments son el colchón de caja del modelo</t>
  </si>
  <si>
    <t>Cobertura: contract liabilities / RPO</t>
  </si>
  <si>
    <t>Calculado — cuánto del backlog auditado ya está prepagado</t>
  </si>
  <si>
    <t>7. CLIENTES Y CONCENTRACIÓN (Nota 3)</t>
  </si>
  <si>
    <t>Clientes que superan 10% de ventas netas (número)</t>
  </si>
  <si>
    <t>clientes</t>
  </si>
  <si>
    <t>Ventas netas de esos clientes (redondeado en el filing)</t>
  </si>
  <si>
    <t>FY21-22: 20-F FY2022 (accn 0000937966-23-000014), Nota 3 'Segment disclosure' (geografía, new/used, clientes) | FY23-25: 20-F FY2025 (accn 0001628280-26-011378), Nota 3 | El filing publica €bn con un decimal</t>
  </si>
  <si>
    <t>% de ventas netas reportado</t>
  </si>
  <si>
    <t>Tie: % reportado vs monto/ventas (tol 0.005 por redondeo de €bn)</t>
  </si>
  <si>
    <t>Cruce interno de dos disclosures del mismo filing</t>
  </si>
  <si>
    <t>Top-3 clientes: % de accounts receivable + finance receivables</t>
  </si>
  <si>
    <t>8. EMPLEADOS Y PRODUCTIVIDAD</t>
  </si>
  <si>
    <t>Promedio de empleados de nómina (FTEs)</t>
  </si>
  <si>
    <t>FTEs</t>
  </si>
  <si>
    <t>20-F FY2025 (accn 0001628280-26-011378), sección de remuneración (razón CEO pay): serie FY2021-FY2025 uniforme</t>
  </si>
  <si>
    <t>Ventas netas por FTE promedio</t>
  </si>
  <si>
    <t>EUR miles / FTE</t>
  </si>
  <si>
    <t>Calculado: 659 / 640 / 710 / 678 / 755</t>
  </si>
  <si>
    <t>Memo: FTEs de nómina al cierre del año</t>
  </si>
  <si>
    <t>20-F FY2021/FY2022/FY2023 (accns 0000937966-22-000013 / 0000937966-23-000014 / 0000937966-24-000008), Item 'Our people'. FY2024-25 no localizados en la extracción del paquete — parcial, ver bloque 12</t>
  </si>
  <si>
    <t>9. COBERTURA FX Y TASAS (Nota 25 — ventana FY2024-FY2025 del 20-F FY2025)</t>
  </si>
  <si>
    <t>Notional forwards FX — USD</t>
  </si>
  <si>
    <t>USD bn</t>
  </si>
  <si>
    <t>20-F FY2025 (accn 0001628280-26-011378), Nota 25 'Financial risk management'</t>
  </si>
  <si>
    <t>Notional forwards FX — JPY</t>
  </si>
  <si>
    <t>JPY bn</t>
  </si>
  <si>
    <t>Notional forwards FX — TWD</t>
  </si>
  <si>
    <t>TWD bn</t>
  </si>
  <si>
    <t>Notional forwards FX — KRW</t>
  </si>
  <si>
    <t>KRW bn</t>
  </si>
  <si>
    <t>Notional forwards FX — CNY</t>
  </si>
  <si>
    <t>CNY bn</t>
  </si>
  <si>
    <t>Sensibilidad FX +10% (monedas vs EUR) — impacto en utilidad neta</t>
  </si>
  <si>
    <t>Sensibilidad FX +10% — impacto en equity</t>
  </si>
  <si>
    <t>Notional swaps de tasa de interés</t>
  </si>
  <si>
    <t>EUR bn</t>
  </si>
  <si>
    <t>Sensibilidad +100pb en tasas — impacto en utilidad neta</t>
  </si>
  <si>
    <t>20-F FY2025 (accn 0001628280-26-011378), Nota 25 'Financial risk management' | Positivo: la caja flotante supera la deuda flotante</t>
  </si>
  <si>
    <t>Política: ASML cubre exposiciones transaccionales materiales (ventas y compras pronosticadas) con forwards; la caja es predominantemente EUR con algo de USD/TWD/KRW/CNY. Los estados se reportan en EUR; la acción ADR cotiza en USD (capa FX del paquete de mercado).</t>
  </si>
  <si>
    <t>Cualitativo</t>
  </si>
  <si>
    <t>10. DEUDA Y RETORNOS AL ACCIONISTA (Notas 16 y 22; ventana FY2024-FY2025)</t>
  </si>
  <si>
    <t>Eurobonds — principal</t>
  </si>
  <si>
    <t>20-F FY2025 (accn 0001628280-26-011378), Nota 16 'Long-term debt, short-term borrowings, interest and other, net'</t>
  </si>
  <si>
    <t>Eurobonds — carrying amount</t>
  </si>
  <si>
    <t>20-F FY2025 (accn 0001628280-26-011378), Nota 16 'Long-term debt, short-term borrowings, interest and other, net' | Incluye fair value de los interest rate swaps</t>
  </si>
  <si>
    <t>Eurobonds — fair value (Bloomberg)</t>
  </si>
  <si>
    <t>Papel comercial (ECP) — carrying</t>
  </si>
  <si>
    <t>20-F FY2025 (accn 0001628280-26-011378), Nota 16 'Long-term debt, short-term borrowings, interest and other, net' | Programa €1.5bn; 2024: nil; WAIR 2.03% al 2025-12-31</t>
  </si>
  <si>
    <t>Porción corriente de la deuda de largo plazo</t>
  </si>
  <si>
    <t>Deuda de largo plazo — no corriente</t>
  </si>
  <si>
    <t>Tie: ECP + porción corriente vs BS_Hist fila 32</t>
  </si>
  <si>
    <t>Debe ser 0 — descompone mecánicamente el hallazgo H1 del paquete de mercado</t>
  </si>
  <si>
    <t>Tie: deuda no corriente vs BS_Hist fila 35</t>
  </si>
  <si>
    <t>Dividendo total por acción declarado (EUR)</t>
  </si>
  <si>
    <t>EUR / acción</t>
  </si>
  <si>
    <t>20-F FY2025 (accn 0001628280-26-011378), 'Dividend policy': intención FY2025 €7.50 (+17.2%); interinos 3 × €1.60 + final propuesto €2.70</t>
  </si>
  <si>
    <t>Dividendos pagados (caja del año)</t>
  </si>
  <si>
    <t>Enlace vivo a CF_Hist fila 34</t>
  </si>
  <si>
    <t>Enlace vivo</t>
  </si>
  <si>
    <t>Recompras de acciones — número</t>
  </si>
  <si>
    <t>acciones</t>
  </si>
  <si>
    <t>20-F FY2025 (accn 0001628280-26-011378), 'Purchase of equity securities'; precio promedio 2025: €714.86; canceladas 5,683,018 (2025) / 5,754,117 (2024)</t>
  </si>
  <si>
    <t>Recompras — monto</t>
  </si>
  <si>
    <t>Misma sección</t>
  </si>
  <si>
    <t>Tie: recompras vs CF_Hist fila 35</t>
  </si>
  <si>
    <t>Programa vigente: hasta €12bn a ejecutar antes del 2028-12-31 (anunciado 2026-01-28). El programa anterior cerró en dic-2025 con €7.6bn ejecutados de hasta €12bn.</t>
  </si>
  <si>
    <t>20-F FY2025 (accn 0001628280-26-011378), 'Purchase of equity securities'</t>
  </si>
  <si>
    <t>Intereses — componente de ingreso</t>
  </si>
  <si>
    <t>Intereses — componente de gasto</t>
  </si>
  <si>
    <t>11. GUIDANCE FY2026 (resultados Q4 FY2025, 2026-01-28)</t>
  </si>
  <si>
    <t>Guidance de ingresos 2026 — piso</t>
  </si>
  <si>
    <t>Press release Q4 FY2025 (asml.com) — misma fuente de Sector_KPIs!B11</t>
  </si>
  <si>
    <t>Guidance de ingresos 2026 — techo</t>
  </si>
  <si>
    <t>Misma fuente (Sector_KPIs!B12)</t>
  </si>
  <si>
    <t>Tie: guidance vs Sector_KPIs!B11/B12</t>
  </si>
  <si>
    <t>12. LO QUE ASML NO DIVULGA O NO ESTÁ EN EL PAQUETE (declarado, no inventado)</t>
  </si>
  <si>
    <t>Economía por nodo de cliente: ASML no desglosa ingresos por nodo de proceso (N3, N2, etc.). El proxy público es la mezcla por tecnología (bloque 2: EUV/DUV, ASP por plataforma) y por end-use (bloque 3). La 'economía por nodo' pedida en la cobertura se satisface con ese proxy y esta declaración.</t>
  </si>
  <si>
    <t>NOT_AVAILABLE</t>
  </si>
  <si>
    <t>Backlog FY2021-FY2022: los 20-F de esos años no publican la cifra de backlog/net bookings (era métrica de press releases trimestrales). No se tecleó de memoria ni de fuentes fuera del paquete.</t>
  </si>
  <si>
    <t>Net bookings anuales: métrica de press release, nunca del 20-F; ASML anunció que deja de reportarla trimestralmente desde 2026. El 20-F FY2022 solo dice 'record net bookings' sin cifra.</t>
  </si>
  <si>
    <t>Tamaño exacto de la base instalada (unidades activas): el 20-F dice 'thousands of ASML systems installed'; lo cuantitativo disponible: 95% de todos los sistemas vendidos en 30 años seguía activo al cierre de 2025; más de 600 refurbished revendidos a la fecha; 27 vendidos en 2025. El ingreso del installed base (IBM) sí está: fila 8.</t>
  </si>
  <si>
    <t>ASP por modelo individual (p.ej. NXE:3800E vs NXE:3600D) y precio de lista: no divulgado; solo ASP por familia (filas 46-47).</t>
  </si>
  <si>
    <t>Margen operativo por línea de negocio (sistemas vs IBM): ASML tiene un solo segmento reportable; solo el margen bruto por línea es derivable (filas 18-19); el opex no se asigna.</t>
  </si>
  <si>
    <t>Notionals FX FY2021-FY2023: publicados en los 20-F respectivos pero fuera de la ventana cargada (el 20-F FY2025 solo trae FY2024-25). Ampliable si se necesita la serie.</t>
  </si>
  <si>
    <t>FTEs de nómina al cierre FY2024-FY2025: no localizados en la extracción de texto del paquete local; la serie de PROMEDIO anual sí está completa (fila 100).</t>
  </si>
  <si>
    <t>13. PUENTE AL MOTOR DE PRONÓSTICO — anclas FY2025A verificadas (el Forecast NO se toca: fuera del alcance de esta ola)</t>
  </si>
  <si>
    <t>Forecast!B5 (sistemas vendidos) − total unidades del filing</t>
  </si>
  <si>
    <t>Forecast!B6 (ASP promedio) − ASP del filing</t>
  </si>
  <si>
    <t>Debe ser ~0 (tol 0.01 — B6 es constante con 13 decimales)</t>
  </si>
  <si>
    <t>Forecast!B7 (ingreso IBM) − servicio del filing</t>
  </si>
  <si>
    <t>Forecast!B8 (ingreso total) − total del filing</t>
  </si>
  <si>
    <t>Debe ser ~0 (B8 es fórmula unidades×ASP+IBM)</t>
  </si>
  <si>
    <t>Sector_KPIs!B5 (net system sales) − fila 7</t>
  </si>
  <si>
    <t>Sector_KPIs!B6 (IBM sales) − fila 8</t>
  </si>
  <si>
    <t>Sector_KPIs!B10 (gross margin) − margen reportado (fila 20)</t>
  </si>
  <si>
    <t>Nota de cableado: el motor Forecast ya construye ingreso = unidades × ASP + IBM anclado a FY2025A; esta capa verifica las tres anclas contra el filing (checks 51-52 de Checks_TieOut). Para forecastear por tecnología (EUV vs DUV vs M&amp;I) habría que abrir filas por familia en Forecast y sus tasas en Assumptions — decisión del dueño, no de esta capa.</t>
  </si>
  <si>
    <t>Mapa de accessions: 20-F FY2021 0000937966-22-000013 | FY2022 0000937966-23-000014 | FY2023 0000937966-24-000008 | FY2024 0000937966-25-000009 | FY2025 0001628280-26-011378. PDFs locales en asml/ leídos con pdftotext -layout; ninguna herramienta de spreadsheet fuera de Mog.</t>
  </si>
  <si>
    <t>Alcance: esta capa es 100% aditiva. La única celda preexistente modificada en el libro es el master de Checks_TieOut!B2 (ampliación del rango del COUNTIF). Forecast!C26:G27 (roll de caja y deuda estática) queda intacto y fuera de alcance.</t>
  </si>
  <si>
    <t>ASML Holding N.V. — Paquete de mercado fechado y costo de capital (EUR nativo; puente USD por el ADR)</t>
  </si>
  <si>
    <t>Cada input de mercado lleva fuente y FECHA con serial válido. Los enlaces al balance y a los estados son fórmulas vivas contra las hojas históricas. Los checks mecanizados viven en Checks_TieOut filas 53-60. ASML reporta en EUR; la acción cotiza en EUR (Euronext Amsterdam, listado primario) y en USD (Nasdaq, 1 acción ordinaria = 1 título).</t>
  </si>
  <si>
    <t>Concepto</t>
  </si>
  <si>
    <t>Valor</t>
  </si>
  <si>
    <t>Fecha del dato (as-of)</t>
  </si>
  <si>
    <t>Fuente</t>
  </si>
  <si>
    <t>Nota / método</t>
  </si>
  <si>
    <t>1. PRECIO, ACCIONES Y CAPITALIZACIÓN (doble cotización)</t>
  </si>
  <si>
    <t>Precio de cierre — Euronext Amsterdam (EUR)</t>
  </si>
  <si>
    <t>EUR/acción</t>
  </si>
  <si>
    <t>stockanalysis.com/quote/ams/ASML/history — histórico diario</t>
  </si>
  <si>
    <t>Recuperado 2026-08-14. Cierre del 2026-08-14: 1,579.60 (memo). Listado primario en EUR.</t>
  </si>
  <si>
    <t>Precio de cierre — Nasdaq (USD)</t>
  </si>
  <si>
    <t>USD/acción</t>
  </si>
  <si>
    <t>stockanalysis.com/stocks/asml/history — histórico diario</t>
  </si>
  <si>
    <t>Recuperado 2026-08-14. Cierre del 2026-08-14: 1,844.46 (memo). 1 ordinaria = 1 título USD.</t>
  </si>
  <si>
    <t>EUR/USD (tasa de referencia del BCE)</t>
  </si>
  <si>
    <t>USD por EUR</t>
  </si>
  <si>
    <t>BCE — tasa de referencia diaria, vía api.frankfurter.dev/v1/2026-08-13</t>
  </si>
  <si>
    <t>2026-08-14: 1.1567 (memo). El modelo usa 1.1474 en Assumptions!E22 (as-of de la corrida de julio).</t>
  </si>
  <si>
    <t>Chequeo de paridad de doble cotización</t>
  </si>
  <si>
    <t>Calculado: precio EUR × FX / precio USD − 1</t>
  </si>
  <si>
    <t>+0.45% el 2026-08-13 — diferencia de horario de cierre (17:30 CET vs 16:00 EDT). El check 54 exige |·| ≤ 2%.</t>
  </si>
  <si>
    <t>Acciones ordinarias en circulación</t>
  </si>
  <si>
    <t>millones de acciones</t>
  </si>
  <si>
    <t>SEC Form 20-F FY2025, portada (accn 0001628280-26-011378): '385,417,665 Ordinary Shares' al cierre del período</t>
  </si>
  <si>
    <t>Conteo primario más reciente del paquete. stockanalysis 2026-08-14: 384.10m (memo — recompras del programa 2026 desde el cierre).</t>
  </si>
  <si>
    <t>Memo — acciones diluidas promedio FY2025 (las que usa el DCF)</t>
  </si>
  <si>
    <t>Forecast!B28 ← IS_Hist!E20</t>
  </si>
  <si>
    <t>Enlace vivo. 388.9m; brecha vs portada −0.9% (check 55, tol 3%).</t>
  </si>
  <si>
    <t>Capitalización de mercado (EUR)</t>
  </si>
  <si>
    <t>Calculado: precio Euronext × acciones en circulación</t>
  </si>
  <si>
    <t>620,291 EUR m</t>
  </si>
  <si>
    <t>Memo — capitalización de mercado (USD)</t>
  </si>
  <si>
    <t>USD m</t>
  </si>
  <si>
    <t>Calculado: precio Nasdaq × acciones</t>
  </si>
  <si>
    <t>2. PUENTE A ENTERPRISE VALUE (balance FY2025A del propio modelo, EUR)</t>
  </si>
  <si>
    <t>Efectivo y equivalentes</t>
  </si>
  <si>
    <t>BS_Hist!D6 — 20-F FY2025, balance auditado</t>
  </si>
  <si>
    <t>Inversiones de corto plazo</t>
  </si>
  <si>
    <t>BS_Hist!D7</t>
  </si>
  <si>
    <t>Total efectivo e inversiones</t>
  </si>
  <si>
    <t>13,321.9</t>
  </si>
  <si>
    <t>Deuda de corto plazo (ECP + porción corriente de deuda LP)</t>
  </si>
  <si>
    <t>BS_Hist!D32</t>
  </si>
  <si>
    <t>Enlace vivo. Descomposición tecleada del filing en el bloque 8 y en Drivers_MDA filas 120-121.</t>
  </si>
  <si>
    <t>Deuda de largo plazo (no corriente)</t>
  </si>
  <si>
    <t>BS_Hist!D35</t>
  </si>
  <si>
    <t>Deuda bruta total</t>
  </si>
  <si>
    <t>4,390.9 — incluye papel comercial y porción corriente</t>
  </si>
  <si>
    <t>Deuda neta / (caja neta)</t>
  </si>
  <si>
    <t>Negativo = caja neta (−8,931.0)</t>
  </si>
  <si>
    <t>Calculado: cap. de mercado + deuda bruta − efectivo e inversiones</t>
  </si>
  <si>
    <t>Precio al 2026-08-13 contra balance al 2025-12-31 (L4)</t>
  </si>
  <si>
    <t>Memo — deuda usada hoy en Valuation!B15</t>
  </si>
  <si>
    <t>Forecast!B27 ← Historical!F19</t>
  </si>
  <si>
    <t>Solo deuda LP no corriente (2,709)</t>
  </si>
  <si>
    <t>Memo — diferencia vs la deuda bruta de esta hoja</t>
  </si>
  <si>
    <t>HALLAZGO H1: 1,681.9 = exactamente BS_Hist!D32 (ECP 691.7 + porción corriente 990.2). El puente del DCF omite la deuda de corto plazo. Mecanizado en el check 57.</t>
  </si>
  <si>
    <t>Memo — caja usada hoy en Valuation!B14</t>
  </si>
  <si>
    <t>Forecast!B26</t>
  </si>
  <si>
    <t>Solo efectivo y equivalentes (12,916)</t>
  </si>
  <si>
    <t>Memo — diferencia vs el efectivo e inversiones de esta hoja</t>
  </si>
  <si>
    <t>HALLAZGO H1b: 405.9 = exactamente BS_Hist!D7 (inversiones de corto plazo omitidas del puente).</t>
  </si>
  <si>
    <t>3. COSTO DE CAPITAL (EUR)</t>
  </si>
  <si>
    <t>Tasa libre de riesgo (Bund alemán 10 años)</t>
  </si>
  <si>
    <t>investing.com — 'Germany 10-Year Bond Yield Historical Data', cierre 2026-08-13</t>
  </si>
  <si>
    <t>Fuente secundaria (la serie primaria del Bundesbank no fue descargable en esta corrida — declarado). Cross-check: tradingeconomics ~3.15-3.20% la misma semana.</t>
  </si>
  <si>
    <t>Prima de riesgo de mercado (ERP implícita, S&amp;P 500)</t>
  </si>
  <si>
    <t>A. Damodaran (NYU Stern), 'Implied Equity Risk Premiums — United States' (histimpl.html), actualización enero 2026</t>
  </si>
  <si>
    <t>ERP de mercado maduro; Países Bajos Aaa → prima país 0 (declarado, L2). Misma ERP de la corrida de flota (verificada en la auditoría del piloto Apple 2026-08-14).</t>
  </si>
  <si>
    <t>Beta (5 años, mensual, título USD vs S&amp;P 500)</t>
  </si>
  <si>
    <t>stockanalysis.com/stocks/asml</t>
  </si>
  <si>
    <t>Proveedor; beta del título USD contra índice USD para un flujo EUR — limitación L1.</t>
  </si>
  <si>
    <t>Costo de capital propio (CAPM)</t>
  </si>
  <si>
    <t>Calculado: Rf + beta × ERP</t>
  </si>
  <si>
    <t>8.934%</t>
  </si>
  <si>
    <t>Costo de deuda antes de impuestos (construido)</t>
  </si>
  <si>
    <t>Construcción declarada: Bund 10Y 3.139% (B31) + spread AA USD 0.57pp (= FRED BAMLC0A2CAAEY 5.20% − UST 10Y 4.63%, ambos 2026-08-13; series primarias en scratchpad/audit/kd.csv y ust.csv de la corrida de flota)</t>
  </si>
  <si>
    <t>No existe serie EUR IG efectiva descargable en FRED — proxy de spread entre monedas, limitación L3. Peso de la deuda 0.7%: 25pb de error mueven el WACC menos de 1pb.</t>
  </si>
  <si>
    <t>Memo — stack de Eurobonds vigente</t>
  </si>
  <si>
    <t>Cupones 0.250%-2.250%, vencimientos 2026-2032</t>
  </si>
  <si>
    <t>texto</t>
  </si>
  <si>
    <t>20-F FY2025 (accn 0001628280-26-011378), Nota 16</t>
  </si>
  <si>
    <t>Fair value 3,590.8 vs principal 3,750.0 (95.8% del par): el mercado exige yields por encima del cupón.</t>
  </si>
  <si>
    <t>Memo — tasa promedio ponderada del papel comercial (ECP)</t>
  </si>
  <si>
    <t>20-F FY2025, Nota 16: WAIR 2.03% al 2025-12-31</t>
  </si>
  <si>
    <t>Tasa efectiva de impuestos (FY2025A del modelo)</t>
  </si>
  <si>
    <t>IS_Hist!E13 / IS_Hist!E12</t>
  </si>
  <si>
    <t>Enlace vivo: 17.65%</t>
  </si>
  <si>
    <t>Costo de deuda después de impuestos</t>
  </si>
  <si>
    <t>Calculado: Kd × (1 − t)</t>
  </si>
  <si>
    <t>Valor de mercado del capital (E)</t>
  </si>
  <si>
    <t>Deuda bruta (D)</t>
  </si>
  <si>
    <t>Valor en libros como proxy; el fair value de los Eurobonds (3,590.8) está en B36/bloque 8.</t>
  </si>
  <si>
    <t>Capital total (D+E)</t>
  </si>
  <si>
    <t>Peso del capital propio</t>
  </si>
  <si>
    <t>99.30%</t>
  </si>
  <si>
    <t>Peso de la deuda</t>
  </si>
  <si>
    <t>0.70%</t>
  </si>
  <si>
    <t>Calculado: We × Ke + Wd × Kd × (1 − t)</t>
  </si>
  <si>
    <t>8.893% — fórmula viva: mover B31, B32, B33 o B35 mueve el WACC</t>
  </si>
  <si>
    <t>Memo — WACC usado hoy en el DCF</t>
  </si>
  <si>
    <t>Assumptions!E20 (escenario activo del selector B3)</t>
  </si>
  <si>
    <t>8.5% en Base</t>
  </si>
  <si>
    <t>Memo — diferencia (este paquete − modelo)</t>
  </si>
  <si>
    <t>+0.393pp (H3)</t>
  </si>
  <si>
    <t>4. MÚLTIPLOS IMPLÍCITOS vs FY2025A DEL MODELO (EUR)</t>
  </si>
  <si>
    <t>Ventas netas FY2025A</t>
  </si>
  <si>
    <t>IS_Hist!E5</t>
  </si>
  <si>
    <t>Utilidad operativa FY2025A (EBIT)</t>
  </si>
  <si>
    <t>IS_Hist!E10</t>
  </si>
  <si>
    <t>Depreciación y amortización FY2025A</t>
  </si>
  <si>
    <t>CF_Hist!E7</t>
  </si>
  <si>
    <t>EBITDA FY2025A (calc)</t>
  </si>
  <si>
    <t>Calculado: EBIT + D&amp;A</t>
  </si>
  <si>
    <t>ASML no publica EBITDA — construcción del analista (L5)</t>
  </si>
  <si>
    <t>Utilidad neta FY2025A</t>
  </si>
  <si>
    <t>IS_Hist!E16</t>
  </si>
  <si>
    <t>UPA diluida FY2025A (EUR)</t>
  </si>
  <si>
    <t>IS_Hist!E18</t>
  </si>
  <si>
    <t>Flujo de efectivo de operación FY2025A</t>
  </si>
  <si>
    <t>CF_Hist!E22</t>
  </si>
  <si>
    <t>Capex PP&amp;E FY2025A</t>
  </si>
  <si>
    <t>CF_Hist!E24 (publicado como salida negativa)</t>
  </si>
  <si>
    <t>Enlace vivo con signo invertido</t>
  </si>
  <si>
    <t>Flujo de caja libre FY2025A (CFO − capex PP&amp;E)</t>
  </si>
  <si>
    <t>11,084.9 — def. del modelo (Historical). La def. del 20-F resta también intangibles (57.6) → 11,027.3 ('FCF €11.0bn' del KPI).</t>
  </si>
  <si>
    <t>P/E (cap. de mercado EUR / utilidad neta)</t>
  </si>
  <si>
    <t>64.5x</t>
  </si>
  <si>
    <t>P/E (precio EUR / UPA diluida)</t>
  </si>
  <si>
    <t>65.1x — difiere del anterior por la base de acciones</t>
  </si>
  <si>
    <t>EV / Ventas</t>
  </si>
  <si>
    <t>18.7x</t>
  </si>
  <si>
    <t>EV / EBITDA</t>
  </si>
  <si>
    <t>49.6x</t>
  </si>
  <si>
    <t>EV / EBIT</t>
  </si>
  <si>
    <t>54.1x</t>
  </si>
  <si>
    <t>FCF yield (FCF / cap. de mercado)</t>
  </si>
  <si>
    <t>1.79%</t>
  </si>
  <si>
    <t>Dividend yield (dividendos pagados FY2025A)</t>
  </si>
  <si>
    <t>CF_Hist!E34</t>
  </si>
  <si>
    <t>0.41% — sobre lo efectivamente pagado en el año</t>
  </si>
  <si>
    <t>Buyback yield (recompras FY2025A)</t>
  </si>
  <si>
    <t>CF_Hist!E35</t>
  </si>
  <si>
    <t>0.96%</t>
  </si>
  <si>
    <t>Rendimiento total al accionista</t>
  </si>
  <si>
    <t>1.37%</t>
  </si>
  <si>
    <t>Memo — dividendo declarado FY2025 (EUR/acción)</t>
  </si>
  <si>
    <t>20-F FY2025, 'Dividend policy'</t>
  </si>
  <si>
    <t>Yield sobre el declarado: 7.50 / 1,609.40 = 0.47%</t>
  </si>
  <si>
    <t>5. MEMO — IMPLÍCITOS DEL PROPIO DCF (para dimensionar el −59% de Valuation!B23)</t>
  </si>
  <si>
    <t>Precio implícito del DCF (EUR/acción)</t>
  </si>
  <si>
    <t>Valuation!B18</t>
  </si>
  <si>
    <t>647.67 — enlace vivo</t>
  </si>
  <si>
    <t>Precio implícito del DCF (USD/título)</t>
  </si>
  <si>
    <t>USD/título</t>
  </si>
  <si>
    <t>Valuation!B21</t>
  </si>
  <si>
    <t>743.13</t>
  </si>
  <si>
    <t>Precio de mercado que usa el modelo (USD, constante)</t>
  </si>
  <si>
    <t>Assumptions!E24</t>
  </si>
  <si>
    <t>1,815.27 as-of ~2026-07-16 — desfasado ~1 mes vs B8 (H2)</t>
  </si>
  <si>
    <t>Upside / (downside) del escenario Base</t>
  </si>
  <si>
    <t>Valuation!B23</t>
  </si>
  <si>
    <t>HALLAZGO H4: −59.1%. El DCF Base implica menos de la mitad del precio de mercado; visible en Valuation pero sin advertencia en 00_Cover. Esta capa lo declara; corregir drivers/terminal es decisión del dueño, no de la cobertura.</t>
  </si>
  <si>
    <t>P/E implícito del DCF (equity value / utilidad neta FY2025A)</t>
  </si>
  <si>
    <t>26.2x contra 64.5x de mercado — la brecha es la lectura, no un error aritmético</t>
  </si>
  <si>
    <t>EV/EBITDA implícito del DCF</t>
  </si>
  <si>
    <t>19.6x contra 49.6x de mercado</t>
  </si>
  <si>
    <t>6. CONTROL DE PROCEDENCIA (todo input de mercado con fuente y fecha serial)</t>
  </si>
  <si>
    <t>Inputs de mercado sujetos a control</t>
  </si>
  <si>
    <t>conteo</t>
  </si>
  <si>
    <t>B7 precio EUR, B8 precio USD, B9 FX, B11 acciones, B31 Rf, B32 ERP, B33 beta, B35 Kd</t>
  </si>
  <si>
    <t>El resto de la hoja son enlaces vivos o cálculos</t>
  </si>
  <si>
    <t>Inputs sin fuente</t>
  </si>
  <si>
    <t>Inputs sin fecha válida (ausente o texto en vez de serial)</t>
  </si>
  <si>
    <t>Debe ser 0 — una fecha como texto cuenta como inválida</t>
  </si>
  <si>
    <t>Inputs de cotización desfasados entre sí (&gt;5 días) o paquete obsoleto (&gt;10 días)</t>
  </si>
  <si>
    <t>Debe ser 0. Cubre precios, FX y Rf entre sí, y la obsolescencia del paquete completo.</t>
  </si>
  <si>
    <t>Estado de procedencia</t>
  </si>
  <si>
    <t>estado</t>
  </si>
  <si>
    <t>7. LIMITACIONES Y HALLAZGOS</t>
  </si>
  <si>
    <t>H1 — El puente de deuda del DCF (Valuation!B15 ← Forecast!B27 ← Historical!F19) usa solo la deuda LP no corriente (2,709) y omite 1,681.9 de deuda de corto plazo (ECP 691.7 + porción corriente 990.2 = BS_Hist!D32). Cuantificado en B26 y mecanizado en el check 57. No se corrigió: tocar Valuation movería outputs ya gateados.</t>
  </si>
  <si>
    <t>H1b — El puente de caja del DCF (Valuation!B14 ← Forecast!B26) usa solo efectivo y equivalentes (12,916) y omite las inversiones de corto plazo (405.9 = BS_Hist!D7). Cuantificado en B28.</t>
  </si>
  <si>
    <t>H2 — Assumptions!E24 tiene el precio en duro (USD 1,815.27, as-of ~2026-07-16), hoy desfasado −1.8% vs el cierre fechado de esta hoja (B8). El check 54 lo vigila con banda de ±25%.</t>
  </si>
  <si>
    <t>H3 — El WACC del DCF (8.5%, escenario Base) es un juicio de escenario; el de esta hoja (8.893%) es un cálculo fechado. Diferencia +0.393pp (B47). No se cableó al DCF a propósito: rompería el diseño de escenarios Base/Bull/Bear.</t>
  </si>
  <si>
    <t>H4 — Valuation!B23 muestra −59.1% de downside en el escenario Base sin ninguna advertencia en 00_Cover. Los múltiplos implícitos del DCF (bloque 5: P/E 26.2x, EV/EBITDA 19.6x) contra los de mercado (64.5x / 49.6x) dimensionan la brecha: el mercado paga más del doble por el mismo flujo. Es la clase de hallazgo 'Amazon B5' del audit de flota — declarado aquí porque el gate del libro hoy no lo vigila.</t>
  </si>
  <si>
    <t>L1 — La beta es de proveedor (stockanalysis.com), del título USD contra el S&amp;P 500, aplicada a un flujo EUR con Rf alemán: inconsistencia de índice declarada. Una beta propia contra el AEX/STOXX es trabajo pendiente.</t>
  </si>
  <si>
    <t>L2 — La ERP es la implícita de Damodaran para EE.UU./mercado maduro al 2026-01-01; el Rf es alemán al 2026-08-13. Mezcla de fechas y jurisdicciones declarada a propósito (Países Bajos Aaa → prima país 0).</t>
  </si>
  <si>
    <t>L3 — El Kd es una construcción (Bund + spread AA USD como proxy), no una curva EUR propia. Con Wd = 0.7%, 25pb de error mueven el WACC menos de 1pb.</t>
  </si>
  <si>
    <t>L4 — El EV mezcla precio del 2026-08-13 con balance del 2025-12-31 (el más reciente auditado del modelo). No hay balance intermedio en el paquete local (ASML publica 6-K trimestrales que no están espejados).</t>
  </si>
  <si>
    <t>L5 — EBITDA y FCF son construcciones no-GAAP del analista; la definición de FCF del 20-F resta además los intangibles.</t>
  </si>
  <si>
    <t>L6 — Doble cotización: la paridad Euronext × FX vs Nasdaq cerró en +0.45% el 2026-08-13 (B10); el check 54 tolera hasta 2% por horarios de cierre.</t>
  </si>
  <si>
    <t>8. ANCLAS DE EXTRACCIÓN INDEPENDIENTE — constantes tecleadas del PDF del 20-F FY2025 (asml-20251231.pdf, Notas 4 y 16), NO fórmulas contra BS_Hist. Los checks 56-57 amarran el balance del modelo contra estas anclas: camino de extracción distinto (PDF/pdftotext vs R-files del build de Ola 2).</t>
  </si>
  <si>
    <t>Efectivo y equivalentes al 2025-12-31 (Nota 4)</t>
  </si>
  <si>
    <t>20-F FY2025 (accn 0001628280-26-011378), Nota 4: depósitos 5,558.5 + money market funds 6,222.2 + bancos 1,135.3</t>
  </si>
  <si>
    <t>Ancla del check 56</t>
  </si>
  <si>
    <t>Inversiones de corto plazo al 2025-12-31 (Nota 4)</t>
  </si>
  <si>
    <t>20-F FY2025, Nota 4</t>
  </si>
  <si>
    <t>Porción corriente de deuda LP al 2025-12-31 (Nota 16)</t>
  </si>
  <si>
    <t>20-F FY2025, Nota 16</t>
  </si>
  <si>
    <t>Ancla del check 57</t>
  </si>
  <si>
    <t>Deuda LP no corriente al 2025-12-31 (Nota 16)</t>
  </si>
  <si>
    <t>Papel comercial (ECP) carrying al 2025-12-31 (Nota 16)</t>
  </si>
  <si>
    <t>Memo vintage dual — efectivo al 2024-12-31 (Nota 4)</t>
  </si>
  <si>
    <t>20-F FY2025, Nota 4, columna 2024</t>
  </si>
  <si>
    <t>Ancla FY2024 del check 56 contra BS_Hist!C6</t>
  </si>
  <si>
    <t>Estas anclas replican cifras del mismo 20-F por un camino de extracción distinto: cazan corrupciones de BS_Hist (clase de defecto probada en el audit de flota), no re-verifican el filing en sí. La verificación contra el filing es el muestreo del refutador.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</si>
  <si>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</si>
  <si>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</si>
  <si>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</si>
  <si>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</si>
  <si>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</si>
  <si>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</si>
  <si>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</si>
  <si>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E8; Gate_9of10: 4 cells written, at E5, E10, E11, E12.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</si>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</sst>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[RED]\(#,##0.0\);\-"/>
    <numFmt numFmtId="166" formatCode="0.0%"/>
    <numFmt numFmtId="167" formatCode="0.0000"/>
    <numFmt numFmtId="168" formatCode="0.0\x"/>
    <numFmt numFmtId="169" formatCode="\$#,##0.00"/>
    <numFmt numFmtId="170" formatCode="0.000\x"/>
    <numFmt numFmtId="171" formatCode="yyyy\-mm\-dd hh:mm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 val="0"/>
      <i val="0"/>
      <strike val="0"/>
      <sz val="10"/>
      <name val="Arial"/>
      <family val="0"/>
    </font>
    <font>
      <b/>
      <i val="0"/>
      <strike val="0"/>
      <sz val="10"/>
      <color rgb="FFFFFFFF"/>
      <name val="Aptos"/>
      <family val="0"/>
    </font>
    <font>
      <b val="0"/>
      <i/>
      <strike val="0"/>
      <sz val="10"/>
      <color rgb="FF595959"/>
      <name val="Aptos"/>
      <family val="0"/>
    </font>
    <font>
      <b val="0"/>
      <i val="0"/>
      <strike val="0"/>
      <sz val="10"/>
      <name val="Aptos"/>
      <family val="0"/>
    </font>
    <font>
      <b/>
      <i val="0"/>
      <strike val="0"/>
      <sz val="10"/>
      <color rgb="FF17365D"/>
      <name val="Aptos"/>
      <family val="0"/>
    </font>
    <font>
      <b/>
      <i val="0"/>
      <strike val="0"/>
      <sz val="10"/>
      <color rgb="FF0000FF"/>
      <name val="Aptos"/>
      <family val="0"/>
    </font>
    <font>
      <b val="0"/>
      <i val="0"/>
      <strike val="0"/>
      <sz val="10"/>
      <color rgb="FF0000FF"/>
      <name val="Aptos"/>
      <family val="0"/>
    </font>
    <font>
      <b/>
      <i val="0"/>
      <strike val="0"/>
      <sz val="10"/>
      <color rgb="FF008000"/>
      <name val="Aptos"/>
      <family val="0"/>
    </font>
    <font>
      <b val="0"/>
      <i val="0"/>
      <strike val="0"/>
      <sz val="10"/>
      <color rgb="FF000000"/>
      <name val="Aptos"/>
      <family val="0"/>
    </font>
    <font>
      <b val="0"/>
      <i val="0"/>
      <strike val="0"/>
      <sz val="10"/>
      <color rgb="FF000000"/>
      <name val="Arial"/>
      <family val="2"/>
    </font>
    <font>
      <b/>
      <i val="0"/>
      <strike val="0"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AF3F8"/>
        <bgColor rgb="FFEAF3F8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3">
    <border/>
    <border diagonalUp="0" diagonalDown="0"/>
    <border diagonalUp="0" diagonalDown="0"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1" fillId="0" borderId="1">
      <alignment horizontal="general" vertical="bottom" textRotation="0" indent="0"/>
      <protection locked="1"/>
    </xf>
  </cellStyleXfs>
  <cellXfs count="40">
    <xf numFmtId="0" fontId="1" fillId="0" borderId="1" xfId="0" applyFont="1" applyBorder="1" applyAlignment="1" applyProtection="1">
      <alignment horizontal="general" vertical="bottom" textRotation="0" indent="0"/>
      <protection locked="1"/>
    </xf>
    <xf numFmtId="164" fontId="2" fillId="0" borderId="1" xfId="0" applyNumberFormat="1" applyFont="1" applyBorder="1" applyAlignment="1" applyProtection="1">
      <alignment horizontal="general" vertical="bottom" textRotation="0" indent="0" readingOrder="0"/>
      <protection locked="1"/>
    </xf>
    <xf numFmtId="164" fontId="3" fillId="2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4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5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3" fillId="3" borderId="2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5" fillId="4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5" fillId="5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5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5" fontId="5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6" fillId="6" borderId="2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6" fontId="5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4" fontId="7" fillId="0" borderId="1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6" fontId="8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6" fontId="9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7" fontId="8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7" fontId="9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8" fontId="8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8" fontId="9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9" fontId="8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9" fontId="9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70" fontId="5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5" fontId="3" fillId="3" borderId="2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7" fontId="5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9" fontId="5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6" fontId="3" fillId="3" borderId="2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9" fontId="5" fillId="7" borderId="2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10" fillId="8" borderId="2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10" fillId="8" borderId="1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3" fillId="3" borderId="2" xfId="0" applyNumberFormat="1" applyFont="1" applyFill="1" applyBorder="1" applyAlignment="1" applyProtection="1">
      <alignment horizontal="general" vertical="bottom" textRotation="0" wrapText="1" indent="0" readingOrder="0"/>
      <protection locked="1"/>
    </xf>
    <xf numFmtId="164" fontId="5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5" fontId="5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6" fontId="5" fillId="0" borderId="2" xfId="0" applyNumberFormat="1" applyFont="1" applyBorder="1" applyAlignment="1" applyProtection="1">
      <alignment horizontal="general" vertical="bottom" textRotation="0" wrapText="1" indent="0" readingOrder="0"/>
      <protection locked="1"/>
    </xf>
    <xf numFmtId="165" fontId="1" fillId="0" borderId="1" xfId="0" applyNumberFormat="1" applyFont="1" applyBorder="1" applyAlignment="1" applyProtection="1">
      <alignment horizontal="general" vertical="bottom" textRotation="0" indent="0"/>
      <protection locked="1"/>
    </xf>
    <xf numFmtId="166" fontId="0" fillId="0" borderId="0" xfId="0" applyNumberFormat="1"/>
    <xf numFmtId="165" fontId="0" fillId="0" borderId="0" xfId="0" applyNumberFormat="1"/>
    <xf numFmtId="169" fontId="0" fillId="0" borderId="0" xfId="0" applyNumberFormat="1"/>
    <xf numFmtId="0" fontId="11" fillId="0" borderId="1" xfId="0" applyFont="1" applyFill="1" applyBorder="1" applyAlignment="1" applyProtection="1">
      <alignment vertical="top" textRotation="0" indent="0"/>
      <protection locked="1" hidden="0"/>
    </xf>
    <xf numFmtId="0" fontId="12" fillId="0" borderId="1" xfId="0" applyFont="1" applyFill="1" applyBorder="1" applyProtection="1">
      <protection locked="1" hidden="0"/>
    </xf>
    <xf numFmtId="171" fontId="11" fillId="0" borderId="1" xfId="0" applyNumberFormat="1" applyFont="1" applyFill="1" applyBorder="1" applyAlignment="1" applyProtection="1">
      <alignment vertical="top" textRotation="0" indent="0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0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2" width="78" style="1" customWidth="1"/>
  </cols>
  <sheetData>
    <row r="1" hidden="0" outlineLevel="0" collapsed="0">
      <c r="A1" s="2" t="s">
        <v>0</v>
      </c>
      <c r="B1" s="2"/>
      <c r="C1" s="2"/>
      <c r="D1" s="2"/>
      <c r="E1" s="2"/>
      <c r="F1" s="2"/>
      <c r="G1" s="2"/>
      <c r="H1" s="2"/>
    </row>
    <row r="2" ht="34" hidden="0" outlineLevel="0" collapsed="0">
      <c r="A2" s="3" t="s">
        <v>1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29" t="s">
        <v>2</v>
      </c>
      <c r="B4" s="29" t="s">
        <v>3</v>
      </c>
      <c r="C4" s="4"/>
      <c r="D4" s="4"/>
      <c r="E4" s="4"/>
      <c r="F4" s="4"/>
      <c r="G4" s="4"/>
      <c r="H4" s="4"/>
    </row>
    <row r="5" hidden="0" outlineLevel="0" collapsed="0">
      <c r="A5" s="4" t="s">
        <v>4</v>
      </c>
      <c r="B5" s="4" t="s">
        <v>5</v>
      </c>
      <c r="C5" s="4"/>
      <c r="D5" s="4"/>
      <c r="E5" s="4"/>
      <c r="F5" s="4"/>
      <c r="G5" s="4"/>
      <c r="H5" s="4"/>
    </row>
    <row r="6" hidden="0" outlineLevel="0" collapsed="0">
      <c r="A6" s="4" t="s">
        <v>6</v>
      </c>
      <c r="B6" s="4" t="s">
        <v>7</v>
      </c>
      <c r="C6" s="4"/>
      <c r="D6" s="4"/>
      <c r="E6" s="4"/>
      <c r="F6" s="4"/>
      <c r="G6" s="4"/>
      <c r="H6" s="4"/>
    </row>
    <row r="7" hidden="0" outlineLevel="0" collapsed="0">
      <c r="A7" s="4" t="s">
        <v>8</v>
      </c>
      <c r="B7" s="4" t="s">
        <v>9</v>
      </c>
      <c r="C7" s="4"/>
      <c r="D7" s="4"/>
      <c r="E7" s="4"/>
      <c r="F7" s="4"/>
      <c r="G7" s="4"/>
      <c r="H7" s="4"/>
    </row>
    <row r="8" hidden="0" outlineLevel="0" collapsed="0">
      <c r="A8" s="4" t="s">
        <v>10</v>
      </c>
      <c r="B8" s="4" t="s">
        <v>11</v>
      </c>
      <c r="C8" s="4"/>
      <c r="D8" s="4"/>
      <c r="E8" s="4"/>
      <c r="F8" s="4"/>
      <c r="G8" s="4"/>
      <c r="H8" s="4"/>
    </row>
    <row r="9" hidden="0" outlineLevel="0" collapsed="0">
      <c r="A9" s="4" t="s">
        <v>12</v>
      </c>
      <c r="B9" s="4" t="s">
        <v>13</v>
      </c>
      <c r="C9" s="4"/>
      <c r="D9" s="4"/>
      <c r="E9" s="4"/>
      <c r="F9" s="4"/>
      <c r="G9" s="4"/>
      <c r="H9" s="4"/>
    </row>
    <row r="10" hidden="0" outlineLevel="0" collapsed="0">
      <c r="A10" s="4" t="s">
        <v>14</v>
      </c>
      <c r="B10" s="4" t="s">
        <v>15</v>
      </c>
      <c r="C10" s="4"/>
      <c r="D10" s="4"/>
      <c r="E10" s="4"/>
      <c r="F10" s="4"/>
      <c r="G10" s="4"/>
      <c r="H10" s="4"/>
    </row>
    <row r="11" hidden="0" outlineLevel="0" collapsed="0">
      <c r="A11" s="4" t="s">
        <v>16</v>
      </c>
      <c r="B11" s="4" t="s">
        <v>17</v>
      </c>
      <c r="C11" s="4"/>
      <c r="D11" s="4"/>
      <c r="E11" s="4"/>
      <c r="F11" s="4"/>
      <c r="G11" s="4"/>
      <c r="H11" s="4"/>
    </row>
    <row r="12" hidden="0" outlineLevel="0" collapsed="0">
      <c r="A12" s="4" t="s">
        <v>18</v>
      </c>
      <c r="B12" s="4" t="s">
        <v>19</v>
      </c>
      <c r="C12" s="4"/>
      <c r="D12" s="4"/>
      <c r="E12" s="4"/>
      <c r="F12" s="4"/>
      <c r="G12" s="4"/>
      <c r="H12" s="4"/>
    </row>
    <row r="13" hidden="0" outlineLevel="0" collapsed="0">
      <c r="A13" s="4" t="s">
        <v>20</v>
      </c>
      <c r="B13" s="4" t="s">
        <v>21</v>
      </c>
      <c r="C13" s="4"/>
      <c r="D13" s="4"/>
      <c r="E13" s="4"/>
      <c r="F13" s="4"/>
      <c r="G13" s="4"/>
      <c r="H13" s="4"/>
    </row>
    <row r="14" hidden="0" outlineLevel="0" collapsed="0">
      <c r="A14" s="6" t="s">
        <v>22</v>
      </c>
      <c r="B14" s="6" t="s">
        <v>23</v>
      </c>
      <c r="C14" s="4"/>
      <c r="D14" s="4"/>
      <c r="E14" s="4"/>
      <c r="F14" s="4"/>
      <c r="G14" s="4"/>
      <c r="H14" s="4"/>
    </row>
    <row r="15" hidden="0" outlineLevel="0" collapsed="0">
      <c r="A15" s="4"/>
      <c r="B15" s="4"/>
      <c r="C15" s="4"/>
      <c r="D15" s="4"/>
      <c r="E15" s="4"/>
      <c r="F15" s="4"/>
      <c r="G15" s="4"/>
      <c r="H15" s="4"/>
    </row>
    <row r="16" hidden="0" outlineLevel="0" collapsed="0">
      <c r="A16" s="7" t="s">
        <v>24</v>
      </c>
      <c r="B16" s="7"/>
      <c r="C16" s="7"/>
      <c r="D16" s="7"/>
      <c r="E16" s="7"/>
      <c r="F16" s="7"/>
      <c r="G16" s="7"/>
      <c r="H16" s="7"/>
    </row>
    <row r="17" hidden="0" outlineLevel="0" collapsed="0">
      <c r="A17" s="7"/>
      <c r="B17" s="7"/>
      <c r="C17" s="7"/>
      <c r="D17" s="7"/>
      <c r="E17" s="7"/>
      <c r="F17" s="7"/>
      <c r="G17" s="7"/>
      <c r="H17" s="7"/>
    </row>
    <row r="18" hidden="0" outlineLevel="0" collapsed="0">
      <c r="A18" s="7"/>
      <c r="B18" s="7"/>
      <c r="C18" s="7"/>
      <c r="D18" s="7"/>
      <c r="E18" s="7"/>
      <c r="F18" s="7"/>
      <c r="G18" s="7"/>
      <c r="H18" s="7"/>
    </row>
    <row r="19" hidden="0" outlineLevel="0" collapsed="0">
      <c r="A19" s="4"/>
      <c r="B19" s="4"/>
      <c r="C19" s="4"/>
      <c r="D19" s="4"/>
      <c r="E19" s="4"/>
      <c r="F19" s="4"/>
      <c r="G19" s="4"/>
      <c r="H19" s="4"/>
    </row>
    <row r="20" hidden="0" outlineLevel="0" collapsed="0">
      <c r="A20" s="4"/>
      <c r="B20" s="4"/>
      <c r="C20" s="4"/>
      <c r="D20" s="4"/>
      <c r="E20" s="4"/>
      <c r="F20" s="4"/>
      <c r="G20" s="4"/>
      <c r="H20" s="4"/>
    </row>
  </sheetData>
  <mergeCells count="3">
    <mergeCell ref="A1:H1"/>
    <mergeCell ref="A2:H2"/>
    <mergeCell ref="A16:H18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R99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7" style="1" customWidth="1"/>
    <col min="2" max="2" width="34" style="1" customWidth="1"/>
    <col min="3" max="3" width="30" style="1" customWidth="1"/>
    <col min="4" max="4" width="14" style="1" customWidth="1"/>
    <col min="5" max="6" width="18" style="1" customWidth="1"/>
    <col min="7" max="8" width="32" style="1" customWidth="1"/>
    <col min="9" max="9" width="14" style="1" customWidth="1"/>
    <col min="10" max="10" width="16" style="1" customWidth="1"/>
    <col min="11" max="12" width="20" style="1" customWidth="1"/>
    <col min="13" max="13" width="35" style="1" customWidth="1"/>
    <col min="14" max="14" width="55" style="1" customWidth="1"/>
    <col min="15" max="15" width="16" style="1" customWidth="1"/>
    <col min="16" max="16" width="24" style="1" customWidth="1"/>
    <col min="17" max="17" width="16" style="1" customWidth="1"/>
    <col min="18" max="18" width="30" style="1" customWidth="1"/>
  </cols>
  <sheetData>
    <row r="1" hidden="0" outlineLevel="0" collapsed="0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4" hidden="0" outlineLevel="0" collapsed="0">
      <c r="A2" s="3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idden="0" outlineLevel="0" collapsed="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idden="0" outlineLevel="0" collapsed="0">
      <c r="A4" s="29" t="s">
        <v>27</v>
      </c>
      <c r="B4" s="29" t="s">
        <v>28</v>
      </c>
      <c r="C4" s="29" t="s">
        <v>29</v>
      </c>
      <c r="D4" s="29" t="s">
        <v>30</v>
      </c>
      <c r="E4" s="29" t="s">
        <v>31</v>
      </c>
      <c r="F4" s="29" t="s">
        <v>32</v>
      </c>
      <c r="G4" s="29" t="s">
        <v>33</v>
      </c>
      <c r="H4" s="29" t="s">
        <v>34</v>
      </c>
      <c r="I4" s="29" t="s">
        <v>35</v>
      </c>
      <c r="J4" s="29" t="s">
        <v>36</v>
      </c>
      <c r="K4" s="29" t="s">
        <v>37</v>
      </c>
      <c r="L4" s="29" t="s">
        <v>38</v>
      </c>
      <c r="M4" s="29" t="s">
        <v>39</v>
      </c>
      <c r="N4" s="29" t="s">
        <v>40</v>
      </c>
      <c r="O4" s="29" t="s">
        <v>41</v>
      </c>
      <c r="P4" s="29" t="s">
        <v>42</v>
      </c>
      <c r="Q4" s="29" t="s">
        <v>43</v>
      </c>
      <c r="R4" s="29" t="s">
        <v>44</v>
      </c>
    </row>
    <row r="5" ht="41.75" hidden="0" outlineLevel="0" collapsed="0">
      <c r="A5" s="30" t="s">
        <v>45</v>
      </c>
      <c r="B5" s="30" t="s">
        <v>46</v>
      </c>
      <c r="C5" s="30" t="s">
        <v>47</v>
      </c>
      <c r="D5" s="31">
        <v>18611</v>
      </c>
      <c r="E5" s="30" t="s">
        <v>48</v>
      </c>
      <c r="F5" s="30" t="s">
        <v>49</v>
      </c>
      <c r="G5" s="30" t="s">
        <v>50</v>
      </c>
      <c r="H5" s="30" t="s">
        <v>51</v>
      </c>
      <c r="I5" s="30" t="s">
        <v>52</v>
      </c>
      <c r="J5" s="30" t="s">
        <v>53</v>
      </c>
      <c r="K5" s="30" t="s">
        <v>54</v>
      </c>
      <c r="L5" s="30" t="s">
        <v>55</v>
      </c>
      <c r="M5" s="30" t="s">
        <v>56</v>
      </c>
      <c r="N5" s="30" t="s">
        <v>57</v>
      </c>
      <c r="O5" s="30" t="s">
        <v>58</v>
      </c>
      <c r="P5" s="30" t="s">
        <v>59</v>
      </c>
      <c r="Q5" s="30" t="s">
        <v>60</v>
      </c>
      <c r="R5" s="30" t="s">
        <v>61</v>
      </c>
    </row>
    <row r="6" ht="41.75" hidden="0" outlineLevel="0" collapsed="0">
      <c r="A6" s="30" t="s">
        <v>62</v>
      </c>
      <c r="B6" s="30" t="s">
        <v>46</v>
      </c>
      <c r="C6" s="30" t="s">
        <v>47</v>
      </c>
      <c r="D6" s="31">
        <v>21173.4</v>
      </c>
      <c r="E6" s="30" t="s">
        <v>48</v>
      </c>
      <c r="F6" s="30" t="s">
        <v>63</v>
      </c>
      <c r="G6" s="30" t="s">
        <v>50</v>
      </c>
      <c r="H6" s="30" t="s">
        <v>51</v>
      </c>
      <c r="I6" s="30" t="s">
        <v>52</v>
      </c>
      <c r="J6" s="30" t="s">
        <v>64</v>
      </c>
      <c r="K6" s="30" t="s">
        <v>65</v>
      </c>
      <c r="L6" s="30" t="s">
        <v>66</v>
      </c>
      <c r="M6" s="30" t="s">
        <v>56</v>
      </c>
      <c r="N6" s="30" t="s">
        <v>67</v>
      </c>
      <c r="O6" s="30" t="s">
        <v>58</v>
      </c>
      <c r="P6" s="30" t="s">
        <v>59</v>
      </c>
      <c r="Q6" s="30" t="s">
        <v>60</v>
      </c>
      <c r="R6" s="30" t="s">
        <v>61</v>
      </c>
    </row>
    <row r="7" ht="41.75" hidden="0" outlineLevel="0" collapsed="0">
      <c r="A7" s="30" t="s">
        <v>68</v>
      </c>
      <c r="B7" s="30" t="s">
        <v>46</v>
      </c>
      <c r="C7" s="30" t="s">
        <v>47</v>
      </c>
      <c r="D7" s="31">
        <v>27558.5</v>
      </c>
      <c r="E7" s="30" t="s">
        <v>48</v>
      </c>
      <c r="F7" s="30" t="s">
        <v>69</v>
      </c>
      <c r="G7" s="30" t="s">
        <v>50</v>
      </c>
      <c r="H7" s="30" t="s">
        <v>51</v>
      </c>
      <c r="I7" s="30" t="s">
        <v>52</v>
      </c>
      <c r="J7" s="30" t="s">
        <v>70</v>
      </c>
      <c r="K7" s="30" t="s">
        <v>71</v>
      </c>
      <c r="L7" s="30" t="s">
        <v>72</v>
      </c>
      <c r="M7" s="30" t="s">
        <v>56</v>
      </c>
      <c r="N7" s="30" t="s">
        <v>73</v>
      </c>
      <c r="O7" s="30" t="s">
        <v>58</v>
      </c>
      <c r="P7" s="30" t="s">
        <v>59</v>
      </c>
      <c r="Q7" s="30" t="s">
        <v>60</v>
      </c>
      <c r="R7" s="30" t="s">
        <v>61</v>
      </c>
    </row>
    <row r="8" ht="41.75" hidden="0" outlineLevel="0" collapsed="0">
      <c r="A8" s="30" t="s">
        <v>74</v>
      </c>
      <c r="B8" s="30" t="s">
        <v>46</v>
      </c>
      <c r="C8" s="30" t="s">
        <v>47</v>
      </c>
      <c r="D8" s="31">
        <v>28262.9</v>
      </c>
      <c r="E8" s="30" t="s">
        <v>48</v>
      </c>
      <c r="F8" s="30" t="s">
        <v>75</v>
      </c>
      <c r="G8" s="30" t="s">
        <v>50</v>
      </c>
      <c r="H8" s="30" t="s">
        <v>51</v>
      </c>
      <c r="I8" s="30" t="s">
        <v>52</v>
      </c>
      <c r="J8" s="30" t="s">
        <v>70</v>
      </c>
      <c r="K8" s="30" t="s">
        <v>71</v>
      </c>
      <c r="L8" s="30" t="s">
        <v>76</v>
      </c>
      <c r="M8" s="30" t="s">
        <v>56</v>
      </c>
      <c r="N8" s="30" t="s">
        <v>73</v>
      </c>
      <c r="O8" s="30" t="s">
        <v>58</v>
      </c>
      <c r="P8" s="30" t="s">
        <v>59</v>
      </c>
      <c r="Q8" s="30" t="s">
        <v>60</v>
      </c>
      <c r="R8" s="30" t="s">
        <v>61</v>
      </c>
    </row>
    <row r="9" ht="41.75" hidden="0" outlineLevel="0" collapsed="0">
      <c r="A9" s="30" t="s">
        <v>77</v>
      </c>
      <c r="B9" s="30" t="s">
        <v>46</v>
      </c>
      <c r="C9" s="30" t="s">
        <v>47</v>
      </c>
      <c r="D9" s="31">
        <v>32667.3</v>
      </c>
      <c r="E9" s="30" t="s">
        <v>48</v>
      </c>
      <c r="F9" s="30" t="s">
        <v>78</v>
      </c>
      <c r="G9" s="30" t="s">
        <v>50</v>
      </c>
      <c r="H9" s="30" t="s">
        <v>51</v>
      </c>
      <c r="I9" s="30" t="s">
        <v>52</v>
      </c>
      <c r="J9" s="30" t="s">
        <v>70</v>
      </c>
      <c r="K9" s="30" t="s">
        <v>71</v>
      </c>
      <c r="L9" s="30" t="s">
        <v>79</v>
      </c>
      <c r="M9" s="30" t="s">
        <v>56</v>
      </c>
      <c r="N9" s="30" t="s">
        <v>73</v>
      </c>
      <c r="O9" s="30" t="s">
        <v>58</v>
      </c>
      <c r="P9" s="30" t="s">
        <v>59</v>
      </c>
      <c r="Q9" s="30" t="s">
        <v>60</v>
      </c>
      <c r="R9" s="30" t="s">
        <v>61</v>
      </c>
    </row>
    <row r="10" ht="28.35" hidden="0" outlineLevel="0" collapsed="0">
      <c r="A10" s="30" t="s">
        <v>80</v>
      </c>
      <c r="B10" s="30" t="s">
        <v>46</v>
      </c>
      <c r="C10" s="30" t="s">
        <v>81</v>
      </c>
      <c r="D10" s="31">
        <v>9809</v>
      </c>
      <c r="E10" s="30" t="s">
        <v>48</v>
      </c>
      <c r="F10" s="30" t="s">
        <v>49</v>
      </c>
      <c r="G10" s="30" t="s">
        <v>50</v>
      </c>
      <c r="H10" s="30" t="s">
        <v>82</v>
      </c>
      <c r="I10" s="30" t="s">
        <v>52</v>
      </c>
      <c r="J10" s="30" t="s">
        <v>53</v>
      </c>
      <c r="K10" s="30" t="s">
        <v>54</v>
      </c>
      <c r="L10" s="30" t="s">
        <v>83</v>
      </c>
      <c r="M10" s="30" t="s">
        <v>56</v>
      </c>
      <c r="N10" s="30" t="s">
        <v>57</v>
      </c>
      <c r="O10" s="30" t="s">
        <v>58</v>
      </c>
      <c r="P10" s="30" t="s">
        <v>59</v>
      </c>
      <c r="Q10" s="30" t="s">
        <v>60</v>
      </c>
      <c r="R10" s="30" t="s">
        <v>61</v>
      </c>
    </row>
    <row r="11" ht="28.35" hidden="0" outlineLevel="0" collapsed="0">
      <c r="A11" s="30" t="s">
        <v>84</v>
      </c>
      <c r="B11" s="30" t="s">
        <v>46</v>
      </c>
      <c r="C11" s="30" t="s">
        <v>81</v>
      </c>
      <c r="D11" s="31">
        <v>10700.1</v>
      </c>
      <c r="E11" s="30" t="s">
        <v>48</v>
      </c>
      <c r="F11" s="30" t="s">
        <v>63</v>
      </c>
      <c r="G11" s="30" t="s">
        <v>50</v>
      </c>
      <c r="H11" s="30" t="s">
        <v>82</v>
      </c>
      <c r="I11" s="30" t="s">
        <v>52</v>
      </c>
      <c r="J11" s="30" t="s">
        <v>64</v>
      </c>
      <c r="K11" s="30" t="s">
        <v>65</v>
      </c>
      <c r="L11" s="30" t="s">
        <v>85</v>
      </c>
      <c r="M11" s="30" t="s">
        <v>56</v>
      </c>
      <c r="N11" s="30" t="s">
        <v>67</v>
      </c>
      <c r="O11" s="30" t="s">
        <v>58</v>
      </c>
      <c r="P11" s="30" t="s">
        <v>59</v>
      </c>
      <c r="Q11" s="30" t="s">
        <v>60</v>
      </c>
      <c r="R11" s="30" t="s">
        <v>61</v>
      </c>
    </row>
    <row r="12" ht="28.35" hidden="0" outlineLevel="0" collapsed="0">
      <c r="A12" s="30" t="s">
        <v>86</v>
      </c>
      <c r="B12" s="30" t="s">
        <v>46</v>
      </c>
      <c r="C12" s="30" t="s">
        <v>81</v>
      </c>
      <c r="D12" s="31">
        <v>14136.1</v>
      </c>
      <c r="E12" s="30" t="s">
        <v>48</v>
      </c>
      <c r="F12" s="30" t="s">
        <v>69</v>
      </c>
      <c r="G12" s="30" t="s">
        <v>50</v>
      </c>
      <c r="H12" s="30" t="s">
        <v>82</v>
      </c>
      <c r="I12" s="30" t="s">
        <v>52</v>
      </c>
      <c r="J12" s="30" t="s">
        <v>70</v>
      </c>
      <c r="K12" s="30" t="s">
        <v>71</v>
      </c>
      <c r="L12" s="30" t="s">
        <v>87</v>
      </c>
      <c r="M12" s="30" t="s">
        <v>56</v>
      </c>
      <c r="N12" s="30" t="s">
        <v>73</v>
      </c>
      <c r="O12" s="30" t="s">
        <v>58</v>
      </c>
      <c r="P12" s="30" t="s">
        <v>59</v>
      </c>
      <c r="Q12" s="30" t="s">
        <v>60</v>
      </c>
      <c r="R12" s="30" t="s">
        <v>61</v>
      </c>
    </row>
    <row r="13" ht="28.35" hidden="0" outlineLevel="0" collapsed="0">
      <c r="A13" s="30" t="s">
        <v>88</v>
      </c>
      <c r="B13" s="30" t="s">
        <v>46</v>
      </c>
      <c r="C13" s="30" t="s">
        <v>81</v>
      </c>
      <c r="D13" s="31">
        <v>14492</v>
      </c>
      <c r="E13" s="30" t="s">
        <v>48</v>
      </c>
      <c r="F13" s="30" t="s">
        <v>75</v>
      </c>
      <c r="G13" s="30" t="s">
        <v>50</v>
      </c>
      <c r="H13" s="30" t="s">
        <v>82</v>
      </c>
      <c r="I13" s="30" t="s">
        <v>52</v>
      </c>
      <c r="J13" s="30" t="s">
        <v>70</v>
      </c>
      <c r="K13" s="30" t="s">
        <v>71</v>
      </c>
      <c r="L13" s="30" t="s">
        <v>89</v>
      </c>
      <c r="M13" s="30" t="s">
        <v>56</v>
      </c>
      <c r="N13" s="30" t="s">
        <v>73</v>
      </c>
      <c r="O13" s="30" t="s">
        <v>58</v>
      </c>
      <c r="P13" s="30" t="s">
        <v>59</v>
      </c>
      <c r="Q13" s="30" t="s">
        <v>60</v>
      </c>
      <c r="R13" s="30" t="s">
        <v>61</v>
      </c>
    </row>
    <row r="14" ht="28.35" hidden="0" outlineLevel="0" collapsed="0">
      <c r="A14" s="30" t="s">
        <v>90</v>
      </c>
      <c r="B14" s="30" t="s">
        <v>46</v>
      </c>
      <c r="C14" s="30" t="s">
        <v>81</v>
      </c>
      <c r="D14" s="31">
        <v>17258</v>
      </c>
      <c r="E14" s="30" t="s">
        <v>48</v>
      </c>
      <c r="F14" s="30" t="s">
        <v>78</v>
      </c>
      <c r="G14" s="30" t="s">
        <v>50</v>
      </c>
      <c r="H14" s="30" t="s">
        <v>82</v>
      </c>
      <c r="I14" s="30" t="s">
        <v>52</v>
      </c>
      <c r="J14" s="30" t="s">
        <v>70</v>
      </c>
      <c r="K14" s="30" t="s">
        <v>71</v>
      </c>
      <c r="L14" s="30" t="s">
        <v>91</v>
      </c>
      <c r="M14" s="30" t="s">
        <v>56</v>
      </c>
      <c r="N14" s="30" t="s">
        <v>73</v>
      </c>
      <c r="O14" s="30" t="s">
        <v>58</v>
      </c>
      <c r="P14" s="30" t="s">
        <v>59</v>
      </c>
      <c r="Q14" s="30" t="s">
        <v>60</v>
      </c>
      <c r="R14" s="30" t="s">
        <v>61</v>
      </c>
    </row>
    <row r="15" ht="28.35" hidden="0" outlineLevel="0" collapsed="0">
      <c r="A15" s="30" t="s">
        <v>92</v>
      </c>
      <c r="B15" s="30" t="s">
        <v>46</v>
      </c>
      <c r="C15" s="30" t="s">
        <v>93</v>
      </c>
      <c r="D15" s="31">
        <v>6750.1</v>
      </c>
      <c r="E15" s="30" t="s">
        <v>48</v>
      </c>
      <c r="F15" s="30" t="s">
        <v>49</v>
      </c>
      <c r="G15" s="30" t="s">
        <v>50</v>
      </c>
      <c r="H15" s="30" t="s">
        <v>94</v>
      </c>
      <c r="I15" s="30" t="s">
        <v>52</v>
      </c>
      <c r="J15" s="30" t="s">
        <v>53</v>
      </c>
      <c r="K15" s="30" t="s">
        <v>54</v>
      </c>
      <c r="L15" s="30" t="s">
        <v>95</v>
      </c>
      <c r="M15" s="30" t="s">
        <v>56</v>
      </c>
      <c r="N15" s="30" t="s">
        <v>57</v>
      </c>
      <c r="O15" s="30" t="s">
        <v>58</v>
      </c>
      <c r="P15" s="30" t="s">
        <v>59</v>
      </c>
      <c r="Q15" s="30" t="s">
        <v>60</v>
      </c>
      <c r="R15" s="30" t="s">
        <v>61</v>
      </c>
    </row>
    <row r="16" ht="28.35" hidden="0" outlineLevel="0" collapsed="0">
      <c r="A16" s="30" t="s">
        <v>96</v>
      </c>
      <c r="B16" s="30" t="s">
        <v>46</v>
      </c>
      <c r="C16" s="30" t="s">
        <v>93</v>
      </c>
      <c r="D16" s="31">
        <v>6500.7</v>
      </c>
      <c r="E16" s="30" t="s">
        <v>48</v>
      </c>
      <c r="F16" s="30" t="s">
        <v>63</v>
      </c>
      <c r="G16" s="30" t="s">
        <v>50</v>
      </c>
      <c r="H16" s="30" t="s">
        <v>94</v>
      </c>
      <c r="I16" s="30" t="s">
        <v>52</v>
      </c>
      <c r="J16" s="30" t="s">
        <v>64</v>
      </c>
      <c r="K16" s="30" t="s">
        <v>65</v>
      </c>
      <c r="L16" s="30" t="s">
        <v>97</v>
      </c>
      <c r="M16" s="30" t="s">
        <v>56</v>
      </c>
      <c r="N16" s="30" t="s">
        <v>67</v>
      </c>
      <c r="O16" s="30" t="s">
        <v>58</v>
      </c>
      <c r="P16" s="30" t="s">
        <v>59</v>
      </c>
      <c r="Q16" s="30" t="s">
        <v>60</v>
      </c>
      <c r="R16" s="30" t="s">
        <v>61</v>
      </c>
    </row>
    <row r="17" ht="28.35" hidden="0" outlineLevel="0" collapsed="0">
      <c r="A17" s="30" t="s">
        <v>98</v>
      </c>
      <c r="B17" s="30" t="s">
        <v>46</v>
      </c>
      <c r="C17" s="30" t="s">
        <v>93</v>
      </c>
      <c r="D17" s="31">
        <v>9042.3</v>
      </c>
      <c r="E17" s="30" t="s">
        <v>48</v>
      </c>
      <c r="F17" s="30" t="s">
        <v>69</v>
      </c>
      <c r="G17" s="30" t="s">
        <v>50</v>
      </c>
      <c r="H17" s="30" t="s">
        <v>94</v>
      </c>
      <c r="I17" s="30" t="s">
        <v>52</v>
      </c>
      <c r="J17" s="30" t="s">
        <v>70</v>
      </c>
      <c r="K17" s="30" t="s">
        <v>71</v>
      </c>
      <c r="L17" s="30" t="s">
        <v>99</v>
      </c>
      <c r="M17" s="30" t="s">
        <v>56</v>
      </c>
      <c r="N17" s="30" t="s">
        <v>73</v>
      </c>
      <c r="O17" s="30" t="s">
        <v>58</v>
      </c>
      <c r="P17" s="30" t="s">
        <v>59</v>
      </c>
      <c r="Q17" s="30" t="s">
        <v>60</v>
      </c>
      <c r="R17" s="30" t="s">
        <v>61</v>
      </c>
    </row>
    <row r="18" ht="28.35" hidden="0" outlineLevel="0" collapsed="0">
      <c r="A18" s="30" t="s">
        <v>100</v>
      </c>
      <c r="B18" s="30" t="s">
        <v>46</v>
      </c>
      <c r="C18" s="30" t="s">
        <v>93</v>
      </c>
      <c r="D18" s="31">
        <v>9022.6</v>
      </c>
      <c r="E18" s="30" t="s">
        <v>48</v>
      </c>
      <c r="F18" s="30" t="s">
        <v>75</v>
      </c>
      <c r="G18" s="30" t="s">
        <v>50</v>
      </c>
      <c r="H18" s="30" t="s">
        <v>94</v>
      </c>
      <c r="I18" s="30" t="s">
        <v>52</v>
      </c>
      <c r="J18" s="30" t="s">
        <v>70</v>
      </c>
      <c r="K18" s="30" t="s">
        <v>71</v>
      </c>
      <c r="L18" s="30" t="s">
        <v>101</v>
      </c>
      <c r="M18" s="30" t="s">
        <v>56</v>
      </c>
      <c r="N18" s="30" t="s">
        <v>73</v>
      </c>
      <c r="O18" s="30" t="s">
        <v>58</v>
      </c>
      <c r="P18" s="30" t="s">
        <v>59</v>
      </c>
      <c r="Q18" s="30" t="s">
        <v>60</v>
      </c>
      <c r="R18" s="30" t="s">
        <v>61</v>
      </c>
    </row>
    <row r="19" ht="28.35" hidden="0" outlineLevel="0" collapsed="0">
      <c r="A19" s="30" t="s">
        <v>102</v>
      </c>
      <c r="B19" s="30" t="s">
        <v>46</v>
      </c>
      <c r="C19" s="30" t="s">
        <v>93</v>
      </c>
      <c r="D19" s="31">
        <v>11301.4</v>
      </c>
      <c r="E19" s="30" t="s">
        <v>48</v>
      </c>
      <c r="F19" s="30" t="s">
        <v>78</v>
      </c>
      <c r="G19" s="30" t="s">
        <v>50</v>
      </c>
      <c r="H19" s="30" t="s">
        <v>94</v>
      </c>
      <c r="I19" s="30" t="s">
        <v>52</v>
      </c>
      <c r="J19" s="30" t="s">
        <v>70</v>
      </c>
      <c r="K19" s="30" t="s">
        <v>71</v>
      </c>
      <c r="L19" s="30" t="s">
        <v>103</v>
      </c>
      <c r="M19" s="30" t="s">
        <v>56</v>
      </c>
      <c r="N19" s="30" t="s">
        <v>73</v>
      </c>
      <c r="O19" s="30" t="s">
        <v>58</v>
      </c>
      <c r="P19" s="30" t="s">
        <v>59</v>
      </c>
      <c r="Q19" s="30" t="s">
        <v>60</v>
      </c>
      <c r="R19" s="30" t="s">
        <v>61</v>
      </c>
    </row>
    <row r="20" ht="28.35" hidden="0" outlineLevel="0" collapsed="0">
      <c r="A20" s="30" t="s">
        <v>104</v>
      </c>
      <c r="B20" s="30" t="s">
        <v>46</v>
      </c>
      <c r="C20" s="30" t="s">
        <v>105</v>
      </c>
      <c r="D20" s="31">
        <v>5883.2</v>
      </c>
      <c r="E20" s="30" t="s">
        <v>48</v>
      </c>
      <c r="F20" s="30" t="s">
        <v>49</v>
      </c>
      <c r="G20" s="30" t="s">
        <v>50</v>
      </c>
      <c r="H20" s="30" t="s">
        <v>106</v>
      </c>
      <c r="I20" s="30" t="s">
        <v>52</v>
      </c>
      <c r="J20" s="30" t="s">
        <v>53</v>
      </c>
      <c r="K20" s="30" t="s">
        <v>54</v>
      </c>
      <c r="L20" s="30" t="s">
        <v>107</v>
      </c>
      <c r="M20" s="30" t="s">
        <v>56</v>
      </c>
      <c r="N20" s="30" t="s">
        <v>57</v>
      </c>
      <c r="O20" s="30" t="s">
        <v>58</v>
      </c>
      <c r="P20" s="30" t="s">
        <v>59</v>
      </c>
      <c r="Q20" s="30" t="s">
        <v>60</v>
      </c>
      <c r="R20" s="30" t="s">
        <v>61</v>
      </c>
    </row>
    <row r="21" ht="28.35" hidden="0" outlineLevel="0" collapsed="0">
      <c r="A21" s="30" t="s">
        <v>108</v>
      </c>
      <c r="B21" s="30" t="s">
        <v>46</v>
      </c>
      <c r="C21" s="30" t="s">
        <v>105</v>
      </c>
      <c r="D21" s="31">
        <v>5624.2</v>
      </c>
      <c r="E21" s="30" t="s">
        <v>48</v>
      </c>
      <c r="F21" s="30" t="s">
        <v>63</v>
      </c>
      <c r="G21" s="30" t="s">
        <v>50</v>
      </c>
      <c r="H21" s="30" t="s">
        <v>106</v>
      </c>
      <c r="I21" s="30" t="s">
        <v>52</v>
      </c>
      <c r="J21" s="30" t="s">
        <v>64</v>
      </c>
      <c r="K21" s="30" t="s">
        <v>65</v>
      </c>
      <c r="L21" s="30" t="s">
        <v>109</v>
      </c>
      <c r="M21" s="30" t="s">
        <v>56</v>
      </c>
      <c r="N21" s="30" t="s">
        <v>67</v>
      </c>
      <c r="O21" s="30" t="s">
        <v>58</v>
      </c>
      <c r="P21" s="30" t="s">
        <v>59</v>
      </c>
      <c r="Q21" s="30" t="s">
        <v>60</v>
      </c>
      <c r="R21" s="30" t="s">
        <v>61</v>
      </c>
    </row>
    <row r="22" ht="28.35" hidden="0" outlineLevel="0" collapsed="0">
      <c r="A22" s="30" t="s">
        <v>110</v>
      </c>
      <c r="B22" s="30" t="s">
        <v>46</v>
      </c>
      <c r="C22" s="30" t="s">
        <v>105</v>
      </c>
      <c r="D22" s="31">
        <v>7839</v>
      </c>
      <c r="E22" s="30" t="s">
        <v>48</v>
      </c>
      <c r="F22" s="30" t="s">
        <v>69</v>
      </c>
      <c r="G22" s="30" t="s">
        <v>50</v>
      </c>
      <c r="H22" s="30" t="s">
        <v>106</v>
      </c>
      <c r="I22" s="30" t="s">
        <v>52</v>
      </c>
      <c r="J22" s="30" t="s">
        <v>70</v>
      </c>
      <c r="K22" s="30" t="s">
        <v>71</v>
      </c>
      <c r="L22" s="30" t="s">
        <v>111</v>
      </c>
      <c r="M22" s="30" t="s">
        <v>56</v>
      </c>
      <c r="N22" s="30" t="s">
        <v>73</v>
      </c>
      <c r="O22" s="30" t="s">
        <v>58</v>
      </c>
      <c r="P22" s="30" t="s">
        <v>59</v>
      </c>
      <c r="Q22" s="30" t="s">
        <v>60</v>
      </c>
      <c r="R22" s="30" t="s">
        <v>61</v>
      </c>
    </row>
    <row r="23" ht="28.35" hidden="0" outlineLevel="0" collapsed="0">
      <c r="A23" s="30" t="s">
        <v>112</v>
      </c>
      <c r="B23" s="30" t="s">
        <v>46</v>
      </c>
      <c r="C23" s="30" t="s">
        <v>105</v>
      </c>
      <c r="D23" s="31">
        <v>7571.6</v>
      </c>
      <c r="E23" s="30" t="s">
        <v>48</v>
      </c>
      <c r="F23" s="30" t="s">
        <v>75</v>
      </c>
      <c r="G23" s="30" t="s">
        <v>50</v>
      </c>
      <c r="H23" s="30" t="s">
        <v>106</v>
      </c>
      <c r="I23" s="30" t="s">
        <v>52</v>
      </c>
      <c r="J23" s="30" t="s">
        <v>70</v>
      </c>
      <c r="K23" s="30" t="s">
        <v>71</v>
      </c>
      <c r="L23" s="30" t="s">
        <v>113</v>
      </c>
      <c r="M23" s="30" t="s">
        <v>56</v>
      </c>
      <c r="N23" s="30" t="s">
        <v>73</v>
      </c>
      <c r="O23" s="30" t="s">
        <v>58</v>
      </c>
      <c r="P23" s="30" t="s">
        <v>59</v>
      </c>
      <c r="Q23" s="30" t="s">
        <v>60</v>
      </c>
      <c r="R23" s="30" t="s">
        <v>61</v>
      </c>
    </row>
    <row r="24" ht="28.35" hidden="0" outlineLevel="0" collapsed="0">
      <c r="A24" s="30" t="s">
        <v>114</v>
      </c>
      <c r="B24" s="30" t="s">
        <v>46</v>
      </c>
      <c r="C24" s="30" t="s">
        <v>105</v>
      </c>
      <c r="D24" s="31">
        <v>9609.4</v>
      </c>
      <c r="E24" s="30" t="s">
        <v>48</v>
      </c>
      <c r="F24" s="30" t="s">
        <v>78</v>
      </c>
      <c r="G24" s="30" t="s">
        <v>50</v>
      </c>
      <c r="H24" s="30" t="s">
        <v>106</v>
      </c>
      <c r="I24" s="30" t="s">
        <v>52</v>
      </c>
      <c r="J24" s="30" t="s">
        <v>70</v>
      </c>
      <c r="K24" s="30" t="s">
        <v>71</v>
      </c>
      <c r="L24" s="30" t="s">
        <v>115</v>
      </c>
      <c r="M24" s="30" t="s">
        <v>56</v>
      </c>
      <c r="N24" s="30" t="s">
        <v>73</v>
      </c>
      <c r="O24" s="30" t="s">
        <v>58</v>
      </c>
      <c r="P24" s="30" t="s">
        <v>59</v>
      </c>
      <c r="Q24" s="30" t="s">
        <v>60</v>
      </c>
      <c r="R24" s="30" t="s">
        <v>61</v>
      </c>
    </row>
    <row r="25" ht="41.75" hidden="0" outlineLevel="0" collapsed="0">
      <c r="A25" s="30" t="s">
        <v>116</v>
      </c>
      <c r="B25" s="30" t="s">
        <v>46</v>
      </c>
      <c r="C25" s="30" t="s">
        <v>117</v>
      </c>
      <c r="D25" s="31">
        <v>10845.8</v>
      </c>
      <c r="E25" s="30" t="s">
        <v>48</v>
      </c>
      <c r="F25" s="30" t="s">
        <v>49</v>
      </c>
      <c r="G25" s="30" t="s">
        <v>50</v>
      </c>
      <c r="H25" s="30" t="s">
        <v>118</v>
      </c>
      <c r="I25" s="30" t="s">
        <v>52</v>
      </c>
      <c r="J25" s="30" t="s">
        <v>53</v>
      </c>
      <c r="K25" s="30" t="s">
        <v>54</v>
      </c>
      <c r="L25" s="30" t="s">
        <v>119</v>
      </c>
      <c r="M25" s="30" t="s">
        <v>56</v>
      </c>
      <c r="N25" s="30" t="s">
        <v>57</v>
      </c>
      <c r="O25" s="30" t="s">
        <v>58</v>
      </c>
      <c r="P25" s="30" t="s">
        <v>59</v>
      </c>
      <c r="Q25" s="30" t="s">
        <v>60</v>
      </c>
      <c r="R25" s="30" t="s">
        <v>61</v>
      </c>
    </row>
    <row r="26" ht="41.75" hidden="0" outlineLevel="0" collapsed="0">
      <c r="A26" s="30" t="s">
        <v>120</v>
      </c>
      <c r="B26" s="30" t="s">
        <v>46</v>
      </c>
      <c r="C26" s="30" t="s">
        <v>117</v>
      </c>
      <c r="D26" s="31">
        <v>8486.8</v>
      </c>
      <c r="E26" s="30" t="s">
        <v>48</v>
      </c>
      <c r="F26" s="30" t="s">
        <v>63</v>
      </c>
      <c r="G26" s="30" t="s">
        <v>50</v>
      </c>
      <c r="H26" s="30" t="s">
        <v>118</v>
      </c>
      <c r="I26" s="30" t="s">
        <v>52</v>
      </c>
      <c r="J26" s="30" t="s">
        <v>64</v>
      </c>
      <c r="K26" s="30" t="s">
        <v>65</v>
      </c>
      <c r="L26" s="30" t="s">
        <v>121</v>
      </c>
      <c r="M26" s="30" t="s">
        <v>56</v>
      </c>
      <c r="N26" s="30" t="s">
        <v>67</v>
      </c>
      <c r="O26" s="30" t="s">
        <v>58</v>
      </c>
      <c r="P26" s="30" t="s">
        <v>59</v>
      </c>
      <c r="Q26" s="30" t="s">
        <v>60</v>
      </c>
      <c r="R26" s="30" t="s">
        <v>61</v>
      </c>
    </row>
    <row r="27" ht="41.75" hidden="0" outlineLevel="0" collapsed="0">
      <c r="A27" s="30" t="s">
        <v>122</v>
      </c>
      <c r="B27" s="30" t="s">
        <v>46</v>
      </c>
      <c r="C27" s="30" t="s">
        <v>117</v>
      </c>
      <c r="D27" s="31">
        <v>5443.4</v>
      </c>
      <c r="E27" s="30" t="s">
        <v>48</v>
      </c>
      <c r="F27" s="30" t="s">
        <v>69</v>
      </c>
      <c r="G27" s="30" t="s">
        <v>50</v>
      </c>
      <c r="H27" s="30" t="s">
        <v>118</v>
      </c>
      <c r="I27" s="30" t="s">
        <v>52</v>
      </c>
      <c r="J27" s="30" t="s">
        <v>70</v>
      </c>
      <c r="K27" s="30" t="s">
        <v>71</v>
      </c>
      <c r="L27" s="30" t="s">
        <v>123</v>
      </c>
      <c r="M27" s="30" t="s">
        <v>56</v>
      </c>
      <c r="N27" s="30" t="s">
        <v>73</v>
      </c>
      <c r="O27" s="30" t="s">
        <v>58</v>
      </c>
      <c r="P27" s="30" t="s">
        <v>59</v>
      </c>
      <c r="Q27" s="30" t="s">
        <v>60</v>
      </c>
      <c r="R27" s="30" t="s">
        <v>61</v>
      </c>
    </row>
    <row r="28" ht="41.75" hidden="0" outlineLevel="0" collapsed="0">
      <c r="A28" s="30" t="s">
        <v>124</v>
      </c>
      <c r="B28" s="30" t="s">
        <v>46</v>
      </c>
      <c r="C28" s="30" t="s">
        <v>117</v>
      </c>
      <c r="D28" s="31">
        <v>11166.2</v>
      </c>
      <c r="E28" s="30" t="s">
        <v>48</v>
      </c>
      <c r="F28" s="30" t="s">
        <v>75</v>
      </c>
      <c r="G28" s="30" t="s">
        <v>50</v>
      </c>
      <c r="H28" s="30" t="s">
        <v>118</v>
      </c>
      <c r="I28" s="30" t="s">
        <v>52</v>
      </c>
      <c r="J28" s="30" t="s">
        <v>70</v>
      </c>
      <c r="K28" s="30" t="s">
        <v>71</v>
      </c>
      <c r="L28" s="30" t="s">
        <v>125</v>
      </c>
      <c r="M28" s="30" t="s">
        <v>56</v>
      </c>
      <c r="N28" s="30" t="s">
        <v>73</v>
      </c>
      <c r="O28" s="30" t="s">
        <v>58</v>
      </c>
      <c r="P28" s="30" t="s">
        <v>59</v>
      </c>
      <c r="Q28" s="30" t="s">
        <v>60</v>
      </c>
      <c r="R28" s="30" t="s">
        <v>61</v>
      </c>
    </row>
    <row r="29" ht="41.75" hidden="0" outlineLevel="0" collapsed="0">
      <c r="A29" s="30" t="s">
        <v>126</v>
      </c>
      <c r="B29" s="30" t="s">
        <v>46</v>
      </c>
      <c r="C29" s="30" t="s">
        <v>117</v>
      </c>
      <c r="D29" s="31">
        <v>12658.5</v>
      </c>
      <c r="E29" s="30" t="s">
        <v>48</v>
      </c>
      <c r="F29" s="30" t="s">
        <v>78</v>
      </c>
      <c r="G29" s="30" t="s">
        <v>50</v>
      </c>
      <c r="H29" s="30" t="s">
        <v>118</v>
      </c>
      <c r="I29" s="30" t="s">
        <v>52</v>
      </c>
      <c r="J29" s="30" t="s">
        <v>70</v>
      </c>
      <c r="K29" s="30" t="s">
        <v>71</v>
      </c>
      <c r="L29" s="30" t="s">
        <v>127</v>
      </c>
      <c r="M29" s="30" t="s">
        <v>56</v>
      </c>
      <c r="N29" s="30" t="s">
        <v>73</v>
      </c>
      <c r="O29" s="30" t="s">
        <v>58</v>
      </c>
      <c r="P29" s="30" t="s">
        <v>59</v>
      </c>
      <c r="Q29" s="30" t="s">
        <v>60</v>
      </c>
      <c r="R29" s="30" t="s">
        <v>61</v>
      </c>
    </row>
    <row r="30" ht="41.75" hidden="0" outlineLevel="0" collapsed="0">
      <c r="A30" s="30" t="s">
        <v>128</v>
      </c>
      <c r="B30" s="30" t="s">
        <v>46</v>
      </c>
      <c r="C30" s="30" t="s">
        <v>129</v>
      </c>
      <c r="D30" s="31">
        <v>900.7</v>
      </c>
      <c r="E30" s="30" t="s">
        <v>48</v>
      </c>
      <c r="F30" s="30" t="s">
        <v>49</v>
      </c>
      <c r="G30" s="30" t="s">
        <v>50</v>
      </c>
      <c r="H30" s="30" t="s">
        <v>130</v>
      </c>
      <c r="I30" s="30" t="s">
        <v>52</v>
      </c>
      <c r="J30" s="30" t="s">
        <v>53</v>
      </c>
      <c r="K30" s="30" t="s">
        <v>54</v>
      </c>
      <c r="L30" s="30" t="s">
        <v>131</v>
      </c>
      <c r="M30" s="30" t="s">
        <v>56</v>
      </c>
      <c r="N30" s="30" t="s">
        <v>57</v>
      </c>
      <c r="O30" s="30" t="s">
        <v>58</v>
      </c>
      <c r="P30" s="30" t="s">
        <v>59</v>
      </c>
      <c r="Q30" s="30" t="s">
        <v>60</v>
      </c>
      <c r="R30" s="30" t="s">
        <v>61</v>
      </c>
    </row>
    <row r="31" ht="41.75" hidden="0" outlineLevel="0" collapsed="0">
      <c r="A31" s="30" t="s">
        <v>132</v>
      </c>
      <c r="B31" s="30" t="s">
        <v>46</v>
      </c>
      <c r="C31" s="30" t="s">
        <v>129</v>
      </c>
      <c r="D31" s="31">
        <v>1281.8</v>
      </c>
      <c r="E31" s="30" t="s">
        <v>48</v>
      </c>
      <c r="F31" s="30" t="s">
        <v>63</v>
      </c>
      <c r="G31" s="30" t="s">
        <v>50</v>
      </c>
      <c r="H31" s="30" t="s">
        <v>130</v>
      </c>
      <c r="I31" s="30" t="s">
        <v>52</v>
      </c>
      <c r="J31" s="30" t="s">
        <v>64</v>
      </c>
      <c r="K31" s="30" t="s">
        <v>65</v>
      </c>
      <c r="L31" s="30" t="s">
        <v>133</v>
      </c>
      <c r="M31" s="30" t="s">
        <v>56</v>
      </c>
      <c r="N31" s="30" t="s">
        <v>67</v>
      </c>
      <c r="O31" s="30" t="s">
        <v>58</v>
      </c>
      <c r="P31" s="30" t="s">
        <v>59</v>
      </c>
      <c r="Q31" s="30" t="s">
        <v>60</v>
      </c>
      <c r="R31" s="30" t="s">
        <v>61</v>
      </c>
    </row>
    <row r="32" ht="41.75" hidden="0" outlineLevel="0" collapsed="0">
      <c r="A32" s="30" t="s">
        <v>134</v>
      </c>
      <c r="B32" s="30" t="s">
        <v>46</v>
      </c>
      <c r="C32" s="30" t="s">
        <v>129</v>
      </c>
      <c r="D32" s="31">
        <v>2155.6</v>
      </c>
      <c r="E32" s="30" t="s">
        <v>48</v>
      </c>
      <c r="F32" s="30" t="s">
        <v>69</v>
      </c>
      <c r="G32" s="30" t="s">
        <v>50</v>
      </c>
      <c r="H32" s="30" t="s">
        <v>130</v>
      </c>
      <c r="I32" s="30" t="s">
        <v>52</v>
      </c>
      <c r="J32" s="30" t="s">
        <v>70</v>
      </c>
      <c r="K32" s="30" t="s">
        <v>71</v>
      </c>
      <c r="L32" s="30" t="s">
        <v>135</v>
      </c>
      <c r="M32" s="30" t="s">
        <v>56</v>
      </c>
      <c r="N32" s="30" t="s">
        <v>73</v>
      </c>
      <c r="O32" s="30" t="s">
        <v>58</v>
      </c>
      <c r="P32" s="30" t="s">
        <v>59</v>
      </c>
      <c r="Q32" s="30" t="s">
        <v>60</v>
      </c>
      <c r="R32" s="30" t="s">
        <v>61</v>
      </c>
    </row>
    <row r="33" ht="41.75" hidden="0" outlineLevel="0" collapsed="0">
      <c r="A33" s="30" t="s">
        <v>136</v>
      </c>
      <c r="B33" s="30" t="s">
        <v>46</v>
      </c>
      <c r="C33" s="30" t="s">
        <v>129</v>
      </c>
      <c r="D33" s="31">
        <v>2067.2</v>
      </c>
      <c r="E33" s="30" t="s">
        <v>48</v>
      </c>
      <c r="F33" s="30" t="s">
        <v>75</v>
      </c>
      <c r="G33" s="30" t="s">
        <v>50</v>
      </c>
      <c r="H33" s="30" t="s">
        <v>130</v>
      </c>
      <c r="I33" s="30" t="s">
        <v>52</v>
      </c>
      <c r="J33" s="30" t="s">
        <v>70</v>
      </c>
      <c r="K33" s="30" t="s">
        <v>71</v>
      </c>
      <c r="L33" s="30" t="s">
        <v>137</v>
      </c>
      <c r="M33" s="30" t="s">
        <v>56</v>
      </c>
      <c r="N33" s="30" t="s">
        <v>73</v>
      </c>
      <c r="O33" s="30" t="s">
        <v>58</v>
      </c>
      <c r="P33" s="30" t="s">
        <v>59</v>
      </c>
      <c r="Q33" s="30" t="s">
        <v>60</v>
      </c>
      <c r="R33" s="30" t="s">
        <v>61</v>
      </c>
    </row>
    <row r="34" ht="41.75" hidden="0" outlineLevel="0" collapsed="0">
      <c r="A34" s="30" t="s">
        <v>138</v>
      </c>
      <c r="B34" s="30" t="s">
        <v>46</v>
      </c>
      <c r="C34" s="30" t="s">
        <v>129</v>
      </c>
      <c r="D34" s="31">
        <v>1573.6</v>
      </c>
      <c r="E34" s="30" t="s">
        <v>48</v>
      </c>
      <c r="F34" s="30" t="s">
        <v>78</v>
      </c>
      <c r="G34" s="30" t="s">
        <v>50</v>
      </c>
      <c r="H34" s="30" t="s">
        <v>130</v>
      </c>
      <c r="I34" s="30" t="s">
        <v>52</v>
      </c>
      <c r="J34" s="30" t="s">
        <v>70</v>
      </c>
      <c r="K34" s="30" t="s">
        <v>71</v>
      </c>
      <c r="L34" s="30" t="s">
        <v>139</v>
      </c>
      <c r="M34" s="30" t="s">
        <v>56</v>
      </c>
      <c r="N34" s="30" t="s">
        <v>73</v>
      </c>
      <c r="O34" s="30" t="s">
        <v>58</v>
      </c>
      <c r="P34" s="30" t="s">
        <v>59</v>
      </c>
      <c r="Q34" s="30" t="s">
        <v>60</v>
      </c>
      <c r="R34" s="30" t="s">
        <v>61</v>
      </c>
    </row>
    <row r="35" ht="41.75" hidden="0" outlineLevel="0" collapsed="0">
      <c r="A35" s="30" t="s">
        <v>140</v>
      </c>
      <c r="B35" s="30" t="s">
        <v>46</v>
      </c>
      <c r="C35" s="30" t="s">
        <v>141</v>
      </c>
      <c r="D35" s="31">
        <v>2547</v>
      </c>
      <c r="E35" s="30" t="s">
        <v>48</v>
      </c>
      <c r="F35" s="30" t="s">
        <v>49</v>
      </c>
      <c r="G35" s="30" t="s">
        <v>50</v>
      </c>
      <c r="H35" s="30" t="s">
        <v>142</v>
      </c>
      <c r="I35" s="30" t="s">
        <v>52</v>
      </c>
      <c r="J35" s="30" t="s">
        <v>53</v>
      </c>
      <c r="K35" s="30" t="s">
        <v>54</v>
      </c>
      <c r="L35" s="30" t="s">
        <v>143</v>
      </c>
      <c r="M35" s="30" t="s">
        <v>56</v>
      </c>
      <c r="N35" s="30" t="s">
        <v>57</v>
      </c>
      <c r="O35" s="30" t="s">
        <v>58</v>
      </c>
      <c r="P35" s="30" t="s">
        <v>59</v>
      </c>
      <c r="Q35" s="30" t="s">
        <v>60</v>
      </c>
      <c r="R35" s="30" t="s">
        <v>61</v>
      </c>
    </row>
    <row r="36" ht="41.75" hidden="0" outlineLevel="0" collapsed="0">
      <c r="A36" s="30" t="s">
        <v>144</v>
      </c>
      <c r="B36" s="30" t="s">
        <v>46</v>
      </c>
      <c r="C36" s="30" t="s">
        <v>141</v>
      </c>
      <c r="D36" s="31">
        <v>3253.5</v>
      </c>
      <c r="E36" s="30" t="s">
        <v>48</v>
      </c>
      <c r="F36" s="30" t="s">
        <v>63</v>
      </c>
      <c r="G36" s="30" t="s">
        <v>50</v>
      </c>
      <c r="H36" s="30" t="s">
        <v>142</v>
      </c>
      <c r="I36" s="30" t="s">
        <v>52</v>
      </c>
      <c r="J36" s="30" t="s">
        <v>64</v>
      </c>
      <c r="K36" s="30" t="s">
        <v>65</v>
      </c>
      <c r="L36" s="30" t="s">
        <v>145</v>
      </c>
      <c r="M36" s="30" t="s">
        <v>56</v>
      </c>
      <c r="N36" s="30" t="s">
        <v>67</v>
      </c>
      <c r="O36" s="30" t="s">
        <v>58</v>
      </c>
      <c r="P36" s="30" t="s">
        <v>59</v>
      </c>
      <c r="Q36" s="30" t="s">
        <v>60</v>
      </c>
      <c r="R36" s="30" t="s">
        <v>61</v>
      </c>
    </row>
    <row r="37" ht="41.75" hidden="0" outlineLevel="0" collapsed="0">
      <c r="A37" s="30" t="s">
        <v>146</v>
      </c>
      <c r="B37" s="30" t="s">
        <v>46</v>
      </c>
      <c r="C37" s="30" t="s">
        <v>141</v>
      </c>
      <c r="D37" s="31">
        <v>3980.6</v>
      </c>
      <c r="E37" s="30" t="s">
        <v>48</v>
      </c>
      <c r="F37" s="30" t="s">
        <v>69</v>
      </c>
      <c r="G37" s="30" t="s">
        <v>50</v>
      </c>
      <c r="H37" s="30" t="s">
        <v>142</v>
      </c>
      <c r="I37" s="30" t="s">
        <v>52</v>
      </c>
      <c r="J37" s="30" t="s">
        <v>70</v>
      </c>
      <c r="K37" s="30" t="s">
        <v>71</v>
      </c>
      <c r="L37" s="30" t="s">
        <v>147</v>
      </c>
      <c r="M37" s="30" t="s">
        <v>56</v>
      </c>
      <c r="N37" s="30" t="s">
        <v>73</v>
      </c>
      <c r="O37" s="30" t="s">
        <v>58</v>
      </c>
      <c r="P37" s="30" t="s">
        <v>59</v>
      </c>
      <c r="Q37" s="30" t="s">
        <v>60</v>
      </c>
      <c r="R37" s="30" t="s">
        <v>61</v>
      </c>
    </row>
    <row r="38" ht="41.75" hidden="0" outlineLevel="0" collapsed="0">
      <c r="A38" s="30" t="s">
        <v>148</v>
      </c>
      <c r="B38" s="30" t="s">
        <v>46</v>
      </c>
      <c r="C38" s="30" t="s">
        <v>141</v>
      </c>
      <c r="D38" s="31">
        <v>4303.7</v>
      </c>
      <c r="E38" s="30" t="s">
        <v>48</v>
      </c>
      <c r="F38" s="30" t="s">
        <v>75</v>
      </c>
      <c r="G38" s="30" t="s">
        <v>50</v>
      </c>
      <c r="H38" s="30" t="s">
        <v>142</v>
      </c>
      <c r="I38" s="30" t="s">
        <v>52</v>
      </c>
      <c r="J38" s="30" t="s">
        <v>70</v>
      </c>
      <c r="K38" s="30" t="s">
        <v>71</v>
      </c>
      <c r="L38" s="30" t="s">
        <v>149</v>
      </c>
      <c r="M38" s="30" t="s">
        <v>56</v>
      </c>
      <c r="N38" s="30" t="s">
        <v>73</v>
      </c>
      <c r="O38" s="30" t="s">
        <v>58</v>
      </c>
      <c r="P38" s="30" t="s">
        <v>59</v>
      </c>
      <c r="Q38" s="30" t="s">
        <v>60</v>
      </c>
      <c r="R38" s="30" t="s">
        <v>61</v>
      </c>
    </row>
    <row r="39" ht="41.75" hidden="0" outlineLevel="0" collapsed="0">
      <c r="A39" s="30" t="s">
        <v>150</v>
      </c>
      <c r="B39" s="30" t="s">
        <v>46</v>
      </c>
      <c r="C39" s="30" t="s">
        <v>141</v>
      </c>
      <c r="D39" s="31">
        <v>4698.8</v>
      </c>
      <c r="E39" s="30" t="s">
        <v>48</v>
      </c>
      <c r="F39" s="30" t="s">
        <v>78</v>
      </c>
      <c r="G39" s="30" t="s">
        <v>50</v>
      </c>
      <c r="H39" s="30" t="s">
        <v>142</v>
      </c>
      <c r="I39" s="30" t="s">
        <v>52</v>
      </c>
      <c r="J39" s="30" t="s">
        <v>70</v>
      </c>
      <c r="K39" s="30" t="s">
        <v>71</v>
      </c>
      <c r="L39" s="30" t="s">
        <v>151</v>
      </c>
      <c r="M39" s="30" t="s">
        <v>56</v>
      </c>
      <c r="N39" s="30" t="s">
        <v>73</v>
      </c>
      <c r="O39" s="30" t="s">
        <v>58</v>
      </c>
      <c r="P39" s="30" t="s">
        <v>59</v>
      </c>
      <c r="Q39" s="30" t="s">
        <v>60</v>
      </c>
      <c r="R39" s="30" t="s">
        <v>61</v>
      </c>
    </row>
    <row r="40" ht="28.35" hidden="0" outlineLevel="0" collapsed="0">
      <c r="A40" s="30" t="s">
        <v>152</v>
      </c>
      <c r="B40" s="30" t="s">
        <v>46</v>
      </c>
      <c r="C40" s="30" t="s">
        <v>153</v>
      </c>
      <c r="D40" s="31">
        <v>30231</v>
      </c>
      <c r="E40" s="30" t="s">
        <v>48</v>
      </c>
      <c r="F40" s="30" t="s">
        <v>49</v>
      </c>
      <c r="G40" s="30" t="s">
        <v>50</v>
      </c>
      <c r="H40" s="30" t="s">
        <v>154</v>
      </c>
      <c r="I40" s="30" t="s">
        <v>52</v>
      </c>
      <c r="J40" s="30" t="s">
        <v>155</v>
      </c>
      <c r="K40" s="30" t="s">
        <v>156</v>
      </c>
      <c r="L40" s="30" t="s">
        <v>157</v>
      </c>
      <c r="M40" s="30" t="s">
        <v>56</v>
      </c>
      <c r="N40" s="30" t="s">
        <v>158</v>
      </c>
      <c r="O40" s="30" t="s">
        <v>58</v>
      </c>
      <c r="P40" s="30" t="s">
        <v>59</v>
      </c>
      <c r="Q40" s="30" t="s">
        <v>60</v>
      </c>
      <c r="R40" s="30" t="s">
        <v>61</v>
      </c>
    </row>
    <row r="41" ht="28.35" hidden="0" outlineLevel="0" collapsed="0">
      <c r="A41" s="30" t="s">
        <v>159</v>
      </c>
      <c r="B41" s="30" t="s">
        <v>46</v>
      </c>
      <c r="C41" s="30" t="s">
        <v>153</v>
      </c>
      <c r="D41" s="31">
        <v>36300.4</v>
      </c>
      <c r="E41" s="30" t="s">
        <v>48</v>
      </c>
      <c r="F41" s="30" t="s">
        <v>63</v>
      </c>
      <c r="G41" s="30" t="s">
        <v>50</v>
      </c>
      <c r="H41" s="30" t="s">
        <v>154</v>
      </c>
      <c r="I41" s="30" t="s">
        <v>52</v>
      </c>
      <c r="J41" s="30" t="s">
        <v>53</v>
      </c>
      <c r="K41" s="30" t="s">
        <v>54</v>
      </c>
      <c r="L41" s="30" t="s">
        <v>160</v>
      </c>
      <c r="M41" s="30" t="s">
        <v>56</v>
      </c>
      <c r="N41" s="30" t="s">
        <v>57</v>
      </c>
      <c r="O41" s="30" t="s">
        <v>58</v>
      </c>
      <c r="P41" s="30" t="s">
        <v>59</v>
      </c>
      <c r="Q41" s="30" t="s">
        <v>60</v>
      </c>
      <c r="R41" s="30" t="s">
        <v>61</v>
      </c>
    </row>
    <row r="42" ht="28.35" hidden="0" outlineLevel="0" collapsed="0">
      <c r="A42" s="30" t="s">
        <v>161</v>
      </c>
      <c r="B42" s="30" t="s">
        <v>46</v>
      </c>
      <c r="C42" s="30" t="s">
        <v>153</v>
      </c>
      <c r="D42" s="31">
        <v>39957.5</v>
      </c>
      <c r="E42" s="30" t="s">
        <v>48</v>
      </c>
      <c r="F42" s="30" t="s">
        <v>69</v>
      </c>
      <c r="G42" s="30" t="s">
        <v>50</v>
      </c>
      <c r="H42" s="30" t="s">
        <v>154</v>
      </c>
      <c r="I42" s="30" t="s">
        <v>52</v>
      </c>
      <c r="J42" s="30" t="s">
        <v>64</v>
      </c>
      <c r="K42" s="30" t="s">
        <v>65</v>
      </c>
      <c r="L42" s="30" t="s">
        <v>162</v>
      </c>
      <c r="M42" s="30" t="s">
        <v>56</v>
      </c>
      <c r="N42" s="30" t="s">
        <v>67</v>
      </c>
      <c r="O42" s="30" t="s">
        <v>58</v>
      </c>
      <c r="P42" s="30" t="s">
        <v>59</v>
      </c>
      <c r="Q42" s="30" t="s">
        <v>60</v>
      </c>
      <c r="R42" s="30" t="s">
        <v>61</v>
      </c>
    </row>
    <row r="43" ht="28.35" hidden="0" outlineLevel="0" collapsed="0">
      <c r="A43" s="30" t="s">
        <v>163</v>
      </c>
      <c r="B43" s="30" t="s">
        <v>46</v>
      </c>
      <c r="C43" s="30" t="s">
        <v>153</v>
      </c>
      <c r="D43" s="31">
        <v>48589.6</v>
      </c>
      <c r="E43" s="30" t="s">
        <v>48</v>
      </c>
      <c r="F43" s="30" t="s">
        <v>75</v>
      </c>
      <c r="G43" s="30" t="s">
        <v>50</v>
      </c>
      <c r="H43" s="30" t="s">
        <v>154</v>
      </c>
      <c r="I43" s="30" t="s">
        <v>52</v>
      </c>
      <c r="J43" s="30" t="s">
        <v>70</v>
      </c>
      <c r="K43" s="30" t="s">
        <v>71</v>
      </c>
      <c r="L43" s="30" t="s">
        <v>164</v>
      </c>
      <c r="M43" s="30" t="s">
        <v>56</v>
      </c>
      <c r="N43" s="30" t="s">
        <v>73</v>
      </c>
      <c r="O43" s="30" t="s">
        <v>58</v>
      </c>
      <c r="P43" s="30" t="s">
        <v>59</v>
      </c>
      <c r="Q43" s="30" t="s">
        <v>60</v>
      </c>
      <c r="R43" s="30" t="s">
        <v>61</v>
      </c>
    </row>
    <row r="44" ht="28.35" hidden="0" outlineLevel="0" collapsed="0">
      <c r="A44" s="30" t="s">
        <v>165</v>
      </c>
      <c r="B44" s="30" t="s">
        <v>46</v>
      </c>
      <c r="C44" s="30" t="s">
        <v>153</v>
      </c>
      <c r="D44" s="31">
        <v>50566.6</v>
      </c>
      <c r="E44" s="30" t="s">
        <v>48</v>
      </c>
      <c r="F44" s="30" t="s">
        <v>78</v>
      </c>
      <c r="G44" s="30" t="s">
        <v>50</v>
      </c>
      <c r="H44" s="30" t="s">
        <v>154</v>
      </c>
      <c r="I44" s="30" t="s">
        <v>52</v>
      </c>
      <c r="J44" s="30" t="s">
        <v>70</v>
      </c>
      <c r="K44" s="30" t="s">
        <v>71</v>
      </c>
      <c r="L44" s="30" t="s">
        <v>166</v>
      </c>
      <c r="M44" s="30" t="s">
        <v>56</v>
      </c>
      <c r="N44" s="30" t="s">
        <v>73</v>
      </c>
      <c r="O44" s="30" t="s">
        <v>58</v>
      </c>
      <c r="P44" s="30" t="s">
        <v>59</v>
      </c>
      <c r="Q44" s="30" t="s">
        <v>60</v>
      </c>
      <c r="R44" s="30" t="s">
        <v>61</v>
      </c>
    </row>
    <row r="45" ht="28.35" hidden="0" outlineLevel="0" collapsed="0">
      <c r="A45" s="30" t="s">
        <v>167</v>
      </c>
      <c r="B45" s="30" t="s">
        <v>46</v>
      </c>
      <c r="C45" s="30" t="s">
        <v>168</v>
      </c>
      <c r="D45" s="31">
        <v>20090.4</v>
      </c>
      <c r="E45" s="30" t="s">
        <v>48</v>
      </c>
      <c r="F45" s="30" t="s">
        <v>49</v>
      </c>
      <c r="G45" s="30" t="s">
        <v>50</v>
      </c>
      <c r="H45" s="30" t="s">
        <v>169</v>
      </c>
      <c r="I45" s="30" t="s">
        <v>52</v>
      </c>
      <c r="J45" s="30" t="s">
        <v>155</v>
      </c>
      <c r="K45" s="30" t="s">
        <v>156</v>
      </c>
      <c r="L45" s="30" t="s">
        <v>170</v>
      </c>
      <c r="M45" s="30" t="s">
        <v>56</v>
      </c>
      <c r="N45" s="30" t="s">
        <v>158</v>
      </c>
      <c r="O45" s="30" t="s">
        <v>58</v>
      </c>
      <c r="P45" s="30" t="s">
        <v>59</v>
      </c>
      <c r="Q45" s="30" t="s">
        <v>60</v>
      </c>
      <c r="R45" s="30" t="s">
        <v>61</v>
      </c>
    </row>
    <row r="46" ht="28.35" hidden="0" outlineLevel="0" collapsed="0">
      <c r="A46" s="30" t="s">
        <v>171</v>
      </c>
      <c r="B46" s="30" t="s">
        <v>46</v>
      </c>
      <c r="C46" s="30" t="s">
        <v>168</v>
      </c>
      <c r="D46" s="31">
        <v>27489.6</v>
      </c>
      <c r="E46" s="30" t="s">
        <v>48</v>
      </c>
      <c r="F46" s="30" t="s">
        <v>63</v>
      </c>
      <c r="G46" s="30" t="s">
        <v>50</v>
      </c>
      <c r="H46" s="30" t="s">
        <v>169</v>
      </c>
      <c r="I46" s="30" t="s">
        <v>52</v>
      </c>
      <c r="J46" s="30" t="s">
        <v>53</v>
      </c>
      <c r="K46" s="30" t="s">
        <v>54</v>
      </c>
      <c r="L46" s="30" t="s">
        <v>172</v>
      </c>
      <c r="M46" s="30" t="s">
        <v>56</v>
      </c>
      <c r="N46" s="30" t="s">
        <v>57</v>
      </c>
      <c r="O46" s="30" t="s">
        <v>58</v>
      </c>
      <c r="P46" s="30" t="s">
        <v>59</v>
      </c>
      <c r="Q46" s="30" t="s">
        <v>60</v>
      </c>
      <c r="R46" s="30" t="s">
        <v>61</v>
      </c>
    </row>
    <row r="47" ht="28.35" hidden="0" outlineLevel="0" collapsed="0">
      <c r="A47" s="30" t="s">
        <v>173</v>
      </c>
      <c r="B47" s="30" t="s">
        <v>46</v>
      </c>
      <c r="C47" s="30" t="s">
        <v>168</v>
      </c>
      <c r="D47" s="31">
        <v>26505.1</v>
      </c>
      <c r="E47" s="30" t="s">
        <v>48</v>
      </c>
      <c r="F47" s="30" t="s">
        <v>69</v>
      </c>
      <c r="G47" s="30" t="s">
        <v>50</v>
      </c>
      <c r="H47" s="30" t="s">
        <v>169</v>
      </c>
      <c r="I47" s="30" t="s">
        <v>52</v>
      </c>
      <c r="J47" s="30" t="s">
        <v>64</v>
      </c>
      <c r="K47" s="30" t="s">
        <v>65</v>
      </c>
      <c r="L47" s="30" t="s">
        <v>174</v>
      </c>
      <c r="M47" s="30" t="s">
        <v>56</v>
      </c>
      <c r="N47" s="30" t="s">
        <v>67</v>
      </c>
      <c r="O47" s="30" t="s">
        <v>58</v>
      </c>
      <c r="P47" s="30" t="s">
        <v>59</v>
      </c>
      <c r="Q47" s="30" t="s">
        <v>60</v>
      </c>
      <c r="R47" s="30" t="s">
        <v>61</v>
      </c>
    </row>
    <row r="48" ht="28.35" hidden="0" outlineLevel="0" collapsed="0">
      <c r="A48" s="30" t="s">
        <v>175</v>
      </c>
      <c r="B48" s="30" t="s">
        <v>46</v>
      </c>
      <c r="C48" s="30" t="s">
        <v>168</v>
      </c>
      <c r="D48" s="31">
        <v>30112.8</v>
      </c>
      <c r="E48" s="30" t="s">
        <v>48</v>
      </c>
      <c r="F48" s="30" t="s">
        <v>75</v>
      </c>
      <c r="G48" s="30" t="s">
        <v>50</v>
      </c>
      <c r="H48" s="30" t="s">
        <v>169</v>
      </c>
      <c r="I48" s="30" t="s">
        <v>52</v>
      </c>
      <c r="J48" s="30" t="s">
        <v>70</v>
      </c>
      <c r="K48" s="30" t="s">
        <v>71</v>
      </c>
      <c r="L48" s="30" t="s">
        <v>176</v>
      </c>
      <c r="M48" s="30" t="s">
        <v>56</v>
      </c>
      <c r="N48" s="30" t="s">
        <v>73</v>
      </c>
      <c r="O48" s="30" t="s">
        <v>58</v>
      </c>
      <c r="P48" s="30" t="s">
        <v>59</v>
      </c>
      <c r="Q48" s="30" t="s">
        <v>60</v>
      </c>
      <c r="R48" s="30" t="s">
        <v>61</v>
      </c>
    </row>
    <row r="49" ht="28.35" hidden="0" outlineLevel="0" collapsed="0">
      <c r="A49" s="30" t="s">
        <v>177</v>
      </c>
      <c r="B49" s="30" t="s">
        <v>46</v>
      </c>
      <c r="C49" s="30" t="s">
        <v>168</v>
      </c>
      <c r="D49" s="31">
        <v>30954.4</v>
      </c>
      <c r="E49" s="30" t="s">
        <v>48</v>
      </c>
      <c r="F49" s="30" t="s">
        <v>78</v>
      </c>
      <c r="G49" s="30" t="s">
        <v>50</v>
      </c>
      <c r="H49" s="30" t="s">
        <v>169</v>
      </c>
      <c r="I49" s="30" t="s">
        <v>52</v>
      </c>
      <c r="J49" s="30" t="s">
        <v>70</v>
      </c>
      <c r="K49" s="30" t="s">
        <v>71</v>
      </c>
      <c r="L49" s="30" t="s">
        <v>178</v>
      </c>
      <c r="M49" s="30" t="s">
        <v>56</v>
      </c>
      <c r="N49" s="30" t="s">
        <v>73</v>
      </c>
      <c r="O49" s="30" t="s">
        <v>58</v>
      </c>
      <c r="P49" s="30" t="s">
        <v>59</v>
      </c>
      <c r="Q49" s="30" t="s">
        <v>60</v>
      </c>
      <c r="R49" s="30" t="s">
        <v>61</v>
      </c>
    </row>
    <row r="50" ht="28.35" hidden="0" outlineLevel="0" collapsed="0">
      <c r="A50" s="30" t="s">
        <v>179</v>
      </c>
      <c r="B50" s="30" t="s">
        <v>46</v>
      </c>
      <c r="C50" s="30" t="s">
        <v>180</v>
      </c>
      <c r="D50" s="31">
        <v>10140.6</v>
      </c>
      <c r="E50" s="30" t="s">
        <v>48</v>
      </c>
      <c r="F50" s="30" t="s">
        <v>49</v>
      </c>
      <c r="G50" s="30" t="s">
        <v>50</v>
      </c>
      <c r="H50" s="30" t="s">
        <v>181</v>
      </c>
      <c r="I50" s="30" t="s">
        <v>52</v>
      </c>
      <c r="J50" s="30" t="s">
        <v>64</v>
      </c>
      <c r="K50" s="30" t="s">
        <v>65</v>
      </c>
      <c r="L50" s="30" t="s">
        <v>182</v>
      </c>
      <c r="M50" s="30" t="s">
        <v>56</v>
      </c>
      <c r="N50" s="30" t="s">
        <v>67</v>
      </c>
      <c r="O50" s="30" t="s">
        <v>58</v>
      </c>
      <c r="P50" s="30" t="s">
        <v>59</v>
      </c>
      <c r="Q50" s="30" t="s">
        <v>60</v>
      </c>
      <c r="R50" s="30" t="s">
        <v>61</v>
      </c>
    </row>
    <row r="51" ht="28.35" hidden="0" outlineLevel="0" collapsed="0">
      <c r="A51" s="30" t="s">
        <v>183</v>
      </c>
      <c r="B51" s="30" t="s">
        <v>46</v>
      </c>
      <c r="C51" s="30" t="s">
        <v>180</v>
      </c>
      <c r="D51" s="31">
        <v>8810.8</v>
      </c>
      <c r="E51" s="30" t="s">
        <v>48</v>
      </c>
      <c r="F51" s="30" t="s">
        <v>63</v>
      </c>
      <c r="G51" s="30" t="s">
        <v>50</v>
      </c>
      <c r="H51" s="30" t="s">
        <v>181</v>
      </c>
      <c r="I51" s="30" t="s">
        <v>52</v>
      </c>
      <c r="J51" s="30" t="s">
        <v>70</v>
      </c>
      <c r="K51" s="30" t="s">
        <v>71</v>
      </c>
      <c r="L51" s="30" t="s">
        <v>184</v>
      </c>
      <c r="M51" s="30" t="s">
        <v>56</v>
      </c>
      <c r="N51" s="30" t="s">
        <v>73</v>
      </c>
      <c r="O51" s="30" t="s">
        <v>58</v>
      </c>
      <c r="P51" s="30" t="s">
        <v>59</v>
      </c>
      <c r="Q51" s="30" t="s">
        <v>60</v>
      </c>
      <c r="R51" s="30" t="s">
        <v>61</v>
      </c>
    </row>
    <row r="52" ht="28.35" hidden="0" outlineLevel="0" collapsed="0">
      <c r="A52" s="30" t="s">
        <v>185</v>
      </c>
      <c r="B52" s="30" t="s">
        <v>46</v>
      </c>
      <c r="C52" s="30" t="s">
        <v>180</v>
      </c>
      <c r="D52" s="31">
        <v>13452.4</v>
      </c>
      <c r="E52" s="30" t="s">
        <v>48</v>
      </c>
      <c r="F52" s="30" t="s">
        <v>69</v>
      </c>
      <c r="G52" s="30" t="s">
        <v>50</v>
      </c>
      <c r="H52" s="30" t="s">
        <v>181</v>
      </c>
      <c r="I52" s="30" t="s">
        <v>52</v>
      </c>
      <c r="J52" s="30" t="s">
        <v>70</v>
      </c>
      <c r="K52" s="30" t="s">
        <v>71</v>
      </c>
      <c r="L52" s="30" t="s">
        <v>186</v>
      </c>
      <c r="M52" s="30" t="s">
        <v>56</v>
      </c>
      <c r="N52" s="30" t="s">
        <v>73</v>
      </c>
      <c r="O52" s="30" t="s">
        <v>58</v>
      </c>
      <c r="P52" s="30" t="s">
        <v>59</v>
      </c>
      <c r="Q52" s="30" t="s">
        <v>60</v>
      </c>
      <c r="R52" s="30" t="s">
        <v>61</v>
      </c>
    </row>
    <row r="53" ht="28.35" hidden="0" outlineLevel="0" collapsed="0">
      <c r="A53" s="30" t="s">
        <v>187</v>
      </c>
      <c r="B53" s="30" t="s">
        <v>46</v>
      </c>
      <c r="C53" s="30" t="s">
        <v>180</v>
      </c>
      <c r="D53" s="31">
        <v>18476.8</v>
      </c>
      <c r="E53" s="30" t="s">
        <v>48</v>
      </c>
      <c r="F53" s="30" t="s">
        <v>75</v>
      </c>
      <c r="G53" s="30" t="s">
        <v>50</v>
      </c>
      <c r="H53" s="30" t="s">
        <v>181</v>
      </c>
      <c r="I53" s="30" t="s">
        <v>52</v>
      </c>
      <c r="J53" s="30" t="s">
        <v>70</v>
      </c>
      <c r="K53" s="30" t="s">
        <v>71</v>
      </c>
      <c r="L53" s="30" t="s">
        <v>188</v>
      </c>
      <c r="M53" s="30" t="s">
        <v>56</v>
      </c>
      <c r="N53" s="30" t="s">
        <v>73</v>
      </c>
      <c r="O53" s="30" t="s">
        <v>58</v>
      </c>
      <c r="P53" s="30" t="s">
        <v>59</v>
      </c>
      <c r="Q53" s="30" t="s">
        <v>60</v>
      </c>
      <c r="R53" s="30" t="s">
        <v>61</v>
      </c>
    </row>
    <row r="54" ht="28.35" hidden="0" outlineLevel="0" collapsed="0">
      <c r="A54" s="30" t="s">
        <v>189</v>
      </c>
      <c r="B54" s="30" t="s">
        <v>46</v>
      </c>
      <c r="C54" s="30" t="s">
        <v>180</v>
      </c>
      <c r="D54" s="31">
        <v>19612.2</v>
      </c>
      <c r="E54" s="30" t="s">
        <v>48</v>
      </c>
      <c r="F54" s="30" t="s">
        <v>78</v>
      </c>
      <c r="G54" s="30" t="s">
        <v>50</v>
      </c>
      <c r="H54" s="30" t="s">
        <v>181</v>
      </c>
      <c r="I54" s="30" t="s">
        <v>52</v>
      </c>
      <c r="J54" s="30" t="s">
        <v>70</v>
      </c>
      <c r="K54" s="30" t="s">
        <v>71</v>
      </c>
      <c r="L54" s="30" t="s">
        <v>190</v>
      </c>
      <c r="M54" s="30" t="s">
        <v>56</v>
      </c>
      <c r="N54" s="30" t="s">
        <v>73</v>
      </c>
      <c r="O54" s="30" t="s">
        <v>58</v>
      </c>
      <c r="P54" s="30" t="s">
        <v>59</v>
      </c>
      <c r="Q54" s="30" t="s">
        <v>60</v>
      </c>
      <c r="R54" s="30" t="s">
        <v>61</v>
      </c>
    </row>
    <row r="55" ht="41.75" hidden="0" outlineLevel="0" collapsed="0">
      <c r="A55" s="30" t="s">
        <v>191</v>
      </c>
      <c r="B55" s="30" t="s">
        <v>46</v>
      </c>
      <c r="C55" s="30" t="s">
        <v>192</v>
      </c>
      <c r="D55" s="31">
        <v>6951.8</v>
      </c>
      <c r="E55" s="30" t="s">
        <v>48</v>
      </c>
      <c r="F55" s="30" t="s">
        <v>49</v>
      </c>
      <c r="G55" s="30" t="s">
        <v>50</v>
      </c>
      <c r="H55" s="30" t="s">
        <v>193</v>
      </c>
      <c r="I55" s="30" t="s">
        <v>52</v>
      </c>
      <c r="J55" s="30" t="s">
        <v>155</v>
      </c>
      <c r="K55" s="30" t="s">
        <v>156</v>
      </c>
      <c r="L55" s="30" t="s">
        <v>194</v>
      </c>
      <c r="M55" s="30" t="s">
        <v>56</v>
      </c>
      <c r="N55" s="30" t="s">
        <v>158</v>
      </c>
      <c r="O55" s="30" t="s">
        <v>58</v>
      </c>
      <c r="P55" s="30" t="s">
        <v>59</v>
      </c>
      <c r="Q55" s="30" t="s">
        <v>60</v>
      </c>
      <c r="R55" s="30" t="s">
        <v>61</v>
      </c>
    </row>
    <row r="56" ht="41.75" hidden="0" outlineLevel="0" collapsed="0">
      <c r="A56" s="30" t="s">
        <v>195</v>
      </c>
      <c r="B56" s="30" t="s">
        <v>46</v>
      </c>
      <c r="C56" s="30" t="s">
        <v>192</v>
      </c>
      <c r="D56" s="31">
        <v>7268.3</v>
      </c>
      <c r="E56" s="30" t="s">
        <v>48</v>
      </c>
      <c r="F56" s="30" t="s">
        <v>63</v>
      </c>
      <c r="G56" s="30" t="s">
        <v>50</v>
      </c>
      <c r="H56" s="30" t="s">
        <v>193</v>
      </c>
      <c r="I56" s="30" t="s">
        <v>52</v>
      </c>
      <c r="J56" s="30" t="s">
        <v>53</v>
      </c>
      <c r="K56" s="30" t="s">
        <v>54</v>
      </c>
      <c r="L56" s="30" t="s">
        <v>196</v>
      </c>
      <c r="M56" s="30" t="s">
        <v>56</v>
      </c>
      <c r="N56" s="30" t="s">
        <v>57</v>
      </c>
      <c r="O56" s="30" t="s">
        <v>58</v>
      </c>
      <c r="P56" s="30" t="s">
        <v>59</v>
      </c>
      <c r="Q56" s="30" t="s">
        <v>60</v>
      </c>
      <c r="R56" s="30" t="s">
        <v>61</v>
      </c>
    </row>
    <row r="57" ht="41.75" hidden="0" outlineLevel="0" collapsed="0">
      <c r="A57" s="30" t="s">
        <v>197</v>
      </c>
      <c r="B57" s="30" t="s">
        <v>46</v>
      </c>
      <c r="C57" s="30" t="s">
        <v>192</v>
      </c>
      <c r="D57" s="31">
        <v>7004.7</v>
      </c>
      <c r="E57" s="30" t="s">
        <v>48</v>
      </c>
      <c r="F57" s="30" t="s">
        <v>69</v>
      </c>
      <c r="G57" s="30" t="s">
        <v>50</v>
      </c>
      <c r="H57" s="30" t="s">
        <v>193</v>
      </c>
      <c r="I57" s="30" t="s">
        <v>52</v>
      </c>
      <c r="J57" s="30" t="s">
        <v>64</v>
      </c>
      <c r="K57" s="30" t="s">
        <v>65</v>
      </c>
      <c r="L57" s="30" t="s">
        <v>198</v>
      </c>
      <c r="M57" s="30" t="s">
        <v>56</v>
      </c>
      <c r="N57" s="30" t="s">
        <v>67</v>
      </c>
      <c r="O57" s="30" t="s">
        <v>58</v>
      </c>
      <c r="P57" s="30" t="s">
        <v>59</v>
      </c>
      <c r="Q57" s="30" t="s">
        <v>60</v>
      </c>
      <c r="R57" s="30" t="s">
        <v>61</v>
      </c>
    </row>
    <row r="58" ht="41.75" hidden="0" outlineLevel="0" collapsed="0">
      <c r="A58" s="30" t="s">
        <v>199</v>
      </c>
      <c r="B58" s="30" t="s">
        <v>46</v>
      </c>
      <c r="C58" s="30" t="s">
        <v>192</v>
      </c>
      <c r="D58" s="31">
        <v>12735.9</v>
      </c>
      <c r="E58" s="30" t="s">
        <v>48</v>
      </c>
      <c r="F58" s="30" t="s">
        <v>75</v>
      </c>
      <c r="G58" s="30" t="s">
        <v>50</v>
      </c>
      <c r="H58" s="30" t="s">
        <v>193</v>
      </c>
      <c r="I58" s="30" t="s">
        <v>52</v>
      </c>
      <c r="J58" s="30" t="s">
        <v>70</v>
      </c>
      <c r="K58" s="30" t="s">
        <v>71</v>
      </c>
      <c r="L58" s="30" t="s">
        <v>200</v>
      </c>
      <c r="M58" s="30" t="s">
        <v>56</v>
      </c>
      <c r="N58" s="30" t="s">
        <v>73</v>
      </c>
      <c r="O58" s="30" t="s">
        <v>58</v>
      </c>
      <c r="P58" s="30" t="s">
        <v>59</v>
      </c>
      <c r="Q58" s="30" t="s">
        <v>60</v>
      </c>
      <c r="R58" s="30" t="s">
        <v>61</v>
      </c>
    </row>
    <row r="59" ht="41.75" hidden="0" outlineLevel="0" collapsed="0">
      <c r="A59" s="30" t="s">
        <v>201</v>
      </c>
      <c r="B59" s="30" t="s">
        <v>46</v>
      </c>
      <c r="C59" s="30" t="s">
        <v>192</v>
      </c>
      <c r="D59" s="31">
        <v>12916</v>
      </c>
      <c r="E59" s="30" t="s">
        <v>48</v>
      </c>
      <c r="F59" s="30" t="s">
        <v>78</v>
      </c>
      <c r="G59" s="30" t="s">
        <v>50</v>
      </c>
      <c r="H59" s="30" t="s">
        <v>193</v>
      </c>
      <c r="I59" s="30" t="s">
        <v>52</v>
      </c>
      <c r="J59" s="30" t="s">
        <v>70</v>
      </c>
      <c r="K59" s="30" t="s">
        <v>71</v>
      </c>
      <c r="L59" s="30" t="s">
        <v>202</v>
      </c>
      <c r="M59" s="30" t="s">
        <v>56</v>
      </c>
      <c r="N59" s="30" t="s">
        <v>73</v>
      </c>
      <c r="O59" s="30" t="s">
        <v>58</v>
      </c>
      <c r="P59" s="30" t="s">
        <v>59</v>
      </c>
      <c r="Q59" s="30" t="s">
        <v>60</v>
      </c>
      <c r="R59" s="30" t="s">
        <v>61</v>
      </c>
    </row>
    <row r="60" ht="41.75" hidden="0" outlineLevel="0" collapsed="0">
      <c r="A60" s="30" t="s">
        <v>203</v>
      </c>
      <c r="B60" s="30" t="s">
        <v>46</v>
      </c>
      <c r="C60" s="30" t="s">
        <v>204</v>
      </c>
      <c r="D60" s="31">
        <v>4075</v>
      </c>
      <c r="E60" s="30" t="s">
        <v>48</v>
      </c>
      <c r="F60" s="30" t="s">
        <v>49</v>
      </c>
      <c r="G60" s="30" t="s">
        <v>50</v>
      </c>
      <c r="H60" s="30" t="s">
        <v>205</v>
      </c>
      <c r="I60" s="30" t="s">
        <v>52</v>
      </c>
      <c r="J60" s="30" t="s">
        <v>155</v>
      </c>
      <c r="K60" s="30" t="s">
        <v>156</v>
      </c>
      <c r="L60" s="30" t="s">
        <v>206</v>
      </c>
      <c r="M60" s="30" t="s">
        <v>56</v>
      </c>
      <c r="N60" s="30" t="s">
        <v>158</v>
      </c>
      <c r="O60" s="30" t="s">
        <v>58</v>
      </c>
      <c r="P60" s="30" t="s">
        <v>59</v>
      </c>
      <c r="Q60" s="30" t="s">
        <v>60</v>
      </c>
      <c r="R60" s="30" t="s">
        <v>61</v>
      </c>
    </row>
    <row r="61" ht="41.75" hidden="0" outlineLevel="0" collapsed="0">
      <c r="A61" s="30" t="s">
        <v>207</v>
      </c>
      <c r="B61" s="30" t="s">
        <v>46</v>
      </c>
      <c r="C61" s="30" t="s">
        <v>204</v>
      </c>
      <c r="D61" s="31">
        <v>3514.2</v>
      </c>
      <c r="E61" s="30" t="s">
        <v>48</v>
      </c>
      <c r="F61" s="30" t="s">
        <v>63</v>
      </c>
      <c r="G61" s="30" t="s">
        <v>50</v>
      </c>
      <c r="H61" s="30" t="s">
        <v>205</v>
      </c>
      <c r="I61" s="30" t="s">
        <v>52</v>
      </c>
      <c r="J61" s="30" t="s">
        <v>53</v>
      </c>
      <c r="K61" s="30" t="s">
        <v>54</v>
      </c>
      <c r="L61" s="30" t="s">
        <v>208</v>
      </c>
      <c r="M61" s="30" t="s">
        <v>56</v>
      </c>
      <c r="N61" s="30" t="s">
        <v>57</v>
      </c>
      <c r="O61" s="30" t="s">
        <v>58</v>
      </c>
      <c r="P61" s="30" t="s">
        <v>59</v>
      </c>
      <c r="Q61" s="30" t="s">
        <v>60</v>
      </c>
      <c r="R61" s="30" t="s">
        <v>61</v>
      </c>
    </row>
    <row r="62" ht="41.75" hidden="0" outlineLevel="0" collapsed="0">
      <c r="A62" s="30" t="s">
        <v>209</v>
      </c>
      <c r="B62" s="30" t="s">
        <v>46</v>
      </c>
      <c r="C62" s="30" t="s">
        <v>204</v>
      </c>
      <c r="D62" s="31">
        <v>4631.5</v>
      </c>
      <c r="E62" s="30" t="s">
        <v>48</v>
      </c>
      <c r="F62" s="30" t="s">
        <v>69</v>
      </c>
      <c r="G62" s="30" t="s">
        <v>50</v>
      </c>
      <c r="H62" s="30" t="s">
        <v>205</v>
      </c>
      <c r="I62" s="30" t="s">
        <v>52</v>
      </c>
      <c r="J62" s="30" t="s">
        <v>64</v>
      </c>
      <c r="K62" s="30" t="s">
        <v>65</v>
      </c>
      <c r="L62" s="30" t="s">
        <v>210</v>
      </c>
      <c r="M62" s="30" t="s">
        <v>56</v>
      </c>
      <c r="N62" s="30" t="s">
        <v>67</v>
      </c>
      <c r="O62" s="30" t="s">
        <v>58</v>
      </c>
      <c r="P62" s="30" t="s">
        <v>59</v>
      </c>
      <c r="Q62" s="30" t="s">
        <v>60</v>
      </c>
      <c r="R62" s="30" t="s">
        <v>61</v>
      </c>
    </row>
    <row r="63" ht="41.75" hidden="0" outlineLevel="0" collapsed="0">
      <c r="A63" s="30" t="s">
        <v>211</v>
      </c>
      <c r="B63" s="30" t="s">
        <v>46</v>
      </c>
      <c r="C63" s="30" t="s">
        <v>204</v>
      </c>
      <c r="D63" s="31">
        <v>3677.3</v>
      </c>
      <c r="E63" s="30" t="s">
        <v>48</v>
      </c>
      <c r="F63" s="30" t="s">
        <v>75</v>
      </c>
      <c r="G63" s="30" t="s">
        <v>50</v>
      </c>
      <c r="H63" s="30" t="s">
        <v>205</v>
      </c>
      <c r="I63" s="30" t="s">
        <v>52</v>
      </c>
      <c r="J63" s="30" t="s">
        <v>70</v>
      </c>
      <c r="K63" s="30" t="s">
        <v>71</v>
      </c>
      <c r="L63" s="30" t="s">
        <v>212</v>
      </c>
      <c r="M63" s="30" t="s">
        <v>56</v>
      </c>
      <c r="N63" s="30" t="s">
        <v>73</v>
      </c>
      <c r="O63" s="30" t="s">
        <v>58</v>
      </c>
      <c r="P63" s="30" t="s">
        <v>59</v>
      </c>
      <c r="Q63" s="30" t="s">
        <v>60</v>
      </c>
      <c r="R63" s="30" t="s">
        <v>61</v>
      </c>
    </row>
    <row r="64" ht="41.75" hidden="0" outlineLevel="0" collapsed="0">
      <c r="A64" s="30" t="s">
        <v>213</v>
      </c>
      <c r="B64" s="30" t="s">
        <v>46</v>
      </c>
      <c r="C64" s="30" t="s">
        <v>204</v>
      </c>
      <c r="D64" s="31">
        <v>2709</v>
      </c>
      <c r="E64" s="30" t="s">
        <v>48</v>
      </c>
      <c r="F64" s="30" t="s">
        <v>78</v>
      </c>
      <c r="G64" s="30" t="s">
        <v>50</v>
      </c>
      <c r="H64" s="30" t="s">
        <v>205</v>
      </c>
      <c r="I64" s="30" t="s">
        <v>52</v>
      </c>
      <c r="J64" s="30" t="s">
        <v>70</v>
      </c>
      <c r="K64" s="30" t="s">
        <v>71</v>
      </c>
      <c r="L64" s="30" t="s">
        <v>214</v>
      </c>
      <c r="M64" s="30" t="s">
        <v>56</v>
      </c>
      <c r="N64" s="30" t="s">
        <v>73</v>
      </c>
      <c r="O64" s="30" t="s">
        <v>58</v>
      </c>
      <c r="P64" s="30" t="s">
        <v>59</v>
      </c>
      <c r="Q64" s="30" t="s">
        <v>60</v>
      </c>
      <c r="R64" s="30" t="s">
        <v>61</v>
      </c>
    </row>
    <row r="65" ht="41.75" hidden="0" outlineLevel="0" collapsed="0">
      <c r="A65" s="30" t="s">
        <v>215</v>
      </c>
      <c r="B65" s="30" t="s">
        <v>46</v>
      </c>
      <c r="C65" s="30" t="s">
        <v>216</v>
      </c>
      <c r="D65" s="31">
        <v>410.4</v>
      </c>
      <c r="E65" s="30" t="s">
        <v>217</v>
      </c>
      <c r="F65" s="30" t="s">
        <v>49</v>
      </c>
      <c r="G65" s="30" t="s">
        <v>50</v>
      </c>
      <c r="H65" s="30" t="s">
        <v>218</v>
      </c>
      <c r="I65" s="30" t="s">
        <v>52</v>
      </c>
      <c r="J65" s="30" t="s">
        <v>53</v>
      </c>
      <c r="K65" s="30" t="s">
        <v>54</v>
      </c>
      <c r="L65" s="30" t="s">
        <v>219</v>
      </c>
      <c r="M65" s="30" t="s">
        <v>220</v>
      </c>
      <c r="N65" s="30" t="s">
        <v>57</v>
      </c>
      <c r="O65" s="30" t="s">
        <v>58</v>
      </c>
      <c r="P65" s="30" t="s">
        <v>59</v>
      </c>
      <c r="Q65" s="30" t="s">
        <v>60</v>
      </c>
      <c r="R65" s="30" t="s">
        <v>61</v>
      </c>
    </row>
    <row r="66" ht="41.75" hidden="0" outlineLevel="0" collapsed="0">
      <c r="A66" s="30" t="s">
        <v>221</v>
      </c>
      <c r="B66" s="30" t="s">
        <v>46</v>
      </c>
      <c r="C66" s="30" t="s">
        <v>216</v>
      </c>
      <c r="D66" s="31">
        <v>398</v>
      </c>
      <c r="E66" s="30" t="s">
        <v>217</v>
      </c>
      <c r="F66" s="30" t="s">
        <v>63</v>
      </c>
      <c r="G66" s="30" t="s">
        <v>50</v>
      </c>
      <c r="H66" s="30" t="s">
        <v>218</v>
      </c>
      <c r="I66" s="30" t="s">
        <v>52</v>
      </c>
      <c r="J66" s="30" t="s">
        <v>64</v>
      </c>
      <c r="K66" s="30" t="s">
        <v>65</v>
      </c>
      <c r="L66" s="30" t="s">
        <v>222</v>
      </c>
      <c r="M66" s="30" t="s">
        <v>220</v>
      </c>
      <c r="N66" s="30" t="s">
        <v>67</v>
      </c>
      <c r="O66" s="30" t="s">
        <v>58</v>
      </c>
      <c r="P66" s="30" t="s">
        <v>59</v>
      </c>
      <c r="Q66" s="30" t="s">
        <v>60</v>
      </c>
      <c r="R66" s="30" t="s">
        <v>61</v>
      </c>
    </row>
    <row r="67" ht="41.75" hidden="0" outlineLevel="0" collapsed="0">
      <c r="A67" s="30" t="s">
        <v>223</v>
      </c>
      <c r="B67" s="30" t="s">
        <v>46</v>
      </c>
      <c r="C67" s="30" t="s">
        <v>216</v>
      </c>
      <c r="D67" s="31">
        <v>394.1</v>
      </c>
      <c r="E67" s="30" t="s">
        <v>217</v>
      </c>
      <c r="F67" s="30" t="s">
        <v>69</v>
      </c>
      <c r="G67" s="30" t="s">
        <v>50</v>
      </c>
      <c r="H67" s="30" t="s">
        <v>218</v>
      </c>
      <c r="I67" s="30" t="s">
        <v>52</v>
      </c>
      <c r="J67" s="30" t="s">
        <v>70</v>
      </c>
      <c r="K67" s="30" t="s">
        <v>71</v>
      </c>
      <c r="L67" s="30" t="s">
        <v>224</v>
      </c>
      <c r="M67" s="30" t="s">
        <v>220</v>
      </c>
      <c r="N67" s="30" t="s">
        <v>73</v>
      </c>
      <c r="O67" s="30" t="s">
        <v>58</v>
      </c>
      <c r="P67" s="30" t="s">
        <v>59</v>
      </c>
      <c r="Q67" s="30" t="s">
        <v>60</v>
      </c>
      <c r="R67" s="30" t="s">
        <v>61</v>
      </c>
    </row>
    <row r="68" ht="41.75" hidden="0" outlineLevel="0" collapsed="0">
      <c r="A68" s="30" t="s">
        <v>225</v>
      </c>
      <c r="B68" s="30" t="s">
        <v>46</v>
      </c>
      <c r="C68" s="30" t="s">
        <v>216</v>
      </c>
      <c r="D68" s="31">
        <v>393.6</v>
      </c>
      <c r="E68" s="30" t="s">
        <v>217</v>
      </c>
      <c r="F68" s="30" t="s">
        <v>75</v>
      </c>
      <c r="G68" s="30" t="s">
        <v>50</v>
      </c>
      <c r="H68" s="30" t="s">
        <v>218</v>
      </c>
      <c r="I68" s="30" t="s">
        <v>52</v>
      </c>
      <c r="J68" s="30" t="s">
        <v>70</v>
      </c>
      <c r="K68" s="30" t="s">
        <v>71</v>
      </c>
      <c r="L68" s="30" t="s">
        <v>226</v>
      </c>
      <c r="M68" s="30" t="s">
        <v>220</v>
      </c>
      <c r="N68" s="30" t="s">
        <v>73</v>
      </c>
      <c r="O68" s="30" t="s">
        <v>58</v>
      </c>
      <c r="P68" s="30" t="s">
        <v>59</v>
      </c>
      <c r="Q68" s="30" t="s">
        <v>60</v>
      </c>
      <c r="R68" s="30" t="s">
        <v>61</v>
      </c>
    </row>
    <row r="69" ht="41.75" hidden="0" outlineLevel="0" collapsed="0">
      <c r="A69" s="30" t="s">
        <v>227</v>
      </c>
      <c r="B69" s="30" t="s">
        <v>46</v>
      </c>
      <c r="C69" s="30" t="s">
        <v>216</v>
      </c>
      <c r="D69" s="31">
        <v>388.9</v>
      </c>
      <c r="E69" s="30" t="s">
        <v>217</v>
      </c>
      <c r="F69" s="30" t="s">
        <v>78</v>
      </c>
      <c r="G69" s="30" t="s">
        <v>50</v>
      </c>
      <c r="H69" s="30" t="s">
        <v>218</v>
      </c>
      <c r="I69" s="30" t="s">
        <v>52</v>
      </c>
      <c r="J69" s="30" t="s">
        <v>70</v>
      </c>
      <c r="K69" s="30" t="s">
        <v>71</v>
      </c>
      <c r="L69" s="30" t="s">
        <v>228</v>
      </c>
      <c r="M69" s="30" t="s">
        <v>220</v>
      </c>
      <c r="N69" s="30" t="s">
        <v>73</v>
      </c>
      <c r="O69" s="30" t="s">
        <v>58</v>
      </c>
      <c r="P69" s="30" t="s">
        <v>59</v>
      </c>
      <c r="Q69" s="30" t="s">
        <v>60</v>
      </c>
      <c r="R69" s="30" t="s">
        <v>61</v>
      </c>
    </row>
    <row r="70" ht="28.35" hidden="0" outlineLevel="0" collapsed="0">
      <c r="A70" s="30" t="s">
        <v>229</v>
      </c>
      <c r="B70" s="30" t="s">
        <v>46</v>
      </c>
      <c r="C70" s="30" t="s">
        <v>230</v>
      </c>
      <c r="D70" s="31">
        <v>1815.27</v>
      </c>
      <c r="E70" s="30" t="s">
        <v>231</v>
      </c>
      <c r="F70" s="30" t="s">
        <v>232</v>
      </c>
      <c r="G70" s="30" t="s">
        <v>233</v>
      </c>
      <c r="H70" s="30" t="s">
        <v>234</v>
      </c>
      <c r="I70" s="30" t="s">
        <v>235</v>
      </c>
      <c r="J70" s="30" t="s">
        <v>232</v>
      </c>
      <c r="K70" s="30" t="s">
        <v>236</v>
      </c>
      <c r="L70" s="30" t="s">
        <v>237</v>
      </c>
      <c r="M70" s="30" t="s">
        <v>238</v>
      </c>
      <c r="N70" s="30" t="s">
        <v>239</v>
      </c>
      <c r="O70" s="30" t="s">
        <v>58</v>
      </c>
      <c r="P70" s="30" t="s">
        <v>59</v>
      </c>
      <c r="Q70" s="30" t="s">
        <v>60</v>
      </c>
      <c r="R70" s="30" t="s">
        <v>240</v>
      </c>
    </row>
    <row r="71" ht="28.35" hidden="0" outlineLevel="0" collapsed="0">
      <c r="A71" s="30" t="s">
        <v>241</v>
      </c>
      <c r="B71" s="30" t="s">
        <v>46</v>
      </c>
      <c r="C71" s="30" t="s">
        <v>242</v>
      </c>
      <c r="D71" s="31">
        <v>1.1474</v>
      </c>
      <c r="E71" s="30" t="s">
        <v>243</v>
      </c>
      <c r="F71" s="30" t="s">
        <v>232</v>
      </c>
      <c r="G71" s="30" t="s">
        <v>233</v>
      </c>
      <c r="H71" s="30" t="s">
        <v>244</v>
      </c>
      <c r="I71" s="30" t="s">
        <v>235</v>
      </c>
      <c r="J71" s="30" t="s">
        <v>232</v>
      </c>
      <c r="K71" s="30" t="s">
        <v>236</v>
      </c>
      <c r="L71" s="30" t="s">
        <v>245</v>
      </c>
      <c r="M71" s="30" t="s">
        <v>246</v>
      </c>
      <c r="N71" s="30" t="s">
        <v>247</v>
      </c>
      <c r="O71" s="30" t="s">
        <v>58</v>
      </c>
      <c r="P71" s="30" t="s">
        <v>59</v>
      </c>
      <c r="Q71" s="30" t="s">
        <v>60</v>
      </c>
      <c r="R71" s="30" t="s">
        <v>248</v>
      </c>
    </row>
    <row r="72" ht="28.35" hidden="0" outlineLevel="0" collapsed="0">
      <c r="A72" s="30" t="s">
        <v>249</v>
      </c>
      <c r="B72" s="30" t="s">
        <v>46</v>
      </c>
      <c r="C72" s="30" t="s">
        <v>250</v>
      </c>
      <c r="D72" s="31">
        <v>1</v>
      </c>
      <c r="E72" s="30" t="s">
        <v>251</v>
      </c>
      <c r="F72" s="30" t="s">
        <v>58</v>
      </c>
      <c r="G72" s="30" t="s">
        <v>252</v>
      </c>
      <c r="H72" s="30" t="s">
        <v>253</v>
      </c>
      <c r="I72" s="30" t="s">
        <v>52</v>
      </c>
      <c r="J72" s="30" t="s">
        <v>70</v>
      </c>
      <c r="K72" s="30" t="s">
        <v>71</v>
      </c>
      <c r="L72" s="30" t="s">
        <v>254</v>
      </c>
      <c r="M72" s="30" t="s">
        <v>255</v>
      </c>
      <c r="N72" s="30" t="s">
        <v>256</v>
      </c>
      <c r="O72" s="30" t="s">
        <v>58</v>
      </c>
      <c r="P72" s="30" t="s">
        <v>59</v>
      </c>
      <c r="Q72" s="30" t="s">
        <v>60</v>
      </c>
      <c r="R72" s="30" t="s">
        <v>61</v>
      </c>
    </row>
    <row r="73" ht="28.35" hidden="0" outlineLevel="0" collapsed="0">
      <c r="A73" s="30" t="s">
        <v>257</v>
      </c>
      <c r="B73" s="30" t="s">
        <v>46</v>
      </c>
      <c r="C73" s="30" t="s">
        <v>258</v>
      </c>
      <c r="D73" s="31">
        <v>24474.3</v>
      </c>
      <c r="E73" s="30" t="s">
        <v>48</v>
      </c>
      <c r="F73" s="30" t="s">
        <v>9</v>
      </c>
      <c r="G73" s="30" t="s">
        <v>259</v>
      </c>
      <c r="H73" s="30" t="s">
        <v>260</v>
      </c>
      <c r="I73" s="30" t="s">
        <v>261</v>
      </c>
      <c r="J73" s="30" t="s">
        <v>70</v>
      </c>
      <c r="K73" s="30" t="s">
        <v>236</v>
      </c>
      <c r="L73" s="30" t="s">
        <v>262</v>
      </c>
      <c r="M73" s="30" t="s">
        <v>263</v>
      </c>
      <c r="N73" s="30" t="s">
        <v>264</v>
      </c>
      <c r="O73" s="30" t="s">
        <v>58</v>
      </c>
      <c r="P73" s="30" t="s">
        <v>265</v>
      </c>
      <c r="Q73" s="30" t="s">
        <v>60</v>
      </c>
      <c r="R73" s="30" t="s">
        <v>61</v>
      </c>
    </row>
    <row r="74" ht="28.35" hidden="0" outlineLevel="0" collapsed="0">
      <c r="A74" s="30" t="s">
        <v>266</v>
      </c>
      <c r="B74" s="30" t="s">
        <v>46</v>
      </c>
      <c r="C74" s="30" t="s">
        <v>267</v>
      </c>
      <c r="D74" s="31">
        <v>8193</v>
      </c>
      <c r="E74" s="30" t="s">
        <v>48</v>
      </c>
      <c r="F74" s="30" t="s">
        <v>9</v>
      </c>
      <c r="G74" s="30" t="s">
        <v>259</v>
      </c>
      <c r="H74" s="30" t="s">
        <v>260</v>
      </c>
      <c r="I74" s="30" t="s">
        <v>261</v>
      </c>
      <c r="J74" s="30" t="s">
        <v>70</v>
      </c>
      <c r="K74" s="30" t="s">
        <v>236</v>
      </c>
      <c r="L74" s="30" t="s">
        <v>268</v>
      </c>
      <c r="M74" s="30" t="s">
        <v>263</v>
      </c>
      <c r="N74" s="30" t="s">
        <v>264</v>
      </c>
      <c r="O74" s="30" t="s">
        <v>58</v>
      </c>
      <c r="P74" s="30" t="s">
        <v>265</v>
      </c>
      <c r="Q74" s="30" t="s">
        <v>60</v>
      </c>
      <c r="R74" s="30" t="s">
        <v>61</v>
      </c>
    </row>
    <row r="75" ht="28.35" hidden="0" outlineLevel="0" collapsed="0">
      <c r="A75" s="30" t="s">
        <v>269</v>
      </c>
      <c r="B75" s="30" t="s">
        <v>46</v>
      </c>
      <c r="C75" s="30" t="s">
        <v>270</v>
      </c>
      <c r="D75" s="31">
        <v>535</v>
      </c>
      <c r="E75" s="30" t="s">
        <v>271</v>
      </c>
      <c r="F75" s="30" t="s">
        <v>9</v>
      </c>
      <c r="G75" s="30" t="s">
        <v>259</v>
      </c>
      <c r="H75" s="30" t="s">
        <v>272</v>
      </c>
      <c r="I75" s="30" t="s">
        <v>261</v>
      </c>
      <c r="J75" s="30" t="s">
        <v>70</v>
      </c>
      <c r="K75" s="30" t="s">
        <v>236</v>
      </c>
      <c r="L75" s="30" t="s">
        <v>273</v>
      </c>
      <c r="M75" s="30" t="s">
        <v>263</v>
      </c>
      <c r="N75" s="30" t="s">
        <v>264</v>
      </c>
      <c r="O75" s="30" t="s">
        <v>58</v>
      </c>
      <c r="P75" s="30" t="s">
        <v>265</v>
      </c>
      <c r="Q75" s="30" t="s">
        <v>60</v>
      </c>
      <c r="R75" s="30" t="s">
        <v>61</v>
      </c>
    </row>
    <row r="76" ht="28.35" hidden="0" outlineLevel="0" collapsed="0">
      <c r="A76" s="30" t="s">
        <v>274</v>
      </c>
      <c r="B76" s="30" t="s">
        <v>46</v>
      </c>
      <c r="C76" s="30" t="s">
        <v>275</v>
      </c>
      <c r="D76" s="31">
        <v>45.7463551401869</v>
      </c>
      <c r="E76" s="30" t="s">
        <v>276</v>
      </c>
      <c r="F76" s="30" t="s">
        <v>9</v>
      </c>
      <c r="G76" s="30" t="s">
        <v>277</v>
      </c>
      <c r="H76" s="30" t="s">
        <v>278</v>
      </c>
      <c r="I76" s="30" t="s">
        <v>279</v>
      </c>
      <c r="J76" s="30" t="s">
        <v>70</v>
      </c>
      <c r="K76" s="30" t="s">
        <v>236</v>
      </c>
      <c r="L76" s="30" t="s">
        <v>280</v>
      </c>
      <c r="M76" s="30" t="s">
        <v>281</v>
      </c>
      <c r="N76" s="30" t="s">
        <v>264</v>
      </c>
      <c r="O76" s="30" t="s">
        <v>58</v>
      </c>
      <c r="P76" s="30" t="s">
        <v>265</v>
      </c>
      <c r="Q76" s="30" t="s">
        <v>60</v>
      </c>
      <c r="R76" s="30" t="s">
        <v>282</v>
      </c>
    </row>
    <row r="77" ht="28.35" hidden="0" outlineLevel="0" collapsed="0">
      <c r="A77" s="30" t="s">
        <v>283</v>
      </c>
      <c r="B77" s="30" t="s">
        <v>46</v>
      </c>
      <c r="C77" s="30" t="s">
        <v>284</v>
      </c>
      <c r="D77" s="31">
        <v>38797</v>
      </c>
      <c r="E77" s="30" t="s">
        <v>48</v>
      </c>
      <c r="F77" s="30" t="s">
        <v>9</v>
      </c>
      <c r="G77" s="30" t="s">
        <v>259</v>
      </c>
      <c r="H77" s="30" t="s">
        <v>260</v>
      </c>
      <c r="I77" s="30" t="s">
        <v>261</v>
      </c>
      <c r="J77" s="30" t="s">
        <v>70</v>
      </c>
      <c r="K77" s="30" t="s">
        <v>236</v>
      </c>
      <c r="L77" s="30" t="s">
        <v>285</v>
      </c>
      <c r="M77" s="30" t="s">
        <v>263</v>
      </c>
      <c r="N77" s="30" t="s">
        <v>264</v>
      </c>
      <c r="O77" s="30" t="s">
        <v>58</v>
      </c>
      <c r="P77" s="30" t="s">
        <v>265</v>
      </c>
      <c r="Q77" s="30" t="s">
        <v>60</v>
      </c>
      <c r="R77" s="30" t="s">
        <v>61</v>
      </c>
    </row>
    <row r="78" ht="28.35" hidden="0" outlineLevel="0" collapsed="0">
      <c r="A78" s="30" t="s">
        <v>286</v>
      </c>
      <c r="B78" s="30" t="s">
        <v>46</v>
      </c>
      <c r="C78" s="30" t="s">
        <v>287</v>
      </c>
      <c r="D78" s="31">
        <v>0.528</v>
      </c>
      <c r="E78" s="30" t="s">
        <v>288</v>
      </c>
      <c r="F78" s="30" t="s">
        <v>9</v>
      </c>
      <c r="G78" s="30" t="s">
        <v>259</v>
      </c>
      <c r="H78" s="30" t="s">
        <v>260</v>
      </c>
      <c r="I78" s="30" t="s">
        <v>261</v>
      </c>
      <c r="J78" s="30" t="s">
        <v>70</v>
      </c>
      <c r="K78" s="30" t="s">
        <v>236</v>
      </c>
      <c r="L78" s="30" t="s">
        <v>289</v>
      </c>
      <c r="M78" s="30" t="s">
        <v>263</v>
      </c>
      <c r="N78" s="30" t="s">
        <v>264</v>
      </c>
      <c r="O78" s="30" t="s">
        <v>58</v>
      </c>
      <c r="P78" s="30" t="s">
        <v>265</v>
      </c>
      <c r="Q78" s="30" t="s">
        <v>60</v>
      </c>
      <c r="R78" s="30" t="s">
        <v>61</v>
      </c>
    </row>
    <row r="79" ht="28.35" hidden="0" outlineLevel="0" collapsed="0">
      <c r="A79" s="30" t="s">
        <v>290</v>
      </c>
      <c r="B79" s="30" t="s">
        <v>46</v>
      </c>
      <c r="C79" s="30" t="s">
        <v>291</v>
      </c>
      <c r="D79" s="31">
        <v>34000</v>
      </c>
      <c r="E79" s="30" t="s">
        <v>48</v>
      </c>
      <c r="F79" s="30" t="s">
        <v>292</v>
      </c>
      <c r="G79" s="30" t="s">
        <v>259</v>
      </c>
      <c r="H79" s="30" t="s">
        <v>293</v>
      </c>
      <c r="I79" s="30" t="s">
        <v>261</v>
      </c>
      <c r="J79" s="30" t="s">
        <v>294</v>
      </c>
      <c r="K79" s="30" t="s">
        <v>236</v>
      </c>
      <c r="L79" s="30" t="s">
        <v>295</v>
      </c>
      <c r="M79" s="30" t="s">
        <v>263</v>
      </c>
      <c r="N79" s="30" t="s">
        <v>296</v>
      </c>
      <c r="O79" s="30" t="s">
        <v>58</v>
      </c>
      <c r="P79" s="30" t="s">
        <v>265</v>
      </c>
      <c r="Q79" s="30" t="s">
        <v>60</v>
      </c>
      <c r="R79" s="30" t="s">
        <v>61</v>
      </c>
    </row>
    <row r="80" ht="28.35" hidden="0" outlineLevel="0" collapsed="0">
      <c r="A80" s="30" t="s">
        <v>297</v>
      </c>
      <c r="B80" s="30" t="s">
        <v>46</v>
      </c>
      <c r="C80" s="30" t="s">
        <v>298</v>
      </c>
      <c r="D80" s="31">
        <v>39000</v>
      </c>
      <c r="E80" s="30" t="s">
        <v>48</v>
      </c>
      <c r="F80" s="30" t="s">
        <v>292</v>
      </c>
      <c r="G80" s="30" t="s">
        <v>259</v>
      </c>
      <c r="H80" s="30" t="s">
        <v>293</v>
      </c>
      <c r="I80" s="30" t="s">
        <v>261</v>
      </c>
      <c r="J80" s="30" t="s">
        <v>294</v>
      </c>
      <c r="K80" s="30" t="s">
        <v>236</v>
      </c>
      <c r="L80" s="30" t="s">
        <v>299</v>
      </c>
      <c r="M80" s="30" t="s">
        <v>263</v>
      </c>
      <c r="N80" s="30" t="s">
        <v>296</v>
      </c>
      <c r="O80" s="30" t="s">
        <v>58</v>
      </c>
      <c r="P80" s="30" t="s">
        <v>265</v>
      </c>
      <c r="Q80" s="30" t="s">
        <v>60</v>
      </c>
      <c r="R80" s="30" t="s">
        <v>61</v>
      </c>
    </row>
    <row r="81" ht="28.35" hidden="0" outlineLevel="0" collapsed="0">
      <c r="A81" s="30" t="s">
        <v>300</v>
      </c>
      <c r="B81" s="30" t="s">
        <v>46</v>
      </c>
      <c r="C81" s="30" t="s">
        <v>301</v>
      </c>
      <c r="D81" s="31">
        <v>0.05</v>
      </c>
      <c r="E81" s="30" t="s">
        <v>302</v>
      </c>
      <c r="F81" s="30" t="s">
        <v>10</v>
      </c>
      <c r="G81" s="30" t="s">
        <v>303</v>
      </c>
      <c r="H81" s="30" t="s">
        <v>304</v>
      </c>
      <c r="I81" s="30" t="s">
        <v>305</v>
      </c>
      <c r="J81" s="30" t="s">
        <v>58</v>
      </c>
      <c r="K81" s="30" t="s">
        <v>236</v>
      </c>
      <c r="L81" s="30" t="s">
        <v>306</v>
      </c>
      <c r="M81" s="30" t="s">
        <v>307</v>
      </c>
      <c r="N81" s="30" t="s">
        <v>256</v>
      </c>
      <c r="O81" s="30" t="s">
        <v>58</v>
      </c>
      <c r="P81" s="30" t="s">
        <v>59</v>
      </c>
      <c r="Q81" s="30" t="s">
        <v>60</v>
      </c>
      <c r="R81" s="30" t="s">
        <v>308</v>
      </c>
    </row>
    <row r="82" ht="28.35" hidden="0" outlineLevel="0" collapsed="0">
      <c r="A82" s="30" t="s">
        <v>309</v>
      </c>
      <c r="B82" s="30" t="s">
        <v>46</v>
      </c>
      <c r="C82" s="30" t="s">
        <v>310</v>
      </c>
      <c r="D82" s="31">
        <v>0.04</v>
      </c>
      <c r="E82" s="30" t="s">
        <v>302</v>
      </c>
      <c r="F82" s="30" t="s">
        <v>10</v>
      </c>
      <c r="G82" s="30" t="s">
        <v>303</v>
      </c>
      <c r="H82" s="30" t="s">
        <v>304</v>
      </c>
      <c r="I82" s="30" t="s">
        <v>305</v>
      </c>
      <c r="J82" s="30" t="s">
        <v>58</v>
      </c>
      <c r="K82" s="30" t="s">
        <v>236</v>
      </c>
      <c r="L82" s="30" t="s">
        <v>311</v>
      </c>
      <c r="M82" s="30" t="s">
        <v>307</v>
      </c>
      <c r="N82" s="30" t="s">
        <v>256</v>
      </c>
      <c r="O82" s="30" t="s">
        <v>58</v>
      </c>
      <c r="P82" s="30" t="s">
        <v>59</v>
      </c>
      <c r="Q82" s="30" t="s">
        <v>60</v>
      </c>
      <c r="R82" s="30" t="s">
        <v>308</v>
      </c>
    </row>
    <row r="83" ht="28.35" hidden="0" outlineLevel="0" collapsed="0">
      <c r="A83" s="30" t="s">
        <v>312</v>
      </c>
      <c r="B83" s="30" t="s">
        <v>46</v>
      </c>
      <c r="C83" s="30" t="s">
        <v>313</v>
      </c>
      <c r="D83" s="31">
        <v>0.05</v>
      </c>
      <c r="E83" s="30" t="s">
        <v>302</v>
      </c>
      <c r="F83" s="30" t="s">
        <v>10</v>
      </c>
      <c r="G83" s="30" t="s">
        <v>303</v>
      </c>
      <c r="H83" s="30" t="s">
        <v>304</v>
      </c>
      <c r="I83" s="30" t="s">
        <v>305</v>
      </c>
      <c r="J83" s="30" t="s">
        <v>58</v>
      </c>
      <c r="K83" s="30" t="s">
        <v>236</v>
      </c>
      <c r="L83" s="30" t="s">
        <v>314</v>
      </c>
      <c r="M83" s="30" t="s">
        <v>307</v>
      </c>
      <c r="N83" s="30" t="s">
        <v>256</v>
      </c>
      <c r="O83" s="30" t="s">
        <v>58</v>
      </c>
      <c r="P83" s="30" t="s">
        <v>59</v>
      </c>
      <c r="Q83" s="30" t="s">
        <v>60</v>
      </c>
      <c r="R83" s="30" t="s">
        <v>308</v>
      </c>
    </row>
    <row r="84" ht="28.35" hidden="0" outlineLevel="0" collapsed="0">
      <c r="A84" s="30" t="s">
        <v>315</v>
      </c>
      <c r="B84" s="30" t="s">
        <v>46</v>
      </c>
      <c r="C84" s="30" t="s">
        <v>316</v>
      </c>
      <c r="D84" s="31">
        <v>0.03</v>
      </c>
      <c r="E84" s="30" t="s">
        <v>302</v>
      </c>
      <c r="F84" s="30" t="s">
        <v>10</v>
      </c>
      <c r="G84" s="30" t="s">
        <v>303</v>
      </c>
      <c r="H84" s="30" t="s">
        <v>304</v>
      </c>
      <c r="I84" s="30" t="s">
        <v>305</v>
      </c>
      <c r="J84" s="30" t="s">
        <v>58</v>
      </c>
      <c r="K84" s="30" t="s">
        <v>236</v>
      </c>
      <c r="L84" s="30" t="s">
        <v>317</v>
      </c>
      <c r="M84" s="30" t="s">
        <v>307</v>
      </c>
      <c r="N84" s="30" t="s">
        <v>256</v>
      </c>
      <c r="O84" s="30" t="s">
        <v>58</v>
      </c>
      <c r="P84" s="30" t="s">
        <v>59</v>
      </c>
      <c r="Q84" s="30" t="s">
        <v>60</v>
      </c>
      <c r="R84" s="30" t="s">
        <v>308</v>
      </c>
    </row>
    <row r="85" ht="28.35" hidden="0" outlineLevel="0" collapsed="0">
      <c r="A85" s="30" t="s">
        <v>318</v>
      </c>
      <c r="B85" s="30" t="s">
        <v>46</v>
      </c>
      <c r="C85" s="30" t="s">
        <v>319</v>
      </c>
      <c r="D85" s="31">
        <v>0.1</v>
      </c>
      <c r="E85" s="30" t="s">
        <v>302</v>
      </c>
      <c r="F85" s="30" t="s">
        <v>10</v>
      </c>
      <c r="G85" s="30" t="s">
        <v>303</v>
      </c>
      <c r="H85" s="30" t="s">
        <v>304</v>
      </c>
      <c r="I85" s="30" t="s">
        <v>305</v>
      </c>
      <c r="J85" s="30" t="s">
        <v>58</v>
      </c>
      <c r="K85" s="30" t="s">
        <v>236</v>
      </c>
      <c r="L85" s="30" t="s">
        <v>320</v>
      </c>
      <c r="M85" s="30" t="s">
        <v>307</v>
      </c>
      <c r="N85" s="30" t="s">
        <v>256</v>
      </c>
      <c r="O85" s="30" t="s">
        <v>58</v>
      </c>
      <c r="P85" s="30" t="s">
        <v>59</v>
      </c>
      <c r="Q85" s="30" t="s">
        <v>60</v>
      </c>
      <c r="R85" s="30" t="s">
        <v>308</v>
      </c>
    </row>
    <row r="86" ht="28.35" hidden="0" outlineLevel="0" collapsed="0">
      <c r="A86" s="30" t="s">
        <v>321</v>
      </c>
      <c r="B86" s="30" t="s">
        <v>46</v>
      </c>
      <c r="C86" s="30" t="s">
        <v>322</v>
      </c>
      <c r="D86" s="31">
        <v>0.07</v>
      </c>
      <c r="E86" s="30" t="s">
        <v>302</v>
      </c>
      <c r="F86" s="30" t="s">
        <v>10</v>
      </c>
      <c r="G86" s="30" t="s">
        <v>303</v>
      </c>
      <c r="H86" s="30" t="s">
        <v>304</v>
      </c>
      <c r="I86" s="30" t="s">
        <v>305</v>
      </c>
      <c r="J86" s="30" t="s">
        <v>58</v>
      </c>
      <c r="K86" s="30" t="s">
        <v>236</v>
      </c>
      <c r="L86" s="30" t="s">
        <v>323</v>
      </c>
      <c r="M86" s="30" t="s">
        <v>307</v>
      </c>
      <c r="N86" s="30" t="s">
        <v>256</v>
      </c>
      <c r="O86" s="30" t="s">
        <v>58</v>
      </c>
      <c r="P86" s="30" t="s">
        <v>59</v>
      </c>
      <c r="Q86" s="30" t="s">
        <v>60</v>
      </c>
      <c r="R86" s="30" t="s">
        <v>308</v>
      </c>
    </row>
    <row r="87" ht="28.35" hidden="0" outlineLevel="0" collapsed="0">
      <c r="A87" s="30" t="s">
        <v>324</v>
      </c>
      <c r="B87" s="30" t="s">
        <v>46</v>
      </c>
      <c r="C87" s="30" t="s">
        <v>325</v>
      </c>
      <c r="D87" s="31">
        <v>0.525</v>
      </c>
      <c r="E87" s="30" t="s">
        <v>302</v>
      </c>
      <c r="F87" s="30" t="s">
        <v>10</v>
      </c>
      <c r="G87" s="30" t="s">
        <v>303</v>
      </c>
      <c r="H87" s="30" t="s">
        <v>304</v>
      </c>
      <c r="I87" s="30" t="s">
        <v>305</v>
      </c>
      <c r="J87" s="30" t="s">
        <v>58</v>
      </c>
      <c r="K87" s="30" t="s">
        <v>236</v>
      </c>
      <c r="L87" s="30" t="s">
        <v>326</v>
      </c>
      <c r="M87" s="30" t="s">
        <v>307</v>
      </c>
      <c r="N87" s="30" t="s">
        <v>256</v>
      </c>
      <c r="O87" s="30" t="s">
        <v>58</v>
      </c>
      <c r="P87" s="30" t="s">
        <v>59</v>
      </c>
      <c r="Q87" s="30" t="s">
        <v>60</v>
      </c>
      <c r="R87" s="30" t="s">
        <v>308</v>
      </c>
    </row>
    <row r="88" ht="28.35" hidden="0" outlineLevel="0" collapsed="0">
      <c r="A88" s="30" t="s">
        <v>327</v>
      </c>
      <c r="B88" s="30" t="s">
        <v>46</v>
      </c>
      <c r="C88" s="30" t="s">
        <v>328</v>
      </c>
      <c r="D88" s="31">
        <v>0.545</v>
      </c>
      <c r="E88" s="30" t="s">
        <v>302</v>
      </c>
      <c r="F88" s="30" t="s">
        <v>10</v>
      </c>
      <c r="G88" s="30" t="s">
        <v>303</v>
      </c>
      <c r="H88" s="30" t="s">
        <v>304</v>
      </c>
      <c r="I88" s="30" t="s">
        <v>305</v>
      </c>
      <c r="J88" s="30" t="s">
        <v>58</v>
      </c>
      <c r="K88" s="30" t="s">
        <v>236</v>
      </c>
      <c r="L88" s="30" t="s">
        <v>329</v>
      </c>
      <c r="M88" s="30" t="s">
        <v>307</v>
      </c>
      <c r="N88" s="30" t="s">
        <v>256</v>
      </c>
      <c r="O88" s="30" t="s">
        <v>58</v>
      </c>
      <c r="P88" s="30" t="s">
        <v>59</v>
      </c>
      <c r="Q88" s="30" t="s">
        <v>60</v>
      </c>
      <c r="R88" s="30" t="s">
        <v>308</v>
      </c>
    </row>
    <row r="89" ht="28.35" hidden="0" outlineLevel="0" collapsed="0">
      <c r="A89" s="30" t="s">
        <v>330</v>
      </c>
      <c r="B89" s="30" t="s">
        <v>46</v>
      </c>
      <c r="C89" s="30" t="s">
        <v>331</v>
      </c>
      <c r="D89" s="31">
        <v>0.143</v>
      </c>
      <c r="E89" s="30" t="s">
        <v>302</v>
      </c>
      <c r="F89" s="30" t="s">
        <v>10</v>
      </c>
      <c r="G89" s="30" t="s">
        <v>303</v>
      </c>
      <c r="H89" s="30" t="s">
        <v>304</v>
      </c>
      <c r="I89" s="30" t="s">
        <v>305</v>
      </c>
      <c r="J89" s="30" t="s">
        <v>58</v>
      </c>
      <c r="K89" s="30" t="s">
        <v>236</v>
      </c>
      <c r="L89" s="30" t="s">
        <v>332</v>
      </c>
      <c r="M89" s="30" t="s">
        <v>307</v>
      </c>
      <c r="N89" s="30" t="s">
        <v>256</v>
      </c>
      <c r="O89" s="30" t="s">
        <v>58</v>
      </c>
      <c r="P89" s="30" t="s">
        <v>59</v>
      </c>
      <c r="Q89" s="30" t="s">
        <v>60</v>
      </c>
      <c r="R89" s="30" t="s">
        <v>308</v>
      </c>
    </row>
    <row r="90" ht="28.35" hidden="0" outlineLevel="0" collapsed="0">
      <c r="A90" s="30" t="s">
        <v>333</v>
      </c>
      <c r="B90" s="30" t="s">
        <v>46</v>
      </c>
      <c r="C90" s="30" t="s">
        <v>334</v>
      </c>
      <c r="D90" s="31">
        <v>0.039</v>
      </c>
      <c r="E90" s="30" t="s">
        <v>302</v>
      </c>
      <c r="F90" s="30" t="s">
        <v>10</v>
      </c>
      <c r="G90" s="30" t="s">
        <v>303</v>
      </c>
      <c r="H90" s="30" t="s">
        <v>304</v>
      </c>
      <c r="I90" s="30" t="s">
        <v>305</v>
      </c>
      <c r="J90" s="30" t="s">
        <v>58</v>
      </c>
      <c r="K90" s="30" t="s">
        <v>236</v>
      </c>
      <c r="L90" s="30" t="s">
        <v>335</v>
      </c>
      <c r="M90" s="30" t="s">
        <v>307</v>
      </c>
      <c r="N90" s="30" t="s">
        <v>256</v>
      </c>
      <c r="O90" s="30" t="s">
        <v>58</v>
      </c>
      <c r="P90" s="30" t="s">
        <v>59</v>
      </c>
      <c r="Q90" s="30" t="s">
        <v>60</v>
      </c>
      <c r="R90" s="30" t="s">
        <v>308</v>
      </c>
    </row>
    <row r="91" ht="28.35" hidden="0" outlineLevel="0" collapsed="0">
      <c r="A91" s="30" t="s">
        <v>336</v>
      </c>
      <c r="B91" s="30" t="s">
        <v>46</v>
      </c>
      <c r="C91" s="30" t="s">
        <v>337</v>
      </c>
      <c r="D91" s="31">
        <v>0.15</v>
      </c>
      <c r="E91" s="30" t="s">
        <v>302</v>
      </c>
      <c r="F91" s="30" t="s">
        <v>10</v>
      </c>
      <c r="G91" s="30" t="s">
        <v>303</v>
      </c>
      <c r="H91" s="30" t="s">
        <v>304</v>
      </c>
      <c r="I91" s="30" t="s">
        <v>305</v>
      </c>
      <c r="J91" s="30" t="s">
        <v>58</v>
      </c>
      <c r="K91" s="30" t="s">
        <v>236</v>
      </c>
      <c r="L91" s="30" t="s">
        <v>338</v>
      </c>
      <c r="M91" s="30" t="s">
        <v>307</v>
      </c>
      <c r="N91" s="30" t="s">
        <v>256</v>
      </c>
      <c r="O91" s="30" t="s">
        <v>58</v>
      </c>
      <c r="P91" s="30" t="s">
        <v>59</v>
      </c>
      <c r="Q91" s="30" t="s">
        <v>60</v>
      </c>
      <c r="R91" s="30" t="s">
        <v>308</v>
      </c>
    </row>
    <row r="92" ht="28.35" hidden="0" outlineLevel="0" collapsed="0">
      <c r="A92" s="30" t="s">
        <v>339</v>
      </c>
      <c r="B92" s="30" t="s">
        <v>46</v>
      </c>
      <c r="C92" s="30" t="s">
        <v>340</v>
      </c>
      <c r="D92" s="31">
        <v>0.05</v>
      </c>
      <c r="E92" s="30" t="s">
        <v>302</v>
      </c>
      <c r="F92" s="30" t="s">
        <v>10</v>
      </c>
      <c r="G92" s="30" t="s">
        <v>303</v>
      </c>
      <c r="H92" s="30" t="s">
        <v>304</v>
      </c>
      <c r="I92" s="30" t="s">
        <v>305</v>
      </c>
      <c r="J92" s="30" t="s">
        <v>58</v>
      </c>
      <c r="K92" s="30" t="s">
        <v>236</v>
      </c>
      <c r="L92" s="30" t="s">
        <v>341</v>
      </c>
      <c r="M92" s="30" t="s">
        <v>307</v>
      </c>
      <c r="N92" s="30" t="s">
        <v>256</v>
      </c>
      <c r="O92" s="30" t="s">
        <v>58</v>
      </c>
      <c r="P92" s="30" t="s">
        <v>59</v>
      </c>
      <c r="Q92" s="30" t="s">
        <v>60</v>
      </c>
      <c r="R92" s="30" t="s">
        <v>308</v>
      </c>
    </row>
    <row r="93" ht="28.35" hidden="0" outlineLevel="0" collapsed="0">
      <c r="A93" s="30" t="s">
        <v>342</v>
      </c>
      <c r="B93" s="30" t="s">
        <v>46</v>
      </c>
      <c r="C93" s="30" t="s">
        <v>343</v>
      </c>
      <c r="D93" s="31">
        <v>0.05</v>
      </c>
      <c r="E93" s="30" t="s">
        <v>302</v>
      </c>
      <c r="F93" s="30" t="s">
        <v>10</v>
      </c>
      <c r="G93" s="30" t="s">
        <v>303</v>
      </c>
      <c r="H93" s="30" t="s">
        <v>304</v>
      </c>
      <c r="I93" s="30" t="s">
        <v>305</v>
      </c>
      <c r="J93" s="30" t="s">
        <v>58</v>
      </c>
      <c r="K93" s="30" t="s">
        <v>236</v>
      </c>
      <c r="L93" s="30" t="s">
        <v>344</v>
      </c>
      <c r="M93" s="30" t="s">
        <v>307</v>
      </c>
      <c r="N93" s="30" t="s">
        <v>256</v>
      </c>
      <c r="O93" s="30" t="s">
        <v>58</v>
      </c>
      <c r="P93" s="30" t="s">
        <v>59</v>
      </c>
      <c r="Q93" s="30" t="s">
        <v>60</v>
      </c>
      <c r="R93" s="30" t="s">
        <v>308</v>
      </c>
    </row>
    <row r="94" ht="28.35" hidden="0" outlineLevel="0" collapsed="0">
      <c r="A94" s="30" t="s">
        <v>345</v>
      </c>
      <c r="B94" s="30" t="s">
        <v>46</v>
      </c>
      <c r="C94" s="30" t="s">
        <v>346</v>
      </c>
      <c r="D94" s="31">
        <v>0.045</v>
      </c>
      <c r="E94" s="30" t="s">
        <v>302</v>
      </c>
      <c r="F94" s="30" t="s">
        <v>10</v>
      </c>
      <c r="G94" s="30" t="s">
        <v>303</v>
      </c>
      <c r="H94" s="30" t="s">
        <v>304</v>
      </c>
      <c r="I94" s="30" t="s">
        <v>305</v>
      </c>
      <c r="J94" s="30" t="s">
        <v>58</v>
      </c>
      <c r="K94" s="30" t="s">
        <v>236</v>
      </c>
      <c r="L94" s="30" t="s">
        <v>347</v>
      </c>
      <c r="M94" s="30" t="s">
        <v>307</v>
      </c>
      <c r="N94" s="30" t="s">
        <v>256</v>
      </c>
      <c r="O94" s="30" t="s">
        <v>58</v>
      </c>
      <c r="P94" s="30" t="s">
        <v>59</v>
      </c>
      <c r="Q94" s="30" t="s">
        <v>60</v>
      </c>
      <c r="R94" s="30" t="s">
        <v>308</v>
      </c>
    </row>
    <row r="95" ht="28.35" hidden="0" outlineLevel="0" collapsed="0">
      <c r="A95" s="30" t="s">
        <v>348</v>
      </c>
      <c r="B95" s="30" t="s">
        <v>46</v>
      </c>
      <c r="C95" s="30" t="s">
        <v>349</v>
      </c>
      <c r="D95" s="31">
        <v>0.03</v>
      </c>
      <c r="E95" s="30" t="s">
        <v>302</v>
      </c>
      <c r="F95" s="30" t="s">
        <v>10</v>
      </c>
      <c r="G95" s="30" t="s">
        <v>303</v>
      </c>
      <c r="H95" s="30" t="s">
        <v>304</v>
      </c>
      <c r="I95" s="30" t="s">
        <v>305</v>
      </c>
      <c r="J95" s="30" t="s">
        <v>58</v>
      </c>
      <c r="K95" s="30" t="s">
        <v>236</v>
      </c>
      <c r="L95" s="30" t="s">
        <v>350</v>
      </c>
      <c r="M95" s="30" t="s">
        <v>307</v>
      </c>
      <c r="N95" s="30" t="s">
        <v>256</v>
      </c>
      <c r="O95" s="30" t="s">
        <v>58</v>
      </c>
      <c r="P95" s="30" t="s">
        <v>59</v>
      </c>
      <c r="Q95" s="30" t="s">
        <v>60</v>
      </c>
      <c r="R95" s="30" t="s">
        <v>308</v>
      </c>
    </row>
    <row r="96" ht="28.35" hidden="0" outlineLevel="0" collapsed="0">
      <c r="A96" s="30" t="s">
        <v>351</v>
      </c>
      <c r="B96" s="30" t="s">
        <v>46</v>
      </c>
      <c r="C96" s="30" t="s">
        <v>352</v>
      </c>
      <c r="D96" s="31">
        <v>0.085</v>
      </c>
      <c r="E96" s="30" t="s">
        <v>302</v>
      </c>
      <c r="F96" s="30" t="s">
        <v>10</v>
      </c>
      <c r="G96" s="30" t="s">
        <v>303</v>
      </c>
      <c r="H96" s="30" t="s">
        <v>304</v>
      </c>
      <c r="I96" s="30" t="s">
        <v>305</v>
      </c>
      <c r="J96" s="30" t="s">
        <v>58</v>
      </c>
      <c r="K96" s="30" t="s">
        <v>236</v>
      </c>
      <c r="L96" s="30" t="s">
        <v>353</v>
      </c>
      <c r="M96" s="30" t="s">
        <v>307</v>
      </c>
      <c r="N96" s="30" t="s">
        <v>256</v>
      </c>
      <c r="O96" s="30" t="s">
        <v>58</v>
      </c>
      <c r="P96" s="30" t="s">
        <v>59</v>
      </c>
      <c r="Q96" s="30" t="s">
        <v>60</v>
      </c>
      <c r="R96" s="30" t="s">
        <v>308</v>
      </c>
    </row>
    <row r="97" ht="28.35" hidden="0" outlineLevel="0" collapsed="0">
      <c r="A97" s="30" t="s">
        <v>354</v>
      </c>
      <c r="B97" s="30" t="s">
        <v>46</v>
      </c>
      <c r="C97" s="30" t="s">
        <v>355</v>
      </c>
      <c r="D97" s="31">
        <v>0.03</v>
      </c>
      <c r="E97" s="30" t="s">
        <v>302</v>
      </c>
      <c r="F97" s="30" t="s">
        <v>10</v>
      </c>
      <c r="G97" s="30" t="s">
        <v>303</v>
      </c>
      <c r="H97" s="30" t="s">
        <v>304</v>
      </c>
      <c r="I97" s="30" t="s">
        <v>305</v>
      </c>
      <c r="J97" s="30" t="s">
        <v>58</v>
      </c>
      <c r="K97" s="30" t="s">
        <v>236</v>
      </c>
      <c r="L97" s="30" t="s">
        <v>356</v>
      </c>
      <c r="M97" s="30" t="s">
        <v>307</v>
      </c>
      <c r="N97" s="30" t="s">
        <v>256</v>
      </c>
      <c r="O97" s="30" t="s">
        <v>58</v>
      </c>
      <c r="P97" s="30" t="s">
        <v>59</v>
      </c>
      <c r="Q97" s="30" t="s">
        <v>60</v>
      </c>
      <c r="R97" s="30" t="s">
        <v>308</v>
      </c>
    </row>
    <row r="98" hidden="0" outlineLevel="0" collapsed="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idden="0" outlineLevel="0" collapsed="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</sheetData>
  <mergeCells count="2">
    <mergeCell ref="A1:R1"/>
    <mergeCell ref="A2:R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2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6" width="15" style="1" customWidth="1"/>
    <col min="7" max="8" width="22" style="1" customWidth="1"/>
  </cols>
  <sheetData>
    <row r="1" hidden="0" outlineLevel="0" collapsed="0">
      <c r="A1" s="2" t="s">
        <v>357</v>
      </c>
      <c r="B1" s="2"/>
      <c r="C1" s="2"/>
      <c r="D1" s="2"/>
      <c r="E1" s="2"/>
      <c r="F1" s="2"/>
      <c r="G1" s="2"/>
      <c r="H1" s="2"/>
    </row>
    <row r="2" ht="34" hidden="0" outlineLevel="0" collapsed="0">
      <c r="A2" s="3" t="s">
        <v>358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29" t="s">
        <v>359</v>
      </c>
      <c r="B4" s="29" t="s">
        <v>360</v>
      </c>
      <c r="C4" s="29" t="s">
        <v>361</v>
      </c>
      <c r="D4" s="29" t="s">
        <v>362</v>
      </c>
      <c r="E4" s="29" t="s">
        <v>363</v>
      </c>
      <c r="F4" s="29" t="s">
        <v>9</v>
      </c>
      <c r="G4" s="29" t="s">
        <v>31</v>
      </c>
      <c r="H4" s="29" t="s">
        <v>364</v>
      </c>
    </row>
    <row r="5" hidden="0" outlineLevel="0" collapsed="0">
      <c r="A5" s="10" t="s">
        <v>47</v>
      </c>
      <c r="B5" s="31">
        <v>18611</v>
      </c>
      <c r="C5" s="31">
        <v>21173.4</v>
      </c>
      <c r="D5" s="31">
        <v>27558.5</v>
      </c>
      <c r="E5" s="31">
        <v>28262.9</v>
      </c>
      <c r="F5" s="31">
        <v>32667.3</v>
      </c>
      <c r="G5" s="30" t="s">
        <v>365</v>
      </c>
      <c r="H5" s="30" t="str">
        <f>IF(COUNTIF(Sources!$C$5:$C$97,"Revenue")&gt;=1,"VERIFIED","CHECK")</f>
        <v>VERIFIED</v>
      </c>
    </row>
    <row r="6" hidden="0" outlineLevel="0" collapsed="0">
      <c r="A6" s="10" t="s">
        <v>366</v>
      </c>
      <c r="B6" s="11"/>
      <c r="C6" s="32">
        <f>IF(B5&lt;&gt;0,C5/B5-1,0)</f>
        <v>0.137682016012036</v>
      </c>
      <c r="D6" s="32">
        <f>IF(C5&lt;&gt;0,D5/C5-1,0)</f>
        <v>0.30156233765007023</v>
      </c>
      <c r="E6" s="32">
        <f>IF(D5&lt;&gt;0,E5/D5-1,0)</f>
        <v>0.02556017199775029</v>
      </c>
      <c r="F6" s="32">
        <f>IF(E5&lt;&gt;0,F5/E5-1,0)</f>
        <v>0.15583680372502462</v>
      </c>
      <c r="G6" s="30" t="s">
        <v>288</v>
      </c>
      <c r="H6" s="30" t="s">
        <v>367</v>
      </c>
    </row>
    <row r="7" hidden="0" outlineLevel="0" collapsed="0">
      <c r="A7" s="10" t="s">
        <v>81</v>
      </c>
      <c r="B7" s="31">
        <v>9809</v>
      </c>
      <c r="C7" s="31">
        <v>10700.1</v>
      </c>
      <c r="D7" s="31">
        <v>14136.1</v>
      </c>
      <c r="E7" s="31">
        <v>14492</v>
      </c>
      <c r="F7" s="31">
        <v>17258</v>
      </c>
      <c r="G7" s="30" t="s">
        <v>365</v>
      </c>
      <c r="H7" s="30" t="str">
        <f>IF(COUNTIF(Sources!$C$5:$C$97,"Gross profit")&gt;=1,"VERIFIED","CHECK")</f>
        <v>VERIFIED</v>
      </c>
    </row>
    <row r="8" hidden="0" outlineLevel="0" collapsed="0">
      <c r="A8" s="10" t="s">
        <v>287</v>
      </c>
      <c r="B8" s="32">
        <f>IF(B5&lt;&gt;0,B7/B5,0)</f>
        <v>0.5270538928590618</v>
      </c>
      <c r="C8" s="32">
        <f>IF(C5&lt;&gt;0,C7/C5,0)</f>
        <v>0.5053557765876052</v>
      </c>
      <c r="D8" s="32">
        <f>IF(D5&lt;&gt;0,D7/D5,0)</f>
        <v>0.5129488179690477</v>
      </c>
      <c r="E8" s="32">
        <f>IF(E5&lt;&gt;0,E7/E5,0)</f>
        <v>0.512757006535069</v>
      </c>
      <c r="F8" s="32">
        <f>IF(F5&lt;&gt;0,F7/F5,0)</f>
        <v>0.5282958799778372</v>
      </c>
      <c r="G8" s="30" t="s">
        <v>288</v>
      </c>
      <c r="H8" s="30" t="s">
        <v>367</v>
      </c>
    </row>
    <row r="9" hidden="0" outlineLevel="0" collapsed="0">
      <c r="A9" s="10" t="s">
        <v>93</v>
      </c>
      <c r="B9" s="31">
        <v>6750.1</v>
      </c>
      <c r="C9" s="31">
        <v>6500.7</v>
      </c>
      <c r="D9" s="31">
        <v>9042.3</v>
      </c>
      <c r="E9" s="31">
        <v>9022.6</v>
      </c>
      <c r="F9" s="31">
        <v>11301.4</v>
      </c>
      <c r="G9" s="30" t="s">
        <v>365</v>
      </c>
      <c r="H9" s="30" t="str">
        <f>IF(COUNTIF(Sources!$C$5:$C$97,"Operating income")&gt;=1,"VERIFIED","CHECK")</f>
        <v>VERIFIED</v>
      </c>
    </row>
    <row r="10" hidden="0" outlineLevel="0" collapsed="0">
      <c r="A10" s="10" t="s">
        <v>368</v>
      </c>
      <c r="B10" s="32">
        <f>IF(B5&lt;&gt;0,B9/B5,0)</f>
        <v>0.3626941056364516</v>
      </c>
      <c r="C10" s="32">
        <f>IF(C5&lt;&gt;0,C9/C5,0)</f>
        <v>0.3070220181926379</v>
      </c>
      <c r="D10" s="32">
        <f>IF(D5&lt;&gt;0,D9/D5,0)</f>
        <v>0.3281129234174574</v>
      </c>
      <c r="E10" s="32">
        <f>IF(E5&lt;&gt;0,E9/E5,0)</f>
        <v>0.31923829472559434</v>
      </c>
      <c r="F10" s="32">
        <f>IF(F5&lt;&gt;0,F9/F5,0)</f>
        <v>0.34595451720833986</v>
      </c>
      <c r="G10" s="30" t="s">
        <v>288</v>
      </c>
      <c r="H10" s="30" t="s">
        <v>367</v>
      </c>
    </row>
    <row r="11" ht="28.35" hidden="0" outlineLevel="0" collapsed="0">
      <c r="A11" s="10" t="s">
        <v>105</v>
      </c>
      <c r="B11" s="31">
        <v>5883.2</v>
      </c>
      <c r="C11" s="31">
        <v>5624.2</v>
      </c>
      <c r="D11" s="31">
        <v>7839</v>
      </c>
      <c r="E11" s="31">
        <v>7571.6</v>
      </c>
      <c r="F11" s="31">
        <v>9609.4</v>
      </c>
      <c r="G11" s="30" t="s">
        <v>365</v>
      </c>
      <c r="H11" s="30" t="str">
        <f>IF(COUNTIF(Sources!$C$5:$C$97,"Net income attributable / consolidated")&gt;=1,"VERIFIED","CHECK")</f>
        <v>VERIFIED</v>
      </c>
    </row>
    <row r="12" hidden="0" outlineLevel="0" collapsed="0">
      <c r="A12" s="10" t="s">
        <v>117</v>
      </c>
      <c r="B12" s="31">
        <v>10845.8</v>
      </c>
      <c r="C12" s="31">
        <v>8486.8</v>
      </c>
      <c r="D12" s="31">
        <v>5443.4</v>
      </c>
      <c r="E12" s="31">
        <v>11166.2</v>
      </c>
      <c r="F12" s="31">
        <v>12658.5</v>
      </c>
      <c r="G12" s="30" t="s">
        <v>365</v>
      </c>
      <c r="H12" s="30" t="str">
        <f>IF(COUNTIF(Sources!$C$5:$C$97,"Cash flow from operations")&gt;=1,"VERIFIED","CHECK")</f>
        <v>VERIFIED</v>
      </c>
    </row>
    <row r="13" hidden="0" outlineLevel="0" collapsed="0">
      <c r="A13" s="10" t="s">
        <v>129</v>
      </c>
      <c r="B13" s="31">
        <v>900.7</v>
      </c>
      <c r="C13" s="31">
        <v>1281.8</v>
      </c>
      <c r="D13" s="31">
        <v>2155.6</v>
      </c>
      <c r="E13" s="31">
        <v>2067.2</v>
      </c>
      <c r="F13" s="31">
        <v>1573.6</v>
      </c>
      <c r="G13" s="30" t="s">
        <v>365</v>
      </c>
      <c r="H13" s="30" t="str">
        <f>IF(COUNTIF(Sources!$C$5:$C$97,"Capital expenditure")&gt;=1,"VERIFIED","CHECK")</f>
        <v>VERIFIED</v>
      </c>
    </row>
    <row r="14" hidden="0" outlineLevel="0" collapsed="0">
      <c r="A14" s="10" t="s">
        <v>141</v>
      </c>
      <c r="B14" s="31">
        <v>2547</v>
      </c>
      <c r="C14" s="31">
        <v>3253.5</v>
      </c>
      <c r="D14" s="31">
        <v>3980.6</v>
      </c>
      <c r="E14" s="31">
        <v>4303.7</v>
      </c>
      <c r="F14" s="31">
        <v>4698.8</v>
      </c>
      <c r="G14" s="30" t="s">
        <v>365</v>
      </c>
      <c r="H14" s="30" t="str">
        <f>IF(COUNTIF(Sources!$C$5:$C$97,"Research and development")&gt;=1,"VERIFIED","CHECK")</f>
        <v>VERIFIED</v>
      </c>
    </row>
    <row r="15" hidden="0" outlineLevel="0" collapsed="0">
      <c r="A15" s="10" t="s">
        <v>153</v>
      </c>
      <c r="B15" s="31">
        <v>30231</v>
      </c>
      <c r="C15" s="31">
        <v>36300.4</v>
      </c>
      <c r="D15" s="31">
        <v>39957.5</v>
      </c>
      <c r="E15" s="31">
        <v>48589.6</v>
      </c>
      <c r="F15" s="31">
        <v>50566.6</v>
      </c>
      <c r="G15" s="30" t="s">
        <v>365</v>
      </c>
      <c r="H15" s="30" t="str">
        <f>IF(COUNTIF(Sources!$C$5:$C$97,"Total assets")&gt;=1,"VERIFIED","CHECK")</f>
        <v>VERIFIED</v>
      </c>
    </row>
    <row r="16" hidden="0" outlineLevel="0" collapsed="0">
      <c r="A16" s="10" t="s">
        <v>168</v>
      </c>
      <c r="B16" s="31">
        <v>20090.4</v>
      </c>
      <c r="C16" s="31">
        <v>27489.6</v>
      </c>
      <c r="D16" s="31">
        <v>26505.1</v>
      </c>
      <c r="E16" s="31">
        <v>30112.8</v>
      </c>
      <c r="F16" s="31">
        <v>30954.4</v>
      </c>
      <c r="G16" s="30" t="s">
        <v>365</v>
      </c>
      <c r="H16" s="30" t="str">
        <f>IF(COUNTIF(Sources!$C$5:$C$97,"Total liabilities")&gt;=1,"VERIFIED","CHECK")</f>
        <v>VERIFIED</v>
      </c>
    </row>
    <row r="17" ht="28.35" hidden="0" outlineLevel="0" collapsed="0">
      <c r="A17" s="10" t="s">
        <v>180</v>
      </c>
      <c r="B17" s="31">
        <v>10140.6</v>
      </c>
      <c r="C17" s="31">
        <v>8810.8</v>
      </c>
      <c r="D17" s="31">
        <v>13452.4</v>
      </c>
      <c r="E17" s="31">
        <v>18476.8</v>
      </c>
      <c r="F17" s="31">
        <v>19612.2</v>
      </c>
      <c r="G17" s="30" t="s">
        <v>365</v>
      </c>
      <c r="H17" s="30" t="str">
        <f>IF(COUNTIF(Sources!$C$5:$C$97,"Equity attributable / stockholders' equity")&gt;=1,"VERIFIED","CHECK")</f>
        <v>VERIFIED</v>
      </c>
    </row>
    <row r="18" hidden="0" outlineLevel="0" collapsed="0">
      <c r="A18" s="10" t="s">
        <v>192</v>
      </c>
      <c r="B18" s="31">
        <v>6951.8</v>
      </c>
      <c r="C18" s="31">
        <v>7268.3</v>
      </c>
      <c r="D18" s="31">
        <v>7004.7</v>
      </c>
      <c r="E18" s="31">
        <v>12735.9</v>
      </c>
      <c r="F18" s="31">
        <v>12916</v>
      </c>
      <c r="G18" s="30" t="s">
        <v>365</v>
      </c>
      <c r="H18" s="30" t="str">
        <f>IF(COUNTIF(Sources!$C$5:$C$97,"Cash and cash equivalents")&gt;=1,"VERIFIED","CHECK")</f>
        <v>VERIFIED</v>
      </c>
    </row>
    <row r="19" hidden="0" outlineLevel="0" collapsed="0">
      <c r="A19" s="10" t="s">
        <v>204</v>
      </c>
      <c r="B19" s="31">
        <v>4075</v>
      </c>
      <c r="C19" s="31">
        <v>3514.2</v>
      </c>
      <c r="D19" s="31">
        <v>4631.5</v>
      </c>
      <c r="E19" s="31">
        <v>3677.3</v>
      </c>
      <c r="F19" s="31">
        <v>2709</v>
      </c>
      <c r="G19" s="30" t="s">
        <v>365</v>
      </c>
      <c r="H19" s="30" t="str">
        <f>IF(COUNTIF(Sources!$C$5:$C$97,"Interest-bearing debt")&gt;=1,"VERIFIED","CHECK")</f>
        <v>VERIFIED</v>
      </c>
    </row>
    <row r="20" ht="28.35" hidden="0" outlineLevel="0" collapsed="0">
      <c r="A20" s="10" t="s">
        <v>216</v>
      </c>
      <c r="B20" s="31">
        <v>410.4</v>
      </c>
      <c r="C20" s="31">
        <v>398</v>
      </c>
      <c r="D20" s="31">
        <v>394.1</v>
      </c>
      <c r="E20" s="31">
        <v>393.6</v>
      </c>
      <c r="F20" s="31">
        <v>388.9</v>
      </c>
      <c r="G20" s="30" t="s">
        <v>217</v>
      </c>
      <c r="H20" s="30" t="str">
        <f>IF(COUNTIF(Sources!$C$5:$C$97,"Diluted weighted-average shares")&gt;=1,"VERIFIED","CHECK")</f>
        <v>VERIFIED</v>
      </c>
    </row>
    <row r="21" hidden="0" outlineLevel="0" collapsed="0">
      <c r="A21" s="4"/>
      <c r="B21" s="4"/>
      <c r="C21" s="4"/>
      <c r="D21" s="4"/>
      <c r="E21" s="4"/>
      <c r="F21" s="4"/>
      <c r="G21" s="4"/>
      <c r="H21" s="4"/>
    </row>
    <row r="22" hidden="0" outlineLevel="0" collapsed="0">
      <c r="A22" s="4"/>
      <c r="B22" s="4"/>
      <c r="C22" s="4"/>
      <c r="D22" s="4"/>
      <c r="E22" s="4"/>
      <c r="F22" s="4"/>
      <c r="G22" s="4"/>
      <c r="H22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27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5" width="15" style="1" customWidth="1"/>
    <col min="6" max="6" width="52" style="1" customWidth="1"/>
  </cols>
  <sheetData>
    <row r="1" hidden="0" outlineLevel="0" collapsed="0">
      <c r="A1" s="2" t="s">
        <v>369</v>
      </c>
      <c r="B1" s="2"/>
      <c r="C1" s="2"/>
      <c r="D1" s="2"/>
      <c r="E1" s="2"/>
      <c r="F1" s="2"/>
    </row>
    <row r="2" ht="34" hidden="0" outlineLevel="0" collapsed="0">
      <c r="A2" s="3" t="s">
        <v>370</v>
      </c>
      <c r="B2" s="3"/>
      <c r="C2" s="3"/>
      <c r="D2" s="3"/>
      <c r="E2" s="3"/>
      <c r="F2" s="3"/>
    </row>
    <row r="3" hidden="0" outlineLevel="0" collapsed="0">
      <c r="A3" s="4" t="s">
        <v>371</v>
      </c>
      <c r="B3" s="12">
        <v>1</v>
      </c>
      <c r="C3" s="4"/>
      <c r="D3" s="4"/>
      <c r="E3" s="4"/>
      <c r="F3" s="4"/>
    </row>
    <row r="4" hidden="0" outlineLevel="0" collapsed="0">
      <c r="A4" s="29" t="s">
        <v>372</v>
      </c>
      <c r="B4" s="29" t="s">
        <v>373</v>
      </c>
      <c r="C4" s="29" t="s">
        <v>374</v>
      </c>
      <c r="D4" s="29" t="s">
        <v>375</v>
      </c>
      <c r="E4" s="29" t="s">
        <v>376</v>
      </c>
      <c r="F4" s="29" t="s">
        <v>377</v>
      </c>
    </row>
    <row r="5" hidden="0" outlineLevel="0" collapsed="0">
      <c r="A5" s="30" t="s">
        <v>301</v>
      </c>
      <c r="B5" s="13">
        <v>0.05</v>
      </c>
      <c r="C5" s="13">
        <v>0.09</v>
      </c>
      <c r="D5" s="13">
        <v>-0.03</v>
      </c>
      <c r="E5" s="14">
        <f>CHOOSE($B$3,B5,C5,D5)</f>
        <v>0.05</v>
      </c>
      <c r="F5" s="30" t="s">
        <v>378</v>
      </c>
    </row>
    <row r="6" hidden="0" outlineLevel="0" collapsed="0">
      <c r="A6" s="30" t="s">
        <v>310</v>
      </c>
      <c r="B6" s="13">
        <v>0.04</v>
      </c>
      <c r="C6" s="13">
        <v>0.07</v>
      </c>
      <c r="D6" s="13">
        <v>0.01</v>
      </c>
      <c r="E6" s="14">
        <f>CHOOSE($B$3,B6,C6,D6)</f>
        <v>0.04</v>
      </c>
      <c r="F6" s="30" t="s">
        <v>378</v>
      </c>
    </row>
    <row r="7" ht="28.35" hidden="0" outlineLevel="0" collapsed="0">
      <c r="A7" s="30" t="s">
        <v>313</v>
      </c>
      <c r="B7" s="13">
        <v>0.05</v>
      </c>
      <c r="C7" s="13">
        <v>0.08</v>
      </c>
      <c r="D7" s="13">
        <v>0.02</v>
      </c>
      <c r="E7" s="14">
        <f>CHOOSE($B$3,B7,C7,D7)</f>
        <v>0.05</v>
      </c>
      <c r="F7" s="30" t="s">
        <v>378</v>
      </c>
    </row>
    <row r="8" ht="28.35" hidden="0" outlineLevel="0" collapsed="0">
      <c r="A8" s="30" t="s">
        <v>316</v>
      </c>
      <c r="B8" s="13">
        <v>0.03</v>
      </c>
      <c r="C8" s="13">
        <v>0.06</v>
      </c>
      <c r="D8" s="13">
        <v>0.01</v>
      </c>
      <c r="E8" s="14">
        <f>CHOOSE($B$3,B8,C8,D8)</f>
        <v>0.03</v>
      </c>
      <c r="F8" s="30" t="s">
        <v>378</v>
      </c>
    </row>
    <row r="9" hidden="0" outlineLevel="0" collapsed="0">
      <c r="A9" s="30" t="s">
        <v>319</v>
      </c>
      <c r="B9" s="13">
        <v>0.1</v>
      </c>
      <c r="C9" s="13">
        <v>0.13</v>
      </c>
      <c r="D9" s="13">
        <v>0.06</v>
      </c>
      <c r="E9" s="14">
        <f>CHOOSE($B$3,B9,C9,D9)</f>
        <v>0.1</v>
      </c>
      <c r="F9" s="30" t="s">
        <v>378</v>
      </c>
    </row>
    <row r="10" hidden="0" outlineLevel="0" collapsed="0">
      <c r="A10" s="30" t="s">
        <v>322</v>
      </c>
      <c r="B10" s="13">
        <v>0.07</v>
      </c>
      <c r="C10" s="13">
        <v>0.1</v>
      </c>
      <c r="D10" s="13">
        <v>0.04</v>
      </c>
      <c r="E10" s="14">
        <f>CHOOSE($B$3,B10,C10,D10)</f>
        <v>0.07</v>
      </c>
      <c r="F10" s="30" t="s">
        <v>378</v>
      </c>
    </row>
    <row r="11" hidden="0" outlineLevel="0" collapsed="0">
      <c r="A11" s="30" t="s">
        <v>325</v>
      </c>
      <c r="B11" s="13">
        <v>0.525</v>
      </c>
      <c r="C11" s="13">
        <v>0.54</v>
      </c>
      <c r="D11" s="13">
        <v>0.5</v>
      </c>
      <c r="E11" s="14">
        <f>CHOOSE($B$3,B11,C11,D11)</f>
        <v>0.525</v>
      </c>
      <c r="F11" s="30" t="s">
        <v>379</v>
      </c>
    </row>
    <row r="12" hidden="0" outlineLevel="0" collapsed="0">
      <c r="A12" s="30" t="s">
        <v>328</v>
      </c>
      <c r="B12" s="13">
        <v>0.545</v>
      </c>
      <c r="C12" s="13">
        <v>0.57</v>
      </c>
      <c r="D12" s="13">
        <v>0.515</v>
      </c>
      <c r="E12" s="14">
        <f>CHOOSE($B$3,B12,C12,D12)</f>
        <v>0.545</v>
      </c>
      <c r="F12" s="30" t="s">
        <v>379</v>
      </c>
    </row>
    <row r="13" hidden="0" outlineLevel="0" collapsed="0">
      <c r="A13" s="30" t="s">
        <v>331</v>
      </c>
      <c r="B13" s="13">
        <v>0.143</v>
      </c>
      <c r="C13" s="13">
        <v>0.14</v>
      </c>
      <c r="D13" s="13">
        <v>0.15</v>
      </c>
      <c r="E13" s="14">
        <f>CHOOSE($B$3,B13,C13,D13)</f>
        <v>0.143</v>
      </c>
      <c r="F13" s="30" t="s">
        <v>379</v>
      </c>
    </row>
    <row r="14" hidden="0" outlineLevel="0" collapsed="0">
      <c r="A14" s="30" t="s">
        <v>334</v>
      </c>
      <c r="B14" s="13">
        <v>0.039</v>
      </c>
      <c r="C14" s="13">
        <v>0.036</v>
      </c>
      <c r="D14" s="13">
        <v>0.043</v>
      </c>
      <c r="E14" s="14">
        <f>CHOOSE($B$3,B14,C14,D14)</f>
        <v>0.039</v>
      </c>
      <c r="F14" s="30" t="s">
        <v>379</v>
      </c>
    </row>
    <row r="15" hidden="0" outlineLevel="0" collapsed="0">
      <c r="A15" s="30" t="s">
        <v>337</v>
      </c>
      <c r="B15" s="13">
        <v>0.15</v>
      </c>
      <c r="C15" s="13">
        <v>0.14</v>
      </c>
      <c r="D15" s="13">
        <v>0.17</v>
      </c>
      <c r="E15" s="14">
        <f>CHOOSE($B$3,B15,C15,D15)</f>
        <v>0.15</v>
      </c>
      <c r="F15" s="30" t="s">
        <v>379</v>
      </c>
    </row>
    <row r="16" hidden="0" outlineLevel="0" collapsed="0">
      <c r="A16" s="30" t="s">
        <v>340</v>
      </c>
      <c r="B16" s="13">
        <v>0.05</v>
      </c>
      <c r="C16" s="13">
        <v>0.052</v>
      </c>
      <c r="D16" s="13">
        <v>0.048</v>
      </c>
      <c r="E16" s="14">
        <f>CHOOSE($B$3,B16,C16,D16)</f>
        <v>0.05</v>
      </c>
      <c r="F16" s="30" t="s">
        <v>379</v>
      </c>
    </row>
    <row r="17" hidden="0" outlineLevel="0" collapsed="0">
      <c r="A17" s="30" t="s">
        <v>343</v>
      </c>
      <c r="B17" s="13">
        <v>0.05</v>
      </c>
      <c r="C17" s="13">
        <v>0.048</v>
      </c>
      <c r="D17" s="13">
        <v>0.055</v>
      </c>
      <c r="E17" s="14">
        <f>CHOOSE($B$3,B17,C17,D17)</f>
        <v>0.05</v>
      </c>
      <c r="F17" s="30" t="s">
        <v>379</v>
      </c>
    </row>
    <row r="18" hidden="0" outlineLevel="0" collapsed="0">
      <c r="A18" s="30" t="s">
        <v>346</v>
      </c>
      <c r="B18" s="13">
        <v>0.045</v>
      </c>
      <c r="C18" s="13">
        <v>0.042</v>
      </c>
      <c r="D18" s="13">
        <v>0.05</v>
      </c>
      <c r="E18" s="14">
        <f>CHOOSE($B$3,B18,C18,D18)</f>
        <v>0.045</v>
      </c>
      <c r="F18" s="30" t="s">
        <v>379</v>
      </c>
    </row>
    <row r="19" ht="28.35" hidden="0" outlineLevel="0" collapsed="0">
      <c r="A19" s="30" t="s">
        <v>349</v>
      </c>
      <c r="B19" s="13">
        <v>0.03</v>
      </c>
      <c r="C19" s="13">
        <v>0.025</v>
      </c>
      <c r="D19" s="13">
        <v>0.04</v>
      </c>
      <c r="E19" s="14">
        <f>CHOOSE($B$3,B19,C19,D19)</f>
        <v>0.03</v>
      </c>
      <c r="F19" s="30" t="s">
        <v>379</v>
      </c>
    </row>
    <row r="20" hidden="0" outlineLevel="0" collapsed="0">
      <c r="A20" s="30" t="s">
        <v>352</v>
      </c>
      <c r="B20" s="13">
        <v>0.085</v>
      </c>
      <c r="C20" s="13">
        <v>0.078</v>
      </c>
      <c r="D20" s="13">
        <v>0.095</v>
      </c>
      <c r="E20" s="14">
        <f>CHOOSE($B$3,B20,C20,D20)</f>
        <v>0.085</v>
      </c>
      <c r="F20" s="30" t="s">
        <v>380</v>
      </c>
    </row>
    <row r="21" hidden="0" outlineLevel="0" collapsed="0">
      <c r="A21" s="30" t="s">
        <v>355</v>
      </c>
      <c r="B21" s="13">
        <v>0.03</v>
      </c>
      <c r="C21" s="13">
        <v>0.035</v>
      </c>
      <c r="D21" s="13">
        <v>0.02</v>
      </c>
      <c r="E21" s="14">
        <f>CHOOSE($B$3,B21,C21,D21)</f>
        <v>0.03</v>
      </c>
      <c r="F21" s="30" t="s">
        <v>380</v>
      </c>
    </row>
    <row r="22" hidden="0" outlineLevel="0" collapsed="0">
      <c r="A22" s="30" t="s">
        <v>242</v>
      </c>
      <c r="B22" s="15">
        <v>1.1474</v>
      </c>
      <c r="C22" s="15">
        <v>1.1474</v>
      </c>
      <c r="D22" s="15">
        <v>1.1474</v>
      </c>
      <c r="E22" s="16">
        <f>CHOOSE($B$3,B22,C22,D22)</f>
        <v>1.1474</v>
      </c>
      <c r="F22" s="30" t="s">
        <v>381</v>
      </c>
    </row>
    <row r="23" hidden="0" outlineLevel="0" collapsed="0">
      <c r="A23" s="30" t="s">
        <v>250</v>
      </c>
      <c r="B23" s="17">
        <v>1</v>
      </c>
      <c r="C23" s="17">
        <v>1</v>
      </c>
      <c r="D23" s="17">
        <v>1</v>
      </c>
      <c r="E23" s="18">
        <f>CHOOSE($B$3,B23,C23,D23)</f>
        <v>1</v>
      </c>
      <c r="F23" s="30" t="s">
        <v>381</v>
      </c>
    </row>
    <row r="24" hidden="0" outlineLevel="0" collapsed="0">
      <c r="A24" s="30" t="s">
        <v>382</v>
      </c>
      <c r="B24" s="19">
        <v>1815.27</v>
      </c>
      <c r="C24" s="19">
        <v>1815.27</v>
      </c>
      <c r="D24" s="19">
        <v>1815.27</v>
      </c>
      <c r="E24" s="20">
        <f>CHOOSE($B$3,B24,C24,D24)</f>
        <v>1815.27</v>
      </c>
      <c r="F24" s="30" t="s">
        <v>381</v>
      </c>
    </row>
    <row r="25" hidden="0" outlineLevel="0" collapsed="0">
      <c r="A25" s="4"/>
      <c r="B25" s="4"/>
      <c r="C25" s="4"/>
      <c r="D25" s="4"/>
      <c r="E25" s="4"/>
      <c r="F25" s="4"/>
    </row>
    <row r="26" hidden="0" outlineLevel="0" collapsed="0">
      <c r="A26" s="4" t="s">
        <v>383</v>
      </c>
      <c r="B26" s="4">
        <v>0.62</v>
      </c>
      <c r="C26" s="4">
        <v>0.55</v>
      </c>
      <c r="D26" s="4">
        <v>0.7</v>
      </c>
      <c r="E26" s="4">
        <f>CHOOSE($B$3,B26,C26,D26)</f>
        <v>0.62</v>
      </c>
      <c r="F26" s="4" t="s">
        <v>384</v>
      </c>
    </row>
    <row r="27">
      <c r="A27" t="s">
        <v>385</v>
      </c>
      <c r="B27" t="s">
        <v>386</v>
      </c>
    </row>
  </sheetData>
  <mergeCells count="2">
    <mergeCell ref="A1:F1"/>
    <mergeCell ref="A2:F2"/>
  </mergeCells>
  <dataValidations count="1">
    <dataValidation sqref="B3" type="whole">
      <formula1>1</formula1>
      <formula2>3</formula2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3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7" width="15" style="1" customWidth="1"/>
  </cols>
  <sheetData>
    <row r="1" hidden="0" outlineLevel="0" collapsed="0">
      <c r="A1" s="2" t="s">
        <v>387</v>
      </c>
      <c r="B1" s="2"/>
      <c r="C1" s="2"/>
      <c r="D1" s="2"/>
      <c r="E1" s="2"/>
      <c r="F1" s="2"/>
      <c r="G1" s="2"/>
    </row>
    <row r="2" ht="34" hidden="0" outlineLevel="0" collapsed="0">
      <c r="A2" s="3" t="s">
        <v>388</v>
      </c>
      <c r="B2" s="3"/>
      <c r="C2" s="3"/>
      <c r="D2" s="3"/>
      <c r="E2" s="3"/>
      <c r="F2" s="3"/>
      <c r="G2" s="3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29" t="s">
        <v>359</v>
      </c>
      <c r="B4" s="29" t="s">
        <v>9</v>
      </c>
      <c r="C4" s="29" t="s">
        <v>389</v>
      </c>
      <c r="D4" s="29" t="s">
        <v>390</v>
      </c>
      <c r="E4" s="29" t="s">
        <v>391</v>
      </c>
      <c r="F4" s="29" t="s">
        <v>392</v>
      </c>
      <c r="G4" s="29" t="s">
        <v>393</v>
      </c>
    </row>
    <row r="5" hidden="0" outlineLevel="0" collapsed="0">
      <c r="A5" s="10" t="s">
        <v>270</v>
      </c>
      <c r="B5" s="31">
        <v>535</v>
      </c>
      <c r="C5" s="31">
        <f>B5*(1+Assumptions!$E$5)</f>
        <v>561.75</v>
      </c>
      <c r="D5" s="31">
        <f>C5*(1+Assumptions!$E$5+(Assumptions!$E$6-Assumptions!$E$5)*1/4)</f>
        <v>588.433125</v>
      </c>
      <c r="E5" s="31">
        <f>D5*(1+Assumptions!$E$5+(Assumptions!$E$6-Assumptions!$E$5)*2/4)</f>
        <v>614.9126156250001</v>
      </c>
      <c r="F5" s="31">
        <f>E5*(1+Assumptions!$E$5+(Assumptions!$E$6-Assumptions!$E$5)*3/4)</f>
        <v>641.0464017890625</v>
      </c>
      <c r="G5" s="31">
        <f>F5*(1+Assumptions!$E$5+(Assumptions!$E$6-Assumptions!$E$5)*4/4)</f>
        <v>666.6882578606251</v>
      </c>
    </row>
    <row r="6" hidden="0" outlineLevel="0" collapsed="0">
      <c r="A6" s="10" t="s">
        <v>394</v>
      </c>
      <c r="B6" s="31">
        <v>45.7463551401869</v>
      </c>
      <c r="C6" s="31">
        <f>B6*(1+Assumptions!$E$7)</f>
        <v>48.03367289719625</v>
      </c>
      <c r="D6" s="31">
        <f>C6*(1+Assumptions!$E$7+(Assumptions!$E$8-Assumptions!$E$7)*1/4)</f>
        <v>50.19518817757009</v>
      </c>
      <c r="E6" s="31">
        <f>D6*(1+Assumptions!$E$7+(Assumptions!$E$8-Assumptions!$E$7)*2/4)</f>
        <v>52.202995704672894</v>
      </c>
      <c r="F6" s="31">
        <f>E6*(1+Assumptions!$E$7+(Assumptions!$E$8-Assumptions!$E$7)*3/4)</f>
        <v>54.03010055433645</v>
      </c>
      <c r="G6" s="31">
        <f>F6*(1+Assumptions!$E$7+(Assumptions!$E$8-Assumptions!$E$7)*4/4)</f>
        <v>55.651003570966544</v>
      </c>
    </row>
    <row r="7" ht="28.35" hidden="0" outlineLevel="0" collapsed="0">
      <c r="A7" s="10" t="s">
        <v>395</v>
      </c>
      <c r="B7" s="31">
        <v>8193</v>
      </c>
      <c r="C7" s="31">
        <f>B7*(1+Assumptions!$E$9)</f>
        <v>9012.300000000001</v>
      </c>
      <c r="D7" s="31">
        <f>C7*(1+Assumptions!$E$9+(Assumptions!$E$10-Assumptions!$E$9)*1/4)</f>
        <v>9845.937750000001</v>
      </c>
      <c r="E7" s="31">
        <f>D7*(1+Assumptions!$E$9+(Assumptions!$E$10-Assumptions!$E$9)*2/4)</f>
        <v>10682.842458750003</v>
      </c>
      <c r="F7" s="31">
        <f>E7*(1+Assumptions!$E$9+(Assumptions!$E$10-Assumptions!$E$9)*3/4)</f>
        <v>11510.76274930313</v>
      </c>
      <c r="G7" s="31">
        <f>F7*(1+Assumptions!$E$9+(Assumptions!$E$10-Assumptions!$E$9)*4/4)</f>
        <v>12316.51614175435</v>
      </c>
    </row>
    <row r="8" hidden="0" outlineLevel="0" collapsed="0">
      <c r="A8" s="10" t="s">
        <v>396</v>
      </c>
      <c r="B8" s="31">
        <f>B5*B6+B7</f>
        <v>32667.299999999992</v>
      </c>
      <c r="C8" s="31">
        <f>C5*C6+C7</f>
        <v>35995.215749999996</v>
      </c>
      <c r="D8" s="31">
        <f>D5*D6+D7</f>
        <v>39382.44918929062</v>
      </c>
      <c r="E8" s="31">
        <f>E5*E6+E7</f>
        <v>42783.12309097106</v>
      </c>
      <c r="F8" s="31">
        <f>F5*F6+F7</f>
        <v>46146.56429796175</v>
      </c>
      <c r="G8" s="31">
        <f>G5*G6+G7</f>
        <v>49418.38676067746</v>
      </c>
    </row>
    <row r="9" hidden="0" outlineLevel="0" collapsed="0">
      <c r="A9" s="10" t="s">
        <v>397</v>
      </c>
      <c r="B9" s="32">
        <f>Historical!F6</f>
        <v>0.15583680372502462</v>
      </c>
      <c r="C9" s="32">
        <f>IF(B8&lt;&gt;0,C8/B8-1,0)</f>
        <v>0.10187299685006113</v>
      </c>
      <c r="D9" s="32">
        <f>IF(C8&lt;&gt;0,D8/C8-1,0)</f>
        <v>0.09410232356478176</v>
      </c>
      <c r="E9" s="32">
        <f>IF(D8&lt;&gt;0,E8/D8-1,0)</f>
        <v>0.0863499851249776</v>
      </c>
      <c r="F9" s="32">
        <f>IF(E8&lt;&gt;0,F8/E8-1,0)</f>
        <v>0.07861607484425348</v>
      </c>
      <c r="G9" s="32">
        <f>IF(F8&lt;&gt;0,G8/F8-1,0)</f>
        <v>0.07090067294262736</v>
      </c>
    </row>
    <row r="10" hidden="0" outlineLevel="0" collapsed="0">
      <c r="A10" s="10" t="s">
        <v>287</v>
      </c>
      <c r="B10" s="32">
        <f>Historical!F8</f>
        <v>0.5282958799778372</v>
      </c>
      <c r="C10" s="32">
        <f>Assumptions!$E$11</f>
        <v>0.525</v>
      </c>
      <c r="D10" s="32">
        <f>Assumptions!$E$11+(Assumptions!$E$12-Assumptions!$E$11)*1/4</f>
        <v>0.53</v>
      </c>
      <c r="E10" s="32">
        <f>Assumptions!$E$11+(Assumptions!$E$12-Assumptions!$E$11)*2/4</f>
        <v>0.535</v>
      </c>
      <c r="F10" s="32">
        <f>Assumptions!$E$11+(Assumptions!$E$12-Assumptions!$E$11)*3/4</f>
        <v>0.54</v>
      </c>
      <c r="G10" s="32">
        <f>Assumptions!$E$11+(Assumptions!$E$12-Assumptions!$E$11)*4/4</f>
        <v>0.545</v>
      </c>
    </row>
    <row r="11" hidden="0" outlineLevel="0" collapsed="0">
      <c r="A11" s="10" t="s">
        <v>81</v>
      </c>
      <c r="B11" s="31">
        <f>B8*B10</f>
        <v>17257.999999999996</v>
      </c>
      <c r="C11" s="31">
        <f>C8*C10</f>
        <v>18897.48826875</v>
      </c>
      <c r="D11" s="31">
        <f>D8*D10</f>
        <v>20872.69807032403</v>
      </c>
      <c r="E11" s="31">
        <f>E8*E10</f>
        <v>22888.970853669518</v>
      </c>
      <c r="F11" s="31">
        <f>F8*F10</f>
        <v>24919.144720899345</v>
      </c>
      <c r="G11" s="31">
        <f>G8*G10</f>
        <v>26933.020784569217</v>
      </c>
    </row>
    <row r="12" hidden="0" outlineLevel="0" collapsed="0">
      <c r="A12" s="10" t="s">
        <v>331</v>
      </c>
      <c r="B12" s="32">
        <f>IF(B8&lt;&gt;0,Historical!F14/B8,0)</f>
        <v>0.1438380276300766</v>
      </c>
      <c r="C12" s="32">
        <f>Assumptions!$E$13</f>
        <v>0.143</v>
      </c>
      <c r="D12" s="32">
        <f>Assumptions!$E$13</f>
        <v>0.143</v>
      </c>
      <c r="E12" s="32">
        <f>Assumptions!$E$13</f>
        <v>0.143</v>
      </c>
      <c r="F12" s="32">
        <f>Assumptions!$E$13</f>
        <v>0.143</v>
      </c>
      <c r="G12" s="32">
        <f>Assumptions!$E$13</f>
        <v>0.143</v>
      </c>
    </row>
    <row r="13" hidden="0" outlineLevel="0" collapsed="0">
      <c r="A13" s="10" t="s">
        <v>398</v>
      </c>
      <c r="B13" s="31">
        <f>Historical!F14</f>
        <v>4698.8</v>
      </c>
      <c r="C13" s="31">
        <f>C8*C12</f>
        <v>5147.315852249999</v>
      </c>
      <c r="D13" s="31">
        <f>D8*D12</f>
        <v>5631.690234068558</v>
      </c>
      <c r="E13" s="31">
        <f>E8*E12</f>
        <v>6117.986602008861</v>
      </c>
      <c r="F13" s="31">
        <f>F8*F12</f>
        <v>6598.958694608529</v>
      </c>
      <c r="G13" s="31">
        <f>G8*G12</f>
        <v>7066.829306776876</v>
      </c>
    </row>
    <row r="14" ht="28.35" hidden="0" outlineLevel="0" collapsed="0">
      <c r="A14" s="10" t="s">
        <v>334</v>
      </c>
      <c r="B14" s="32">
        <f>IF(B8&lt;&gt;0,(B11-Historical!F9-B13)/B8,0)</f>
        <v>0.03850333513942067</v>
      </c>
      <c r="C14" s="32">
        <f>Assumptions!$E$14</f>
        <v>0.039</v>
      </c>
      <c r="D14" s="32">
        <f>Assumptions!$E$14</f>
        <v>0.039</v>
      </c>
      <c r="E14" s="32">
        <f>Assumptions!$E$14</f>
        <v>0.039</v>
      </c>
      <c r="F14" s="32">
        <f>Assumptions!$E$14</f>
        <v>0.039</v>
      </c>
      <c r="G14" s="32">
        <f>Assumptions!$E$14</f>
        <v>0.039</v>
      </c>
    </row>
    <row r="15" hidden="0" outlineLevel="0" collapsed="0">
      <c r="A15" s="10" t="s">
        <v>399</v>
      </c>
      <c r="B15" s="31">
        <f>B8*B14</f>
        <v>1257.7999999999965</v>
      </c>
      <c r="C15" s="31">
        <f>C8*C14</f>
        <v>1403.8134142499998</v>
      </c>
      <c r="D15" s="31">
        <f>D8*D14</f>
        <v>1535.9155183823343</v>
      </c>
      <c r="E15" s="31">
        <f>E8*E14</f>
        <v>1668.5418005478712</v>
      </c>
      <c r="F15" s="31">
        <f>F8*F14</f>
        <v>1799.7160076205082</v>
      </c>
      <c r="G15" s="31">
        <f>G8*G14</f>
        <v>1927.3170836664208</v>
      </c>
    </row>
    <row r="16" hidden="0" outlineLevel="0" collapsed="0">
      <c r="A16" s="10" t="s">
        <v>93</v>
      </c>
      <c r="B16" s="31">
        <f>B11-B13-B15</f>
        <v>11301.400000000001</v>
      </c>
      <c r="C16" s="31">
        <f>C11-C13-C15</f>
        <v>12346.359002250001</v>
      </c>
      <c r="D16" s="31">
        <f>D11-D13-D15</f>
        <v>13705.092317873135</v>
      </c>
      <c r="E16" s="31">
        <f>E11-E13-E15</f>
        <v>15102.442451112787</v>
      </c>
      <c r="F16" s="31">
        <f>F11-F13-F15</f>
        <v>16520.47001867031</v>
      </c>
      <c r="G16" s="31">
        <f>G11-G13-G15</f>
        <v>17938.87439412592</v>
      </c>
    </row>
    <row r="17" hidden="0" outlineLevel="0" collapsed="0">
      <c r="A17" s="10" t="s">
        <v>368</v>
      </c>
      <c r="B17" s="32">
        <f>IF(B8&lt;&gt;0,B16/B8,0)</f>
        <v>0.34595451720834</v>
      </c>
      <c r="C17" s="32">
        <f>IF(C8&lt;&gt;0,C16/C8,0)</f>
        <v>0.3430000000000001</v>
      </c>
      <c r="D17" s="32">
        <f>IF(D8&lt;&gt;0,D16/D8,0)</f>
        <v>0.348</v>
      </c>
      <c r="E17" s="32">
        <f>IF(E8&lt;&gt;0,E16/E8,0)</f>
        <v>0.3530000000000001</v>
      </c>
      <c r="F17" s="32">
        <f>IF(F8&lt;&gt;0,F16/F8,0)</f>
        <v>0.35800000000000004</v>
      </c>
      <c r="G17" s="32">
        <f>IF(G8&lt;&gt;0,G16/G8,0)</f>
        <v>0.36300000000000004</v>
      </c>
    </row>
    <row r="18" hidden="0" outlineLevel="0" collapsed="0">
      <c r="A18" s="10" t="s">
        <v>337</v>
      </c>
      <c r="B18" s="32">
        <f>Assumptions!E15</f>
        <v>0.15</v>
      </c>
      <c r="C18" s="32">
        <f>Assumptions!$E$15</f>
        <v>0.15</v>
      </c>
      <c r="D18" s="32">
        <f>Assumptions!$E$15</f>
        <v>0.15</v>
      </c>
      <c r="E18" s="32">
        <f>Assumptions!$E$15</f>
        <v>0.15</v>
      </c>
      <c r="F18" s="32">
        <f>Assumptions!$E$15</f>
        <v>0.15</v>
      </c>
      <c r="G18" s="32">
        <f>Assumptions!$E$15</f>
        <v>0.15</v>
      </c>
    </row>
    <row r="19" hidden="0" outlineLevel="0" collapsed="0">
      <c r="A19" s="10" t="s">
        <v>400</v>
      </c>
      <c r="B19" s="31">
        <f>B16*(1-B18)</f>
        <v>9606.19</v>
      </c>
      <c r="C19" s="31">
        <f>C16*(1-C18)</f>
        <v>10494.4051519125</v>
      </c>
      <c r="D19" s="31">
        <f>D16*(1-D18)</f>
        <v>11649.328470192166</v>
      </c>
      <c r="E19" s="31">
        <f>E16*(1-E18)</f>
        <v>12837.076083445869</v>
      </c>
      <c r="F19" s="31">
        <f>F16*(1-F18)</f>
        <v>14042.399515869762</v>
      </c>
      <c r="G19" s="31">
        <f>G16*(1-G18)</f>
        <v>15248.043235007031</v>
      </c>
    </row>
    <row r="20" hidden="0" outlineLevel="0" collapsed="0">
      <c r="A20" s="10" t="s">
        <v>340</v>
      </c>
      <c r="B20" s="32">
        <f>Assumptions!E16</f>
        <v>0.05</v>
      </c>
      <c r="C20" s="32">
        <f>Assumptions!$E$16</f>
        <v>0.05</v>
      </c>
      <c r="D20" s="32">
        <f>Assumptions!$E$16</f>
        <v>0.05</v>
      </c>
      <c r="E20" s="32">
        <f>Assumptions!$E$16</f>
        <v>0.05</v>
      </c>
      <c r="F20" s="32">
        <f>Assumptions!$E$16</f>
        <v>0.05</v>
      </c>
      <c r="G20" s="32">
        <f>Assumptions!$E$16</f>
        <v>0.05</v>
      </c>
    </row>
    <row r="21" hidden="0" outlineLevel="0" collapsed="0">
      <c r="A21" s="10" t="s">
        <v>401</v>
      </c>
      <c r="B21" s="31">
        <f>B8*B20</f>
        <v>1633.3649999999998</v>
      </c>
      <c r="C21" s="31">
        <f>C8*C20</f>
        <v>1799.7607874999999</v>
      </c>
      <c r="D21" s="31">
        <f>D8*D20</f>
        <v>1969.1224594645312</v>
      </c>
      <c r="E21" s="31">
        <f>E8*E20</f>
        <v>2139.156154548553</v>
      </c>
      <c r="F21" s="31">
        <f>F8*F20</f>
        <v>2307.3282148980875</v>
      </c>
      <c r="G21" s="31">
        <f>G8*G20</f>
        <v>2470.919338033873</v>
      </c>
    </row>
    <row r="22" hidden="0" outlineLevel="0" collapsed="0">
      <c r="A22" s="10" t="s">
        <v>402</v>
      </c>
      <c r="B22" s="32">
        <f>IF(B8&lt;&gt;0,Historical!F13/B8,0)</f>
        <v>0.04817049465367509</v>
      </c>
      <c r="C22" s="32">
        <f>Assumptions!$E$17</f>
        <v>0.05</v>
      </c>
      <c r="D22" s="32">
        <f>Assumptions!$E$17+(Assumptions!$E$18-Assumptions!$E$17)*1/4</f>
        <v>0.04875</v>
      </c>
      <c r="E22" s="32">
        <f>Assumptions!$E$17+(Assumptions!$E$18-Assumptions!$E$17)*2/4</f>
        <v>0.0475</v>
      </c>
      <c r="F22" s="32">
        <f>Assumptions!$E$17+(Assumptions!$E$18-Assumptions!$E$17)*3/4</f>
        <v>0.04625</v>
      </c>
      <c r="G22" s="32">
        <f>Assumptions!$E$17+(Assumptions!$E$18-Assumptions!$E$17)*4/4</f>
        <v>0.045</v>
      </c>
    </row>
    <row r="23" hidden="0" outlineLevel="0" collapsed="0">
      <c r="A23" s="10" t="s">
        <v>129</v>
      </c>
      <c r="B23" s="31">
        <f>Historical!F13</f>
        <v>1573.6</v>
      </c>
      <c r="C23" s="31">
        <f>C8*C22</f>
        <v>1799.7607874999999</v>
      </c>
      <c r="D23" s="31">
        <f>D8*D22</f>
        <v>1919.8943979779178</v>
      </c>
      <c r="E23" s="31">
        <f>E8*E22</f>
        <v>2032.1983468211254</v>
      </c>
      <c r="F23" s="31">
        <f>F8*F22</f>
        <v>2134.2785987807306</v>
      </c>
      <c r="G23" s="31">
        <f>G8*G22</f>
        <v>2223.8274042304856</v>
      </c>
    </row>
    <row r="24" hidden="0" outlineLevel="0" collapsed="0">
      <c r="A24" s="10" t="s">
        <v>403</v>
      </c>
      <c r="B24" s="31">
        <v>0</v>
      </c>
      <c r="C24" s="31">
        <f>MAX(0,(C8-B8)*Assumptions!$E$19)</f>
        <v>99.8374725000001</v>
      </c>
      <c r="D24" s="31">
        <f>MAX(0,(D8-C8)*Assumptions!$E$19)</f>
        <v>101.6170031787188</v>
      </c>
      <c r="E24" s="31">
        <f>MAX(0,(E8-D8)*Assumptions!$E$19)</f>
        <v>102.02021705041304</v>
      </c>
      <c r="F24" s="31">
        <f>MAX(0,(F8-E8)*Assumptions!$E$19)</f>
        <v>100.9032362097207</v>
      </c>
      <c r="G24" s="31">
        <f>MAX(0,(G8-F8)*Assumptions!$E$19)</f>
        <v>98.15467388147131</v>
      </c>
    </row>
    <row r="25" hidden="0" outlineLevel="0" collapsed="0">
      <c r="A25" s="10" t="s">
        <v>404</v>
      </c>
      <c r="B25" s="31">
        <f>B19+B21-B23-B24</f>
        <v>9665.955</v>
      </c>
      <c r="C25" s="31">
        <f>C19+C21-C23-C24</f>
        <v>10394.567679412501</v>
      </c>
      <c r="D25" s="31">
        <f>D19+D21-D23-D24</f>
        <v>11596.939528500061</v>
      </c>
      <c r="E25" s="31">
        <f>E19+E21-E23-E24</f>
        <v>12842.013674122883</v>
      </c>
      <c r="F25" s="31">
        <f>F19+F21-F23-F24</f>
        <v>14114.545895777397</v>
      </c>
      <c r="G25" s="31">
        <f>G19+G21-G23-G24</f>
        <v>15396.980494928946</v>
      </c>
    </row>
    <row r="26" hidden="0" outlineLevel="0" collapsed="0">
      <c r="A26" s="10" t="s">
        <v>405</v>
      </c>
      <c r="B26" s="31">
        <v>12916</v>
      </c>
      <c r="C26" s="31">
        <f>B26+Forecast!C25*(1-Assumptions!$E$26)</f>
        <v>16865.935718176752</v>
      </c>
      <c r="D26" s="31">
        <f>C26+Forecast!D25*(1-Assumptions!$E$26)</f>
        <v>21272.772739006774</v>
      </c>
      <c r="E26" s="31">
        <f>D26+Forecast!E25*(1-Assumptions!$E$26)</f>
        <v>26152.73793517347</v>
      </c>
      <c r="F26" s="31">
        <f>E26+Forecast!F25*(1-Assumptions!$E$26)</f>
        <v>31516.26537556888</v>
      </c>
      <c r="G26" s="31">
        <f>F26+Forecast!G25*(1-Assumptions!$E$26)</f>
        <v>37367.11796364188</v>
      </c>
    </row>
    <row r="27" hidden="0" outlineLevel="0" collapsed="0">
      <c r="A27" s="10" t="s">
        <v>204</v>
      </c>
      <c r="B27" s="31">
        <v>2709</v>
      </c>
      <c r="C27" s="31">
        <f>B$27</f>
        <v>2709</v>
      </c>
      <c r="D27" s="31">
        <f>B$27</f>
        <v>2709</v>
      </c>
      <c r="E27" s="31">
        <f>B$27</f>
        <v>2709</v>
      </c>
      <c r="F27" s="31">
        <f>B$27</f>
        <v>2709</v>
      </c>
      <c r="G27" s="31">
        <f>B$27</f>
        <v>2709</v>
      </c>
    </row>
    <row r="28" hidden="0" outlineLevel="0" collapsed="0">
      <c r="A28" s="10" t="s">
        <v>406</v>
      </c>
      <c r="B28" s="31">
        <v>388.9</v>
      </c>
      <c r="C28" s="31">
        <f>$B$28</f>
        <v>388.9</v>
      </c>
      <c r="D28" s="31">
        <f>$B$28</f>
        <v>388.9</v>
      </c>
      <c r="E28" s="31">
        <f>$B$28</f>
        <v>388.9</v>
      </c>
      <c r="F28" s="31">
        <f>$B$28</f>
        <v>388.9</v>
      </c>
      <c r="G28" s="31">
        <f>$B$28</f>
        <v>388.9</v>
      </c>
    </row>
    <row r="29" hidden="0" outlineLevel="0" collapsed="0">
      <c r="A29" s="4"/>
      <c r="B29" s="4"/>
      <c r="C29" s="4"/>
      <c r="D29" s="4"/>
      <c r="E29" s="4"/>
      <c r="F29" s="4"/>
      <c r="G29" s="4"/>
    </row>
    <row r="30" hidden="0" outlineLevel="0" collapsed="0">
      <c r="A30" s="4"/>
      <c r="B30" s="4"/>
      <c r="C30" s="4"/>
      <c r="D30" s="4"/>
      <c r="E30" s="4"/>
      <c r="F30" s="4"/>
      <c r="G30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25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7" width="15" style="1" customWidth="1"/>
  </cols>
  <sheetData>
    <row r="1" hidden="0" outlineLevel="0" collapsed="0">
      <c r="A1" s="2" t="s">
        <v>407</v>
      </c>
      <c r="B1" s="2"/>
      <c r="C1" s="2"/>
      <c r="D1" s="2"/>
      <c r="E1" s="2"/>
      <c r="F1" s="2"/>
      <c r="G1" s="2"/>
    </row>
    <row r="2" ht="34" hidden="0" outlineLevel="0" collapsed="0">
      <c r="A2" s="3" t="s">
        <v>408</v>
      </c>
      <c r="B2" s="3"/>
      <c r="C2" s="3"/>
      <c r="D2" s="3"/>
      <c r="E2" s="3"/>
      <c r="F2" s="3"/>
      <c r="G2" s="3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29" t="s">
        <v>359</v>
      </c>
      <c r="B4" s="29" t="s">
        <v>409</v>
      </c>
      <c r="C4" s="29" t="s">
        <v>410</v>
      </c>
      <c r="D4" s="29" t="s">
        <v>411</v>
      </c>
      <c r="E4" s="29" t="s">
        <v>412</v>
      </c>
      <c r="F4" s="29" t="s">
        <v>413</v>
      </c>
      <c r="G4" s="29" t="s">
        <v>414</v>
      </c>
    </row>
    <row r="5" hidden="0" outlineLevel="0" collapsed="0">
      <c r="A5" s="30" t="s">
        <v>404</v>
      </c>
      <c r="B5" s="31">
        <f>Forecast!C25</f>
        <v>10394.567679412501</v>
      </c>
      <c r="C5" s="31">
        <f>Forecast!D25</f>
        <v>11596.939528500061</v>
      </c>
      <c r="D5" s="31">
        <f>Forecast!E25</f>
        <v>12842.013674122883</v>
      </c>
      <c r="E5" s="31">
        <f>Forecast!F25</f>
        <v>14114.545895777397</v>
      </c>
      <c r="F5" s="31">
        <f>Forecast!G25</f>
        <v>15396.980494928946</v>
      </c>
      <c r="G5" s="9"/>
    </row>
    <row r="6" hidden="0" outlineLevel="0" collapsed="0">
      <c r="A6" s="30" t="s">
        <v>415</v>
      </c>
      <c r="B6" s="21">
        <f>1/(1+Assumptions!$E$20)^1</f>
        <v>0.9216589861751152</v>
      </c>
      <c r="C6" s="21">
        <f>1/(1+Assumptions!$E$20)^2</f>
        <v>0.8494552867973413</v>
      </c>
      <c r="D6" s="21">
        <f>1/(1+Assumptions!$E$20)^3</f>
        <v>0.7829080984307294</v>
      </c>
      <c r="E6" s="21">
        <f>1/(1+Assumptions!$E$20)^4</f>
        <v>0.7215742842679533</v>
      </c>
      <c r="F6" s="21">
        <f>1/(1+Assumptions!$E$20)^5</f>
        <v>0.6650454232884362</v>
      </c>
      <c r="G6" s="9"/>
    </row>
    <row r="7" hidden="0" outlineLevel="0" collapsed="0">
      <c r="A7" s="30" t="s">
        <v>416</v>
      </c>
      <c r="B7" s="31">
        <f>B5*B6</f>
        <v>9580.246709135945</v>
      </c>
      <c r="C7" s="31">
        <f>C5*C6</f>
        <v>9851.081593153443</v>
      </c>
      <c r="D7" s="31">
        <f>D5*D6</f>
        <v>10054.116505628972</v>
      </c>
      <c r="E7" s="31">
        <f>E5*E6</f>
        <v>10184.693352512753</v>
      </c>
      <c r="F7" s="31">
        <f>F5*F6</f>
        <v>10239.691410613817</v>
      </c>
      <c r="G7" s="9"/>
    </row>
    <row r="8" hidden="0" outlineLevel="0" collapsed="0">
      <c r="A8" s="8"/>
      <c r="B8" s="9"/>
      <c r="C8" s="9"/>
      <c r="D8" s="9"/>
      <c r="E8" s="9"/>
      <c r="F8" s="9"/>
      <c r="G8" s="9"/>
    </row>
    <row r="9" hidden="0" outlineLevel="0" collapsed="0">
      <c r="A9" s="29" t="s">
        <v>414</v>
      </c>
      <c r="B9" s="22" t="s">
        <v>30</v>
      </c>
      <c r="C9" s="9"/>
      <c r="D9" s="9"/>
      <c r="E9" s="9"/>
      <c r="F9" s="9"/>
      <c r="G9" s="9"/>
    </row>
    <row r="10" hidden="0" outlineLevel="0" collapsed="0">
      <c r="A10" s="30" t="s">
        <v>417</v>
      </c>
      <c r="B10" s="31">
        <f>SUM(B7:F7)</f>
        <v>49909.82957104493</v>
      </c>
      <c r="C10" s="9"/>
      <c r="D10" s="9"/>
      <c r="E10" s="9"/>
      <c r="F10" s="9"/>
      <c r="G10" s="9"/>
    </row>
    <row r="11" hidden="0" outlineLevel="0" collapsed="0">
      <c r="A11" s="30" t="s">
        <v>418</v>
      </c>
      <c r="B11" s="31">
        <f>IF(Assumptions!$E$20&gt;Assumptions!$E$21,F5*(1+Assumptions!$E$21)/(Assumptions!$E$20-Assumptions!$E$21),0)</f>
        <v>288343.45290503296</v>
      </c>
      <c r="C11" s="9"/>
      <c r="D11" s="9"/>
      <c r="E11" s="9"/>
      <c r="F11" s="9"/>
      <c r="G11" s="9"/>
    </row>
    <row r="12" hidden="0" outlineLevel="0" collapsed="0">
      <c r="A12" s="30" t="s">
        <v>419</v>
      </c>
      <c r="B12" s="31">
        <f>B11*F6</f>
        <v>191761.49368967692</v>
      </c>
      <c r="C12" s="9"/>
      <c r="D12" s="9"/>
      <c r="E12" s="9"/>
      <c r="F12" s="9"/>
      <c r="G12" s="9"/>
    </row>
    <row r="13" hidden="0" outlineLevel="0" collapsed="0">
      <c r="A13" s="30" t="s">
        <v>420</v>
      </c>
      <c r="B13" s="31">
        <f>B10+B12</f>
        <v>241671.32326072187</v>
      </c>
      <c r="C13" s="9"/>
      <c r="D13" s="9"/>
      <c r="E13" s="9"/>
      <c r="F13" s="9"/>
      <c r="G13" s="9"/>
    </row>
    <row r="14" hidden="0" outlineLevel="0" collapsed="0">
      <c r="A14" s="30" t="s">
        <v>405</v>
      </c>
      <c r="B14" s="31">
        <f>Forecast!B26</f>
        <v>12916</v>
      </c>
      <c r="C14" s="9"/>
      <c r="D14" s="9"/>
      <c r="E14" s="9"/>
      <c r="F14" s="9"/>
      <c r="G14" s="9"/>
    </row>
    <row r="15" hidden="0" outlineLevel="0" collapsed="0">
      <c r="A15" s="30" t="s">
        <v>204</v>
      </c>
      <c r="B15" s="31">
        <f>Forecast!B27</f>
        <v>2709</v>
      </c>
      <c r="C15" s="9"/>
      <c r="D15" s="9"/>
      <c r="E15" s="9"/>
      <c r="F15" s="9"/>
      <c r="G15" s="9"/>
    </row>
    <row r="16" hidden="0" outlineLevel="0" collapsed="0">
      <c r="A16" s="30" t="s">
        <v>421</v>
      </c>
      <c r="B16" s="31">
        <f>B13+B14-B15</f>
        <v>251878.32326072187</v>
      </c>
      <c r="C16" s="9"/>
      <c r="D16" s="9"/>
      <c r="E16" s="9"/>
      <c r="F16" s="9"/>
      <c r="G16" s="9"/>
    </row>
    <row r="17" hidden="0" outlineLevel="0" collapsed="0">
      <c r="A17" s="30" t="s">
        <v>422</v>
      </c>
      <c r="B17" s="31">
        <f>Forecast!B28</f>
        <v>388.9</v>
      </c>
      <c r="C17" s="9"/>
      <c r="D17" s="9"/>
      <c r="E17" s="9"/>
      <c r="F17" s="9"/>
      <c r="G17" s="9"/>
    </row>
    <row r="18" hidden="0" outlineLevel="0" collapsed="0">
      <c r="A18" s="30" t="s">
        <v>423</v>
      </c>
      <c r="B18" s="31">
        <f>IF(B17&gt;0,B16/B17,0)</f>
        <v>647.6686121386523</v>
      </c>
      <c r="C18" s="9"/>
      <c r="D18" s="9"/>
      <c r="E18" s="9"/>
      <c r="F18" s="9"/>
      <c r="G18" s="9"/>
    </row>
    <row r="19" hidden="0" outlineLevel="0" collapsed="0">
      <c r="A19" s="30" t="s">
        <v>424</v>
      </c>
      <c r="B19" s="23">
        <f>Assumptions!E22</f>
        <v>1.1474</v>
      </c>
      <c r="C19" s="9"/>
      <c r="D19" s="9"/>
      <c r="E19" s="9"/>
      <c r="F19" s="9"/>
      <c r="G19" s="9"/>
    </row>
    <row r="20" hidden="0" outlineLevel="0" collapsed="0">
      <c r="A20" s="30" t="s">
        <v>250</v>
      </c>
      <c r="B20" s="23">
        <f>Assumptions!E23</f>
        <v>1</v>
      </c>
      <c r="C20" s="9"/>
      <c r="D20" s="9"/>
      <c r="E20" s="9"/>
      <c r="F20" s="9"/>
      <c r="G20" s="9"/>
    </row>
    <row r="21" hidden="0" outlineLevel="0" collapsed="0">
      <c r="A21" s="30" t="s">
        <v>425</v>
      </c>
      <c r="B21" s="24">
        <f>B18*Assumptions!$E$22*Assumptions!$E$23</f>
        <v>743.1349655678896</v>
      </c>
      <c r="C21" s="9"/>
      <c r="D21" s="9"/>
      <c r="E21" s="9"/>
      <c r="F21" s="9"/>
      <c r="G21" s="9"/>
    </row>
    <row r="22" hidden="0" outlineLevel="0" collapsed="0">
      <c r="A22" s="30" t="s">
        <v>382</v>
      </c>
      <c r="B22" s="24">
        <f>Assumptions!E24</f>
        <v>1815.27</v>
      </c>
      <c r="C22" s="9"/>
      <c r="D22" s="9"/>
      <c r="E22" s="9"/>
      <c r="F22" s="9"/>
      <c r="G22" s="9"/>
    </row>
    <row r="23" hidden="0" outlineLevel="0" collapsed="0">
      <c r="A23" s="30" t="s">
        <v>426</v>
      </c>
      <c r="B23" s="32">
        <f>IF(B22&gt;0,B21/B22-1,0)</f>
        <v>-0.5906201471032466</v>
      </c>
      <c r="C23" s="9"/>
      <c r="D23" s="9"/>
      <c r="E23" s="9"/>
      <c r="F23" s="9"/>
      <c r="G23" s="9"/>
    </row>
    <row r="24" hidden="0" outlineLevel="0" collapsed="0">
      <c r="A24" s="4"/>
      <c r="B24" s="4"/>
      <c r="C24" s="4"/>
      <c r="D24" s="4"/>
      <c r="E24" s="4"/>
      <c r="F24" s="4"/>
      <c r="G24" s="4"/>
    </row>
    <row r="25" hidden="0" outlineLevel="0" collapsed="0">
      <c r="A25" s="4"/>
      <c r="B25" s="4"/>
      <c r="C25" s="4"/>
      <c r="D25" s="4"/>
      <c r="E25" s="4"/>
      <c r="F25" s="4"/>
      <c r="G25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1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6" width="17" style="1" customWidth="1"/>
  </cols>
  <sheetData>
    <row r="1" hidden="0" outlineLevel="0" collapsed="0">
      <c r="A1" s="2" t="s">
        <v>427</v>
      </c>
      <c r="B1" s="2"/>
      <c r="C1" s="2"/>
      <c r="D1" s="2"/>
      <c r="E1" s="2"/>
      <c r="F1" s="2"/>
    </row>
    <row r="2" ht="34" hidden="0" outlineLevel="0" collapsed="0">
      <c r="A2" s="3" t="s">
        <v>428</v>
      </c>
      <c r="B2" s="3"/>
      <c r="C2" s="3"/>
      <c r="D2" s="3"/>
      <c r="E2" s="3"/>
      <c r="F2" s="3"/>
    </row>
    <row r="3" hidden="0" outlineLevel="0" collapsed="0">
      <c r="A3" s="4"/>
      <c r="B3" s="4"/>
      <c r="C3" s="4"/>
      <c r="D3" s="4"/>
      <c r="E3" s="4"/>
      <c r="F3" s="4"/>
    </row>
    <row r="4" hidden="0" outlineLevel="0" collapsed="0">
      <c r="A4" s="29" t="s">
        <v>429</v>
      </c>
      <c r="B4" s="25">
        <f>Assumptions!$E$20+-0.02</f>
        <v>0.065</v>
      </c>
      <c r="C4" s="25">
        <f>Assumptions!$E$20+-0.01</f>
        <v>0.07500000000000001</v>
      </c>
      <c r="D4" s="25">
        <f>Assumptions!$E$20+0</f>
        <v>0.085</v>
      </c>
      <c r="E4" s="25">
        <f>Assumptions!$E$20+0.01</f>
        <v>0.095</v>
      </c>
      <c r="F4" s="25">
        <f>Assumptions!$E$20+0.02</f>
        <v>0.10500000000000001</v>
      </c>
    </row>
    <row r="5" hidden="0" outlineLevel="0" collapsed="0">
      <c r="A5" s="25">
        <f>Assumptions!$E$21+-0.01</f>
        <v>0.019999999999999997</v>
      </c>
      <c r="B5" s="24">
        <f>((Valuation!$B$5/(1+B$4)^1+Valuation!$C$5/(1+B$4)^2+Valuation!$D$5/(1+B$4)^3+Valuation!$E$5/(1+B$4)^4+Valuation!$F$5/(1+B$4)^5+IF(B$4&gt;$A5,Valuation!$F$5*(1+$A5)/(B$4-$A5)/(1+B$4)^5,0)+Valuation!$B$14-Valuation!$B$15)/Valuation!$B$17)*Assumptions!$E$22*Assumptions!$E$23</f>
        <v>937.509282910641</v>
      </c>
      <c r="C5" s="24">
        <f>((Valuation!$B$5/(1+C$4)^1+Valuation!$C$5/(1+C$4)^2+Valuation!$D$5/(1+C$4)^3+Valuation!$E$5/(1+C$4)^4+Valuation!$F$5/(1+C$4)^5+IF(C$4&gt;$A5,Valuation!$F$5*(1+$A5)/(C$4-$A5)/(1+C$4)^5,0)+Valuation!$B$14-Valuation!$B$15)/Valuation!$B$17)*Assumptions!$E$22*Assumptions!$E$23</f>
        <v>768.3977844459382</v>
      </c>
      <c r="D5" s="24">
        <f>((Valuation!$B$5/(1+D$4)^1+Valuation!$C$5/(1+D$4)^2+Valuation!$D$5/(1+D$4)^3+Valuation!$E$5/(1+D$4)^4+Valuation!$F$5/(1+D$4)^5+IF(D$4&gt;$A5,Valuation!$F$5*(1+$A5)/(D$4-$A5)/(1+D$4)^5,0)+Valuation!$B$14-Valuation!$B$15)/Valuation!$B$17)*Assumptions!$E$22*Assumptions!$E$23</f>
        <v>651.4459176480868</v>
      </c>
      <c r="E5" s="24">
        <f>((Valuation!$B$5/(1+E$4)^1+Valuation!$C$5/(1+E$4)^2+Valuation!$D$5/(1+E$4)^3+Valuation!$E$5/(1+E$4)^4+Valuation!$F$5/(1+E$4)^5+IF(E$4&gt;$A5,Valuation!$F$5*(1+$A5)/(E$4-$A5)/(1+E$4)^5,0)+Valuation!$B$14-Valuation!$B$15)/Valuation!$B$17)*Assumptions!$E$22*Assumptions!$E$23</f>
        <v>565.7847381997458</v>
      </c>
      <c r="F5" s="24">
        <f>((Valuation!$B$5/(1+F$4)^1+Valuation!$C$5/(1+F$4)^2+Valuation!$D$5/(1+F$4)^3+Valuation!$E$5/(1+F$4)^4+Valuation!$F$5/(1+F$4)^5+IF(F$4&gt;$A5,Valuation!$F$5*(1+$A5)/(F$4-$A5)/(1+F$4)^5,0)+Valuation!$B$14-Valuation!$B$15)/Valuation!$B$17)*Assumptions!$E$22*Assumptions!$E$23</f>
        <v>500.36623659796044</v>
      </c>
    </row>
    <row r="6" hidden="0" outlineLevel="0" collapsed="0">
      <c r="A6" s="25">
        <f>Assumptions!$E$21+-0.005</f>
        <v>0.024999999999999998</v>
      </c>
      <c r="B6" s="24">
        <f>((Valuation!$B$5/(1+B$4)^1+Valuation!$C$5/(1+B$4)^2+Valuation!$D$5/(1+B$4)^3+Valuation!$E$5/(1+B$4)^4+Valuation!$F$5/(1+B$4)^5+IF(B$4&gt;$A6,Valuation!$F$5*(1+$A6)/(B$4-$A6)/(1+B$4)^5,0)+Valuation!$B$14-Valuation!$B$15)/Valuation!$B$17)*Assumptions!$E$22*Assumptions!$E$23</f>
        <v>1035.596300603431</v>
      </c>
      <c r="C6" s="24">
        <f>((Valuation!$B$5/(1+C$4)^1+Valuation!$C$5/(1+C$4)^2+Valuation!$D$5/(1+C$4)^3+Valuation!$E$5/(1+C$4)^4+Valuation!$F$5/(1+C$4)^5+IF(C$4&gt;$A6,Valuation!$F$5*(1+$A6)/(C$4-$A6)/(1+C$4)^5,0)+Valuation!$B$14-Valuation!$B$15)/Valuation!$B$17)*Assumptions!$E$22*Assumptions!$E$23</f>
        <v>830.2443967075577</v>
      </c>
      <c r="D6" s="24">
        <f>((Valuation!$B$5/(1+D$4)^1+Valuation!$C$5/(1+D$4)^2+Valuation!$D$5/(1+D$4)^3+Valuation!$E$5/(1+D$4)^4+Valuation!$F$5/(1+D$4)^5+IF(D$4&gt;$A6,Valuation!$F$5*(1+$A6)/(D$4-$A6)/(1+D$4)^5,0)+Valuation!$B$14-Valuation!$B$15)/Valuation!$B$17)*Assumptions!$E$22*Assumptions!$E$23</f>
        <v>693.4700646113296</v>
      </c>
      <c r="E6" s="24">
        <f>((Valuation!$B$5/(1+E$4)^1+Valuation!$C$5/(1+E$4)^2+Valuation!$D$5/(1+E$4)^3+Valuation!$E$5/(1+E$4)^4+Valuation!$F$5/(1+E$4)^5+IF(E$4&gt;$A6,Valuation!$F$5*(1+$A6)/(E$4-$A6)/(1+E$4)^5,0)+Valuation!$B$14-Valuation!$B$15)/Valuation!$B$17)*Assumptions!$E$22*Assumptions!$E$23</f>
        <v>595.8778214259783</v>
      </c>
      <c r="F6" s="24">
        <f>((Valuation!$B$5/(1+F$4)^1+Valuation!$C$5/(1+F$4)^2+Valuation!$D$5/(1+F$4)^3+Valuation!$E$5/(1+F$4)^4+Valuation!$F$5/(1+F$4)^5+IF(F$4&gt;$A6,Valuation!$F$5*(1+$A6)/(F$4-$A6)/(1+F$4)^5,0)+Valuation!$B$14-Valuation!$B$15)/Valuation!$B$17)*Assumptions!$E$22*Assumptions!$E$23</f>
        <v>522.7701786941983</v>
      </c>
    </row>
    <row r="7" hidden="0" outlineLevel="0" collapsed="0">
      <c r="A7" s="25">
        <f>Assumptions!$E$21+0</f>
        <v>0.03</v>
      </c>
      <c r="B7" s="24">
        <f>((Valuation!$B$5/(1+B$4)^1+Valuation!$C$5/(1+B$4)^2+Valuation!$D$5/(1+B$4)^3+Valuation!$E$5/(1+B$4)^4+Valuation!$F$5/(1+B$4)^5+IF(B$4&gt;$A7,Valuation!$F$5*(1+$A7)/(B$4-$A7)/(1+B$4)^5,0)+Valuation!$B$14-Valuation!$B$15)/Valuation!$B$17)*Assumptions!$E$22*Assumptions!$E$23</f>
        <v>1161.7081804941615</v>
      </c>
      <c r="C7" s="24">
        <f>((Valuation!$B$5/(1+C$4)^1+Valuation!$C$5/(1+C$4)^2+Valuation!$D$5/(1+C$4)^3+Valuation!$E$5/(1+C$4)^4+Valuation!$F$5/(1+C$4)^5+IF(C$4&gt;$A7,Valuation!$F$5*(1+$A7)/(C$4-$A7)/(1+C$4)^5,0)+Valuation!$B$14-Valuation!$B$15)/Valuation!$B$17)*Assumptions!$E$22*Assumptions!$E$23</f>
        <v>905.8347005828707</v>
      </c>
      <c r="D7" s="26">
        <f>((Valuation!$B$5/(1+D$4)^1+Valuation!$C$5/(1+D$4)^2+Valuation!$D$5/(1+D$4)^3+Valuation!$E$5/(1+D$4)^4+Valuation!$F$5/(1+D$4)^5+IF(D$4&gt;$A7,Valuation!$F$5*(1+$A7)/(D$4-$A7)/(1+D$4)^5,0)+Valuation!$B$14-Valuation!$B$15)/Valuation!$B$17)*Assumptions!$E$22*Assumptions!$E$23</f>
        <v>743.1349655678896</v>
      </c>
      <c r="E7" s="24">
        <f>((Valuation!$B$5/(1+E$4)^1+Valuation!$C$5/(1+E$4)^2+Valuation!$D$5/(1+E$4)^3+Valuation!$E$5/(1+E$4)^4+Valuation!$F$5/(1+E$4)^5+IF(E$4&gt;$A7,Valuation!$F$5*(1+$A7)/(E$4-$A7)/(1+E$4)^5,0)+Valuation!$B$14-Valuation!$B$15)/Valuation!$B$17)*Assumptions!$E$22*Assumptions!$E$23</f>
        <v>630.6006097639392</v>
      </c>
      <c r="F7" s="24">
        <f>((Valuation!$B$5/(1+F$4)^1+Valuation!$C$5/(1+F$4)^2+Valuation!$D$5/(1+F$4)^3+Valuation!$E$5/(1+F$4)^4+Valuation!$F$5/(1+F$4)^5+IF(F$4&gt;$A7,Valuation!$F$5*(1+$A7)/(F$4-$A7)/(1+F$4)^5,0)+Valuation!$B$14-Valuation!$B$15)/Valuation!$B$17)*Assumptions!$E$22*Assumptions!$E$23</f>
        <v>548.1613130699345</v>
      </c>
    </row>
    <row r="8" hidden="0" outlineLevel="0" collapsed="0">
      <c r="A8" s="25">
        <f>Assumptions!$E$21+0.005</f>
        <v>0.034999999999999996</v>
      </c>
      <c r="B8" s="24">
        <f>((Valuation!$B$5/(1+B$4)^1+Valuation!$C$5/(1+B$4)^2+Valuation!$D$5/(1+B$4)^3+Valuation!$E$5/(1+B$4)^4+Valuation!$F$5/(1+B$4)^5+IF(B$4&gt;$A8,Valuation!$F$5*(1+$A8)/(B$4-$A8)/(1+B$4)^5,0)+Valuation!$B$14-Valuation!$B$15)/Valuation!$B$17)*Assumptions!$E$22*Assumptions!$E$23</f>
        <v>1329.8573536818017</v>
      </c>
      <c r="C8" s="24">
        <f>((Valuation!$B$5/(1+C$4)^1+Valuation!$C$5/(1+C$4)^2+Valuation!$D$5/(1+C$4)^3+Valuation!$E$5/(1+C$4)^4+Valuation!$F$5/(1+C$4)^5+IF(C$4&gt;$A8,Valuation!$F$5*(1+$A8)/(C$4-$A8)/(1+C$4)^5,0)+Valuation!$B$14-Valuation!$B$15)/Valuation!$B$17)*Assumptions!$E$22*Assumptions!$E$23</f>
        <v>1000.322580427012</v>
      </c>
      <c r="D8" s="24">
        <f>((Valuation!$B$5/(1+D$4)^1+Valuation!$C$5/(1+D$4)^2+Valuation!$D$5/(1+D$4)^3+Valuation!$E$5/(1+D$4)^4+Valuation!$F$5/(1+D$4)^5+IF(D$4&gt;$A8,Valuation!$F$5*(1+$A8)/(D$4-$A8)/(1+D$4)^5,0)+Valuation!$B$14-Valuation!$B$15)/Valuation!$B$17)*Assumptions!$E$22*Assumptions!$E$23</f>
        <v>802.7328467157614</v>
      </c>
      <c r="E8" s="24">
        <f>((Valuation!$B$5/(1+E$4)^1+Valuation!$C$5/(1+E$4)^2+Valuation!$D$5/(1+E$4)^3+Valuation!$E$5/(1+E$4)^4+Valuation!$F$5/(1+E$4)^5+IF(E$4&gt;$A8,Valuation!$F$5*(1+$A8)/(E$4-$A8)/(1+E$4)^5,0)+Valuation!$B$14-Valuation!$B$15)/Valuation!$B$17)*Assumptions!$E$22*Assumptions!$E$23</f>
        <v>671.1105294915602</v>
      </c>
      <c r="F8" s="24">
        <f>((Valuation!$B$5/(1+F$4)^1+Valuation!$C$5/(1+F$4)^2+Valuation!$D$5/(1+F$4)^3+Valuation!$E$5/(1+F$4)^4+Valuation!$F$5/(1+F$4)^5+IF(F$4&gt;$A8,Valuation!$F$5*(1+$A8)/(F$4-$A8)/(1+F$4)^5,0)+Valuation!$B$14-Valuation!$B$15)/Valuation!$B$17)*Assumptions!$E$22*Assumptions!$E$23</f>
        <v>577.1797523564902</v>
      </c>
    </row>
    <row r="9" hidden="0" outlineLevel="0" collapsed="0">
      <c r="A9" s="25">
        <f>Assumptions!$E$21+0.01</f>
        <v>0.04</v>
      </c>
      <c r="B9" s="24">
        <f>((Valuation!$B$5/(1+B$4)^1+Valuation!$C$5/(1+B$4)^2+Valuation!$D$5/(1+B$4)^3+Valuation!$E$5/(1+B$4)^4+Valuation!$F$5/(1+B$4)^5+IF(B$4&gt;$A9,Valuation!$F$5*(1+$A9)/(B$4-$A9)/(1+B$4)^5,0)+Valuation!$B$14-Valuation!$B$15)/Valuation!$B$17)*Assumptions!$E$22*Assumptions!$E$23</f>
        <v>1565.2661961444983</v>
      </c>
      <c r="C9" s="24">
        <f>((Valuation!$B$5/(1+C$4)^1+Valuation!$C$5/(1+C$4)^2+Valuation!$D$5/(1+C$4)^3+Valuation!$E$5/(1+C$4)^4+Valuation!$F$5/(1+C$4)^5+IF(C$4&gt;$A9,Valuation!$F$5*(1+$A9)/(C$4-$A9)/(1+C$4)^5,0)+Valuation!$B$14-Valuation!$B$15)/Valuation!$B$17)*Assumptions!$E$22*Assumptions!$E$23</f>
        <v>1121.8069973694792</v>
      </c>
      <c r="D9" s="24">
        <f>((Valuation!$B$5/(1+D$4)^1+Valuation!$C$5/(1+D$4)^2+Valuation!$D$5/(1+D$4)^3+Valuation!$E$5/(1+D$4)^4+Valuation!$F$5/(1+D$4)^5+IF(D$4&gt;$A9,Valuation!$F$5*(1+$A9)/(D$4-$A9)/(1+D$4)^5,0)+Valuation!$B$14-Valuation!$B$15)/Valuation!$B$17)*Assumptions!$E$22*Assumptions!$E$23</f>
        <v>875.5747014520492</v>
      </c>
      <c r="E9" s="24">
        <f>((Valuation!$B$5/(1+E$4)^1+Valuation!$C$5/(1+E$4)^2+Valuation!$D$5/(1+E$4)^3+Valuation!$E$5/(1+E$4)^4+Valuation!$F$5/(1+E$4)^5+IF(E$4&gt;$A9,Valuation!$F$5*(1+$A9)/(E$4-$A9)/(1+E$4)^5,0)+Valuation!$B$14-Valuation!$B$15)/Valuation!$B$17)*Assumptions!$E$22*Assumptions!$E$23</f>
        <v>718.9858891696578</v>
      </c>
      <c r="F9" s="24">
        <f>((Valuation!$B$5/(1+F$4)^1+Valuation!$C$5/(1+F$4)^2+Valuation!$D$5/(1+F$4)^3+Valuation!$E$5/(1+F$4)^4+Valuation!$F$5/(1+F$4)^5+IF(F$4&gt;$A9,Valuation!$F$5*(1+$A9)/(F$4-$A9)/(1+F$4)^5,0)+Valuation!$B$14-Valuation!$B$15)/Valuation!$B$17)*Assumptions!$E$22*Assumptions!$E$23</f>
        <v>610.6625669179008</v>
      </c>
    </row>
    <row r="10" hidden="0" outlineLevel="0" collapsed="0">
      <c r="A10" s="4"/>
      <c r="B10" s="4"/>
      <c r="C10" s="4"/>
      <c r="D10" s="4"/>
      <c r="E10" s="4"/>
      <c r="F10" s="4"/>
    </row>
    <row r="11" hidden="0" outlineLevel="0" collapsed="0">
      <c r="A11" s="4"/>
      <c r="B11" s="4"/>
      <c r="C11" s="4"/>
      <c r="D11" s="4"/>
      <c r="E11" s="4"/>
      <c r="F11" s="4"/>
    </row>
  </sheetData>
  <mergeCells count="2">
    <mergeCell ref="A1:F1"/>
    <mergeCell ref="A2:F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6" width="15" style="1" customWidth="1"/>
    <col min="7" max="7" width="16" style="1" customWidth="1"/>
    <col min="8" max="8" width="42" style="1" customWidth="1"/>
  </cols>
  <sheetData>
    <row r="1" hidden="0" outlineLevel="0" collapsed="0">
      <c r="A1" s="2" t="s">
        <v>430</v>
      </c>
      <c r="B1" s="2"/>
      <c r="C1" s="2"/>
      <c r="D1" s="2"/>
      <c r="E1" s="2"/>
      <c r="F1" s="2"/>
      <c r="G1" s="2"/>
      <c r="H1" s="2"/>
    </row>
    <row r="2" ht="34" hidden="0" outlineLevel="0" collapsed="0">
      <c r="A2" s="3" t="s">
        <v>431</v>
      </c>
      <c r="B2" s="3"/>
      <c r="C2" s="3"/>
      <c r="D2" s="3"/>
      <c r="E2" s="3"/>
      <c r="F2" s="3"/>
      <c r="G2" s="3"/>
      <c r="H2" s="3"/>
    </row>
    <row r="3" hidden="0" outlineLevel="0" collapsed="0">
      <c r="A3" s="4"/>
      <c r="B3" s="4"/>
      <c r="C3" s="4"/>
      <c r="D3" s="4"/>
      <c r="E3" s="4"/>
      <c r="F3" s="4"/>
      <c r="G3" s="4"/>
      <c r="H3" s="4"/>
    </row>
    <row r="4" hidden="0" outlineLevel="0" collapsed="0">
      <c r="A4" s="29" t="s">
        <v>432</v>
      </c>
      <c r="B4" s="29" t="s">
        <v>433</v>
      </c>
      <c r="C4" s="29" t="s">
        <v>434</v>
      </c>
      <c r="D4" s="29" t="s">
        <v>435</v>
      </c>
      <c r="E4" s="29" t="s">
        <v>436</v>
      </c>
      <c r="F4" s="29" t="s">
        <v>437</v>
      </c>
      <c r="G4" s="29" t="s">
        <v>438</v>
      </c>
      <c r="H4" s="29" t="s">
        <v>439</v>
      </c>
    </row>
    <row r="5" hidden="0" outlineLevel="0" collapsed="0">
      <c r="A5" s="30" t="s">
        <v>440</v>
      </c>
      <c r="B5" s="30">
        <f>COUNTIF(Sources!$Q$5:$Q$97,"VERIFIED")</f>
        <v>93</v>
      </c>
      <c r="C5" s="30">
        <f>COUNTA(Sources!$A$5:$A$97)</f>
        <v>93</v>
      </c>
      <c r="D5" s="30">
        <f>B5-C5</f>
        <v>0</v>
      </c>
      <c r="E5" s="30">
        <v>0</v>
      </c>
      <c r="F5" s="30" t="str">
        <f>IF(AND(D5=0,C5&gt;0),"PASS","FAIL")</f>
        <v>PASS</v>
      </c>
      <c r="G5" s="30" t="s">
        <v>441</v>
      </c>
      <c r="H5" s="30" t="s">
        <v>442</v>
      </c>
    </row>
    <row r="6" hidden="0" outlineLevel="0" collapsed="0">
      <c r="A6" s="30" t="s">
        <v>443</v>
      </c>
      <c r="B6" s="30">
        <f>COUNTIF(Historical!$H$5:$H$20,"CHECK")</f>
        <v>0</v>
      </c>
      <c r="C6" s="30">
        <v>0</v>
      </c>
      <c r="D6" s="30">
        <f>B6-C6</f>
        <v>0</v>
      </c>
      <c r="E6" s="30">
        <v>0</v>
      </c>
      <c r="F6" s="30" t="str">
        <f>IF(ABS(D6)&lt;=E6,"PASS","FAIL")</f>
        <v>PASS</v>
      </c>
      <c r="G6" s="30" t="s">
        <v>441</v>
      </c>
      <c r="H6" s="30" t="s">
        <v>444</v>
      </c>
    </row>
    <row r="7" hidden="0" outlineLevel="0" collapsed="0">
      <c r="A7" s="30" t="s">
        <v>445</v>
      </c>
      <c r="B7" s="30">
        <f>Forecast!G8</f>
        <v>49418.38676067746</v>
      </c>
      <c r="C7" s="30">
        <f>Forecast!G5*Forecast!G6+Forecast!G7</f>
        <v>49418.38676067746</v>
      </c>
      <c r="D7" s="30">
        <f>B7-C7</f>
        <v>0</v>
      </c>
      <c r="E7" s="30">
        <v>0.1</v>
      </c>
      <c r="F7" s="30" t="str">
        <f>IF(ABS(D7)&lt;=E7,"PASS","FAIL")</f>
        <v>PASS</v>
      </c>
      <c r="G7" s="30" t="s">
        <v>441</v>
      </c>
      <c r="H7" s="30" t="s">
        <v>446</v>
      </c>
    </row>
    <row r="8" hidden="0" outlineLevel="0" collapsed="0">
      <c r="A8" s="30" t="s">
        <v>447</v>
      </c>
      <c r="B8" s="30">
        <f>Forecast!G16</f>
        <v>17938.87439412592</v>
      </c>
      <c r="C8" s="30">
        <f>Forecast!G11-Forecast!G13-Forecast!G15</f>
        <v>17938.87439412592</v>
      </c>
      <c r="D8" s="30">
        <f>B8-C8</f>
        <v>0</v>
      </c>
      <c r="E8" s="30">
        <v>0.1</v>
      </c>
      <c r="F8" s="30" t="str">
        <f>IF(ABS(D8)&lt;=E8,"PASS","FAIL")</f>
        <v>PASS</v>
      </c>
      <c r="G8" s="30" t="s">
        <v>441</v>
      </c>
      <c r="H8" s="30" t="s">
        <v>448</v>
      </c>
    </row>
    <row r="9" hidden="0" outlineLevel="0" collapsed="0">
      <c r="A9" s="30" t="s">
        <v>449</v>
      </c>
      <c r="B9" s="30">
        <f>Forecast!G25</f>
        <v>15396.980494928946</v>
      </c>
      <c r="C9" s="30">
        <f>Forecast!G19+Forecast!G21-Forecast!G23-Forecast!G24</f>
        <v>15396.980494928946</v>
      </c>
      <c r="D9" s="30">
        <f>B9-C9</f>
        <v>0</v>
      </c>
      <c r="E9" s="30">
        <v>0.1</v>
      </c>
      <c r="F9" s="30" t="str">
        <f>IF(ABS(D9)&lt;=E9,"PASS","FAIL")</f>
        <v>PASS</v>
      </c>
      <c r="G9" s="30" t="s">
        <v>441</v>
      </c>
      <c r="H9" s="30" t="s">
        <v>450</v>
      </c>
    </row>
    <row r="10" hidden="0" outlineLevel="0" collapsed="0">
      <c r="A10" s="30" t="s">
        <v>451</v>
      </c>
      <c r="B10" s="30">
        <f>Assumptions!E20</f>
        <v>0.085</v>
      </c>
      <c r="C10" s="30">
        <f>Assumptions!E21</f>
        <v>0.03</v>
      </c>
      <c r="D10" s="30">
        <f>B10-C10</f>
        <v>0.05500000000000001</v>
      </c>
      <c r="E10" s="30">
        <v>0</v>
      </c>
      <c r="F10" s="30" t="str">
        <f>IF(D10&gt;E10,"PASS","FAIL")</f>
        <v>PASS</v>
      </c>
      <c r="G10" s="30" t="s">
        <v>441</v>
      </c>
      <c r="H10" s="30" t="s">
        <v>452</v>
      </c>
    </row>
    <row r="11" hidden="0" outlineLevel="0" collapsed="0">
      <c r="A11" s="30" t="s">
        <v>453</v>
      </c>
      <c r="B11" s="30">
        <f>Valuation!B16</f>
        <v>251878.32326072187</v>
      </c>
      <c r="C11" s="30">
        <f>Valuation!B13+Valuation!B14-Valuation!B15</f>
        <v>251878.32326072187</v>
      </c>
      <c r="D11" s="30">
        <f>B11-C11</f>
        <v>0</v>
      </c>
      <c r="E11" s="30">
        <v>0.1</v>
      </c>
      <c r="F11" s="30" t="str">
        <f>IF(ABS(D11)&lt;=E11,"PASS","FAIL")</f>
        <v>PASS</v>
      </c>
      <c r="G11" s="30" t="s">
        <v>441</v>
      </c>
      <c r="H11" s="30" t="s">
        <v>454</v>
      </c>
    </row>
    <row r="12" hidden="0" outlineLevel="0" collapsed="0">
      <c r="A12" s="30" t="s">
        <v>455</v>
      </c>
      <c r="B12" s="30">
        <f>Sensitivity!D7</f>
        <v>743.1349655678896</v>
      </c>
      <c r="C12" s="30">
        <f>Valuation!B21</f>
        <v>743.1349655678896</v>
      </c>
      <c r="D12" s="30">
        <f>B12-C12</f>
        <v>0</v>
      </c>
      <c r="E12" s="30">
        <v>0.1</v>
      </c>
      <c r="F12" s="30" t="str">
        <f>IF(ABS(D12)&lt;=E12,"PASS","FAIL")</f>
        <v>PASS</v>
      </c>
      <c r="G12" s="30" t="s">
        <v>441</v>
      </c>
      <c r="H12" s="30" t="s">
        <v>456</v>
      </c>
    </row>
    <row r="13" hidden="0" outlineLevel="0" collapsed="0">
      <c r="A13" s="30" t="s">
        <v>457</v>
      </c>
      <c r="B13" s="30">
        <f>Assumptions!B3</f>
        <v>1</v>
      </c>
      <c r="C13" s="30">
        <v>1</v>
      </c>
      <c r="D13" s="30">
        <f>IF(OR(B13=1,B13=2,B13=3),0,1)</f>
        <v>0</v>
      </c>
      <c r="E13" s="30">
        <v>0</v>
      </c>
      <c r="F13" s="30" t="str">
        <f>IF(D13=0,"PASS","FAIL")</f>
        <v>PASS</v>
      </c>
      <c r="G13" s="30" t="s">
        <v>441</v>
      </c>
      <c r="H13" s="30" t="s">
        <v>458</v>
      </c>
    </row>
    <row r="14" hidden="0" outlineLevel="0" collapsed="0">
      <c r="A14" s="30" t="s">
        <v>459</v>
      </c>
      <c r="B14" s="30">
        <f>MIN(Forecast!C8:G8)</f>
        <v>35995.215749999996</v>
      </c>
      <c r="C14" s="30">
        <v>0</v>
      </c>
      <c r="D14" s="30">
        <f>B14-C14</f>
        <v>35995.215749999996</v>
      </c>
      <c r="E14" s="30">
        <v>0</v>
      </c>
      <c r="F14" s="30" t="str">
        <f>IF(D14&gt;=0,"PASS","FAIL")</f>
        <v>PASS</v>
      </c>
      <c r="G14" s="30" t="s">
        <v>441</v>
      </c>
      <c r="H14" s="30" t="s">
        <v>460</v>
      </c>
    </row>
    <row r="15" hidden="0" outlineLevel="0" collapsed="0">
      <c r="A15" s="30" t="s">
        <v>461</v>
      </c>
      <c r="B15" s="30">
        <f>MIN(Forecast!B26:G27)</f>
        <v>2709</v>
      </c>
      <c r="C15" s="30">
        <v>0</v>
      </c>
      <c r="D15" s="30">
        <f>B15-C15</f>
        <v>2709</v>
      </c>
      <c r="E15" s="30">
        <v>0</v>
      </c>
      <c r="F15" s="30" t="str">
        <f>IF(D15&gt;=0,"PASS","FAIL")</f>
        <v>PASS</v>
      </c>
      <c r="G15" s="30" t="s">
        <v>441</v>
      </c>
      <c r="H15" s="30" t="s">
        <v>462</v>
      </c>
    </row>
    <row r="16" hidden="0" outlineLevel="0" collapsed="0">
      <c r="A16" s="30" t="s">
        <v>463</v>
      </c>
      <c r="B16" s="30">
        <f>Valuation!B21</f>
        <v>743.1349655678896</v>
      </c>
      <c r="C16" s="30">
        <v>0</v>
      </c>
      <c r="D16" s="30">
        <f>B16-C16</f>
        <v>743.1349655678896</v>
      </c>
      <c r="E16" s="30">
        <v>0</v>
      </c>
      <c r="F16" s="30" t="str">
        <f>IF(D16&gt;0,"PASS","FAIL")</f>
        <v>PASS</v>
      </c>
      <c r="G16" s="30" t="s">
        <v>441</v>
      </c>
      <c r="H16" s="30" t="s">
        <v>464</v>
      </c>
    </row>
    <row r="17" hidden="0" outlineLevel="0" collapsed="0">
      <c r="A17" s="30" t="s">
        <v>465</v>
      </c>
      <c r="B17" s="30">
        <v>8</v>
      </c>
      <c r="C17" s="30">
        <v>8</v>
      </c>
      <c r="D17" s="30">
        <f>B17-C17</f>
        <v>0</v>
      </c>
      <c r="E17" s="30">
        <v>0</v>
      </c>
      <c r="F17" s="30" t="str">
        <f>IF(AND(ABS(Sector_KPIs!D5-Forecast!G5*Forecast!G6)&lt;0.1,ABS(Sector_KPIs!D6-Forecast!G7)&lt;0.1,ABS(Sector_KPIs!D7-Forecast!G5)&lt;0.1,ABS(Sector_KPIs!D8-Forecast!G6)&lt;0.1,ISTEXT(Sector_KPIs!D9),ABS(Sector_KPIs!D10-Forecast!G10)&lt;0.000001,ABS(Sector_KPIs!D11-Forecast!C8)&lt;0.1,ABS(Sector_KPIs!D12-Forecast!C8)&lt;0.1),"PASS","FAIL")</f>
        <v>PASS</v>
      </c>
      <c r="G17" s="30" t="s">
        <v>441</v>
      </c>
      <c r="H17" s="30" t="s">
        <v>466</v>
      </c>
    </row>
    <row r="18" hidden="0" outlineLevel="0" collapsed="0">
      <c r="A18" s="27" t="s">
        <v>467</v>
      </c>
      <c r="B18" s="27">
        <f>1</f>
        <v>1</v>
      </c>
      <c r="C18" s="27">
        <f>1</f>
        <v>1</v>
      </c>
      <c r="D18" s="27">
        <f>B18-C18</f>
        <v>0</v>
      </c>
      <c r="E18" s="27">
        <v>0</v>
      </c>
      <c r="F18" s="27" t="str">
        <f>IF(AND(Sector_KPIs!B5&gt;0,Sector_KPIs!B6&gt;0,Sector_KPIs!B7&gt;0,Sector_KPIs!B8&gt;0,Sector_KPIs!B9&gt;0,Sector_KPIs!B10&gt;=0,Sector_KPIs!B10&lt;=1,Sector_KPIs!B11&gt;0,Sector_KPIs!B12&gt;=Sector_KPIs!B11,Sector_KPIs!D5&gt;0,Sector_KPIs!D6&gt;0,Sector_KPIs!D7&gt;0,Sector_KPIs!D8&gt;0,Sector_KPIs!D10&gt;=0,Sector_KPIs!D10&lt;=1,Sector_KPIs!D11&gt;0,Sector_KPIs!D12&gt;0),"PASS","FAIL")</f>
        <v>PASS</v>
      </c>
      <c r="G18" s="27" t="s">
        <v>441</v>
      </c>
      <c r="H18" s="27" t="s">
        <v>468</v>
      </c>
    </row>
    <row r="19" hidden="0" outlineLevel="0" collapsed="0">
      <c r="A19" s="27" t="s">
        <v>469</v>
      </c>
      <c r="B19" s="27">
        <f>COUNTA(Sources!$L$5:$L$97)</f>
        <v>93</v>
      </c>
      <c r="C19" s="27">
        <f>COUNTA(Sources!$A$5:$A$97)</f>
        <v>93</v>
      </c>
      <c r="D19" s="27">
        <f>B19-C19</f>
        <v>0</v>
      </c>
      <c r="E19" s="27">
        <v>0</v>
      </c>
      <c r="F19" s="27" t="str">
        <f>IF(ABS(D19)&lt;=E19,"PASS","FAIL")</f>
        <v>PASS</v>
      </c>
      <c r="G19" s="27" t="s">
        <v>441</v>
      </c>
      <c r="H19" s="27" t="s">
        <v>470</v>
      </c>
    </row>
    <row r="20" hidden="0" outlineLevel="0" collapsed="0">
      <c r="A20" s="27" t="s">
        <v>471</v>
      </c>
      <c r="B20" s="27">
        <f>COUNTBLANK(Sources!$E$5:$E$97)</f>
        <v>0</v>
      </c>
      <c r="C20" s="27">
        <v>0</v>
      </c>
      <c r="D20" s="27">
        <f>B20-C20</f>
        <v>0</v>
      </c>
      <c r="E20" s="27">
        <v>0</v>
      </c>
      <c r="F20" s="27" t="str">
        <f>IF(ABS(D20)&lt;=E20,"PASS","FAIL")</f>
        <v>PASS</v>
      </c>
      <c r="G20" s="27" t="s">
        <v>441</v>
      </c>
      <c r="H20" s="27" t="s">
        <v>472</v>
      </c>
    </row>
    <row r="21" hidden="0" outlineLevel="0" collapsed="0">
      <c r="A21" s="27" t="s">
        <v>473</v>
      </c>
      <c r="B21" s="27">
        <f>COUNTA(Sources!$N$5:$N$97)</f>
        <v>93</v>
      </c>
      <c r="C21" s="27">
        <f>COUNTA(Sources!$A$5:$A$97)</f>
        <v>93</v>
      </c>
      <c r="D21" s="27">
        <f>B21-C21</f>
        <v>0</v>
      </c>
      <c r="E21" s="27">
        <v>0</v>
      </c>
      <c r="F21" s="27" t="str">
        <f>IF(ABS(D21)&lt;=E21,"PASS","FAIL")</f>
        <v>PASS</v>
      </c>
      <c r="G21" s="27" t="s">
        <v>441</v>
      </c>
      <c r="H21" s="27" t="s">
        <v>474</v>
      </c>
    </row>
    <row r="22" hidden="0" outlineLevel="0" collapsed="0">
      <c r="A22" s="28"/>
      <c r="B22" s="28"/>
      <c r="C22" s="28"/>
      <c r="D22" s="28"/>
      <c r="E22" s="28"/>
      <c r="F22" s="28"/>
      <c r="G22" s="28"/>
      <c r="H22" s="28"/>
    </row>
    <row r="23" hidden="0" outlineLevel="0" collapsed="0">
      <c r="A23" s="29" t="s">
        <v>475</v>
      </c>
      <c r="B23" s="29" t="str">
        <f>IF(COUNTIF(F5:F21,"FAIL")=0,"PASS","FAIL")</f>
        <v>PASS</v>
      </c>
      <c r="C23" s="28"/>
      <c r="D23" s="28"/>
      <c r="E23" s="28"/>
      <c r="F23" s="28"/>
      <c r="G23" s="28"/>
      <c r="H23" s="28"/>
    </row>
    <row r="24" ht="41.75" hidden="0" outlineLevel="0" collapsed="0">
      <c r="A24" s="27" t="s">
        <v>476</v>
      </c>
      <c r="B24" s="27" t="s">
        <v>477</v>
      </c>
      <c r="C24" s="28"/>
      <c r="D24" s="28"/>
      <c r="E24" s="28"/>
      <c r="F24" s="28"/>
      <c r="G24" s="28"/>
      <c r="H24" s="28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1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4" width="20" style="1" customWidth="1"/>
    <col min="5" max="5" width="48" style="1" customWidth="1"/>
    <col min="6" max="6" width="16" style="1" customWidth="1"/>
  </cols>
  <sheetData>
    <row r="1" hidden="0" outlineLevel="0" collapsed="0">
      <c r="A1" s="2" t="s">
        <v>478</v>
      </c>
      <c r="B1" s="2"/>
      <c r="C1" s="2"/>
      <c r="D1" s="2"/>
      <c r="E1" s="2"/>
      <c r="F1" s="2"/>
    </row>
    <row r="2" ht="34" hidden="0" outlineLevel="0" collapsed="0">
      <c r="A2" s="3" t="s">
        <v>479</v>
      </c>
      <c r="B2" s="3"/>
      <c r="C2" s="3"/>
      <c r="D2" s="3"/>
      <c r="E2" s="3"/>
      <c r="F2" s="3"/>
    </row>
    <row r="3" hidden="0" outlineLevel="0" collapsed="0">
      <c r="A3" s="4"/>
      <c r="B3" s="4"/>
      <c r="C3" s="4"/>
      <c r="D3" s="4"/>
      <c r="E3" s="4"/>
      <c r="F3" s="4"/>
    </row>
    <row r="4" ht="28.35" hidden="0" outlineLevel="0" collapsed="0">
      <c r="A4" s="29" t="s">
        <v>480</v>
      </c>
      <c r="B4" s="29" t="s">
        <v>481</v>
      </c>
      <c r="C4" s="29" t="s">
        <v>31</v>
      </c>
      <c r="D4" s="29" t="s">
        <v>482</v>
      </c>
      <c r="E4" s="29" t="s">
        <v>483</v>
      </c>
      <c r="F4" s="29" t="s">
        <v>437</v>
      </c>
    </row>
    <row r="5" hidden="0" outlineLevel="0" collapsed="0">
      <c r="A5" s="30" t="s">
        <v>258</v>
      </c>
      <c r="B5" s="31">
        <v>24474.3</v>
      </c>
      <c r="C5" s="31" t="s">
        <v>48</v>
      </c>
      <c r="D5" s="31">
        <f>Forecast!G5*Forecast!G6</f>
        <v>37101.87061892311</v>
      </c>
      <c r="E5" s="30" t="s">
        <v>260</v>
      </c>
      <c r="F5" s="30" t="str">
        <f>IF(COUNTIF(Sources!$L$5:$L$97,"Sector_KPIs!B5")&gt;=1,"VERIFIED","CHECK")</f>
        <v>VERIFIED</v>
      </c>
    </row>
    <row r="6" hidden="0" outlineLevel="0" collapsed="0">
      <c r="A6" s="30" t="s">
        <v>267</v>
      </c>
      <c r="B6" s="31">
        <v>8193</v>
      </c>
      <c r="C6" s="31" t="s">
        <v>48</v>
      </c>
      <c r="D6" s="31">
        <f>Forecast!G7</f>
        <v>12316.51614175435</v>
      </c>
      <c r="E6" s="30" t="s">
        <v>260</v>
      </c>
      <c r="F6" s="30" t="str">
        <f>IF(COUNTIF(Sources!$L$5:$L$97,"Sector_KPIs!B6")&gt;=1,"VERIFIED","CHECK")</f>
        <v>VERIFIED</v>
      </c>
    </row>
    <row r="7" hidden="0" outlineLevel="0" collapsed="0">
      <c r="A7" s="30" t="s">
        <v>270</v>
      </c>
      <c r="B7" s="31">
        <v>535</v>
      </c>
      <c r="C7" s="31" t="s">
        <v>271</v>
      </c>
      <c r="D7" s="31">
        <f>Forecast!G5</f>
        <v>666.6882578606251</v>
      </c>
      <c r="E7" s="30" t="s">
        <v>272</v>
      </c>
      <c r="F7" s="30" t="str">
        <f>IF(COUNTIF(Sources!$L$5:$L$97,"Sector_KPIs!B7")&gt;=1,"VERIFIED","CHECK")</f>
        <v>VERIFIED</v>
      </c>
    </row>
    <row r="8" hidden="0" outlineLevel="0" collapsed="0">
      <c r="A8" s="30" t="s">
        <v>275</v>
      </c>
      <c r="B8" s="31">
        <f>IF(B7&lt;&gt;0,B5/B7,0)</f>
        <v>45.746355140186914</v>
      </c>
      <c r="C8" s="31" t="s">
        <v>276</v>
      </c>
      <c r="D8" s="31">
        <f>Forecast!G6</f>
        <v>55.651003570966544</v>
      </c>
      <c r="E8" s="30" t="s">
        <v>278</v>
      </c>
      <c r="F8" s="30" t="str">
        <f>IF(COUNTIF(Sources!$L$5:$L$97,"Sector_KPIs!B8")&gt;=1,"VERIFIED","CHECK")</f>
        <v>VERIFIED</v>
      </c>
    </row>
    <row r="9" ht="28.35" hidden="0" outlineLevel="0" collapsed="0">
      <c r="A9" s="30" t="s">
        <v>284</v>
      </c>
      <c r="B9" s="31">
        <v>38797</v>
      </c>
      <c r="C9" s="31" t="s">
        <v>48</v>
      </c>
      <c r="D9" s="31" t="str">
        <f>"Context only / reported backlog"</f>
        <v>Context only / reported backlog</v>
      </c>
      <c r="E9" s="30" t="s">
        <v>260</v>
      </c>
      <c r="F9" s="30" t="str">
        <f>IF(COUNTIF(Sources!$L$5:$L$97,"Sector_KPIs!B9")&gt;=1,"VERIFIED","CHECK")</f>
        <v>VERIFIED</v>
      </c>
    </row>
    <row r="10" hidden="0" outlineLevel="0" collapsed="0">
      <c r="A10" s="30" t="s">
        <v>287</v>
      </c>
      <c r="B10" s="32">
        <v>0.528</v>
      </c>
      <c r="C10" s="31" t="s">
        <v>288</v>
      </c>
      <c r="D10" s="32">
        <f>Forecast!G10</f>
        <v>0.545</v>
      </c>
      <c r="E10" s="30" t="s">
        <v>260</v>
      </c>
      <c r="F10" s="30" t="str">
        <f>IF(COUNTIF(Sources!$L$5:$L$97,"Sector_KPIs!B10")&gt;=1,"VERIFIED","CHECK")</f>
        <v>VERIFIED</v>
      </c>
    </row>
    <row r="11" hidden="0" outlineLevel="0" collapsed="0">
      <c r="A11" s="30" t="s">
        <v>291</v>
      </c>
      <c r="B11" s="31">
        <v>34000</v>
      </c>
      <c r="C11" s="31" t="s">
        <v>48</v>
      </c>
      <c r="D11" s="31">
        <f>Forecast!C8</f>
        <v>35995.215749999996</v>
      </c>
      <c r="E11" s="30" t="s">
        <v>293</v>
      </c>
      <c r="F11" s="30" t="str">
        <f>IF(COUNTIF(Sources!$L$5:$L$97,"Sector_KPIs!B11")&gt;=1,"VERIFIED","CHECK")</f>
        <v>VERIFIED</v>
      </c>
    </row>
    <row r="12" hidden="0" outlineLevel="0" collapsed="0">
      <c r="A12" s="30" t="s">
        <v>298</v>
      </c>
      <c r="B12" s="31">
        <v>39000</v>
      </c>
      <c r="C12" s="31" t="s">
        <v>48</v>
      </c>
      <c r="D12" s="31">
        <f>Forecast!C8</f>
        <v>35995.215749999996</v>
      </c>
      <c r="E12" s="30" t="s">
        <v>293</v>
      </c>
      <c r="F12" s="30" t="str">
        <f>IF(COUNTIF(Sources!$L$5:$L$97,"Sector_KPIs!B12")&gt;=1,"VERIFIED","CHECK")</f>
        <v>VERIFIED</v>
      </c>
    </row>
    <row r="13" hidden="0" outlineLevel="0" collapsed="0">
      <c r="A13" s="4"/>
      <c r="B13" s="4"/>
      <c r="C13" s="4"/>
      <c r="D13" s="4"/>
      <c r="E13" s="4"/>
      <c r="F13" s="4"/>
    </row>
    <row r="14" hidden="0" outlineLevel="0" collapsed="0">
      <c r="A14" s="4"/>
      <c r="B14" s="4"/>
      <c r="C14" s="4"/>
      <c r="D14" s="4"/>
      <c r="E14" s="4"/>
      <c r="F14" s="4"/>
    </row>
  </sheetData>
  <mergeCells count="2">
    <mergeCell ref="A1:F1"/>
    <mergeCell ref="A2:F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1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4" max="6" width="45" style="1" customWidth="1"/>
    <col min="7" max="7" width="28" style="1" customWidth="1"/>
  </cols>
  <sheetData>
    <row r="1" hidden="0" outlineLevel="0" collapsed="0">
      <c r="A1" s="2" t="s">
        <v>484</v>
      </c>
      <c r="B1" s="2"/>
      <c r="C1" s="2"/>
      <c r="D1" s="2"/>
      <c r="E1" s="2"/>
      <c r="F1" s="2"/>
      <c r="G1" s="2"/>
    </row>
    <row r="2" ht="34" hidden="0" outlineLevel="0" collapsed="0">
      <c r="A2" s="3" t="s">
        <v>485</v>
      </c>
      <c r="B2" s="3"/>
      <c r="C2" s="3"/>
      <c r="D2" s="3"/>
      <c r="E2" s="3"/>
      <c r="F2" s="3"/>
      <c r="G2" s="3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29" t="s">
        <v>486</v>
      </c>
      <c r="B4" s="29" t="s">
        <v>487</v>
      </c>
      <c r="C4" s="29" t="s">
        <v>488</v>
      </c>
      <c r="D4" s="29" t="s">
        <v>489</v>
      </c>
      <c r="E4" s="29" t="s">
        <v>490</v>
      </c>
      <c r="F4" s="29" t="s">
        <v>491</v>
      </c>
      <c r="G4" s="29" t="s">
        <v>492</v>
      </c>
    </row>
    <row r="5" ht="41.75" hidden="0" outlineLevel="0" collapsed="0">
      <c r="A5" s="30" t="s">
        <v>58</v>
      </c>
      <c r="B5" s="30" t="s">
        <v>493</v>
      </c>
      <c r="C5" s="30" t="s">
        <v>494</v>
      </c>
      <c r="D5" s="30" t="s">
        <v>495</v>
      </c>
      <c r="E5" s="30" t="s">
        <v>496</v>
      </c>
      <c r="F5" s="30" t="s">
        <v>497</v>
      </c>
      <c r="G5" s="30" t="s">
        <v>498</v>
      </c>
    </row>
    <row r="6" hidden="0" outlineLevel="0" collapsed="0">
      <c r="A6" s="30" t="s">
        <v>58</v>
      </c>
      <c r="B6" s="30" t="s">
        <v>493</v>
      </c>
      <c r="C6" s="30" t="s">
        <v>494</v>
      </c>
      <c r="D6" s="30" t="s">
        <v>499</v>
      </c>
      <c r="E6" s="30" t="s">
        <v>500</v>
      </c>
      <c r="F6" s="30" t="s">
        <v>497</v>
      </c>
      <c r="G6" s="30" t="s">
        <v>501</v>
      </c>
    </row>
    <row r="7" ht="28.35" hidden="0" outlineLevel="0" collapsed="0">
      <c r="A7" s="30" t="s">
        <v>58</v>
      </c>
      <c r="B7" s="30" t="s">
        <v>493</v>
      </c>
      <c r="C7" s="30" t="s">
        <v>494</v>
      </c>
      <c r="D7" s="30" t="s">
        <v>502</v>
      </c>
      <c r="E7" s="30" t="s">
        <v>503</v>
      </c>
      <c r="F7" s="30" t="s">
        <v>497</v>
      </c>
      <c r="G7" s="30" t="s">
        <v>501</v>
      </c>
    </row>
    <row r="8" hidden="0" outlineLevel="0" collapsed="0">
      <c r="A8" s="30" t="s">
        <v>58</v>
      </c>
      <c r="B8" s="30" t="s">
        <v>493</v>
      </c>
      <c r="C8" s="30" t="s">
        <v>494</v>
      </c>
      <c r="D8" s="30" t="s">
        <v>504</v>
      </c>
      <c r="E8" s="30" t="s">
        <v>505</v>
      </c>
      <c r="F8" s="30" t="s">
        <v>506</v>
      </c>
      <c r="G8" s="30" t="s">
        <v>501</v>
      </c>
    </row>
    <row r="9" ht="28.35" hidden="0" outlineLevel="0" collapsed="0">
      <c r="A9" s="30" t="s">
        <v>58</v>
      </c>
      <c r="B9" s="30" t="s">
        <v>507</v>
      </c>
      <c r="C9" s="30" t="s">
        <v>494</v>
      </c>
      <c r="D9" s="30" t="s">
        <v>508</v>
      </c>
      <c r="E9" s="30" t="s">
        <v>509</v>
      </c>
      <c r="F9" s="30" t="s">
        <v>510</v>
      </c>
      <c r="G9" s="30" t="s">
        <v>511</v>
      </c>
    </row>
    <row r="10" hidden="0" outlineLevel="0" collapsed="0">
      <c r="A10" s="4">
        <v>46224</v>
      </c>
      <c r="B10" s="4">
        <v>2.2</v>
      </c>
      <c r="C10" s="4" t="s">
        <v>512</v>
      </c>
      <c r="D10" s="4" t="s">
        <v>513</v>
      </c>
      <c r="E10" s="4" t="s">
        <v>514</v>
      </c>
      <c r="F10" s="4" t="s">
        <v>497</v>
      </c>
      <c r="G10" s="4" t="s">
        <v>515</v>
      </c>
    </row>
    <row r="11">
      <c r="A11" t="s">
        <v>516</v>
      </c>
      <c r="B11" t="s">
        <v>517</v>
      </c>
      <c r="C11" t="s">
        <v>518</v>
      </c>
      <c r="D11" t="s">
        <v>519</v>
      </c>
      <c r="E11" t="s">
        <v>520</v>
      </c>
      <c r="F11" t="s">
        <v>521</v>
      </c>
      <c r="G11" t="s">
        <v>522</v>
      </c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2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style="1" customWidth="1"/>
    <col min="2" max="3" width="12" style="1" customWidth="1"/>
    <col min="5" max="5" width="68" style="1" customWidth="1"/>
    <col min="6" max="6" width="18" style="1" customWidth="1"/>
    <col min="7" max="7" width="48" style="1" customWidth="1"/>
  </cols>
  <sheetData>
    <row r="1" hidden="0" outlineLevel="0" collapsed="0">
      <c r="A1" s="2" t="s">
        <v>523</v>
      </c>
      <c r="B1" s="2"/>
      <c r="C1" s="2"/>
      <c r="D1" s="2"/>
      <c r="E1" s="2"/>
      <c r="F1" s="2"/>
      <c r="G1" s="2"/>
    </row>
    <row r="2" ht="34" hidden="0" outlineLevel="0" collapsed="0">
      <c r="A2" s="3" t="s">
        <v>524</v>
      </c>
      <c r="B2" s="3"/>
      <c r="C2" s="3"/>
      <c r="D2" s="3"/>
      <c r="E2" s="3"/>
      <c r="F2" s="3"/>
      <c r="G2" s="3"/>
    </row>
    <row r="3" hidden="0" outlineLevel="0" collapsed="0">
      <c r="A3" s="4"/>
      <c r="B3" s="4"/>
      <c r="C3" s="4"/>
      <c r="D3" s="4"/>
      <c r="E3" s="4"/>
      <c r="F3" s="4"/>
      <c r="G3" s="4"/>
    </row>
    <row r="4" hidden="0" outlineLevel="0" collapsed="0">
      <c r="A4" s="29" t="s">
        <v>525</v>
      </c>
      <c r="B4" s="29" t="s">
        <v>526</v>
      </c>
      <c r="C4" s="29" t="s">
        <v>527</v>
      </c>
      <c r="D4" s="29" t="s">
        <v>437</v>
      </c>
      <c r="E4" s="29" t="s">
        <v>528</v>
      </c>
      <c r="F4" s="29" t="s">
        <v>529</v>
      </c>
      <c r="G4" s="29" t="s">
        <v>530</v>
      </c>
    </row>
    <row r="5" hidden="0" outlineLevel="0" collapsed="0">
      <c r="A5" s="30" t="s">
        <v>531</v>
      </c>
      <c r="B5" s="30">
        <v>5</v>
      </c>
      <c r="C5" s="30">
        <f>IF(D5="PASS",B5,0)</f>
        <v>5</v>
      </c>
      <c r="D5" s="30" t="s">
        <v>532</v>
      </c>
      <c r="E5" s="30" t="s">
        <v>533</v>
      </c>
      <c r="F5" s="30" t="s">
        <v>534</v>
      </c>
      <c r="G5" s="30" t="s">
        <v>535</v>
      </c>
    </row>
    <row r="6" hidden="0" outlineLevel="0" collapsed="0">
      <c r="A6" s="30" t="s">
        <v>536</v>
      </c>
      <c r="B6" s="30">
        <v>20</v>
      </c>
      <c r="C6" s="30">
        <f>IF(D6="PASS",B6,0)</f>
        <v>20</v>
      </c>
      <c r="D6" s="30" t="str">
        <f>IF(AND(Checks!F5="PASS",Checks!F6="PASS",COUNTIF(Checks!F19:F21,"FAIL")=0),"PASS","FAIL")</f>
        <v>PASS</v>
      </c>
      <c r="E6" s="30" t="s">
        <v>537</v>
      </c>
      <c r="F6" s="30" t="s">
        <v>538</v>
      </c>
      <c r="G6" s="30" t="s">
        <v>539</v>
      </c>
    </row>
    <row r="7" ht="28.35" hidden="0" outlineLevel="0" collapsed="0">
      <c r="A7" s="30" t="s">
        <v>540</v>
      </c>
      <c r="B7" s="30">
        <v>15</v>
      </c>
      <c r="C7" s="30">
        <f>IF(D7="PASS",B7,0)</f>
        <v>15</v>
      </c>
      <c r="D7" s="30" t="str">
        <f>IF(AND(COUNTIF(Historical!H5:H20,"CHECK")=0,COUNTIF(Checks!F7:F9,"FAIL")=0,Checks!F17="PASS",Checks!F18="PASS"),"PASS","FAIL")</f>
        <v>PASS</v>
      </c>
      <c r="E7" s="30" t="s">
        <v>541</v>
      </c>
      <c r="F7" s="30" t="s">
        <v>542</v>
      </c>
      <c r="G7" s="30" t="s">
        <v>543</v>
      </c>
    </row>
    <row r="8" hidden="0" outlineLevel="0" collapsed="0">
      <c r="A8" s="30" t="s">
        <v>544</v>
      </c>
      <c r="B8" s="30">
        <v>10</v>
      </c>
      <c r="C8" s="30">
        <f>IF(D8="PASS",B8,0)</f>
        <v>10</v>
      </c>
      <c r="D8" s="30" t="str">
        <f>IF(AND(Checks!F12="PASS",Checks!F13="PASS"),"PASS","FAIL")</f>
        <v>PASS</v>
      </c>
      <c r="E8" s="30" t="s">
        <v>545</v>
      </c>
      <c r="F8" s="30" t="s">
        <v>546</v>
      </c>
      <c r="G8" s="30" t="s">
        <v>547</v>
      </c>
    </row>
    <row r="9" hidden="0" outlineLevel="0" collapsed="0">
      <c r="A9" s="30" t="s">
        <v>548</v>
      </c>
      <c r="B9" s="30">
        <v>15</v>
      </c>
      <c r="C9" s="30">
        <f>IF(D9="PASS",B9,0)</f>
        <v>15</v>
      </c>
      <c r="D9" s="30" t="str">
        <f>IF(AND(Checks!F10="PASS",Checks!F11="PASS",Checks!F12="PASS",Valuation!B21&gt;0),"PASS","FAIL")</f>
        <v>PASS</v>
      </c>
      <c r="E9" s="30" t="s">
        <v>549</v>
      </c>
      <c r="F9" s="30" t="s">
        <v>550</v>
      </c>
      <c r="G9" s="30" t="s">
        <v>551</v>
      </c>
    </row>
    <row r="10" ht="28.35" hidden="0" outlineLevel="0" collapsed="0">
      <c r="A10" s="30" t="s">
        <v>552</v>
      </c>
      <c r="B10" s="30">
        <v>8</v>
      </c>
      <c r="C10" s="30">
        <f>IF(D10="PASS",B10,0)</f>
        <v>8</v>
      </c>
      <c r="D10" s="30" t="str">
        <f>IF(Checks!B23="PASS","PASS","FAIL")</f>
        <v>PASS</v>
      </c>
      <c r="E10" s="30" t="s">
        <v>553</v>
      </c>
      <c r="F10" s="30" t="s">
        <v>554</v>
      </c>
      <c r="G10" s="30" t="s">
        <v>555</v>
      </c>
    </row>
    <row r="11" ht="28.35" hidden="0" outlineLevel="0" collapsed="0">
      <c r="A11" s="30" t="s">
        <v>556</v>
      </c>
      <c r="B11" s="30">
        <v>10</v>
      </c>
      <c r="C11" s="30">
        <f>IF(D11="PASS",B11,0)</f>
        <v>10</v>
      </c>
      <c r="D11" s="30" t="s">
        <v>532</v>
      </c>
      <c r="E11" s="30" t="s">
        <v>557</v>
      </c>
      <c r="F11" s="30" t="s">
        <v>558</v>
      </c>
      <c r="G11" s="30" t="s">
        <v>559</v>
      </c>
    </row>
    <row r="12" ht="28.35" hidden="0" outlineLevel="0" collapsed="0">
      <c r="A12" s="30" t="s">
        <v>560</v>
      </c>
      <c r="B12" s="30">
        <v>7</v>
      </c>
      <c r="C12" s="30">
        <f>IF(D12="PASS",B12,0)</f>
        <v>7</v>
      </c>
      <c r="D12" s="30" t="s">
        <v>532</v>
      </c>
      <c r="E12" s="30" t="s">
        <v>505</v>
      </c>
      <c r="F12" s="30" t="s">
        <v>561</v>
      </c>
      <c r="G12" s="30" t="s">
        <v>562</v>
      </c>
    </row>
    <row r="13" hidden="0" outlineLevel="0" collapsed="0">
      <c r="A13" s="30" t="s">
        <v>563</v>
      </c>
      <c r="B13" s="30">
        <v>5</v>
      </c>
      <c r="C13" s="30">
        <f>IF(D13="PASS",B13,0)</f>
        <v>5</v>
      </c>
      <c r="D13" s="30" t="str">
        <f>IF(AND(Forecast!G8&gt;0,COUNTIF(Sector_KPIs!F5:F12,"VERIFIED")=8,Checks!F17="PASS",Checks!F18="PASS"),"PASS","FAIL")</f>
        <v>PASS</v>
      </c>
      <c r="E13" s="30" t="s">
        <v>564</v>
      </c>
      <c r="F13" s="30" t="s">
        <v>565</v>
      </c>
      <c r="G13" s="30" t="s">
        <v>566</v>
      </c>
    </row>
    <row r="14" hidden="0" outlineLevel="0" collapsed="0">
      <c r="A14" s="30" t="s">
        <v>567</v>
      </c>
      <c r="B14" s="30">
        <v>5</v>
      </c>
      <c r="C14" s="30">
        <f>IF(D14="PASS",B14,0)</f>
        <v>5</v>
      </c>
      <c r="D14" s="30" t="s">
        <v>532</v>
      </c>
      <c r="E14" s="30" t="s">
        <v>568</v>
      </c>
      <c r="F14" s="30" t="s">
        <v>569</v>
      </c>
      <c r="G14" s="30" t="s">
        <v>570</v>
      </c>
    </row>
    <row r="15" hidden="0" outlineLevel="0" collapsed="0">
      <c r="A15" s="8"/>
      <c r="B15" s="8"/>
      <c r="C15" s="8"/>
      <c r="D15" s="8"/>
      <c r="E15" s="8"/>
      <c r="F15" s="8"/>
      <c r="G15" s="8"/>
    </row>
    <row r="16" hidden="0" outlineLevel="0" collapsed="0">
      <c r="A16" s="29" t="s">
        <v>571</v>
      </c>
      <c r="B16" s="29">
        <f>SUM(C5:C14)</f>
        <v>100</v>
      </c>
      <c r="C16" s="8"/>
      <c r="D16" s="8"/>
      <c r="E16" s="8"/>
      <c r="F16" s="8"/>
      <c r="G16" s="8"/>
    </row>
    <row r="17" ht="55.2" hidden="0" outlineLevel="0" collapsed="0">
      <c r="A17" s="30" t="s">
        <v>572</v>
      </c>
      <c r="B17" s="30" t="str">
        <f>IF(AND(B16&gt;=90,COUNTIF(D5:D14,"FAIL")=0),"READY FOR INDEPENDENT 9/10 REVIEW","OWNER DEMOTION / REMEDIATE")</f>
        <v>READY FOR INDEPENDENT 9/10 REVIEW</v>
      </c>
      <c r="C17" s="8"/>
      <c r="D17" s="8"/>
      <c r="E17" s="8"/>
      <c r="F17" s="8"/>
      <c r="G17" s="8"/>
    </row>
    <row r="18" hidden="0" outlineLevel="0" collapsed="0">
      <c r="A18" s="30" t="s">
        <v>573</v>
      </c>
      <c r="B18" s="30" t="s">
        <v>574</v>
      </c>
      <c r="C18" s="8"/>
      <c r="D18" s="8"/>
      <c r="E18" s="8"/>
      <c r="F18" s="8"/>
      <c r="G18" s="8"/>
    </row>
    <row r="19" hidden="0" outlineLevel="0" collapsed="0">
      <c r="A19" s="4"/>
      <c r="B19" s="4"/>
      <c r="C19" s="4"/>
      <c r="D19" s="4"/>
      <c r="E19" s="4"/>
      <c r="F19" s="4"/>
      <c r="G19" s="4"/>
    </row>
    <row r="20" hidden="0" outlineLevel="0" collapsed="0">
      <c r="A20" s="4"/>
      <c r="B20" s="4"/>
      <c r="C20" s="4"/>
      <c r="D20" s="4"/>
      <c r="E20" s="4"/>
      <c r="F20" s="4"/>
      <c r="G20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ColWidth="8.375" defaultRowHeight="15"/>
  <sheetData>
    <row r="1">
      <c r="A1" t="s">
        <v>575</v>
      </c>
    </row>
    <row r="2">
      <c r="A2" t="s">
        <v>576</v>
      </c>
    </row>
    <row r="4">
      <c r="A4" t="s">
        <v>577</v>
      </c>
      <c r="B4" t="s">
        <v>361</v>
      </c>
      <c r="C4" t="s">
        <v>362</v>
      </c>
      <c r="D4" t="s">
        <v>363</v>
      </c>
      <c r="E4" t="s">
        <v>9</v>
      </c>
      <c r="G4" t="s">
        <v>578</v>
      </c>
    </row>
    <row r="5">
      <c r="A5" t="s">
        <v>579</v>
      </c>
      <c r="B5">
        <v>21173.4</v>
      </c>
      <c r="C5">
        <v>27558.5</v>
      </c>
      <c r="D5">
        <v>28262.9</v>
      </c>
      <c r="E5">
        <v>32667.3</v>
      </c>
    </row>
    <row r="6">
      <c r="A6" t="s">
        <v>580</v>
      </c>
      <c r="B6">
        <v>-10473.3</v>
      </c>
      <c r="C6">
        <v>-13422.4</v>
      </c>
      <c r="D6">
        <v>-13770.9</v>
      </c>
      <c r="E6">
        <v>-15409.3</v>
      </c>
      <c r="G6">
        <v>1</v>
      </c>
    </row>
    <row r="7">
      <c r="A7" t="s">
        <v>81</v>
      </c>
      <c r="B7">
        <v>10700.1</v>
      </c>
      <c r="C7">
        <v>14136.1</v>
      </c>
      <c r="D7">
        <v>14492</v>
      </c>
      <c r="E7">
        <v>17258</v>
      </c>
    </row>
    <row r="8">
      <c r="A8" t="s">
        <v>581</v>
      </c>
      <c r="B8">
        <v>-3253.5</v>
      </c>
      <c r="C8">
        <v>-3980.6</v>
      </c>
      <c r="D8">
        <v>-4303.7</v>
      </c>
      <c r="E8">
        <v>-4698.8</v>
      </c>
    </row>
    <row r="9">
      <c r="A9" t="s">
        <v>582</v>
      </c>
      <c r="B9">
        <v>-945.9</v>
      </c>
      <c r="C9">
        <v>-1113.2</v>
      </c>
      <c r="D9">
        <v>-1165.7</v>
      </c>
      <c r="E9">
        <v>-1257.8</v>
      </c>
    </row>
    <row r="10">
      <c r="A10" t="s">
        <v>583</v>
      </c>
      <c r="B10">
        <v>6500.7</v>
      </c>
      <c r="C10">
        <v>9042.3</v>
      </c>
      <c r="D10">
        <v>9022.6</v>
      </c>
      <c r="E10">
        <v>11301.4</v>
      </c>
    </row>
    <row r="11">
      <c r="A11" t="s">
        <v>584</v>
      </c>
      <c r="B11">
        <v>-44.6</v>
      </c>
      <c r="C11">
        <v>41.2</v>
      </c>
      <c r="D11">
        <v>19.8</v>
      </c>
      <c r="E11">
        <v>104.7</v>
      </c>
    </row>
    <row r="12">
      <c r="A12" t="s">
        <v>585</v>
      </c>
      <c r="B12">
        <v>6456.1</v>
      </c>
      <c r="C12">
        <v>9083.5</v>
      </c>
      <c r="D12">
        <v>9042.4</v>
      </c>
      <c r="E12">
        <v>11406.1</v>
      </c>
    </row>
    <row r="13">
      <c r="A13" t="s">
        <v>586</v>
      </c>
      <c r="B13">
        <v>-969.9</v>
      </c>
      <c r="C13">
        <v>-1435.8</v>
      </c>
      <c r="D13">
        <v>-1680.6</v>
      </c>
      <c r="E13">
        <v>-2013.4</v>
      </c>
    </row>
    <row r="14">
      <c r="A14" t="s">
        <v>587</v>
      </c>
      <c r="B14">
        <v>5486.2</v>
      </c>
      <c r="C14">
        <v>7647.7</v>
      </c>
      <c r="D14">
        <v>7361.8</v>
      </c>
      <c r="E14">
        <v>9392.7</v>
      </c>
    </row>
    <row r="15">
      <c r="A15" t="s">
        <v>588</v>
      </c>
      <c r="B15">
        <v>138</v>
      </c>
      <c r="C15">
        <v>191.3</v>
      </c>
      <c r="D15">
        <v>209.8</v>
      </c>
      <c r="E15">
        <v>216.7</v>
      </c>
    </row>
    <row r="16">
      <c r="A16" t="s">
        <v>589</v>
      </c>
      <c r="B16">
        <v>5624.2</v>
      </c>
      <c r="C16">
        <v>7839</v>
      </c>
      <c r="D16">
        <v>7571.6</v>
      </c>
      <c r="E16">
        <v>9609.4</v>
      </c>
    </row>
    <row r="17">
      <c r="A17" t="s">
        <v>590</v>
      </c>
      <c r="B17">
        <v>14.14</v>
      </c>
      <c r="C17">
        <v>19.91</v>
      </c>
      <c r="D17">
        <v>19.25</v>
      </c>
      <c r="E17">
        <v>24.73</v>
      </c>
    </row>
    <row r="18">
      <c r="A18" t="s">
        <v>591</v>
      </c>
      <c r="B18">
        <v>14.13</v>
      </c>
      <c r="C18">
        <v>19.89</v>
      </c>
      <c r="D18">
        <v>19.24</v>
      </c>
      <c r="E18">
        <v>24.71</v>
      </c>
    </row>
    <row r="19">
      <c r="A19" t="s">
        <v>592</v>
      </c>
      <c r="B19">
        <v>397.7</v>
      </c>
      <c r="C19">
        <v>393.8</v>
      </c>
      <c r="D19">
        <v>393.3</v>
      </c>
      <c r="E19">
        <v>388.5</v>
      </c>
    </row>
    <row r="20">
      <c r="A20" t="s">
        <v>593</v>
      </c>
      <c r="B20">
        <v>398</v>
      </c>
      <c r="C20">
        <v>394.1</v>
      </c>
      <c r="D20">
        <v>393.6</v>
      </c>
      <c r="E20">
        <v>388.9</v>
      </c>
    </row>
    <row r="22">
      <c r="A22" t="s">
        <v>594</v>
      </c>
    </row>
    <row r="23">
      <c r="A23" t="s">
        <v>258</v>
      </c>
      <c r="B23">
        <v>15430.3</v>
      </c>
      <c r="C23">
        <v>21938.6</v>
      </c>
      <c r="D23">
        <v>21768.7</v>
      </c>
      <c r="E23">
        <v>24474.3</v>
      </c>
    </row>
    <row r="24">
      <c r="A24" t="s">
        <v>595</v>
      </c>
      <c r="B24">
        <v>-7582.3</v>
      </c>
      <c r="C24">
        <v>-10151</v>
      </c>
      <c r="D24">
        <v>-10406.9</v>
      </c>
      <c r="E24">
        <v>-11384</v>
      </c>
    </row>
    <row r="25">
      <c r="A25" t="s">
        <v>596</v>
      </c>
      <c r="B25">
        <v>5743.1</v>
      </c>
      <c r="C25">
        <v>5619.9</v>
      </c>
      <c r="D25">
        <v>6494.2</v>
      </c>
      <c r="E25">
        <v>8193</v>
      </c>
    </row>
    <row r="26">
      <c r="A26" t="s">
        <v>597</v>
      </c>
      <c r="B26">
        <v>-2891</v>
      </c>
      <c r="C26">
        <v>-3271.4</v>
      </c>
      <c r="D26">
        <v>-3364</v>
      </c>
      <c r="E26">
        <v>-4025.3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ColWidth="8.375" defaultRowHeight="15"/>
  <sheetData>
    <row r="1">
      <c r="A1" t="s">
        <v>598</v>
      </c>
    </row>
    <row r="2">
      <c r="A2" t="s">
        <v>599</v>
      </c>
    </row>
    <row r="4">
      <c r="A4" t="s">
        <v>577</v>
      </c>
      <c r="B4" t="s">
        <v>361</v>
      </c>
      <c r="C4" t="s">
        <v>362</v>
      </c>
      <c r="D4" t="s">
        <v>363</v>
      </c>
      <c r="E4" t="s">
        <v>9</v>
      </c>
      <c r="G4" t="s">
        <v>578</v>
      </c>
    </row>
    <row r="5">
      <c r="A5" t="s">
        <v>589</v>
      </c>
      <c r="B5">
        <v>5624.2</v>
      </c>
      <c r="C5">
        <v>7839</v>
      </c>
      <c r="D5">
        <v>7571.6</v>
      </c>
      <c r="E5">
        <v>9609.4</v>
      </c>
    </row>
    <row r="6">
      <c r="A6" t="s">
        <v>600</v>
      </c>
    </row>
    <row r="7">
      <c r="A7" t="s">
        <v>601</v>
      </c>
      <c r="B7">
        <v>583.6</v>
      </c>
      <c r="C7">
        <v>739.8</v>
      </c>
      <c r="D7">
        <v>918.6</v>
      </c>
      <c r="E7">
        <v>1025.9</v>
      </c>
      <c r="G7">
        <v>1</v>
      </c>
    </row>
    <row r="8">
      <c r="A8" t="s">
        <v>602</v>
      </c>
      <c r="B8">
        <v>39.3</v>
      </c>
      <c r="C8">
        <v>37.5</v>
      </c>
      <c r="D8">
        <v>35.8</v>
      </c>
      <c r="E8">
        <v>49.7</v>
      </c>
    </row>
    <row r="9">
      <c r="A9" t="s">
        <v>603</v>
      </c>
      <c r="B9">
        <v>68.9</v>
      </c>
      <c r="C9">
        <v>134.8</v>
      </c>
      <c r="D9">
        <v>172.6</v>
      </c>
      <c r="E9">
        <v>202.3</v>
      </c>
    </row>
    <row r="10">
      <c r="A10" t="s">
        <v>604</v>
      </c>
      <c r="B10">
        <v>278.5</v>
      </c>
      <c r="C10">
        <v>485.3</v>
      </c>
      <c r="D10">
        <v>554.7</v>
      </c>
      <c r="E10">
        <v>469.4</v>
      </c>
    </row>
    <row r="11">
      <c r="A11" t="s">
        <v>605</v>
      </c>
      <c r="B11">
        <v>-564.2</v>
      </c>
      <c r="C11">
        <v>-133.6</v>
      </c>
      <c r="D11">
        <v>-144.8</v>
      </c>
      <c r="E11">
        <v>180.7</v>
      </c>
    </row>
    <row r="12">
      <c r="A12" t="s">
        <v>606</v>
      </c>
      <c r="B12">
        <v>15.3</v>
      </c>
      <c r="C12">
        <v>4.2</v>
      </c>
      <c r="D12">
        <v>4.4</v>
      </c>
      <c r="E12">
        <v>94.6</v>
      </c>
      <c r="G12">
        <v>2</v>
      </c>
    </row>
    <row r="13">
      <c r="A13" t="s">
        <v>607</v>
      </c>
    </row>
    <row r="14">
      <c r="A14" t="s">
        <v>608</v>
      </c>
      <c r="B14">
        <v>-2338</v>
      </c>
      <c r="C14">
        <v>959.9</v>
      </c>
      <c r="D14">
        <v>-139.9</v>
      </c>
      <c r="E14">
        <v>1415.5</v>
      </c>
    </row>
    <row r="15">
      <c r="A15" t="s">
        <v>609</v>
      </c>
      <c r="B15">
        <v>212.2</v>
      </c>
      <c r="C15">
        <v>-88.6</v>
      </c>
      <c r="D15">
        <v>1038.7</v>
      </c>
      <c r="E15">
        <v>-227.2</v>
      </c>
    </row>
    <row r="16">
      <c r="A16" t="s">
        <v>610</v>
      </c>
      <c r="B16">
        <v>-2080.9</v>
      </c>
      <c r="C16">
        <v>-1646.9</v>
      </c>
      <c r="D16">
        <v>-1860.9</v>
      </c>
      <c r="E16">
        <v>-832.5</v>
      </c>
    </row>
    <row r="17">
      <c r="A17" t="s">
        <v>611</v>
      </c>
      <c r="B17">
        <v>-864.3</v>
      </c>
      <c r="C17">
        <v>-344.3</v>
      </c>
      <c r="D17">
        <v>-1299</v>
      </c>
      <c r="E17">
        <v>-561.9</v>
      </c>
    </row>
    <row r="18">
      <c r="A18" t="s">
        <v>612</v>
      </c>
      <c r="B18">
        <v>439.7</v>
      </c>
      <c r="C18">
        <v>222</v>
      </c>
      <c r="D18">
        <v>625.5</v>
      </c>
      <c r="E18">
        <v>-237.3</v>
      </c>
    </row>
    <row r="19">
      <c r="A19" t="s">
        <v>613</v>
      </c>
      <c r="B19">
        <v>406.2</v>
      </c>
      <c r="C19">
        <v>-261.7</v>
      </c>
      <c r="D19">
        <v>1127.6</v>
      </c>
      <c r="E19">
        <v>13.4</v>
      </c>
    </row>
    <row r="20">
      <c r="A20" t="s">
        <v>614</v>
      </c>
      <c r="B20">
        <v>33.6</v>
      </c>
      <c r="C20">
        <v>-939.4</v>
      </c>
      <c r="D20">
        <v>689.5</v>
      </c>
      <c r="E20">
        <v>334.1</v>
      </c>
    </row>
    <row r="21">
      <c r="A21" t="s">
        <v>615</v>
      </c>
      <c r="B21">
        <v>6632.7</v>
      </c>
      <c r="C21">
        <v>-1564.6</v>
      </c>
      <c r="D21">
        <v>1871.8</v>
      </c>
      <c r="E21">
        <v>1122.4</v>
      </c>
    </row>
    <row r="22">
      <c r="A22" t="s">
        <v>616</v>
      </c>
      <c r="B22">
        <v>8486.8</v>
      </c>
      <c r="C22">
        <v>5443.4</v>
      </c>
      <c r="D22">
        <v>11166.2</v>
      </c>
      <c r="E22">
        <v>12658.5</v>
      </c>
    </row>
    <row r="23">
      <c r="A23" t="s">
        <v>617</v>
      </c>
    </row>
    <row r="24">
      <c r="A24" t="s">
        <v>618</v>
      </c>
      <c r="B24">
        <v>-1281.8</v>
      </c>
      <c r="C24">
        <v>-2155.6</v>
      </c>
      <c r="D24">
        <v>-2067.2</v>
      </c>
      <c r="E24">
        <v>-1573.6</v>
      </c>
      <c r="G24">
        <v>3</v>
      </c>
    </row>
    <row r="25">
      <c r="A25" t="s">
        <v>619</v>
      </c>
      <c r="B25">
        <v>-37.5</v>
      </c>
      <c r="C25">
        <v>-40.6</v>
      </c>
      <c r="D25">
        <v>-15.9</v>
      </c>
      <c r="E25">
        <v>-57.6</v>
      </c>
    </row>
    <row r="26">
      <c r="A26" t="s">
        <v>620</v>
      </c>
      <c r="B26">
        <v>-334.3</v>
      </c>
      <c r="C26">
        <v>-23.6</v>
      </c>
      <c r="D26">
        <v>-305.2</v>
      </c>
      <c r="E26">
        <v>-406.2</v>
      </c>
    </row>
    <row r="27">
      <c r="A27" t="s">
        <v>621</v>
      </c>
      <c r="B27">
        <v>864.7</v>
      </c>
      <c r="C27">
        <v>125.6</v>
      </c>
      <c r="D27">
        <v>305.2</v>
      </c>
      <c r="E27">
        <v>5.3</v>
      </c>
    </row>
    <row r="28">
      <c r="A28" t="s">
        <v>622</v>
      </c>
      <c r="B28">
        <v>0</v>
      </c>
      <c r="C28">
        <v>0</v>
      </c>
      <c r="D28">
        <v>0</v>
      </c>
      <c r="E28">
        <v>-1302.2</v>
      </c>
    </row>
    <row r="29">
      <c r="A29" t="s">
        <v>623</v>
      </c>
      <c r="B29">
        <v>-240</v>
      </c>
      <c r="C29">
        <v>-561.5</v>
      </c>
      <c r="D29">
        <v>-526.2</v>
      </c>
      <c r="E29">
        <v>-703.7</v>
      </c>
      <c r="G29">
        <v>4</v>
      </c>
    </row>
    <row r="30">
      <c r="A30" t="s">
        <v>624</v>
      </c>
      <c r="B30">
        <v>0</v>
      </c>
      <c r="C30">
        <v>0</v>
      </c>
      <c r="D30">
        <v>0</v>
      </c>
      <c r="E30">
        <v>260.2</v>
      </c>
    </row>
    <row r="31">
      <c r="A31" t="s">
        <v>625</v>
      </c>
      <c r="B31">
        <v>0</v>
      </c>
      <c r="C31">
        <v>-33.6</v>
      </c>
      <c r="D31">
        <v>0</v>
      </c>
      <c r="E31">
        <v>0</v>
      </c>
    </row>
    <row r="32">
      <c r="A32" t="s">
        <v>626</v>
      </c>
      <c r="B32">
        <v>-1028.9</v>
      </c>
      <c r="C32">
        <v>-2689.3</v>
      </c>
      <c r="D32">
        <v>-2609.3</v>
      </c>
      <c r="E32">
        <v>-3777.8</v>
      </c>
    </row>
    <row r="33">
      <c r="A33" t="s">
        <v>627</v>
      </c>
    </row>
    <row r="34">
      <c r="A34" t="s">
        <v>628</v>
      </c>
      <c r="B34">
        <v>-2559.8</v>
      </c>
      <c r="C34">
        <v>-2348.3</v>
      </c>
      <c r="D34">
        <v>-2452.9</v>
      </c>
      <c r="E34">
        <v>-2550.3</v>
      </c>
    </row>
    <row r="35">
      <c r="A35" t="s">
        <v>629</v>
      </c>
      <c r="B35">
        <v>-4639.7</v>
      </c>
      <c r="C35">
        <v>-1000</v>
      </c>
      <c r="D35">
        <v>-500</v>
      </c>
      <c r="E35">
        <v>-5950</v>
      </c>
    </row>
    <row r="36">
      <c r="A36" t="s">
        <v>630</v>
      </c>
      <c r="B36">
        <v>81.8</v>
      </c>
      <c r="C36">
        <v>99.4</v>
      </c>
      <c r="D36">
        <v>124</v>
      </c>
      <c r="E36">
        <v>142.3</v>
      </c>
    </row>
    <row r="37">
      <c r="A37" t="s">
        <v>631</v>
      </c>
      <c r="B37">
        <v>495.6</v>
      </c>
      <c r="C37">
        <v>997.8</v>
      </c>
      <c r="D37">
        <v>22.5</v>
      </c>
      <c r="E37">
        <v>754.2</v>
      </c>
    </row>
    <row r="38">
      <c r="A38" t="s">
        <v>632</v>
      </c>
      <c r="B38">
        <v>-516.2</v>
      </c>
      <c r="C38">
        <v>-752.8</v>
      </c>
      <c r="D38">
        <v>-25.7</v>
      </c>
      <c r="E38">
        <v>-1066.7</v>
      </c>
    </row>
    <row r="39">
      <c r="A39" t="s">
        <v>633</v>
      </c>
      <c r="B39">
        <v>-7138.3</v>
      </c>
      <c r="C39">
        <v>-3003.9</v>
      </c>
      <c r="D39">
        <v>-2832.1</v>
      </c>
      <c r="E39">
        <v>-8670.5</v>
      </c>
    </row>
    <row r="40">
      <c r="A40" t="s">
        <v>634</v>
      </c>
      <c r="B40">
        <v>319.6</v>
      </c>
      <c r="C40">
        <v>-249.8</v>
      </c>
      <c r="D40">
        <v>5724.8</v>
      </c>
      <c r="E40">
        <v>210.2</v>
      </c>
    </row>
    <row r="41">
      <c r="A41" t="s">
        <v>635</v>
      </c>
      <c r="B41">
        <v>-3.1</v>
      </c>
      <c r="C41">
        <v>-13.8</v>
      </c>
      <c r="D41">
        <v>6.4</v>
      </c>
      <c r="E41">
        <v>-30.1</v>
      </c>
    </row>
    <row r="42">
      <c r="A42" t="s">
        <v>636</v>
      </c>
      <c r="B42">
        <v>316.5</v>
      </c>
      <c r="C42">
        <v>-263.6</v>
      </c>
      <c r="D42">
        <v>5731.2</v>
      </c>
      <c r="E42">
        <v>180.1</v>
      </c>
    </row>
    <row r="43">
      <c r="A43" t="s">
        <v>637</v>
      </c>
      <c r="B43">
        <v>6951.8</v>
      </c>
      <c r="C43">
        <v>7268.3</v>
      </c>
      <c r="D43">
        <v>7004.7</v>
      </c>
      <c r="E43">
        <v>12735.9</v>
      </c>
    </row>
    <row r="44">
      <c r="A44" t="s">
        <v>638</v>
      </c>
      <c r="B44">
        <v>7268.3</v>
      </c>
      <c r="C44">
        <v>7004.7</v>
      </c>
      <c r="D44">
        <v>12735.9</v>
      </c>
      <c r="E44">
        <v>12916</v>
      </c>
    </row>
    <row r="46">
      <c r="A46" t="s">
        <v>639</v>
      </c>
    </row>
    <row r="47">
      <c r="A47" t="s">
        <v>640</v>
      </c>
      <c r="B47">
        <v>50.3</v>
      </c>
      <c r="C47">
        <v>49.3</v>
      </c>
      <c r="D47">
        <v>23.6</v>
      </c>
      <c r="E47">
        <v>22.3</v>
      </c>
    </row>
    <row r="48">
      <c r="A48" t="s">
        <v>641</v>
      </c>
      <c r="B48">
        <v>42.4</v>
      </c>
      <c r="C48">
        <v>190.8</v>
      </c>
      <c r="D48">
        <v>169.5</v>
      </c>
      <c r="E48">
        <v>201.3</v>
      </c>
    </row>
    <row r="49">
      <c r="A49" t="s">
        <v>642</v>
      </c>
      <c r="B49">
        <v>-82.2</v>
      </c>
      <c r="C49">
        <v>-137.8</v>
      </c>
      <c r="D49">
        <v>-160</v>
      </c>
      <c r="E49">
        <v>-114.5</v>
      </c>
    </row>
    <row r="50">
      <c r="A50" t="s">
        <v>643</v>
      </c>
      <c r="B50">
        <v>-1734.6</v>
      </c>
      <c r="C50">
        <v>-2568.3</v>
      </c>
      <c r="D50">
        <v>-1098</v>
      </c>
      <c r="E50">
        <v>-1621.4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ColWidth="8.375" defaultRowHeight="15"/>
  <sheetData>
    <row r="1">
      <c r="A1" t="s">
        <v>644</v>
      </c>
    </row>
    <row r="2">
      <c r="A2" t="s">
        <v>645</v>
      </c>
    </row>
    <row r="4">
      <c r="A4" t="s">
        <v>577</v>
      </c>
      <c r="B4" t="s">
        <v>362</v>
      </c>
      <c r="C4" t="s">
        <v>363</v>
      </c>
      <c r="D4" t="s">
        <v>9</v>
      </c>
      <c r="F4" t="s">
        <v>578</v>
      </c>
    </row>
    <row r="5">
      <c r="A5" t="s">
        <v>646</v>
      </c>
    </row>
    <row r="6">
      <c r="A6" t="s">
        <v>192</v>
      </c>
      <c r="B6">
        <v>7004.7</v>
      </c>
      <c r="C6">
        <v>12735.9</v>
      </c>
      <c r="D6">
        <v>12916</v>
      </c>
    </row>
    <row r="7">
      <c r="A7" t="s">
        <v>647</v>
      </c>
      <c r="B7">
        <v>5.4</v>
      </c>
      <c r="C7">
        <v>5.4</v>
      </c>
      <c r="D7">
        <v>405.9</v>
      </c>
    </row>
    <row r="8">
      <c r="A8" t="s">
        <v>608</v>
      </c>
      <c r="B8">
        <v>4334.1</v>
      </c>
      <c r="C8">
        <v>4477.5</v>
      </c>
      <c r="D8">
        <v>3023</v>
      </c>
      <c r="F8">
        <v>1</v>
      </c>
    </row>
    <row r="9">
      <c r="A9" t="s">
        <v>648</v>
      </c>
      <c r="B9">
        <v>1379.2</v>
      </c>
      <c r="C9">
        <v>82.6</v>
      </c>
      <c r="D9">
        <v>613.5</v>
      </c>
    </row>
    <row r="10">
      <c r="A10" t="s">
        <v>649</v>
      </c>
      <c r="B10">
        <v>1001.2</v>
      </c>
      <c r="C10">
        <v>283.6</v>
      </c>
      <c r="D10">
        <v>88.9</v>
      </c>
    </row>
    <row r="11">
      <c r="A11" t="s">
        <v>650</v>
      </c>
      <c r="B11">
        <v>240.1</v>
      </c>
      <c r="C11">
        <v>320.6</v>
      </c>
      <c r="D11">
        <v>440.6</v>
      </c>
    </row>
    <row r="12">
      <c r="A12" t="s">
        <v>651</v>
      </c>
      <c r="B12">
        <v>8850.7</v>
      </c>
      <c r="C12">
        <v>10891.5</v>
      </c>
      <c r="D12">
        <v>11429.3</v>
      </c>
    </row>
    <row r="13">
      <c r="A13" t="s">
        <v>652</v>
      </c>
      <c r="B13">
        <v>0</v>
      </c>
      <c r="C13">
        <v>0</v>
      </c>
      <c r="D13">
        <v>266.1</v>
      </c>
      <c r="F13">
        <v>2</v>
      </c>
    </row>
    <row r="14">
      <c r="A14" t="s">
        <v>653</v>
      </c>
      <c r="B14">
        <v>1578.5</v>
      </c>
      <c r="C14">
        <v>1940.3</v>
      </c>
      <c r="D14">
        <v>1432.8</v>
      </c>
      <c r="F14">
        <v>3</v>
      </c>
    </row>
    <row r="15">
      <c r="A15" t="s">
        <v>654</v>
      </c>
      <c r="B15">
        <v>24393.9</v>
      </c>
      <c r="C15">
        <v>30737.4</v>
      </c>
      <c r="D15">
        <v>30616.1</v>
      </c>
    </row>
    <row r="16">
      <c r="A16" t="s">
        <v>655</v>
      </c>
      <c r="B16">
        <v>60.6</v>
      </c>
      <c r="C16">
        <v>317.2</v>
      </c>
      <c r="D16">
        <v>13.3</v>
      </c>
    </row>
    <row r="17">
      <c r="A17" t="s">
        <v>656</v>
      </c>
      <c r="B17">
        <v>1872.3</v>
      </c>
      <c r="C17">
        <v>1940.7</v>
      </c>
      <c r="D17">
        <v>1719.4</v>
      </c>
    </row>
    <row r="18">
      <c r="A18" t="s">
        <v>657</v>
      </c>
      <c r="B18">
        <v>929.2</v>
      </c>
      <c r="C18">
        <v>1456.6</v>
      </c>
      <c r="D18">
        <v>1653.9</v>
      </c>
      <c r="F18">
        <v>4</v>
      </c>
    </row>
    <row r="19">
      <c r="A19" t="s">
        <v>658</v>
      </c>
      <c r="B19">
        <v>651.8</v>
      </c>
      <c r="C19">
        <v>790.8</v>
      </c>
      <c r="D19">
        <v>1057.1</v>
      </c>
      <c r="F19">
        <v>5</v>
      </c>
    </row>
    <row r="20">
      <c r="A20" t="s">
        <v>659</v>
      </c>
      <c r="B20">
        <v>0</v>
      </c>
      <c r="C20">
        <v>0</v>
      </c>
      <c r="D20">
        <v>1320.7</v>
      </c>
    </row>
    <row r="21">
      <c r="A21" t="s">
        <v>606</v>
      </c>
      <c r="B21">
        <v>919.6</v>
      </c>
      <c r="C21">
        <v>903</v>
      </c>
      <c r="D21">
        <v>822.6</v>
      </c>
    </row>
    <row r="22">
      <c r="A22" t="s">
        <v>660</v>
      </c>
      <c r="B22">
        <v>4588.6</v>
      </c>
      <c r="C22">
        <v>4588.6</v>
      </c>
      <c r="D22">
        <v>4588.6</v>
      </c>
    </row>
    <row r="23">
      <c r="A23" t="s">
        <v>661</v>
      </c>
      <c r="B23">
        <v>741.7</v>
      </c>
      <c r="C23">
        <v>621.3</v>
      </c>
      <c r="D23">
        <v>540.1</v>
      </c>
    </row>
    <row r="24">
      <c r="A24" t="s">
        <v>662</v>
      </c>
      <c r="B24">
        <v>5493.2</v>
      </c>
      <c r="C24">
        <v>6846.8</v>
      </c>
      <c r="D24">
        <v>7893.8</v>
      </c>
    </row>
    <row r="25">
      <c r="A25" t="s">
        <v>663</v>
      </c>
      <c r="B25">
        <v>306.6</v>
      </c>
      <c r="C25">
        <v>387.2</v>
      </c>
      <c r="D25">
        <v>341</v>
      </c>
    </row>
    <row r="26">
      <c r="A26" t="s">
        <v>664</v>
      </c>
      <c r="B26">
        <v>15563.6</v>
      </c>
      <c r="C26">
        <v>17852.2</v>
      </c>
      <c r="D26">
        <v>19950.5</v>
      </c>
    </row>
    <row r="27">
      <c r="A27" t="s">
        <v>153</v>
      </c>
      <c r="B27">
        <v>39957.5</v>
      </c>
      <c r="C27">
        <v>48589.6</v>
      </c>
      <c r="D27">
        <v>50566.6</v>
      </c>
    </row>
    <row r="28">
      <c r="A28" t="s">
        <v>665</v>
      </c>
    </row>
    <row r="29">
      <c r="A29" t="s">
        <v>613</v>
      </c>
      <c r="B29">
        <v>2347.3</v>
      </c>
      <c r="C29">
        <v>3500.4</v>
      </c>
      <c r="D29">
        <v>3521.8</v>
      </c>
      <c r="F29">
        <v>6</v>
      </c>
    </row>
    <row r="30">
      <c r="A30" t="s">
        <v>666</v>
      </c>
      <c r="B30">
        <v>2177.4</v>
      </c>
      <c r="C30">
        <v>2686.6</v>
      </c>
      <c r="D30">
        <v>2567.3</v>
      </c>
      <c r="F30">
        <v>7</v>
      </c>
    </row>
    <row r="31">
      <c r="A31" t="s">
        <v>667</v>
      </c>
      <c r="B31">
        <v>308.9</v>
      </c>
      <c r="C31">
        <v>283.3</v>
      </c>
      <c r="D31">
        <v>486.6</v>
      </c>
    </row>
    <row r="32">
      <c r="A32" t="s">
        <v>668</v>
      </c>
      <c r="B32">
        <v>0.1</v>
      </c>
      <c r="C32">
        <v>1010.3</v>
      </c>
      <c r="D32">
        <v>1681.9</v>
      </c>
    </row>
    <row r="33">
      <c r="A33" t="s">
        <v>669</v>
      </c>
      <c r="B33">
        <v>11441</v>
      </c>
      <c r="C33">
        <v>12570.8</v>
      </c>
      <c r="D33">
        <v>16006.3</v>
      </c>
    </row>
    <row r="34">
      <c r="A34" t="s">
        <v>670</v>
      </c>
      <c r="B34">
        <v>16274.7</v>
      </c>
      <c r="C34">
        <v>20051.4</v>
      </c>
      <c r="D34">
        <v>24263.9</v>
      </c>
    </row>
    <row r="35">
      <c r="A35" t="s">
        <v>671</v>
      </c>
      <c r="B35">
        <v>4631.5</v>
      </c>
      <c r="C35">
        <v>3677.3</v>
      </c>
      <c r="D35">
        <v>2709</v>
      </c>
    </row>
    <row r="36">
      <c r="A36" t="s">
        <v>672</v>
      </c>
      <c r="B36">
        <v>372.2</v>
      </c>
      <c r="C36">
        <v>299.2</v>
      </c>
      <c r="D36">
        <v>183</v>
      </c>
    </row>
    <row r="37">
      <c r="A37" t="s">
        <v>673</v>
      </c>
      <c r="B37">
        <v>4825.5</v>
      </c>
      <c r="C37">
        <v>5625.4</v>
      </c>
      <c r="D37">
        <v>3366.3</v>
      </c>
    </row>
    <row r="38">
      <c r="A38" t="s">
        <v>674</v>
      </c>
      <c r="B38">
        <v>401.2</v>
      </c>
      <c r="C38">
        <v>459.5</v>
      </c>
      <c r="D38">
        <v>432.2</v>
      </c>
    </row>
    <row r="39">
      <c r="A39" t="s">
        <v>675</v>
      </c>
      <c r="B39">
        <v>10230.4</v>
      </c>
      <c r="C39">
        <v>10061.4</v>
      </c>
      <c r="D39">
        <v>6690.5</v>
      </c>
    </row>
    <row r="40">
      <c r="A40" t="s">
        <v>168</v>
      </c>
      <c r="B40">
        <v>26505.1</v>
      </c>
      <c r="C40">
        <v>30112.8</v>
      </c>
      <c r="D40">
        <v>30954.4</v>
      </c>
      <c r="F40">
        <v>8</v>
      </c>
    </row>
    <row r="41">
      <c r="A41" t="s">
        <v>676</v>
      </c>
      <c r="B41">
        <v>36</v>
      </c>
      <c r="C41">
        <v>35.4</v>
      </c>
      <c r="D41">
        <v>34.9</v>
      </c>
    </row>
    <row r="42">
      <c r="A42" t="s">
        <v>677</v>
      </c>
      <c r="B42">
        <v>3998.1</v>
      </c>
      <c r="C42">
        <v>4049</v>
      </c>
      <c r="D42">
        <v>4107.1</v>
      </c>
    </row>
    <row r="43">
      <c r="A43" t="s">
        <v>678</v>
      </c>
      <c r="B43">
        <v>-3306.2</v>
      </c>
      <c r="C43">
        <v>-476</v>
      </c>
      <c r="D43">
        <v>-2252.9</v>
      </c>
    </row>
    <row r="44">
      <c r="A44" t="s">
        <v>679</v>
      </c>
      <c r="B44">
        <v>12379.5</v>
      </c>
      <c r="C44">
        <v>14414.3</v>
      </c>
      <c r="D44">
        <v>17587.3</v>
      </c>
    </row>
    <row r="45">
      <c r="A45" t="s">
        <v>680</v>
      </c>
      <c r="B45">
        <v>345</v>
      </c>
      <c r="C45">
        <v>454.1</v>
      </c>
      <c r="D45">
        <v>135.8</v>
      </c>
    </row>
    <row r="46">
      <c r="A46" t="s">
        <v>681</v>
      </c>
      <c r="B46">
        <v>13452.4</v>
      </c>
      <c r="C46">
        <v>18476.8</v>
      </c>
      <c r="D46">
        <v>19612.2</v>
      </c>
    </row>
    <row r="47">
      <c r="A47" t="s">
        <v>682</v>
      </c>
      <c r="B47">
        <v>39957.5</v>
      </c>
      <c r="C47">
        <v>48589.6</v>
      </c>
      <c r="D47">
        <v>50566.6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ColWidth="8.375" defaultRowHeight="15"/>
  <sheetData>
    <row r="1">
      <c r="A1" t="s">
        <v>683</v>
      </c>
    </row>
    <row r="2">
      <c r="A2" t="s">
        <v>684</v>
      </c>
    </row>
    <row r="4">
      <c r="A4" t="s">
        <v>577</v>
      </c>
      <c r="B4" t="s">
        <v>362</v>
      </c>
      <c r="C4" t="s">
        <v>363</v>
      </c>
      <c r="D4" t="s">
        <v>9</v>
      </c>
      <c r="F4" t="s">
        <v>578</v>
      </c>
    </row>
    <row r="5">
      <c r="A5" t="s">
        <v>685</v>
      </c>
      <c r="B5">
        <v>8810.8</v>
      </c>
      <c r="C5">
        <v>13452.4</v>
      </c>
      <c r="D5">
        <v>18476.8</v>
      </c>
    </row>
    <row r="6">
      <c r="A6" t="s">
        <v>589</v>
      </c>
      <c r="B6">
        <v>7839</v>
      </c>
      <c r="C6">
        <v>7571.6</v>
      </c>
      <c r="D6">
        <v>9609.4</v>
      </c>
    </row>
    <row r="7">
      <c r="A7" t="s">
        <v>686</v>
      </c>
      <c r="B7">
        <v>0.2</v>
      </c>
      <c r="C7">
        <v>-12.1</v>
      </c>
      <c r="D7">
        <v>14.1</v>
      </c>
    </row>
    <row r="8">
      <c r="A8" t="s">
        <v>687</v>
      </c>
      <c r="B8">
        <v>-68.3</v>
      </c>
      <c r="C8">
        <v>91.9</v>
      </c>
      <c r="D8">
        <v>-257.8</v>
      </c>
    </row>
    <row r="9">
      <c r="A9" t="s">
        <v>688</v>
      </c>
      <c r="B9">
        <v>-15.2</v>
      </c>
      <c r="C9">
        <v>29.3</v>
      </c>
      <c r="D9">
        <v>-74.6</v>
      </c>
    </row>
    <row r="10">
      <c r="A10" t="s">
        <v>689</v>
      </c>
      <c r="B10">
        <v>7755.7</v>
      </c>
      <c r="C10">
        <v>7680.7</v>
      </c>
      <c r="D10">
        <v>9291.1</v>
      </c>
    </row>
    <row r="11">
      <c r="A11" t="s">
        <v>629</v>
      </c>
      <c r="B11">
        <v>-1000</v>
      </c>
      <c r="C11">
        <v>-500</v>
      </c>
      <c r="D11">
        <v>-5950</v>
      </c>
    </row>
    <row r="12">
      <c r="A12" t="s">
        <v>690</v>
      </c>
      <c r="B12">
        <v>0</v>
      </c>
      <c r="C12">
        <v>0</v>
      </c>
      <c r="D12">
        <v>0</v>
      </c>
    </row>
    <row r="13">
      <c r="A13" t="s">
        <v>691</v>
      </c>
      <c r="B13">
        <v>134.8</v>
      </c>
      <c r="C13">
        <v>172.6</v>
      </c>
      <c r="D13">
        <v>202.3</v>
      </c>
    </row>
    <row r="14">
      <c r="A14" t="s">
        <v>692</v>
      </c>
      <c r="B14">
        <v>99.4</v>
      </c>
      <c r="C14">
        <v>124</v>
      </c>
      <c r="D14">
        <v>142.3</v>
      </c>
    </row>
    <row r="15">
      <c r="A15" t="s">
        <v>628</v>
      </c>
      <c r="B15">
        <v>-2348.3</v>
      </c>
      <c r="C15">
        <v>-2452.9</v>
      </c>
      <c r="D15">
        <v>-2550.3</v>
      </c>
    </row>
    <row r="16">
      <c r="A16" t="s">
        <v>693</v>
      </c>
      <c r="B16">
        <v>13452.4</v>
      </c>
      <c r="C16">
        <v>18476.8</v>
      </c>
      <c r="D16">
        <v>19612.2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ColWidth="8.375" defaultRowHeight="15"/>
  <sheetData>
    <row r="1">
      <c r="A1" t="s">
        <v>694</v>
      </c>
    </row>
    <row r="2">
      <c r="A2" t="s">
        <v>695</v>
      </c>
      <c r="B2" t="str">
        <f>IF(COUNTIF(J5:J61,"FAIL")=0,"OK — ALL TIE-OUTS PASS","FAIL")</f>
        <v>FAIL</v>
      </c>
    </row>
    <row r="3">
      <c r="B3" t="str">
        <f>COUNTIF(J5:J61,"PASS")&amp;" PASS / "&amp;(COUNTIF(J5:J61,"PASS")+COUNTIF(J5:J61,"FAIL"))&amp;" checks"</f>
        <v>54 PASS / 55 checks</v>
      </c>
    </row>
    <row r="4">
      <c r="A4" t="s">
        <v>696</v>
      </c>
      <c r="F4" t="s">
        <v>361</v>
      </c>
      <c r="G4" t="s">
        <v>362</v>
      </c>
      <c r="H4" t="s">
        <v>363</v>
      </c>
      <c r="I4" t="s">
        <v>9</v>
      </c>
      <c r="J4" t="s">
        <v>437</v>
      </c>
    </row>
    <row r="5">
      <c r="A5" t="s">
        <v>697</v>
      </c>
      <c r="F5">
        <f>IS_Hist!B5+IS_Hist!B6-IS_Hist!B7</f>
        <v>0</v>
      </c>
      <c r="G5">
        <f>IS_Hist!C5+IS_Hist!C6-IS_Hist!C7</f>
        <v>0</v>
      </c>
      <c r="H5">
        <f>IS_Hist!D5+IS_Hist!D6-IS_Hist!D7</f>
        <v>0</v>
      </c>
      <c r="I5">
        <f>IS_Hist!E5+IS_Hist!E6-IS_Hist!E7</f>
        <v>0</v>
      </c>
      <c r="J5" t="str">
        <f>IF(AND(ABS(N(F5))&lt;=0.5,ABS(N(G5))&lt;=0.5,ABS(N(H5))&lt;=0.5,ABS(N(I5))&lt;=0.5),"PASS","FAIL")</f>
        <v>PASS</v>
      </c>
    </row>
    <row r="6">
      <c r="A6" t="s">
        <v>698</v>
      </c>
      <c r="F6">
        <f>IS_Hist!B7+IS_Hist!B8+IS_Hist!B9-IS_Hist!B10</f>
        <v>0</v>
      </c>
      <c r="G6">
        <f>IS_Hist!C7+IS_Hist!C8+IS_Hist!C9-IS_Hist!C10</f>
        <v>0</v>
      </c>
      <c r="H6">
        <f>IS_Hist!D7+IS_Hist!D8+IS_Hist!D9-IS_Hist!D10</f>
        <v>0</v>
      </c>
      <c r="I6">
        <f>IS_Hist!E7+IS_Hist!E8+IS_Hist!E9-IS_Hist!E10</f>
        <v>0</v>
      </c>
      <c r="J6" t="str">
        <f>IF(AND(ABS(N(F6))&lt;=0.5,ABS(N(G6))&lt;=0.5,ABS(N(H6))&lt;=0.5,ABS(N(I6))&lt;=0.5),"PASS","FAIL")</f>
        <v>PASS</v>
      </c>
    </row>
    <row r="7">
      <c r="A7" t="s">
        <v>699</v>
      </c>
      <c r="F7">
        <f>IS_Hist!B10+IS_Hist!B11-IS_Hist!B12</f>
        <v>0</v>
      </c>
      <c r="G7">
        <f>IS_Hist!C10+IS_Hist!C11-IS_Hist!C12</f>
        <v>0</v>
      </c>
      <c r="H7">
        <f>IS_Hist!D10+IS_Hist!D11-IS_Hist!D12</f>
        <v>0</v>
      </c>
      <c r="I7">
        <f>IS_Hist!E10+IS_Hist!E11-IS_Hist!E12</f>
        <v>0</v>
      </c>
      <c r="J7" t="str">
        <f>IF(AND(ABS(N(F7))&lt;=0.5,ABS(N(G7))&lt;=0.5,ABS(N(H7))&lt;=0.5,ABS(N(I7))&lt;=0.5),"PASS","FAIL")</f>
        <v>PASS</v>
      </c>
    </row>
    <row r="8">
      <c r="A8" t="s">
        <v>700</v>
      </c>
      <c r="F8">
        <f>IS_Hist!B12+IS_Hist!B13-IS_Hist!B14</f>
        <v>0</v>
      </c>
      <c r="G8">
        <f>IS_Hist!C12+IS_Hist!C13-IS_Hist!C14</f>
        <v>0</v>
      </c>
      <c r="H8">
        <f>IS_Hist!D12+IS_Hist!D13-IS_Hist!D14</f>
        <v>0</v>
      </c>
      <c r="I8">
        <f>IS_Hist!E12+IS_Hist!E13-IS_Hist!E14</f>
        <v>0</v>
      </c>
      <c r="J8" t="str">
        <f>IF(AND(ABS(N(F8))&lt;=0.5,ABS(N(G8))&lt;=0.5,ABS(N(H8))&lt;=0.5,ABS(N(I8))&lt;=0.5),"PASS","FAIL")</f>
        <v>PASS</v>
      </c>
    </row>
    <row r="9">
      <c r="A9" t="s">
        <v>701</v>
      </c>
      <c r="F9">
        <f>IS_Hist!B14+IS_Hist!B15-IS_Hist!B16</f>
        <v>0</v>
      </c>
      <c r="G9">
        <f>IS_Hist!C14+IS_Hist!C15-IS_Hist!C16</f>
        <v>0</v>
      </c>
      <c r="H9">
        <f>IS_Hist!D14+IS_Hist!D15-IS_Hist!D16</f>
        <v>0</v>
      </c>
      <c r="I9">
        <f>IS_Hist!E14+IS_Hist!E15-IS_Hist!E16</f>
        <v>0</v>
      </c>
      <c r="J9" t="str">
        <f>IF(AND(ABS(N(F9))&lt;=0.5,ABS(N(G9))&lt;=0.5,ABS(N(H9))&lt;=0.5,ABS(N(I9))&lt;=0.5),"PASS","FAIL")</f>
        <v>PASS</v>
      </c>
    </row>
    <row r="10">
      <c r="A10" t="s">
        <v>702</v>
      </c>
      <c r="F10">
        <f>IS_Hist!B23+IS_Hist!B25-IS_Hist!B5</f>
        <v>0</v>
      </c>
      <c r="G10">
        <f>IS_Hist!C23+IS_Hist!C25-IS_Hist!C5</f>
        <v>0</v>
      </c>
      <c r="H10">
        <f>IS_Hist!D23+IS_Hist!D25-IS_Hist!D5</f>
        <v>0</v>
      </c>
      <c r="I10">
        <f>IS_Hist!E23+IS_Hist!E25-IS_Hist!E5</f>
        <v>0</v>
      </c>
      <c r="J10" t="str">
        <f>IF(AND(ABS(N(F10))&lt;=0.5,ABS(N(G10))&lt;=0.5,ABS(N(H10))&lt;=0.5,ABS(N(I10))&lt;=0.5),"PASS","FAIL")</f>
        <v>PASS</v>
      </c>
    </row>
    <row r="11">
      <c r="A11" t="s">
        <v>703</v>
      </c>
      <c r="F11">
        <f>SUM(CF_Hist!B5:B21)-CF_Hist!B22</f>
        <v>0</v>
      </c>
      <c r="G11">
        <f>SUM(CF_Hist!C5:C21)-CF_Hist!C22</f>
        <v>0</v>
      </c>
      <c r="H11">
        <f>SUM(CF_Hist!D5:D21)-CF_Hist!D22</f>
        <v>0</v>
      </c>
      <c r="I11">
        <f>SUM(CF_Hist!E5:E21)-CF_Hist!E22</f>
        <v>0</v>
      </c>
      <c r="J11" t="str">
        <f>IF(AND(ABS(N(F11))&lt;=0.5,ABS(N(G11))&lt;=0.5,ABS(N(H11))&lt;=0.5,ABS(N(I11))&lt;=0.5),"PASS","FAIL")</f>
        <v>PASS</v>
      </c>
    </row>
    <row r="12">
      <c r="A12" t="s">
        <v>704</v>
      </c>
      <c r="F12">
        <f>SUM(CF_Hist!B24:B31)-CF_Hist!B32</f>
        <v>0</v>
      </c>
      <c r="G12">
        <f>SUM(CF_Hist!C24:C31)-CF_Hist!C32</f>
        <v>0</v>
      </c>
      <c r="H12">
        <f>SUM(CF_Hist!D24:D31)-CF_Hist!D32</f>
        <v>0</v>
      </c>
      <c r="I12">
        <f>SUM(CF_Hist!E24:E31)-CF_Hist!E32</f>
        <v>0</v>
      </c>
      <c r="J12" t="str">
        <f>IF(AND(ABS(N(F12))&lt;=0.5,ABS(N(G12))&lt;=0.5,ABS(N(H12))&lt;=0.5,ABS(N(I12))&lt;=0.5),"PASS","FAIL")</f>
        <v>PASS</v>
      </c>
    </row>
    <row r="13">
      <c r="A13" t="s">
        <v>705</v>
      </c>
      <c r="F13">
        <f>SUM(CF_Hist!B34:B38)-CF_Hist!B39</f>
        <v>0</v>
      </c>
      <c r="G13">
        <f>SUM(CF_Hist!C34:C38)-CF_Hist!C39</f>
        <v>0</v>
      </c>
      <c r="H13">
        <f>SUM(CF_Hist!D34:D38)-CF_Hist!D39</f>
        <v>0</v>
      </c>
      <c r="I13">
        <f>SUM(CF_Hist!E34:E38)-CF_Hist!E39</f>
        <v>0</v>
      </c>
      <c r="J13" t="str">
        <f>IF(AND(ABS(N(F13))&lt;=0.5,ABS(N(G13))&lt;=0.5,ABS(N(H13))&lt;=0.5,ABS(N(I13))&lt;=0.5),"PASS","FAIL")</f>
        <v>PASS</v>
      </c>
    </row>
    <row r="14">
      <c r="A14" t="s">
        <v>706</v>
      </c>
      <c r="F14">
        <f>CF_Hist!B22+CF_Hist!B32+CF_Hist!B39-CF_Hist!B40</f>
        <v>0</v>
      </c>
      <c r="G14">
        <f>CF_Hist!C22+CF_Hist!C32+CF_Hist!C39-CF_Hist!C40</f>
        <v>0</v>
      </c>
      <c r="H14">
        <f>CF_Hist!D22+CF_Hist!D32+CF_Hist!D39-CF_Hist!D40</f>
        <v>0</v>
      </c>
      <c r="I14">
        <f>CF_Hist!E22+CF_Hist!E32+CF_Hist!E39-CF_Hist!E40</f>
        <v>0</v>
      </c>
      <c r="J14" t="str">
        <f>IF(AND(ABS(N(F14))&lt;=0.5,ABS(N(G14))&lt;=0.5,ABS(N(H14))&lt;=0.5,ABS(N(I14))&lt;=0.5),"PASS","FAIL")</f>
        <v>PASS</v>
      </c>
    </row>
    <row r="15">
      <c r="A15" t="s">
        <v>707</v>
      </c>
      <c r="F15">
        <f>CF_Hist!B43+CF_Hist!B40+CF_Hist!B41-CF_Hist!B44</f>
        <v>0</v>
      </c>
      <c r="G15">
        <f>CF_Hist!C43+CF_Hist!C40+CF_Hist!C41-CF_Hist!C44</f>
        <v>0</v>
      </c>
      <c r="H15">
        <f>CF_Hist!D43+CF_Hist!D40+CF_Hist!D41-CF_Hist!D44</f>
        <v>0</v>
      </c>
      <c r="I15">
        <f>CF_Hist!E43+CF_Hist!E40+CF_Hist!E41-CF_Hist!E44</f>
        <v>0</v>
      </c>
      <c r="J15" t="str">
        <f>IF(AND(ABS(N(F15))&lt;=0.5,ABS(N(G15))&lt;=0.5,ABS(N(H15))&lt;=0.5,ABS(N(I15))&lt;=0.5),"PASS","FAIL")</f>
        <v>PASS</v>
      </c>
    </row>
    <row r="16">
      <c r="A16" t="s">
        <v>708</v>
      </c>
      <c r="F16">
        <f>CF_Hist!B5-IS_Hist!B16</f>
        <v>0</v>
      </c>
      <c r="G16">
        <f>CF_Hist!C5-IS_Hist!C16</f>
        <v>0</v>
      </c>
      <c r="H16">
        <f>CF_Hist!D5-IS_Hist!D16</f>
        <v>0</v>
      </c>
      <c r="I16">
        <f>CF_Hist!E5-IS_Hist!E16</f>
        <v>0</v>
      </c>
      <c r="J16" t="str">
        <f>IF(AND(ABS(N(F16))&lt;=0.5,ABS(N(G16))&lt;=0.5,ABS(N(H16))&lt;=0.5,ABS(N(I16))&lt;=0.5),"PASS","FAIL")</f>
        <v>PASS</v>
      </c>
    </row>
    <row r="17">
      <c r="A17" t="s">
        <v>709</v>
      </c>
      <c r="G17">
        <f>SUM(BS_Hist!B6:B14)-BS_Hist!B15</f>
        <v>0</v>
      </c>
      <c r="H17">
        <f>SUM(BS_Hist!C6:C14)-BS_Hist!C15</f>
        <v>0</v>
      </c>
      <c r="I17">
        <f>SUM(BS_Hist!D6:D14)-BS_Hist!D15</f>
        <v>0</v>
      </c>
      <c r="J17" t="str">
        <f>IF(AND(ABS(N(G17))&lt;=0.5,ABS(N(H17))&lt;=0.5,ABS(N(I17))&lt;=0.5),"PASS","FAIL")</f>
        <v>PASS</v>
      </c>
    </row>
    <row r="18">
      <c r="A18" t="s">
        <v>710</v>
      </c>
      <c r="G18">
        <f>SUM(BS_Hist!B16:B25)-BS_Hist!B26</f>
        <v>0</v>
      </c>
      <c r="H18">
        <f>SUM(BS_Hist!C16:C25)-BS_Hist!C26</f>
        <v>0</v>
      </c>
      <c r="I18">
        <f>SUM(BS_Hist!D16:D25)-BS_Hist!D26</f>
        <v>0</v>
      </c>
      <c r="J18" t="str">
        <f>IF(AND(ABS(N(G18))&lt;=0.5,ABS(N(H18))&lt;=0.5,ABS(N(I18))&lt;=0.5),"PASS","FAIL")</f>
        <v>PASS</v>
      </c>
    </row>
    <row r="19">
      <c r="A19" t="s">
        <v>711</v>
      </c>
      <c r="G19">
        <f>BS_Hist!B15+BS_Hist!B26-BS_Hist!B27</f>
        <v>0</v>
      </c>
      <c r="H19">
        <f>BS_Hist!C15+BS_Hist!C26-BS_Hist!C27</f>
        <v>0</v>
      </c>
      <c r="I19">
        <f>BS_Hist!D15+BS_Hist!D26-BS_Hist!D27</f>
        <v>0</v>
      </c>
      <c r="J19" t="str">
        <f>IF(AND(ABS(N(G19))&lt;=0.5,ABS(N(H19))&lt;=0.5,ABS(N(I19))&lt;=0.5),"PASS","FAIL")</f>
        <v>PASS</v>
      </c>
    </row>
    <row r="20">
      <c r="A20" t="s">
        <v>712</v>
      </c>
      <c r="G20">
        <f>SUM(BS_Hist!B29:B33)-BS_Hist!B34</f>
        <v>0</v>
      </c>
      <c r="H20">
        <f>SUM(BS_Hist!C29:C33)-BS_Hist!C34</f>
        <v>0</v>
      </c>
      <c r="I20">
        <f>SUM(BS_Hist!D29:D33)-BS_Hist!D34</f>
        <v>0</v>
      </c>
      <c r="J20" t="str">
        <f>IF(AND(ABS(N(G20))&lt;=0.5,ABS(N(H20))&lt;=0.5,ABS(N(I20))&lt;=0.5),"PASS","FAIL")</f>
        <v>PASS</v>
      </c>
    </row>
    <row r="21">
      <c r="A21" t="s">
        <v>713</v>
      </c>
      <c r="G21">
        <f>SUM(BS_Hist!B35:B38)-BS_Hist!B39</f>
        <v>0</v>
      </c>
      <c r="H21">
        <f>SUM(BS_Hist!C35:C38)-BS_Hist!C39</f>
        <v>0</v>
      </c>
      <c r="I21">
        <f>SUM(BS_Hist!D35:D38)-BS_Hist!D39</f>
        <v>0</v>
      </c>
      <c r="J21" t="str">
        <f>IF(AND(ABS(N(G21))&lt;=0.5,ABS(N(H21))&lt;=0.5,ABS(N(I21))&lt;=0.5),"PASS","FAIL")</f>
        <v>PASS</v>
      </c>
    </row>
    <row r="22">
      <c r="A22" t="s">
        <v>714</v>
      </c>
      <c r="G22">
        <f>BS_Hist!B34+BS_Hist!B39-BS_Hist!B40</f>
        <v>0</v>
      </c>
      <c r="H22">
        <f>BS_Hist!C34+BS_Hist!C39-BS_Hist!C40</f>
        <v>0</v>
      </c>
      <c r="I22">
        <f>BS_Hist!D34+BS_Hist!D39-BS_Hist!D40</f>
        <v>0</v>
      </c>
      <c r="J22" t="str">
        <f>IF(AND(ABS(N(G22))&lt;=0.5,ABS(N(H22))&lt;=0.5,ABS(N(I22))&lt;=0.5),"PASS","FAIL")</f>
        <v>PASS</v>
      </c>
    </row>
    <row r="23">
      <c r="A23" t="s">
        <v>715</v>
      </c>
      <c r="G23">
        <f>SUM(BS_Hist!B41:B45)-BS_Hist!B46</f>
        <v>0</v>
      </c>
      <c r="H23">
        <f>SUM(BS_Hist!C41:C45)-BS_Hist!C46</f>
        <v>0</v>
      </c>
      <c r="I23">
        <f>SUM(BS_Hist!D41:D45)-BS_Hist!D46</f>
        <v>0</v>
      </c>
      <c r="J23" t="str">
        <f>IF(AND(ABS(N(G23))&lt;=0.5,ABS(N(H23))&lt;=0.5,ABS(N(I23))&lt;=0.5),"PASS","FAIL")</f>
        <v>PASS</v>
      </c>
    </row>
    <row r="24">
      <c r="A24" t="s">
        <v>716</v>
      </c>
      <c r="G24">
        <f>BS_Hist!B40+BS_Hist!B46-BS_Hist!B47</f>
        <v>0</v>
      </c>
      <c r="H24">
        <f>BS_Hist!C40+BS_Hist!C46-BS_Hist!C47</f>
        <v>0</v>
      </c>
      <c r="I24">
        <f>BS_Hist!D40+BS_Hist!D46-BS_Hist!D47</f>
        <v>0</v>
      </c>
      <c r="J24" t="str">
        <f>IF(AND(ABS(N(G24))&lt;=0.5,ABS(N(H24))&lt;=0.5,ABS(N(I24))&lt;=0.5),"PASS","FAIL")</f>
        <v>PASS</v>
      </c>
    </row>
    <row r="25">
      <c r="A25" t="s">
        <v>717</v>
      </c>
      <c r="G25">
        <f>BS_Hist!B27-BS_Hist!B47</f>
        <v>0</v>
      </c>
      <c r="H25">
        <f>BS_Hist!C27-BS_Hist!C47</f>
        <v>0</v>
      </c>
      <c r="I25">
        <f>BS_Hist!D27-BS_Hist!D47</f>
        <v>0</v>
      </c>
      <c r="J25" t="str">
        <f>IF(AND(ABS(N(G25))&lt;=0.5,ABS(N(H25))&lt;=0.5,ABS(N(I25))&lt;=0.5),"PASS","FAIL")</f>
        <v>PASS</v>
      </c>
    </row>
    <row r="26">
      <c r="A26" t="s">
        <v>718</v>
      </c>
      <c r="G26">
        <f>SCE_Hist!B5+SCE_Hist!B10+SCE_Hist!B11+SCE_Hist!B12+SCE_Hist!B13+SCE_Hist!B14+SCE_Hist!B15-SCE_Hist!B16</f>
        <v>0</v>
      </c>
      <c r="H26">
        <f>SCE_Hist!C5+SCE_Hist!C10+SCE_Hist!C11+SCE_Hist!C12+SCE_Hist!C13+SCE_Hist!C14+SCE_Hist!C15-SCE_Hist!C16</f>
        <v>0</v>
      </c>
      <c r="I26">
        <f>SCE_Hist!D5+SCE_Hist!D10+SCE_Hist!D11+SCE_Hist!D12+SCE_Hist!D13+SCE_Hist!D14+SCE_Hist!D15-SCE_Hist!D16</f>
        <v>0</v>
      </c>
      <c r="J26" t="str">
        <f>IF(AND(ABS(N(G26))&lt;=0.5,ABS(N(H26))&lt;=0.5,ABS(N(I26))&lt;=0.5),"PASS","FAIL")</f>
        <v>PASS</v>
      </c>
    </row>
    <row r="27">
      <c r="A27" t="s">
        <v>719</v>
      </c>
      <c r="G27">
        <f>SCE_Hist!B6+SCE_Hist!B7+SCE_Hist!B8+SCE_Hist!B9-SCE_Hist!B10</f>
        <v>0</v>
      </c>
      <c r="H27">
        <f>SCE_Hist!C6+SCE_Hist!C7+SCE_Hist!C8+SCE_Hist!C9-SCE_Hist!C10</f>
        <v>0</v>
      </c>
      <c r="I27">
        <f>SCE_Hist!D6+SCE_Hist!D7+SCE_Hist!D8+SCE_Hist!D9-SCE_Hist!D10</f>
        <v>0</v>
      </c>
      <c r="J27" t="str">
        <f>IF(AND(ABS(N(G27))&lt;=0.5,ABS(N(H27))&lt;=0.5,ABS(N(I27))&lt;=0.5),"PASS","FAIL")</f>
        <v>PASS</v>
      </c>
    </row>
    <row r="28">
      <c r="A28" t="s">
        <v>720</v>
      </c>
      <c r="G28">
        <f>SCE_Hist!B16-BS_Hist!B46</f>
        <v>0</v>
      </c>
      <c r="H28">
        <f>SCE_Hist!C16-BS_Hist!C46</f>
        <v>0</v>
      </c>
      <c r="I28">
        <f>SCE_Hist!D16-BS_Hist!D46</f>
        <v>0</v>
      </c>
      <c r="J28" t="str">
        <f>IF(AND(ABS(N(G28))&lt;=0.5,ABS(N(H28))&lt;=0.5,ABS(N(I28))&lt;=0.5),"PASS","FAIL")</f>
        <v>PASS</v>
      </c>
    </row>
    <row r="29">
      <c r="A29" t="s">
        <v>721</v>
      </c>
      <c r="G29">
        <f>CF_Hist!C44-BS_Hist!B6</f>
        <v>0</v>
      </c>
      <c r="H29">
        <f>CF_Hist!D44-BS_Hist!C6</f>
        <v>0</v>
      </c>
      <c r="I29">
        <f>CF_Hist!E44-BS_Hist!D6</f>
        <v>0</v>
      </c>
      <c r="J29" t="str">
        <f>IF(AND(ABS(N(G29))&lt;=0.5,ABS(N(H29))&lt;=0.5,ABS(N(I29))&lt;=0.5),"PASS","FAIL")</f>
        <v>PASS</v>
      </c>
    </row>
    <row r="30">
      <c r="A30" t="s">
        <v>722</v>
      </c>
      <c r="G30">
        <f>IS_Hist!C5-27558.5+IS_Hist!D5-28262.9</f>
        <v>0</v>
      </c>
      <c r="J30" t="str">
        <f>IF(ABS(N(G30))&lt;=0.5,"PASS","FAIL")</f>
        <v>PASS</v>
      </c>
    </row>
    <row r="31">
      <c r="A31" t="s">
        <v>723</v>
      </c>
      <c r="G31">
        <f>BS_Hist!C27-48589.6</f>
        <v>0</v>
      </c>
      <c r="J31" t="str">
        <f>IF(ABS(N(G31))&lt;=0.5,"PASS","FAIL")</f>
        <v>PASS</v>
      </c>
    </row>
    <row r="32">
      <c r="A32" t="s">
        <v>724</v>
      </c>
      <c r="G32" s="33">
        <f>Forecast!C26-(Forecast!B26+Forecast!C25*(1-Assumptions!$E$26))</f>
        <v>0</v>
      </c>
      <c r="J32" s="33" t="str">
        <f>IF(ABS(N(G32))&lt;=0.01,"PASS","FAIL")</f>
        <v>PASS</v>
      </c>
    </row>
    <row r="33">
      <c r="A33" t="s">
        <v>725</v>
      </c>
      <c r="G33" s="33">
        <f>IF(Forecast!G26&lt;&gt;Forecast!B26,0,1)</f>
        <v>0</v>
      </c>
      <c r="J33" s="33" t="str">
        <f>IF(N(G33)=0,"PASS","FAIL")</f>
        <v>PASS</v>
      </c>
    </row>
    <row r="35">
      <c r="A35" t="s">
        <v>726</v>
      </c>
    </row>
    <row r="36">
      <c r="A36" t="s">
        <v>727</v>
      </c>
      <c r="B36" s="35">
        <f>Drivers_MDA!B10</f>
        <v>0</v>
      </c>
      <c r="C36">
        <f>Drivers_MDA!C10</f>
        <v>0</v>
      </c>
      <c r="D36">
        <f>Drivers_MDA!D10</f>
        <v>0</v>
      </c>
      <c r="E36">
        <f>Drivers_MDA!E10</f>
        <v>0</v>
      </c>
      <c r="F36">
        <f>Drivers_MDA!F10</f>
        <v>0</v>
      </c>
      <c r="J36" s="35" t="str">
        <f>IF(AND(ABS(N(B36))&lt;=0.5,ABS(N(C36))&lt;=0.5,ABS(N(D36))&lt;=0.5,ABS(N(E36))&lt;=0.5,ABS(N(F36))&lt;=0.5),"PASS","FAIL")</f>
        <v>PASS</v>
      </c>
      <c r="K36" t="s">
        <v>728</v>
      </c>
    </row>
    <row r="37">
      <c r="A37" t="s">
        <v>729</v>
      </c>
      <c r="C37">
        <f>ABS(Drivers_MDA!C11)+ABS(Drivers_MDA!C12)</f>
        <v>0</v>
      </c>
      <c r="D37">
        <f>ABS(Drivers_MDA!D11)+ABS(Drivers_MDA!D12)</f>
        <v>0</v>
      </c>
      <c r="E37">
        <f>ABS(Drivers_MDA!E11)+ABS(Drivers_MDA!E12)</f>
        <v>0</v>
      </c>
      <c r="F37">
        <f>ABS(Drivers_MDA!F11)+ABS(Drivers_MDA!F12)</f>
        <v>0</v>
      </c>
      <c r="J37" t="str">
        <f>IF(AND(ABS(N(C37))&lt;=0.5,ABS(N(D37))&lt;=0.5,ABS(N(E37))&lt;=0.5,ABS(N(F37))&lt;=0.5),"PASS","FAIL")</f>
        <v>PASS</v>
      </c>
      <c r="K37" t="s">
        <v>730</v>
      </c>
    </row>
    <row r="38">
      <c r="A38" t="s">
        <v>731</v>
      </c>
      <c r="B38" s="35">
        <f>Drivers_MDA!B17</f>
        <v>0</v>
      </c>
      <c r="C38">
        <f>Drivers_MDA!C16</f>
        <v>0</v>
      </c>
      <c r="D38">
        <f>Drivers_MDA!D16</f>
        <v>0</v>
      </c>
      <c r="E38">
        <f>Drivers_MDA!E16</f>
        <v>0</v>
      </c>
      <c r="F38">
        <f>Drivers_MDA!F16</f>
        <v>0</v>
      </c>
      <c r="J38" s="35" t="str">
        <f>IF(AND(ABS(N(B38))&lt;=0.5,ABS(N(C38))&lt;=0.5,ABS(N(D38))&lt;=0.5,ABS(N(E38))&lt;=0.5,ABS(N(F38))&lt;=0.5),"PASS","FAIL")</f>
        <v>PASS</v>
      </c>
      <c r="K38" t="s">
        <v>728</v>
      </c>
    </row>
    <row r="39">
      <c r="A39" t="s">
        <v>732</v>
      </c>
      <c r="B39" s="34">
        <f>Drivers_MDA!B21</f>
        <v>-0.000053892859061765996</v>
      </c>
      <c r="C39" s="34">
        <f>Drivers_MDA!C21</f>
        <v>-0.0003557765876052166</v>
      </c>
      <c r="D39" s="34">
        <f>Drivers_MDA!D21</f>
        <v>0.000051182030952334756</v>
      </c>
      <c r="E39" s="34">
        <f>Drivers_MDA!E21</f>
        <v>0.00024299346493106277</v>
      </c>
      <c r="F39" s="34">
        <f>Drivers_MDA!F21</f>
        <v>-0.000295879977837199</v>
      </c>
      <c r="J39" s="34" t="str">
        <f>IF(AND(ABS(N(B39))&lt;=0.001,ABS(N(C39))&lt;=0.001,ABS(N(D39))&lt;=0.001,ABS(N(E39))&lt;=0.001,ABS(N(F39))&lt;=0.001),"PASS","FAIL")</f>
        <v>PASS</v>
      </c>
      <c r="K39" t="s">
        <v>728</v>
      </c>
    </row>
    <row r="40">
      <c r="A40" t="s">
        <v>733</v>
      </c>
      <c r="B40">
        <f>Drivers_MDA!B41</f>
        <v>0</v>
      </c>
      <c r="C40">
        <f>Drivers_MDA!C41</f>
        <v>0</v>
      </c>
      <c r="D40">
        <f>Drivers_MDA!D41</f>
        <v>0</v>
      </c>
      <c r="E40">
        <f>Drivers_MDA!E41</f>
        <v>0</v>
      </c>
      <c r="F40">
        <f>Drivers_MDA!F41</f>
        <v>0</v>
      </c>
      <c r="J40" t="str">
        <f>IF(AND(ABS(N(B40))&lt;=0.5,ABS(N(C40))&lt;=0.5,ABS(N(D40))&lt;=0.5,ABS(N(E40))&lt;=0.5,ABS(N(F40))&lt;=0.5),"PASS","FAIL")</f>
        <v>PASS</v>
      </c>
      <c r="K40" t="s">
        <v>728</v>
      </c>
    </row>
    <row r="41">
      <c r="A41" t="s">
        <v>734</v>
      </c>
      <c r="E41">
        <f>Drivers_MDA!E51-418</f>
        <v>0</v>
      </c>
      <c r="F41" s="35">
        <f>Drivers_MDA!F51-327+Drivers_MDA!F32</f>
        <v>0</v>
      </c>
      <c r="J41" s="35" t="str">
        <f>IF(AND(ABS(N(E41))&lt;=0.5,ABS(N(F41))&lt;=0.5),"PASS","FAIL")</f>
        <v>PASS</v>
      </c>
      <c r="K41" t="s">
        <v>735</v>
      </c>
    </row>
    <row r="42">
      <c r="A42" t="s">
        <v>736</v>
      </c>
      <c r="B42">
        <f>ABS(Drivers_MDA!B58)+ABS(Drivers_MDA!B59)</f>
        <v>0</v>
      </c>
      <c r="C42">
        <f>ABS(Drivers_MDA!C58)+ABS(Drivers_MDA!C59)</f>
        <v>0</v>
      </c>
      <c r="D42">
        <f>ABS(Drivers_MDA!D58)+ABS(Drivers_MDA!D59)</f>
        <v>0</v>
      </c>
      <c r="E42">
        <f>ABS(Drivers_MDA!E58)+ABS(Drivers_MDA!E59)</f>
        <v>0</v>
      </c>
      <c r="F42">
        <f>ABS(Drivers_MDA!F58)+ABS(Drivers_MDA!F59)</f>
        <v>0</v>
      </c>
      <c r="J42" t="str">
        <f>IF(AND(ABS(N(B42))&lt;=0.5,ABS(N(C42))&lt;=0.5,ABS(N(D42))&lt;=0.5,ABS(N(E42))&lt;=0.5,ABS(N(F42))&lt;=0.5),"PASS","FAIL")</f>
        <v>PASS</v>
      </c>
      <c r="K42" t="s">
        <v>728</v>
      </c>
    </row>
    <row r="43">
      <c r="A43" t="s">
        <v>737</v>
      </c>
      <c r="B43" s="35">
        <f>Drivers_MDA!B73</f>
        <v>0</v>
      </c>
      <c r="C43">
        <f>Drivers_MDA!C73</f>
        <v>0</v>
      </c>
      <c r="D43">
        <f>Drivers_MDA!D73</f>
        <v>0</v>
      </c>
      <c r="E43">
        <f>Drivers_MDA!E73</f>
        <v>0</v>
      </c>
      <c r="F43">
        <f>Drivers_MDA!F73</f>
        <v>0</v>
      </c>
      <c r="J43" s="35" t="str">
        <f>IF(AND(ABS(N(B43))&lt;=0.5,ABS(N(C43))&lt;=0.5,ABS(N(D43))&lt;=0.5,ABS(N(E43))&lt;=0.5,ABS(N(F43))&lt;=0.5),"PASS","FAIL")</f>
        <v>PASS</v>
      </c>
      <c r="K43" t="s">
        <v>728</v>
      </c>
    </row>
    <row r="44">
      <c r="A44" t="s">
        <v>738</v>
      </c>
      <c r="D44">
        <f>Drivers_MDA!D80</f>
        <v>0</v>
      </c>
      <c r="E44">
        <f>Drivers_MDA!E80</f>
        <v>0</v>
      </c>
      <c r="F44">
        <f>Drivers_MDA!F80</f>
        <v>0</v>
      </c>
      <c r="J44" t="str">
        <f>IF(AND(ABS(N(D44))&lt;=0.5,ABS(N(E44))&lt;=0.5,ABS(N(F44))&lt;=0.5),"PASS","FAIL")</f>
        <v>PASS</v>
      </c>
      <c r="K44" t="s">
        <v>739</v>
      </c>
    </row>
    <row r="45">
      <c r="A45" t="s">
        <v>740</v>
      </c>
      <c r="D45">
        <f>Drivers_MDA!D89</f>
        <v>0</v>
      </c>
      <c r="E45">
        <f>Drivers_MDA!E89</f>
        <v>0</v>
      </c>
      <c r="F45">
        <f>Drivers_MDA!F89</f>
        <v>0</v>
      </c>
      <c r="J45" t="str">
        <f>IF(AND(ABS(N(D45))&lt;=0.5,ABS(N(E45))&lt;=0.5,ABS(N(F45))&lt;=0.5),"PASS","FAIL")</f>
        <v>PASS</v>
      </c>
      <c r="K45" t="s">
        <v>739</v>
      </c>
    </row>
    <row r="46">
      <c r="A46" t="s">
        <v>741</v>
      </c>
      <c r="B46">
        <f>Drivers_MDA!B50</f>
        <v>0</v>
      </c>
      <c r="C46">
        <f>Drivers_MDA!C50</f>
        <v>0</v>
      </c>
      <c r="D46">
        <f>Drivers_MDA!D50</f>
        <v>0</v>
      </c>
      <c r="E46">
        <f>Drivers_MDA!E50</f>
        <v>0</v>
      </c>
      <c r="F46">
        <f>Drivers_MDA!F50</f>
        <v>0</v>
      </c>
      <c r="J46" t="str">
        <f>IF(AND(ABS(N(B46))&lt;=0.5,ABS(N(C46))&lt;=0.5,ABS(N(D46))&lt;=0.5,ABS(N(E46))&lt;=0.5,ABS(N(F46))&lt;=0.5),"PASS","FAIL")</f>
        <v>PASS</v>
      </c>
      <c r="K46" t="s">
        <v>728</v>
      </c>
    </row>
    <row r="47">
      <c r="A47" t="s">
        <v>742</v>
      </c>
      <c r="B47">
        <f>Drivers_MDA!B96</f>
        <v>0.00035419912954703925</v>
      </c>
      <c r="C47">
        <f>Drivers_MDA!C96</f>
        <v>0.0006969688382594263</v>
      </c>
      <c r="D47">
        <f>Drivers_MDA!D96</f>
        <v>-0.0016680334561024468</v>
      </c>
      <c r="E47">
        <f>Drivers_MDA!E96</f>
        <v>0.00019248555526862887</v>
      </c>
      <c r="F47">
        <f>Drivers_MDA!F96</f>
        <v>-0.00023302813516878906</v>
      </c>
      <c r="J47" t="str">
        <f>IF(AND(ABS(N(B47))&lt;=0.005,ABS(N(C47))&lt;=0.005,ABS(N(D47))&lt;=0.005,ABS(N(E47))&lt;=0.005,ABS(N(F47))&lt;=0.005),"PASS","FAIL")</f>
        <v>PASS</v>
      </c>
      <c r="K47" t="s">
        <v>728</v>
      </c>
    </row>
    <row r="48">
      <c r="A48" t="s">
        <v>743</v>
      </c>
      <c r="E48">
        <f>ABS(Drivers_MDA!E123)+ABS(Drivers_MDA!E124)</f>
        <v>0</v>
      </c>
      <c r="F48">
        <f>ABS(Drivers_MDA!F123)+ABS(Drivers_MDA!F124)</f>
        <v>0</v>
      </c>
      <c r="J48" t="str">
        <f>IF(AND(ABS(N(E48))&lt;=0.5,ABS(N(F48))&lt;=0.5),"PASS","FAIL")</f>
        <v>PASS</v>
      </c>
      <c r="K48" t="s">
        <v>735</v>
      </c>
    </row>
    <row r="49">
      <c r="A49" t="s">
        <v>744</v>
      </c>
      <c r="E49">
        <f>ABS(Drivers_MDA!E129)</f>
        <v>0</v>
      </c>
      <c r="F49">
        <f>ABS(Drivers_MDA!F129)</f>
        <v>0</v>
      </c>
      <c r="J49" t="str">
        <f>IF(AND(ABS(N(E49))&lt;=0.5,ABS(N(F49))&lt;=0.5),"PASS","FAIL")</f>
        <v>PASS</v>
      </c>
      <c r="K49" t="s">
        <v>735</v>
      </c>
    </row>
    <row r="50">
      <c r="A50" t="s">
        <v>745</v>
      </c>
      <c r="F50" s="35">
        <f>ABS(Drivers_MDA!F87)+Drivers_MDA!F137</f>
        <v>0</v>
      </c>
      <c r="J50" s="35" t="str">
        <f>IF(ABS(N(F50))&lt;=0.5,"PASS","FAIL")</f>
        <v>PASS</v>
      </c>
      <c r="K50" t="s">
        <v>746</v>
      </c>
    </row>
    <row r="51">
      <c r="A51" t="s">
        <v>747</v>
      </c>
      <c r="F51" s="35">
        <f>ABS(Drivers_MDA!F150)+ABS(Drivers_MDA!F151)+ABS(Drivers_MDA!F152)+ABS(Drivers_MDA!F153)</f>
        <v>0</v>
      </c>
      <c r="J51" s="35" t="str">
        <f>IF(ABS(N(F51))&lt;=0.01,"PASS","FAIL")</f>
        <v>PASS</v>
      </c>
      <c r="K51" t="s">
        <v>746</v>
      </c>
    </row>
    <row r="52">
      <c r="A52" t="s">
        <v>748</v>
      </c>
      <c r="F52">
        <f>ABS(Drivers_MDA!F154)+ABS(Drivers_MDA!F155)+ABS(Drivers_MDA!F156)</f>
        <v>0</v>
      </c>
      <c r="J52" t="str">
        <f>IF(ABS(N(F52))&lt;=0.5,"PASS","FAIL")</f>
        <v>PASS</v>
      </c>
      <c r="K52" t="s">
        <v>746</v>
      </c>
    </row>
    <row r="53">
      <c r="A53" t="s">
        <v>749</v>
      </c>
      <c r="F53">
        <f>Market_Package!B80+Market_Package!B81+Market_Package!B82</f>
        <v>1</v>
      </c>
      <c r="J53" t="str">
        <f>IF(N(F53)=0,"PASS","FAIL")</f>
        <v>FAIL</v>
      </c>
      <c r="K53" t="s">
        <v>746</v>
      </c>
    </row>
    <row r="54">
      <c r="A54" t="s">
        <v>750</v>
      </c>
      <c r="F54">
        <f>IF(ABS(Market_Package!B10)&gt;0.02,1,0)+IF(ABS(Market_Package!B8/Assumptions!E24-1)&gt;0.25,1,0)+IF(ABS(Market_Package!B9/Assumptions!E22-1)&gt;0.1,1,0)</f>
        <v>0</v>
      </c>
      <c r="J54" t="str">
        <f>IF(N(F54)=0,"PASS","FAIL")</f>
        <v>PASS</v>
      </c>
      <c r="K54" t="s">
        <v>746</v>
      </c>
    </row>
    <row r="55">
      <c r="A55" t="s">
        <v>751</v>
      </c>
      <c r="F55" s="35">
        <f>IF(ABS(Market_Package!B13-Market_Package!B7*Market_Package!B11)&gt;0.5,1,0)+IF(ABS(Market_Package!B11/Forecast!B28-1)&gt;0.03,1,0)</f>
        <v>0</v>
      </c>
      <c r="J55" s="35" t="str">
        <f>IF(N(F55)=0,"PASS","FAIL")</f>
        <v>PASS</v>
      </c>
      <c r="K55" t="s">
        <v>746</v>
      </c>
    </row>
    <row r="56">
      <c r="A56" t="s">
        <v>752</v>
      </c>
      <c r="F56">
        <f>IF(ABS(Market_Package!B17-Market_Package!B99)&gt;0.5,1,0)+IF(ABS(Market_Package!B18-Market_Package!B100)&gt;0.5,1,0)+IF(ABS(BS_Hist!C6-Market_Package!B104)&gt;0.5,1,0)</f>
        <v>0</v>
      </c>
      <c r="J56" t="str">
        <f>IF(N(F56)=0,"PASS","FAIL")</f>
        <v>PASS</v>
      </c>
      <c r="K56" t="s">
        <v>735</v>
      </c>
    </row>
    <row r="57">
      <c r="A57" t="s">
        <v>753</v>
      </c>
      <c r="F57" s="35">
        <f>IF(ABS(Market_Package!B20-(Market_Package!B101+Market_Package!B103))&gt;0.5,1,0)+IF(ABS(Market_Package!B21-Market_Package!B102)&gt;0.5,1,0)+IF(ABS(Market_Package!B22-Market_Package!B25-BS_Hist!D32)&gt;0.5,1,0)</f>
        <v>0</v>
      </c>
      <c r="J57" s="35" t="str">
        <f>IF(N(F57)=0,"PASS","FAIL")</f>
        <v>PASS</v>
      </c>
      <c r="K57" t="s">
        <v>746</v>
      </c>
    </row>
    <row r="58">
      <c r="A58" t="s">
        <v>754</v>
      </c>
      <c r="F58">
        <f>IF(ABS(Market_Package!B45-((Market_Package!B13/(Market_Package!B13+Market_Package!B22))*(Market_Package!B31+Market_Package!B33*Market_Package!B32)+(Market_Package!B22/(Market_Package!B13+Market_Package!B22))*Market_Package!B35*(1+IS_Hist!E13/IS_Hist!E12)))&gt;0.000001,1,0)+IF(OR(Market_Package!B31&lt;0.005,Market_Package!B31&gt;0.08),1,0)+IF(OR(Market_Package!B33&lt;0.3,Market_Package!B33&gt;2.5),1,0)+IF(OR(Market_Package!B35&lt;0.005,Market_Package!B35&gt;0.12),1,0)+IF(OR(Market_Package!B45&lt;0.04,Market_Package!B45&gt;0.2),1,0)</f>
        <v>0</v>
      </c>
      <c r="J58" t="str">
        <f>IF(N(F58)=0,"PASS","FAIL")</f>
        <v>PASS</v>
      </c>
      <c r="K58" t="s">
        <v>746</v>
      </c>
    </row>
    <row r="59">
      <c r="A59" t="s">
        <v>755</v>
      </c>
      <c r="F59" s="35">
        <f>IF(ABS(Market_Package!B24-(Market_Package!B7*Market_Package!B11+(Market_Package!B101+Market_Package!B102+Market_Package!B103)-(Market_Package!B99+Market_Package!B100)))&gt;0.5,1,0)+IF(Market_Package!B24&lt;=0,1,0)+IF(OR(Market_Package!B24/Valuation!B13&lt;1,Market_Package!B24/Valuation!B13&gt;6),1,0)</f>
        <v>0</v>
      </c>
      <c r="J59" s="35" t="str">
        <f>IF(N(F59)=0,"PASS","FAIL")</f>
        <v>PASS</v>
      </c>
      <c r="K59" t="s">
        <v>746</v>
      </c>
    </row>
    <row r="60">
      <c r="A60" t="s">
        <v>756</v>
      </c>
      <c r="F60">
        <f>IF(OR(Market_Package!B62&lt;5,Market_Package!B62&gt;80),1,0)+IF(OR(Market_Package!B59&lt;5,Market_Package!B59&gt;120),1,0)+IF(OR(Market_Package!B64&lt;0.002,Market_Package!B64&gt;0.15),1,0)</f>
        <v>0</v>
      </c>
      <c r="J60" t="str">
        <f>IF(N(F60)=0,"PASS","FAIL")</f>
        <v>PASS</v>
      </c>
      <c r="K60" t="s">
        <v>746</v>
      </c>
    </row>
    <row r="61">
      <c r="A61" t="s">
        <v>757</v>
      </c>
      <c r="B61">
        <f>IF(OR(Drivers_MDA!B100&lt;20000,Drivers_MDA!B100&gt;80000),1,0)+IF(OR(Drivers_MDA!B83/Drivers_MDA!B9&lt;0.8,Drivers_MDA!B83/Drivers_MDA!B9&gt;2.5),1,0)+IF(OR(Drivers_MDA!B95&lt;0.3,Drivers_MDA!B95&gt;0.9),1,0)+IF(OR(Drivers_MDA!B97&lt;0.2,Drivers_MDA!B97&gt;0.95),1,0)</f>
        <v>0</v>
      </c>
      <c r="C61">
        <f>IF(OR(Drivers_MDA!C100&lt;20000,Drivers_MDA!C100&gt;80000),1,0)+IF(OR(Drivers_MDA!C83/Drivers_MDA!C9&lt;0.8,Drivers_MDA!C83/Drivers_MDA!C9&gt;2.5),1,0)+IF(OR(Drivers_MDA!C95&lt;0.3,Drivers_MDA!C95&gt;0.9),1,0)+IF(OR(Drivers_MDA!C97&lt;0.2,Drivers_MDA!C97&gt;0.95),1,0)</f>
        <v>0</v>
      </c>
      <c r="D61">
        <f>IF(OR(Drivers_MDA!D100&lt;20000,Drivers_MDA!D100&gt;80000),1,0)+IF(OR(Drivers_MDA!D83/Drivers_MDA!D9&lt;0.8,Drivers_MDA!D83/Drivers_MDA!D9&gt;2.5),1,0)+IF(OR(Drivers_MDA!D95&lt;0.3,Drivers_MDA!D95&gt;0.9),1,0)+IF(OR(Drivers_MDA!D97&lt;0.2,Drivers_MDA!D97&gt;0.95),1,0)</f>
        <v>0</v>
      </c>
      <c r="E61">
        <f>IF(OR(Drivers_MDA!E100&lt;20000,Drivers_MDA!E100&gt;80000),1,0)+IF(OR(Drivers_MDA!E83/Drivers_MDA!E9&lt;0.8,Drivers_MDA!E83/Drivers_MDA!E9&gt;2.5),1,0)+IF(OR(Drivers_MDA!E95&lt;0.3,Drivers_MDA!E95&gt;0.9),1,0)+IF(OR(Drivers_MDA!E97&lt;0.2,Drivers_MDA!E97&gt;0.95),1,0)</f>
        <v>0</v>
      </c>
      <c r="F61">
        <f>IF(OR(Drivers_MDA!F100&lt;20000,Drivers_MDA!F100&gt;80000),1,0)+IF(OR(Drivers_MDA!F83/Drivers_MDA!F9&lt;0.8,Drivers_MDA!F83/Drivers_MDA!F9&gt;2.5),1,0)+IF(OR(Drivers_MDA!F95&lt;0.3,Drivers_MDA!F95&gt;0.9),1,0)+IF(OR(Drivers_MDA!F97&lt;0.2,Drivers_MDA!F97&gt;0.95),1,0)</f>
        <v>0</v>
      </c>
      <c r="J61" t="str">
        <f>IF(AND(N(B61)=0,N(C61)=0,N(D61)=0,N(E61)=0,N(F61)=0),"PASS","FAIL")</f>
        <v>PASS</v>
      </c>
      <c r="K61" t="s">
        <v>728</v>
      </c>
    </row>
    <row r="62">
      <c r="A62" t="s">
        <v>758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ColWidth="8.375" defaultRowHeight="15"/>
  <sheetData>
    <row r="1">
      <c r="A1" t="s">
        <v>759</v>
      </c>
    </row>
    <row r="3">
      <c r="A3" t="s">
        <v>760</v>
      </c>
      <c r="B3" t="s">
        <v>761</v>
      </c>
      <c r="C3" t="s">
        <v>762</v>
      </c>
      <c r="D3" t="s">
        <v>763</v>
      </c>
      <c r="E3" t="s">
        <v>530</v>
      </c>
    </row>
    <row r="4">
      <c r="A4" t="s">
        <v>764</v>
      </c>
      <c r="B4" t="s">
        <v>765</v>
      </c>
      <c r="C4" t="s">
        <v>766</v>
      </c>
      <c r="D4" t="s">
        <v>767</v>
      </c>
      <c r="E4" t="s">
        <v>768</v>
      </c>
    </row>
    <row r="5">
      <c r="A5" t="s">
        <v>764</v>
      </c>
      <c r="B5" t="s">
        <v>769</v>
      </c>
      <c r="C5" t="s">
        <v>770</v>
      </c>
      <c r="D5" t="s">
        <v>771</v>
      </c>
      <c r="E5" t="s">
        <v>772</v>
      </c>
    </row>
    <row r="6">
      <c r="A6" t="s">
        <v>773</v>
      </c>
      <c r="B6" t="s">
        <v>765</v>
      </c>
      <c r="C6" t="s">
        <v>774</v>
      </c>
      <c r="D6" t="s">
        <v>775</v>
      </c>
    </row>
    <row r="7">
      <c r="A7" t="s">
        <v>773</v>
      </c>
      <c r="B7" t="s">
        <v>769</v>
      </c>
      <c r="C7" t="s">
        <v>776</v>
      </c>
      <c r="D7" t="s">
        <v>777</v>
      </c>
    </row>
    <row r="8">
      <c r="A8" t="s">
        <v>778</v>
      </c>
      <c r="B8" t="s">
        <v>779</v>
      </c>
      <c r="C8" t="s">
        <v>780</v>
      </c>
      <c r="D8" t="s">
        <v>775</v>
      </c>
    </row>
    <row r="9">
      <c r="A9" t="s">
        <v>778</v>
      </c>
      <c r="B9" t="s">
        <v>781</v>
      </c>
      <c r="C9" t="s">
        <v>782</v>
      </c>
      <c r="D9" t="s">
        <v>777</v>
      </c>
      <c r="E9" t="s">
        <v>783</v>
      </c>
    </row>
    <row r="10">
      <c r="A10" t="s">
        <v>784</v>
      </c>
      <c r="B10" t="s">
        <v>769</v>
      </c>
      <c r="C10" t="s">
        <v>785</v>
      </c>
      <c r="D10" t="s">
        <v>777</v>
      </c>
      <c r="E10" t="s">
        <v>786</v>
      </c>
    </row>
    <row r="11">
      <c r="A11" t="s">
        <v>787</v>
      </c>
      <c r="B11" t="s">
        <v>788</v>
      </c>
      <c r="C11" t="s">
        <v>789</v>
      </c>
      <c r="D11" t="s">
        <v>790</v>
      </c>
      <c r="E11" t="s">
        <v>791</v>
      </c>
    </row>
    <row r="12">
      <c r="A12" t="s">
        <v>792</v>
      </c>
      <c r="B12" t="s">
        <v>236</v>
      </c>
      <c r="C12" t="s">
        <v>793</v>
      </c>
      <c r="D12" t="s">
        <v>794</v>
      </c>
      <c r="E12" t="s">
        <v>795</v>
      </c>
    </row>
    <row r="13">
      <c r="A13" t="s">
        <v>796</v>
      </c>
      <c r="B13" t="s">
        <v>797</v>
      </c>
      <c r="C13" t="s">
        <v>798</v>
      </c>
      <c r="D13" t="s">
        <v>799</v>
      </c>
      <c r="E13" t="s">
        <v>800</v>
      </c>
    </row>
    <row r="14">
      <c r="A14" t="s">
        <v>801</v>
      </c>
      <c r="B14" t="s">
        <v>802</v>
      </c>
      <c r="C14" t="s">
        <v>803</v>
      </c>
      <c r="D14" t="s">
        <v>804</v>
      </c>
      <c r="E14" t="s">
        <v>805</v>
      </c>
    </row>
    <row r="15">
      <c r="A15" t="s">
        <v>806</v>
      </c>
      <c r="B15" t="s">
        <v>807</v>
      </c>
      <c r="C15" t="s">
        <v>808</v>
      </c>
      <c r="D15" t="s">
        <v>809</v>
      </c>
      <c r="E15" t="s">
        <v>810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I159"/>
  <sheetViews>
    <sheetView workbookViewId="0"/>
  </sheetViews>
  <sheetFormatPr defaultColWidth="8.375" defaultRowHeight="15"/>
  <sheetData>
    <row r="1">
      <c r="A1" t="s">
        <v>811</v>
      </c>
    </row>
    <row r="2">
      <c r="A2" t="s">
        <v>812</v>
      </c>
    </row>
    <row r="4">
      <c r="A4" t="s">
        <v>813</v>
      </c>
      <c r="B4" t="s">
        <v>360</v>
      </c>
      <c r="C4" t="s">
        <v>361</v>
      </c>
      <c r="D4" t="s">
        <v>362</v>
      </c>
      <c r="E4" t="s">
        <v>363</v>
      </c>
      <c r="F4" t="s">
        <v>9</v>
      </c>
      <c r="G4" t="s">
        <v>814</v>
      </c>
      <c r="H4" t="s">
        <v>815</v>
      </c>
      <c r="I4" t="s">
        <v>816</v>
      </c>
    </row>
    <row r="6">
      <c r="A6" t="s">
        <v>817</v>
      </c>
    </row>
    <row r="7">
      <c r="A7" t="s">
        <v>258</v>
      </c>
      <c r="B7">
        <v>13652.8</v>
      </c>
      <c r="C7">
        <v>15430.3</v>
      </c>
      <c r="D7">
        <v>21938.6</v>
      </c>
      <c r="E7">
        <v>21768.7</v>
      </c>
      <c r="F7">
        <v>24474.3</v>
      </c>
      <c r="G7" t="s">
        <v>818</v>
      </c>
      <c r="H7" t="s">
        <v>819</v>
      </c>
      <c r="I7" t="s">
        <v>820</v>
      </c>
    </row>
    <row r="8">
      <c r="A8" t="s">
        <v>821</v>
      </c>
      <c r="B8">
        <v>4958.2</v>
      </c>
      <c r="C8">
        <v>5743.1</v>
      </c>
      <c r="D8">
        <v>5619.9</v>
      </c>
      <c r="E8">
        <v>6494.2</v>
      </c>
      <c r="F8">
        <v>8193</v>
      </c>
      <c r="G8" t="s">
        <v>818</v>
      </c>
      <c r="H8" t="s">
        <v>819</v>
      </c>
      <c r="I8" t="s">
        <v>820</v>
      </c>
    </row>
    <row r="9">
      <c r="A9" t="s">
        <v>579</v>
      </c>
      <c r="B9">
        <f>B7+B8</f>
        <v>18611</v>
      </c>
      <c r="C9">
        <f>C7+C8</f>
        <v>21173.4</v>
      </c>
      <c r="D9">
        <f>D7+D8</f>
        <v>27558.5</v>
      </c>
      <c r="E9">
        <f>E7+E8</f>
        <v>28262.9</v>
      </c>
      <c r="F9">
        <f>F7+F8</f>
        <v>32667.3</v>
      </c>
      <c r="G9" t="s">
        <v>818</v>
      </c>
      <c r="H9" t="s">
        <v>822</v>
      </c>
      <c r="I9" t="s">
        <v>822</v>
      </c>
    </row>
    <row r="10">
      <c r="A10" t="s">
        <v>823</v>
      </c>
      <c r="B10" s="35">
        <f>B9-Historical!B5</f>
        <v>0</v>
      </c>
      <c r="C10">
        <f>C9-IS_Hist!B5</f>
        <v>0</v>
      </c>
      <c r="D10">
        <f>D9-IS_Hist!C5</f>
        <v>0</v>
      </c>
      <c r="E10">
        <f>E9-IS_Hist!D5</f>
        <v>0</v>
      </c>
      <c r="F10">
        <f>F9-IS_Hist!E5</f>
        <v>0</v>
      </c>
      <c r="G10" t="s">
        <v>818</v>
      </c>
      <c r="H10" t="s">
        <v>824</v>
      </c>
      <c r="I10" t="s">
        <v>825</v>
      </c>
    </row>
    <row r="11">
      <c r="A11" t="s">
        <v>826</v>
      </c>
      <c r="C11">
        <f>C7-IS_Hist!B23</f>
        <v>0</v>
      </c>
      <c r="D11">
        <f>D7-IS_Hist!C23</f>
        <v>0</v>
      </c>
      <c r="E11">
        <f>E7-IS_Hist!D23</f>
        <v>0</v>
      </c>
      <c r="F11">
        <f>F7-IS_Hist!E23</f>
        <v>0</v>
      </c>
      <c r="G11" t="s">
        <v>818</v>
      </c>
      <c r="H11" t="s">
        <v>827</v>
      </c>
      <c r="I11" t="s">
        <v>825</v>
      </c>
    </row>
    <row r="12">
      <c r="A12" t="s">
        <v>828</v>
      </c>
      <c r="C12">
        <f>C8-IS_Hist!B25</f>
        <v>0</v>
      </c>
      <c r="D12">
        <f>D8-IS_Hist!C25</f>
        <v>0</v>
      </c>
      <c r="E12">
        <f>E8-IS_Hist!D25</f>
        <v>0</v>
      </c>
      <c r="F12">
        <f>F8-IS_Hist!E25</f>
        <v>0</v>
      </c>
      <c r="G12" t="s">
        <v>818</v>
      </c>
      <c r="H12" t="s">
        <v>829</v>
      </c>
      <c r="I12" t="s">
        <v>825</v>
      </c>
    </row>
    <row r="13">
      <c r="A13" t="s">
        <v>830</v>
      </c>
      <c r="B13">
        <v>-6482.9</v>
      </c>
      <c r="C13">
        <v>-7582.3</v>
      </c>
      <c r="D13">
        <v>-10151</v>
      </c>
      <c r="E13">
        <v>-10406.9</v>
      </c>
      <c r="F13">
        <v>-11384</v>
      </c>
      <c r="G13" t="s">
        <v>818</v>
      </c>
      <c r="H13" t="s">
        <v>831</v>
      </c>
      <c r="I13" t="s">
        <v>820</v>
      </c>
    </row>
    <row r="14">
      <c r="A14" t="s">
        <v>832</v>
      </c>
      <c r="B14">
        <v>-2319.1</v>
      </c>
      <c r="C14">
        <v>-2891</v>
      </c>
      <c r="D14">
        <v>-3271.4</v>
      </c>
      <c r="E14">
        <v>-3364</v>
      </c>
      <c r="F14">
        <v>-4025.3</v>
      </c>
      <c r="G14" t="s">
        <v>818</v>
      </c>
      <c r="H14" t="s">
        <v>819</v>
      </c>
      <c r="I14" t="s">
        <v>820</v>
      </c>
    </row>
    <row r="15">
      <c r="A15" t="s">
        <v>580</v>
      </c>
      <c r="B15">
        <f>B13+B14</f>
        <v>-8802</v>
      </c>
      <c r="C15">
        <f>C13+C14</f>
        <v>-10473.3</v>
      </c>
      <c r="D15">
        <f>D13+D14</f>
        <v>-13422.4</v>
      </c>
      <c r="E15">
        <f>E13+E14</f>
        <v>-13770.9</v>
      </c>
      <c r="F15">
        <f>F13+F14</f>
        <v>-15409.3</v>
      </c>
      <c r="G15" t="s">
        <v>818</v>
      </c>
      <c r="H15" t="s">
        <v>822</v>
      </c>
      <c r="I15" t="s">
        <v>822</v>
      </c>
    </row>
    <row r="16">
      <c r="A16" t="s">
        <v>833</v>
      </c>
      <c r="C16">
        <f>C15-IS_Hist!B6</f>
        <v>0</v>
      </c>
      <c r="D16">
        <f>D15-IS_Hist!C6</f>
        <v>0</v>
      </c>
      <c r="E16">
        <f>E15-IS_Hist!D6</f>
        <v>0</v>
      </c>
      <c r="F16">
        <f>F15-IS_Hist!E6</f>
        <v>0</v>
      </c>
      <c r="G16" t="s">
        <v>818</v>
      </c>
      <c r="H16" t="s">
        <v>829</v>
      </c>
      <c r="I16" t="s">
        <v>825</v>
      </c>
    </row>
    <row r="17">
      <c r="A17" t="s">
        <v>834</v>
      </c>
      <c r="B17" s="35">
        <f>B9+B15-Historical!B7</f>
        <v>0</v>
      </c>
      <c r="G17" t="s">
        <v>818</v>
      </c>
      <c r="H17" t="s">
        <v>835</v>
      </c>
      <c r="I17" t="s">
        <v>825</v>
      </c>
    </row>
    <row r="18">
      <c r="A18" t="s">
        <v>836</v>
      </c>
      <c r="B18">
        <f>(B7+B13)/B7</f>
        <v>0.5251596742060237</v>
      </c>
      <c r="C18">
        <f>(C7+C13)/C7</f>
        <v>0.5086096835447139</v>
      </c>
      <c r="D18">
        <f>(D7+D13)/D7</f>
        <v>0.5372995542103871</v>
      </c>
      <c r="E18">
        <f>(E7+E13)/E7</f>
        <v>0.5219328669144231</v>
      </c>
      <c r="F18">
        <f>(F7+F13)/F7</f>
        <v>0.534859015375312</v>
      </c>
      <c r="G18" t="s">
        <v>288</v>
      </c>
      <c r="H18" t="s">
        <v>822</v>
      </c>
      <c r="I18" t="s">
        <v>822</v>
      </c>
    </row>
    <row r="19">
      <c r="A19" t="s">
        <v>837</v>
      </c>
      <c r="B19">
        <f>(B8+B14)/B8</f>
        <v>0.5322697753216893</v>
      </c>
      <c r="C19">
        <f>(C8+C14)/C8</f>
        <v>0.4966133272971044</v>
      </c>
      <c r="D19">
        <f>(D8+D14)/D8</f>
        <v>0.41788999804266974</v>
      </c>
      <c r="E19">
        <f>(E8+E14)/E8</f>
        <v>0.48199932247235994</v>
      </c>
      <c r="F19">
        <f>(F8+F14)/F8</f>
        <v>0.5086903454168192</v>
      </c>
      <c r="G19" t="s">
        <v>288</v>
      </c>
      <c r="H19" t="s">
        <v>822</v>
      </c>
      <c r="I19" t="s">
        <v>822</v>
      </c>
    </row>
    <row r="20">
      <c r="A20" t="s">
        <v>838</v>
      </c>
      <c r="B20">
        <v>0.527</v>
      </c>
      <c r="C20">
        <v>0.505</v>
      </c>
      <c r="D20">
        <v>0.513</v>
      </c>
      <c r="E20">
        <v>0.513</v>
      </c>
      <c r="F20">
        <v>0.528</v>
      </c>
      <c r="G20" t="s">
        <v>288</v>
      </c>
      <c r="H20" t="s">
        <v>839</v>
      </c>
      <c r="I20" t="s">
        <v>820</v>
      </c>
    </row>
    <row r="21">
      <c r="A21" t="s">
        <v>840</v>
      </c>
      <c r="B21" s="34">
        <f>B20-Historical!B8</f>
        <v>-0.000053892859061765996</v>
      </c>
      <c r="C21" s="34">
        <f>C20-Historical!C8</f>
        <v>-0.0003557765876052166</v>
      </c>
      <c r="D21" s="34">
        <f>D20-Historical!D8</f>
        <v>0.000051182030952334756</v>
      </c>
      <c r="E21" s="34">
        <f>E20-Historical!E8</f>
        <v>0.00024299346493106277</v>
      </c>
      <c r="F21" s="34">
        <f>F20-Historical!F8</f>
        <v>-0.000295879977837199</v>
      </c>
      <c r="G21" t="s">
        <v>841</v>
      </c>
      <c r="H21" t="s">
        <v>842</v>
      </c>
      <c r="I21" t="s">
        <v>825</v>
      </c>
    </row>
    <row r="23">
      <c r="A23" t="s">
        <v>843</v>
      </c>
    </row>
    <row r="24">
      <c r="A24" t="s">
        <v>844</v>
      </c>
      <c r="B24">
        <v>42</v>
      </c>
      <c r="C24">
        <v>40</v>
      </c>
      <c r="D24">
        <v>53</v>
      </c>
      <c r="E24">
        <v>42</v>
      </c>
      <c r="F24">
        <v>44</v>
      </c>
      <c r="G24" t="s">
        <v>845</v>
      </c>
      <c r="H24" t="s">
        <v>846</v>
      </c>
      <c r="I24" t="s">
        <v>820</v>
      </c>
    </row>
    <row r="25">
      <c r="A25" t="s">
        <v>847</v>
      </c>
      <c r="B25">
        <v>0</v>
      </c>
      <c r="C25">
        <v>0</v>
      </c>
      <c r="D25">
        <v>0</v>
      </c>
      <c r="E25">
        <v>2</v>
      </c>
      <c r="F25">
        <v>4</v>
      </c>
      <c r="G25" t="s">
        <v>845</v>
      </c>
      <c r="H25" t="s">
        <v>848</v>
      </c>
      <c r="I25" t="s">
        <v>820</v>
      </c>
    </row>
    <row r="26">
      <c r="A26" t="s">
        <v>849</v>
      </c>
      <c r="B26">
        <v>81</v>
      </c>
      <c r="C26">
        <v>81</v>
      </c>
      <c r="D26">
        <v>125</v>
      </c>
      <c r="E26">
        <v>129</v>
      </c>
      <c r="F26">
        <v>131</v>
      </c>
      <c r="G26" t="s">
        <v>845</v>
      </c>
      <c r="H26" t="s">
        <v>846</v>
      </c>
      <c r="I26" t="s">
        <v>820</v>
      </c>
    </row>
    <row r="27">
      <c r="A27" t="s">
        <v>850</v>
      </c>
      <c r="B27">
        <v>22</v>
      </c>
      <c r="C27">
        <v>28</v>
      </c>
      <c r="D27">
        <v>32</v>
      </c>
      <c r="E27">
        <v>28</v>
      </c>
      <c r="F27">
        <v>16</v>
      </c>
      <c r="G27" t="s">
        <v>845</v>
      </c>
      <c r="H27" t="s">
        <v>846</v>
      </c>
      <c r="I27" t="s">
        <v>820</v>
      </c>
    </row>
    <row r="28">
      <c r="A28" t="s">
        <v>851</v>
      </c>
      <c r="B28">
        <v>131</v>
      </c>
      <c r="C28">
        <v>151</v>
      </c>
      <c r="D28">
        <v>184</v>
      </c>
      <c r="E28">
        <v>152</v>
      </c>
      <c r="F28">
        <v>78</v>
      </c>
      <c r="G28" t="s">
        <v>845</v>
      </c>
      <c r="H28" t="s">
        <v>846</v>
      </c>
      <c r="I28" t="s">
        <v>820</v>
      </c>
    </row>
    <row r="29">
      <c r="A29" t="s">
        <v>852</v>
      </c>
      <c r="B29">
        <v>33</v>
      </c>
      <c r="C29">
        <v>45</v>
      </c>
      <c r="D29">
        <v>55</v>
      </c>
      <c r="E29">
        <v>65</v>
      </c>
      <c r="F29">
        <v>54</v>
      </c>
      <c r="G29" t="s">
        <v>845</v>
      </c>
      <c r="H29" t="s">
        <v>846</v>
      </c>
      <c r="I29" t="s">
        <v>820</v>
      </c>
    </row>
    <row r="30">
      <c r="A30" t="s">
        <v>853</v>
      </c>
      <c r="B30">
        <v>196</v>
      </c>
      <c r="C30">
        <v>216</v>
      </c>
      <c r="D30">
        <v>151</v>
      </c>
      <c r="E30">
        <v>165</v>
      </c>
      <c r="F30">
        <v>208</v>
      </c>
      <c r="G30" t="s">
        <v>845</v>
      </c>
      <c r="H30" t="s">
        <v>846</v>
      </c>
      <c r="I30" t="s">
        <v>820</v>
      </c>
    </row>
    <row r="31">
      <c r="A31" t="s">
        <v>854</v>
      </c>
      <c r="B31">
        <f>SUM(B24:B30)</f>
        <v>505</v>
      </c>
      <c r="C31">
        <f>SUM(C24:C30)</f>
        <v>561</v>
      </c>
      <c r="D31">
        <f>SUM(D24:D30)</f>
        <v>600</v>
      </c>
      <c r="E31">
        <f>SUM(E24:E30)</f>
        <v>583</v>
      </c>
      <c r="F31">
        <f>SUM(F24:F30)</f>
        <v>535</v>
      </c>
      <c r="G31" t="s">
        <v>845</v>
      </c>
      <c r="H31" t="s">
        <v>855</v>
      </c>
      <c r="I31" t="s">
        <v>822</v>
      </c>
    </row>
    <row r="32">
      <c r="A32" t="s">
        <v>856</v>
      </c>
      <c r="F32" s="35">
        <f>F31-Sector_KPIs!B7</f>
        <v>0</v>
      </c>
      <c r="G32" t="s">
        <v>845</v>
      </c>
      <c r="H32" t="s">
        <v>829</v>
      </c>
      <c r="I32" t="s">
        <v>825</v>
      </c>
    </row>
    <row r="33">
      <c r="A33" t="s">
        <v>857</v>
      </c>
      <c r="B33">
        <v>6284</v>
      </c>
      <c r="C33">
        <v>7045.3</v>
      </c>
      <c r="D33">
        <v>9124</v>
      </c>
      <c r="E33">
        <v>7856.4</v>
      </c>
      <c r="F33">
        <v>10445.8</v>
      </c>
      <c r="G33" t="s">
        <v>818</v>
      </c>
      <c r="H33" t="s">
        <v>846</v>
      </c>
      <c r="I33" t="s">
        <v>820</v>
      </c>
    </row>
    <row r="34">
      <c r="A34" t="s">
        <v>858</v>
      </c>
      <c r="B34">
        <v>0</v>
      </c>
      <c r="C34">
        <v>0</v>
      </c>
      <c r="D34">
        <v>0</v>
      </c>
      <c r="E34">
        <v>465</v>
      </c>
      <c r="F34">
        <v>1156.9</v>
      </c>
      <c r="G34" t="s">
        <v>818</v>
      </c>
      <c r="H34" t="s">
        <v>859</v>
      </c>
      <c r="I34" t="s">
        <v>820</v>
      </c>
    </row>
    <row r="35">
      <c r="A35" t="s">
        <v>860</v>
      </c>
      <c r="B35">
        <v>4959.6</v>
      </c>
      <c r="C35">
        <v>5236.5</v>
      </c>
      <c r="D35">
        <v>9017.4</v>
      </c>
      <c r="E35">
        <v>9667</v>
      </c>
      <c r="F35">
        <v>10311.4</v>
      </c>
      <c r="G35" t="s">
        <v>818</v>
      </c>
      <c r="H35" t="s">
        <v>846</v>
      </c>
      <c r="I35" t="s">
        <v>820</v>
      </c>
    </row>
    <row r="36">
      <c r="A36" t="s">
        <v>861</v>
      </c>
      <c r="B36">
        <v>431.9</v>
      </c>
      <c r="C36">
        <v>623.7</v>
      </c>
      <c r="D36">
        <v>780.2</v>
      </c>
      <c r="E36">
        <v>774.4</v>
      </c>
      <c r="F36">
        <v>427</v>
      </c>
      <c r="G36" t="s">
        <v>818</v>
      </c>
      <c r="H36" t="s">
        <v>846</v>
      </c>
      <c r="I36" t="s">
        <v>820</v>
      </c>
    </row>
    <row r="37">
      <c r="A37" t="s">
        <v>862</v>
      </c>
      <c r="B37">
        <v>1321.3</v>
      </c>
      <c r="C37">
        <v>1653.7</v>
      </c>
      <c r="D37">
        <v>2202.5</v>
      </c>
      <c r="E37">
        <v>1991.2</v>
      </c>
      <c r="F37">
        <v>1001.3</v>
      </c>
      <c r="G37" t="s">
        <v>818</v>
      </c>
      <c r="H37" t="s">
        <v>846</v>
      </c>
      <c r="I37" t="s">
        <v>820</v>
      </c>
    </row>
    <row r="38">
      <c r="A38" t="s">
        <v>863</v>
      </c>
      <c r="B38">
        <v>142.3</v>
      </c>
      <c r="C38">
        <v>211.5</v>
      </c>
      <c r="D38">
        <v>278.4</v>
      </c>
      <c r="E38">
        <v>369.2</v>
      </c>
      <c r="F38">
        <v>307.3</v>
      </c>
      <c r="G38" t="s">
        <v>818</v>
      </c>
      <c r="H38" t="s">
        <v>846</v>
      </c>
      <c r="I38" t="s">
        <v>820</v>
      </c>
    </row>
    <row r="39">
      <c r="A39" t="s">
        <v>864</v>
      </c>
      <c r="B39">
        <v>513.7</v>
      </c>
      <c r="C39">
        <v>659.6</v>
      </c>
      <c r="D39">
        <v>536.1</v>
      </c>
      <c r="E39">
        <v>645.5</v>
      </c>
      <c r="F39">
        <v>824.6</v>
      </c>
      <c r="G39" t="s">
        <v>818</v>
      </c>
      <c r="H39" t="s">
        <v>846</v>
      </c>
      <c r="I39" t="s">
        <v>820</v>
      </c>
    </row>
    <row r="40">
      <c r="A40" t="s">
        <v>865</v>
      </c>
      <c r="B40">
        <f>SUM(B33:B39)</f>
        <v>13652.8</v>
      </c>
      <c r="C40">
        <f>SUM(C33:C39)</f>
        <v>15430.300000000001</v>
      </c>
      <c r="D40">
        <f>SUM(D33:D39)</f>
        <v>21938.6</v>
      </c>
      <c r="E40">
        <f>SUM(E33:E39)</f>
        <v>21768.7</v>
      </c>
      <c r="F40">
        <f>SUM(F33:F39)</f>
        <v>24474.3</v>
      </c>
      <c r="G40" t="s">
        <v>818</v>
      </c>
      <c r="H40" t="s">
        <v>822</v>
      </c>
      <c r="I40" t="s">
        <v>822</v>
      </c>
    </row>
    <row r="41">
      <c r="A41" t="s">
        <v>866</v>
      </c>
      <c r="B41">
        <f>B40-B7</f>
        <v>0</v>
      </c>
      <c r="C41">
        <f>C40-C7</f>
        <v>0</v>
      </c>
      <c r="D41">
        <f>D40-D7</f>
        <v>0</v>
      </c>
      <c r="E41">
        <f>E40-E7</f>
        <v>0</v>
      </c>
      <c r="F41">
        <f>F40-F7</f>
        <v>0</v>
      </c>
      <c r="G41" t="s">
        <v>818</v>
      </c>
      <c r="H41" t="s">
        <v>867</v>
      </c>
      <c r="I41" t="s">
        <v>825</v>
      </c>
    </row>
    <row r="42">
      <c r="A42" t="s">
        <v>868</v>
      </c>
      <c r="B42">
        <f>B40/B31</f>
        <v>27.035247524752474</v>
      </c>
      <c r="C42">
        <f>C40/C31</f>
        <v>27.50499108734403</v>
      </c>
      <c r="D42">
        <f>D40/D31</f>
        <v>36.56433333333333</v>
      </c>
      <c r="E42">
        <f>E40/E31</f>
        <v>37.33910806174957</v>
      </c>
      <c r="F42">
        <f>F40/F31</f>
        <v>45.746355140186914</v>
      </c>
      <c r="G42" t="s">
        <v>869</v>
      </c>
      <c r="H42" t="s">
        <v>870</v>
      </c>
      <c r="I42" t="s">
        <v>822</v>
      </c>
    </row>
    <row r="43">
      <c r="A43" t="s">
        <v>871</v>
      </c>
      <c r="F43" s="35">
        <f>F42-Sector_KPIs!B8</f>
        <v>0</v>
      </c>
      <c r="G43" t="s">
        <v>869</v>
      </c>
      <c r="H43" t="s">
        <v>829</v>
      </c>
      <c r="I43" t="s">
        <v>825</v>
      </c>
    </row>
    <row r="44">
      <c r="A44" t="s">
        <v>872</v>
      </c>
      <c r="B44">
        <f>B33+B34</f>
        <v>6284</v>
      </c>
      <c r="C44">
        <f>C33+C34</f>
        <v>7045.3</v>
      </c>
      <c r="D44">
        <f>D33+D34</f>
        <v>9124</v>
      </c>
      <c r="E44">
        <f>E33+E34</f>
        <v>8321.4</v>
      </c>
      <c r="F44">
        <f>F33+F34</f>
        <v>11602.699999999999</v>
      </c>
      <c r="G44" t="s">
        <v>818</v>
      </c>
      <c r="H44" t="s">
        <v>822</v>
      </c>
      <c r="I44" t="s">
        <v>822</v>
      </c>
    </row>
    <row r="45">
      <c r="A45" t="s">
        <v>873</v>
      </c>
      <c r="B45">
        <f>B44/B40</f>
        <v>0.46027188562053206</v>
      </c>
      <c r="C45">
        <f>C44/C40</f>
        <v>0.45658865997420656</v>
      </c>
      <c r="D45">
        <f>D44/D40</f>
        <v>0.41588797826661683</v>
      </c>
      <c r="E45">
        <f>E44/E40</f>
        <v>0.3822644439034026</v>
      </c>
      <c r="F45">
        <f>F44/F40</f>
        <v>0.47407688881806626</v>
      </c>
      <c r="G45" t="s">
        <v>288</v>
      </c>
      <c r="H45" t="s">
        <v>874</v>
      </c>
      <c r="I45" t="s">
        <v>822</v>
      </c>
    </row>
    <row r="46">
      <c r="A46" t="s">
        <v>875</v>
      </c>
      <c r="B46">
        <f>B44/(B24+B25)</f>
        <v>149.61904761904762</v>
      </c>
      <c r="C46">
        <f>C44/(C24+C25)</f>
        <v>176.1325</v>
      </c>
      <c r="D46">
        <f>D44/(D24+D25)</f>
        <v>172.1509433962264</v>
      </c>
      <c r="E46">
        <f>E44/(E24+E25)</f>
        <v>189.12272727272727</v>
      </c>
      <c r="F46">
        <f>F44/(F24+F25)</f>
        <v>241.72291666666663</v>
      </c>
      <c r="G46" t="s">
        <v>869</v>
      </c>
      <c r="H46" t="s">
        <v>876</v>
      </c>
      <c r="I46" t="s">
        <v>822</v>
      </c>
    </row>
    <row r="47">
      <c r="A47" t="s">
        <v>877</v>
      </c>
      <c r="B47">
        <f>(B35+B36+B37+B38)/(B26+B27+B28+B29)</f>
        <v>25.674531835205993</v>
      </c>
      <c r="C47">
        <f>(C35+C36+C37+C38)/(C26+C27+C28+C29)</f>
        <v>25.32918032786885</v>
      </c>
      <c r="D47">
        <f>(D35+D36+D37+D38)/(D26+D27+D28+D29)</f>
        <v>31.00631313131313</v>
      </c>
      <c r="E47">
        <f>(E35+E36+E37+E38)/(E26+E27+E28+E29)</f>
        <v>34.22941176470589</v>
      </c>
      <c r="F47">
        <f>(F35+F36+F37+F38)/(F26+F27+F28+F29)</f>
        <v>43.179211469534046</v>
      </c>
      <c r="G47" t="s">
        <v>869</v>
      </c>
      <c r="H47" t="s">
        <v>822</v>
      </c>
      <c r="I47" t="s">
        <v>822</v>
      </c>
    </row>
    <row r="48">
      <c r="A48" t="s">
        <v>878</v>
      </c>
      <c r="B48">
        <v>13446.1</v>
      </c>
      <c r="C48">
        <v>15152.3</v>
      </c>
      <c r="D48">
        <v>21622.4</v>
      </c>
      <c r="E48">
        <v>21139.7</v>
      </c>
      <c r="F48">
        <v>23898.6</v>
      </c>
      <c r="G48" t="s">
        <v>818</v>
      </c>
      <c r="H48" t="s">
        <v>879</v>
      </c>
      <c r="I48" t="s">
        <v>820</v>
      </c>
    </row>
    <row r="49">
      <c r="A49" t="s">
        <v>880</v>
      </c>
      <c r="B49">
        <v>206.7</v>
      </c>
      <c r="C49">
        <v>278</v>
      </c>
      <c r="D49">
        <v>316.2</v>
      </c>
      <c r="E49">
        <v>629</v>
      </c>
      <c r="F49">
        <v>575.7</v>
      </c>
      <c r="G49" t="s">
        <v>818</v>
      </c>
      <c r="H49" t="s">
        <v>881</v>
      </c>
      <c r="I49" t="s">
        <v>820</v>
      </c>
    </row>
    <row r="50">
      <c r="A50" t="s">
        <v>882</v>
      </c>
      <c r="B50">
        <f>B48+B49-B7</f>
        <v>0</v>
      </c>
      <c r="C50">
        <f>C48+C49-C7</f>
        <v>0</v>
      </c>
      <c r="D50">
        <f>D48+D49-D7</f>
        <v>0</v>
      </c>
      <c r="E50">
        <f>E48+E49-E7</f>
        <v>0</v>
      </c>
      <c r="F50">
        <f>F48+F49-F7</f>
        <v>0</v>
      </c>
      <c r="G50" t="s">
        <v>818</v>
      </c>
      <c r="H50" t="s">
        <v>829</v>
      </c>
      <c r="I50" t="s">
        <v>825</v>
      </c>
    </row>
    <row r="51">
      <c r="A51" t="s">
        <v>883</v>
      </c>
      <c r="B51">
        <f>B31-B30</f>
        <v>309</v>
      </c>
      <c r="C51">
        <f>C31-C30</f>
        <v>345</v>
      </c>
      <c r="D51">
        <f>D31-D30</f>
        <v>449</v>
      </c>
      <c r="E51">
        <f>E31-E30</f>
        <v>418</v>
      </c>
      <c r="F51">
        <f>F31-F30</f>
        <v>327</v>
      </c>
      <c r="G51" t="s">
        <v>845</v>
      </c>
      <c r="H51" t="s">
        <v>884</v>
      </c>
      <c r="I51" t="s">
        <v>822</v>
      </c>
    </row>
    <row r="53">
      <c r="A53" t="s">
        <v>885</v>
      </c>
    </row>
    <row r="54">
      <c r="A54" t="s">
        <v>886</v>
      </c>
      <c r="B54">
        <v>327</v>
      </c>
      <c r="C54">
        <v>357</v>
      </c>
      <c r="D54">
        <v>439</v>
      </c>
      <c r="E54">
        <v>399</v>
      </c>
      <c r="F54">
        <v>364</v>
      </c>
      <c r="G54" t="s">
        <v>845</v>
      </c>
      <c r="H54" t="s">
        <v>846</v>
      </c>
      <c r="I54" t="s">
        <v>820</v>
      </c>
    </row>
    <row r="55">
      <c r="A55" t="s">
        <v>887</v>
      </c>
      <c r="B55">
        <v>178</v>
      </c>
      <c r="C55">
        <v>204</v>
      </c>
      <c r="D55">
        <v>161</v>
      </c>
      <c r="E55">
        <v>184</v>
      </c>
      <c r="F55">
        <v>171</v>
      </c>
      <c r="G55" t="s">
        <v>845</v>
      </c>
      <c r="H55" t="s">
        <v>846</v>
      </c>
      <c r="I55" t="s">
        <v>820</v>
      </c>
    </row>
    <row r="56">
      <c r="A56" t="s">
        <v>888</v>
      </c>
      <c r="B56">
        <v>9588.5</v>
      </c>
      <c r="C56">
        <v>9977.6</v>
      </c>
      <c r="D56">
        <v>15984.7</v>
      </c>
      <c r="E56">
        <v>13195.1</v>
      </c>
      <c r="F56">
        <v>16054.1</v>
      </c>
      <c r="G56" t="s">
        <v>818</v>
      </c>
      <c r="H56" t="s">
        <v>846</v>
      </c>
      <c r="I56" t="s">
        <v>820</v>
      </c>
    </row>
    <row r="57">
      <c r="A57" t="s">
        <v>889</v>
      </c>
      <c r="B57">
        <v>4064.3</v>
      </c>
      <c r="C57">
        <v>5452.7</v>
      </c>
      <c r="D57">
        <v>5953.9</v>
      </c>
      <c r="E57">
        <v>8573.6</v>
      </c>
      <c r="F57">
        <v>8420.2</v>
      </c>
      <c r="G57" t="s">
        <v>818</v>
      </c>
      <c r="H57" t="s">
        <v>846</v>
      </c>
      <c r="I57" t="s">
        <v>820</v>
      </c>
    </row>
    <row r="58">
      <c r="A58" t="s">
        <v>890</v>
      </c>
      <c r="B58">
        <f>B54+B55-B31</f>
        <v>0</v>
      </c>
      <c r="C58">
        <f>C54+C55-C31</f>
        <v>0</v>
      </c>
      <c r="D58">
        <f>D54+D55-D31</f>
        <v>0</v>
      </c>
      <c r="E58">
        <f>E54+E55-E31</f>
        <v>0</v>
      </c>
      <c r="F58">
        <f>F54+F55-F31</f>
        <v>0</v>
      </c>
      <c r="G58" t="s">
        <v>845</v>
      </c>
      <c r="H58" t="s">
        <v>829</v>
      </c>
      <c r="I58" t="s">
        <v>825</v>
      </c>
    </row>
    <row r="59">
      <c r="A59" t="s">
        <v>891</v>
      </c>
      <c r="B59">
        <f>B56+B57-B7</f>
        <v>0</v>
      </c>
      <c r="C59">
        <f>C56+C57-C7</f>
        <v>0</v>
      </c>
      <c r="D59">
        <f>D56+D57-D7</f>
        <v>0</v>
      </c>
      <c r="E59">
        <f>E56+E57-E7</f>
        <v>0</v>
      </c>
      <c r="F59">
        <f>F56+F57-F7</f>
        <v>0</v>
      </c>
      <c r="G59" t="s">
        <v>818</v>
      </c>
      <c r="H59" t="s">
        <v>829</v>
      </c>
      <c r="I59" t="s">
        <v>825</v>
      </c>
    </row>
    <row r="60">
      <c r="A60" t="s">
        <v>892</v>
      </c>
      <c r="B60">
        <f>B57/B7</f>
        <v>0.2976898511660612</v>
      </c>
      <c r="C60">
        <f>C57/C7</f>
        <v>0.35337614952398855</v>
      </c>
      <c r="D60">
        <f>D57/D7</f>
        <v>0.2713892408813689</v>
      </c>
      <c r="E60">
        <f>E57/E7</f>
        <v>0.3938498853858981</v>
      </c>
      <c r="F60">
        <f>F57/F7</f>
        <v>0.34404252624181286</v>
      </c>
      <c r="G60" t="s">
        <v>288</v>
      </c>
      <c r="H60" t="s">
        <v>893</v>
      </c>
      <c r="I60" t="s">
        <v>822</v>
      </c>
    </row>
    <row r="62">
      <c r="A62" t="s">
        <v>894</v>
      </c>
    </row>
    <row r="63">
      <c r="A63" t="s">
        <v>895</v>
      </c>
      <c r="B63">
        <v>459.3</v>
      </c>
      <c r="C63">
        <v>1008.6</v>
      </c>
      <c r="D63">
        <v>613.6</v>
      </c>
      <c r="E63">
        <v>1156</v>
      </c>
      <c r="F63">
        <v>1420.9</v>
      </c>
      <c r="G63" t="s">
        <v>818</v>
      </c>
      <c r="H63" t="s">
        <v>879</v>
      </c>
      <c r="I63" t="s">
        <v>820</v>
      </c>
    </row>
    <row r="64">
      <c r="A64" t="s">
        <v>896</v>
      </c>
      <c r="B64">
        <v>6223</v>
      </c>
      <c r="C64">
        <v>6045.6</v>
      </c>
      <c r="D64">
        <v>6949.2</v>
      </c>
      <c r="E64">
        <v>6408.8</v>
      </c>
      <c r="F64">
        <v>8159.6</v>
      </c>
      <c r="G64" t="s">
        <v>818</v>
      </c>
      <c r="H64" t="s">
        <v>879</v>
      </c>
      <c r="I64" t="s">
        <v>820</v>
      </c>
    </row>
    <row r="65">
      <c r="A65" t="s">
        <v>897</v>
      </c>
      <c r="B65">
        <v>126.2</v>
      </c>
      <c r="C65">
        <v>475.5</v>
      </c>
      <c r="D65">
        <v>282.1</v>
      </c>
      <c r="E65">
        <v>285</v>
      </c>
      <c r="F65">
        <v>608.4</v>
      </c>
      <c r="G65" t="s">
        <v>818</v>
      </c>
      <c r="H65" t="s">
        <v>879</v>
      </c>
      <c r="I65" t="s">
        <v>820</v>
      </c>
    </row>
    <row r="66">
      <c r="A66" t="s">
        <v>898</v>
      </c>
      <c r="B66">
        <v>7327.9</v>
      </c>
      <c r="C66">
        <v>8095.5</v>
      </c>
      <c r="D66">
        <v>8074.6</v>
      </c>
      <c r="E66">
        <v>4354</v>
      </c>
      <c r="F66">
        <v>8337.9</v>
      </c>
      <c r="G66" t="s">
        <v>818</v>
      </c>
      <c r="H66" t="s">
        <v>879</v>
      </c>
      <c r="I66" t="s">
        <v>820</v>
      </c>
    </row>
    <row r="67">
      <c r="A67" t="s">
        <v>899</v>
      </c>
      <c r="B67">
        <v>2740.8</v>
      </c>
      <c r="C67">
        <v>2916</v>
      </c>
      <c r="D67">
        <v>7251.8</v>
      </c>
      <c r="E67">
        <v>10195.1</v>
      </c>
      <c r="F67">
        <v>9519.7</v>
      </c>
      <c r="G67" t="s">
        <v>818</v>
      </c>
      <c r="H67" t="s">
        <v>879</v>
      </c>
      <c r="I67" t="s">
        <v>820</v>
      </c>
    </row>
    <row r="68">
      <c r="A68" t="s">
        <v>900</v>
      </c>
      <c r="B68">
        <v>1.8</v>
      </c>
      <c r="C68">
        <v>7.2</v>
      </c>
      <c r="D68">
        <v>3.9</v>
      </c>
      <c r="E68">
        <v>3.5</v>
      </c>
      <c r="F68">
        <v>2.7</v>
      </c>
      <c r="G68" t="s">
        <v>818</v>
      </c>
      <c r="H68" t="s">
        <v>879</v>
      </c>
      <c r="I68" t="s">
        <v>820</v>
      </c>
    </row>
    <row r="69">
      <c r="A69" t="s">
        <v>901</v>
      </c>
      <c r="B69">
        <v>14.2</v>
      </c>
      <c r="C69">
        <v>9.2</v>
      </c>
      <c r="D69">
        <v>25.1</v>
      </c>
      <c r="E69">
        <v>16.6</v>
      </c>
      <c r="F69">
        <v>4.7</v>
      </c>
      <c r="G69" t="s">
        <v>818</v>
      </c>
      <c r="H69" t="s">
        <v>879</v>
      </c>
      <c r="I69" t="s">
        <v>820</v>
      </c>
    </row>
    <row r="70">
      <c r="A70" t="s">
        <v>902</v>
      </c>
      <c r="B70">
        <v>134.6</v>
      </c>
      <c r="C70">
        <v>624.5</v>
      </c>
      <c r="D70">
        <v>1206.8</v>
      </c>
      <c r="E70">
        <v>1322.1</v>
      </c>
      <c r="F70">
        <v>524.3</v>
      </c>
      <c r="G70" t="s">
        <v>818</v>
      </c>
      <c r="H70" t="s">
        <v>879</v>
      </c>
      <c r="I70" t="s">
        <v>820</v>
      </c>
    </row>
    <row r="71">
      <c r="A71" t="s">
        <v>903</v>
      </c>
      <c r="B71">
        <v>1583.2</v>
      </c>
      <c r="C71">
        <v>1991.3</v>
      </c>
      <c r="D71">
        <v>3151.4</v>
      </c>
      <c r="E71">
        <v>4521.8</v>
      </c>
      <c r="F71">
        <v>4089.1</v>
      </c>
      <c r="G71" t="s">
        <v>818</v>
      </c>
      <c r="H71" t="s">
        <v>879</v>
      </c>
      <c r="I71" t="s">
        <v>820</v>
      </c>
    </row>
    <row r="72">
      <c r="A72" t="s">
        <v>904</v>
      </c>
      <c r="B72">
        <f>SUM(B63:B71)</f>
        <v>18611</v>
      </c>
      <c r="C72">
        <f>SUM(C63:C71)</f>
        <v>21173.4</v>
      </c>
      <c r="D72">
        <f>SUM(D63:D71)</f>
        <v>27558.5</v>
      </c>
      <c r="E72">
        <f>SUM(E63:E71)</f>
        <v>28262.9</v>
      </c>
      <c r="F72">
        <f>SUM(F63:F71)</f>
        <v>32667.3</v>
      </c>
      <c r="G72" t="s">
        <v>818</v>
      </c>
      <c r="H72" t="s">
        <v>822</v>
      </c>
      <c r="I72" t="s">
        <v>822</v>
      </c>
    </row>
    <row r="73">
      <c r="A73" t="s">
        <v>905</v>
      </c>
      <c r="B73" s="35">
        <f>B72-Historical!B5</f>
        <v>0</v>
      </c>
      <c r="C73">
        <f>C72-IS_Hist!B5</f>
        <v>0</v>
      </c>
      <c r="D73">
        <f>D72-IS_Hist!C5</f>
        <v>0</v>
      </c>
      <c r="E73">
        <f>E72-IS_Hist!D5</f>
        <v>0</v>
      </c>
      <c r="F73">
        <f>F72-IS_Hist!E5</f>
        <v>0</v>
      </c>
      <c r="G73" t="s">
        <v>818</v>
      </c>
      <c r="H73" t="s">
        <v>824</v>
      </c>
      <c r="I73" t="s">
        <v>825</v>
      </c>
    </row>
    <row r="74">
      <c r="A74" t="s">
        <v>906</v>
      </c>
      <c r="B74">
        <f>B67/B72</f>
        <v>0.14726774488205902</v>
      </c>
      <c r="C74">
        <f>C67/C72</f>
        <v>0.13771996939556236</v>
      </c>
      <c r="D74">
        <f>D67/D72</f>
        <v>0.2631420432897291</v>
      </c>
      <c r="E74">
        <f>E67/E72</f>
        <v>0.36072377569180797</v>
      </c>
      <c r="F74">
        <f>F67/F72</f>
        <v>0.2914137378969184</v>
      </c>
      <c r="G74" t="s">
        <v>288</v>
      </c>
      <c r="H74" t="s">
        <v>907</v>
      </c>
      <c r="I74" t="s">
        <v>822</v>
      </c>
    </row>
    <row r="75">
      <c r="A75" t="s">
        <v>908</v>
      </c>
      <c r="B75">
        <f>(B66+B64)/B72</f>
        <v>0.7281124066412337</v>
      </c>
      <c r="C75">
        <f>(C66+C64)/C72</f>
        <v>0.6678710079628213</v>
      </c>
      <c r="D75">
        <f>(D66+D64)/D72</f>
        <v>0.5451602953716639</v>
      </c>
      <c r="E75">
        <f>(E66+E64)/E72</f>
        <v>0.3808101787148523</v>
      </c>
      <c r="F75">
        <f>(F66+F64)/F72</f>
        <v>0.5050157190829974</v>
      </c>
      <c r="G75" t="s">
        <v>288</v>
      </c>
      <c r="H75" t="s">
        <v>909</v>
      </c>
      <c r="I75" t="s">
        <v>822</v>
      </c>
    </row>
    <row r="77">
      <c r="A77" t="s">
        <v>910</v>
      </c>
    </row>
    <row r="78">
      <c r="A78" t="s">
        <v>911</v>
      </c>
      <c r="B78">
        <v>2982.7</v>
      </c>
      <c r="C78">
        <v>4136.9</v>
      </c>
      <c r="D78">
        <v>5799.8</v>
      </c>
      <c r="E78">
        <v>7234</v>
      </c>
      <c r="F78">
        <v>8234.8</v>
      </c>
      <c r="G78" t="s">
        <v>818</v>
      </c>
      <c r="H78" t="s">
        <v>879</v>
      </c>
      <c r="I78" t="s">
        <v>820</v>
      </c>
    </row>
    <row r="79">
      <c r="A79" t="s">
        <v>912</v>
      </c>
      <c r="B79">
        <v>2048.1</v>
      </c>
      <c r="C79">
        <v>2748.5</v>
      </c>
      <c r="D79">
        <v>3783.6</v>
      </c>
      <c r="E79">
        <v>4621.4</v>
      </c>
      <c r="F79">
        <v>5342.4</v>
      </c>
      <c r="G79" t="s">
        <v>818</v>
      </c>
      <c r="H79" t="s">
        <v>913</v>
      </c>
      <c r="I79" t="s">
        <v>820</v>
      </c>
    </row>
    <row r="80">
      <c r="A80" t="s">
        <v>914</v>
      </c>
      <c r="D80">
        <f>D78-(BS_Hist!B24+BS_Hist!B25)</f>
        <v>0</v>
      </c>
      <c r="E80">
        <f>E78-(BS_Hist!C24+BS_Hist!C25)</f>
        <v>0</v>
      </c>
      <c r="F80">
        <f>F78-(BS_Hist!D24+BS_Hist!D25)</f>
        <v>0</v>
      </c>
      <c r="G80" t="s">
        <v>818</v>
      </c>
      <c r="H80" t="s">
        <v>915</v>
      </c>
      <c r="I80" t="s">
        <v>825</v>
      </c>
    </row>
    <row r="82">
      <c r="A82" t="s">
        <v>916</v>
      </c>
    </row>
    <row r="83">
      <c r="A83" t="s">
        <v>917</v>
      </c>
      <c r="B83">
        <v>28900</v>
      </c>
      <c r="C83">
        <v>45400</v>
      </c>
      <c r="D83">
        <v>45000</v>
      </c>
      <c r="E83">
        <v>43300</v>
      </c>
      <c r="F83">
        <v>46500</v>
      </c>
      <c r="G83" t="s">
        <v>818</v>
      </c>
      <c r="H83" t="s">
        <v>918</v>
      </c>
      <c r="I83" t="s">
        <v>820</v>
      </c>
    </row>
    <row r="84">
      <c r="A84" t="s">
        <v>919</v>
      </c>
      <c r="B84">
        <v>0.61</v>
      </c>
      <c r="C84">
        <v>0.56</v>
      </c>
      <c r="D84">
        <v>0.57</v>
      </c>
      <c r="E84">
        <v>0.59</v>
      </c>
      <c r="F84">
        <v>0.65</v>
      </c>
      <c r="G84" t="s">
        <v>288</v>
      </c>
      <c r="H84" t="s">
        <v>920</v>
      </c>
      <c r="I84" t="s">
        <v>820</v>
      </c>
    </row>
    <row r="85">
      <c r="A85" t="s">
        <v>921</v>
      </c>
      <c r="B85">
        <f>B83/B9</f>
        <v>1.5528450916124872</v>
      </c>
      <c r="C85">
        <f>C83/C9</f>
        <v>2.1441997978595784</v>
      </c>
      <c r="D85">
        <f>D83/D9</f>
        <v>1.6328900339278263</v>
      </c>
      <c r="E85">
        <f>E83/E9</f>
        <v>1.5320437747011098</v>
      </c>
      <c r="F85">
        <f>F83/F9</f>
        <v>1.4234417904142675</v>
      </c>
      <c r="G85" t="s">
        <v>922</v>
      </c>
      <c r="H85" t="s">
        <v>923</v>
      </c>
      <c r="I85" t="s">
        <v>822</v>
      </c>
    </row>
    <row r="86">
      <c r="A86" t="s">
        <v>924</v>
      </c>
      <c r="D86">
        <v>39000</v>
      </c>
      <c r="E86">
        <v>36000</v>
      </c>
      <c r="F86">
        <v>38797</v>
      </c>
      <c r="G86" t="s">
        <v>818</v>
      </c>
      <c r="H86" t="s">
        <v>925</v>
      </c>
      <c r="I86" t="s">
        <v>820</v>
      </c>
    </row>
    <row r="87">
      <c r="A87" t="s">
        <v>926</v>
      </c>
      <c r="F87" s="35">
        <f>F86-Sector_KPIs!B9</f>
        <v>0</v>
      </c>
      <c r="G87" t="s">
        <v>818</v>
      </c>
      <c r="H87" t="s">
        <v>829</v>
      </c>
      <c r="I87" t="s">
        <v>825</v>
      </c>
    </row>
    <row r="88">
      <c r="A88" t="s">
        <v>927</v>
      </c>
      <c r="B88">
        <v>11160.9</v>
      </c>
      <c r="C88">
        <v>17750.9</v>
      </c>
      <c r="D88">
        <v>16266.5</v>
      </c>
      <c r="E88">
        <v>18196.2</v>
      </c>
      <c r="F88">
        <v>19372.6</v>
      </c>
      <c r="G88" t="s">
        <v>818</v>
      </c>
      <c r="H88" t="s">
        <v>928</v>
      </c>
      <c r="I88" t="s">
        <v>820</v>
      </c>
    </row>
    <row r="89">
      <c r="A89" t="s">
        <v>929</v>
      </c>
      <c r="D89">
        <f>D88-(BS_Hist!B33+BS_Hist!B37)</f>
        <v>0</v>
      </c>
      <c r="E89">
        <f>E88-(BS_Hist!C33+BS_Hist!C37)</f>
        <v>0</v>
      </c>
      <c r="F89">
        <f>F88-(BS_Hist!D33+BS_Hist!D37)</f>
        <v>0</v>
      </c>
      <c r="G89" t="s">
        <v>818</v>
      </c>
      <c r="H89" t="s">
        <v>930</v>
      </c>
      <c r="I89" t="s">
        <v>825</v>
      </c>
    </row>
    <row r="90">
      <c r="A90" t="s">
        <v>931</v>
      </c>
      <c r="B90">
        <f>B88/B83</f>
        <v>0.3861903114186851</v>
      </c>
      <c r="C90">
        <f>C88/C83</f>
        <v>0.390988986784141</v>
      </c>
      <c r="D90">
        <f>D88/D83</f>
        <v>0.3614777777777778</v>
      </c>
      <c r="E90">
        <f>E88/E83</f>
        <v>0.42023556581986143</v>
      </c>
      <c r="F90">
        <f>F88/F83</f>
        <v>0.4166150537634408</v>
      </c>
      <c r="G90" t="s">
        <v>288</v>
      </c>
      <c r="H90" t="s">
        <v>932</v>
      </c>
      <c r="I90" t="s">
        <v>822</v>
      </c>
    </row>
    <row r="92">
      <c r="A92" t="s">
        <v>933</v>
      </c>
    </row>
    <row r="93">
      <c r="A93" t="s">
        <v>934</v>
      </c>
      <c r="B93">
        <v>2</v>
      </c>
      <c r="C93">
        <v>2</v>
      </c>
      <c r="D93">
        <v>2</v>
      </c>
      <c r="E93">
        <v>4</v>
      </c>
      <c r="F93">
        <v>4</v>
      </c>
      <c r="G93" t="s">
        <v>935</v>
      </c>
      <c r="H93" t="s">
        <v>879</v>
      </c>
      <c r="I93" t="s">
        <v>820</v>
      </c>
    </row>
    <row r="94">
      <c r="A94" t="s">
        <v>936</v>
      </c>
      <c r="B94">
        <v>12500</v>
      </c>
      <c r="C94">
        <v>11800</v>
      </c>
      <c r="D94">
        <v>14900</v>
      </c>
      <c r="E94">
        <v>15200</v>
      </c>
      <c r="F94">
        <v>20000</v>
      </c>
      <c r="G94" t="s">
        <v>818</v>
      </c>
      <c r="H94" t="s">
        <v>937</v>
      </c>
      <c r="I94" t="s">
        <v>820</v>
      </c>
    </row>
    <row r="95">
      <c r="A95" t="s">
        <v>938</v>
      </c>
      <c r="B95">
        <v>0.672</v>
      </c>
      <c r="C95">
        <v>0.558</v>
      </c>
      <c r="D95">
        <v>0.539</v>
      </c>
      <c r="E95">
        <v>0.538</v>
      </c>
      <c r="F95">
        <v>0.612</v>
      </c>
      <c r="G95" t="s">
        <v>288</v>
      </c>
      <c r="H95" t="s">
        <v>879</v>
      </c>
      <c r="I95" t="s">
        <v>820</v>
      </c>
    </row>
    <row r="96">
      <c r="A96" t="s">
        <v>939</v>
      </c>
      <c r="B96">
        <f>B95-B94/B9</f>
        <v>0.00035419912954703925</v>
      </c>
      <c r="C96">
        <f>C95-C94/C9</f>
        <v>0.0006969688382594263</v>
      </c>
      <c r="D96">
        <f>D95-D94/D9</f>
        <v>-0.0016680334561024468</v>
      </c>
      <c r="E96">
        <f>E95-E94/E9</f>
        <v>0.00019248555526862887</v>
      </c>
      <c r="F96">
        <f>F95-F94/F9</f>
        <v>-0.00023302813516878906</v>
      </c>
      <c r="G96" t="s">
        <v>841</v>
      </c>
      <c r="H96" t="s">
        <v>940</v>
      </c>
      <c r="I96" t="s">
        <v>825</v>
      </c>
    </row>
    <row r="97">
      <c r="A97" t="s">
        <v>941</v>
      </c>
      <c r="B97">
        <v>0.837</v>
      </c>
      <c r="C97">
        <v>0.786</v>
      </c>
      <c r="D97">
        <v>0.644</v>
      </c>
      <c r="E97">
        <v>0.541</v>
      </c>
      <c r="F97">
        <v>0.354</v>
      </c>
      <c r="G97" t="s">
        <v>288</v>
      </c>
      <c r="H97" t="s">
        <v>879</v>
      </c>
      <c r="I97" t="s">
        <v>820</v>
      </c>
    </row>
    <row r="99">
      <c r="A99" t="s">
        <v>942</v>
      </c>
    </row>
    <row r="100">
      <c r="A100" t="s">
        <v>943</v>
      </c>
      <c r="B100">
        <v>28223</v>
      </c>
      <c r="C100">
        <v>33071</v>
      </c>
      <c r="D100">
        <v>38805</v>
      </c>
      <c r="E100">
        <v>41697</v>
      </c>
      <c r="F100">
        <v>43267</v>
      </c>
      <c r="G100" t="s">
        <v>944</v>
      </c>
      <c r="H100" t="s">
        <v>945</v>
      </c>
      <c r="I100" t="s">
        <v>820</v>
      </c>
    </row>
    <row r="101">
      <c r="A101" t="s">
        <v>946</v>
      </c>
      <c r="B101">
        <f>B9*1000/B100</f>
        <v>659.426708712752</v>
      </c>
      <c r="C101">
        <f>C9*1000/C100</f>
        <v>640.2406942638565</v>
      </c>
      <c r="D101">
        <f>D9*1000/D100</f>
        <v>710.179100631362</v>
      </c>
      <c r="E101">
        <f>E9*1000/E100</f>
        <v>677.8161498429143</v>
      </c>
      <c r="F101">
        <f>F9*1000/F100</f>
        <v>755.0165252964152</v>
      </c>
      <c r="G101" t="s">
        <v>947</v>
      </c>
      <c r="H101" t="s">
        <v>948</v>
      </c>
      <c r="I101" t="s">
        <v>822</v>
      </c>
    </row>
    <row r="102">
      <c r="A102" t="s">
        <v>949</v>
      </c>
      <c r="B102">
        <v>30842</v>
      </c>
      <c r="C102">
        <v>37643</v>
      </c>
      <c r="D102">
        <v>40747</v>
      </c>
      <c r="G102" t="s">
        <v>944</v>
      </c>
      <c r="H102" t="s">
        <v>950</v>
      </c>
      <c r="I102" t="s">
        <v>820</v>
      </c>
    </row>
    <row r="104">
      <c r="A104" t="s">
        <v>951</v>
      </c>
    </row>
    <row r="105">
      <c r="A105" t="s">
        <v>952</v>
      </c>
      <c r="E105">
        <v>1</v>
      </c>
      <c r="F105">
        <v>1.6</v>
      </c>
      <c r="G105" t="s">
        <v>953</v>
      </c>
      <c r="H105" t="s">
        <v>954</v>
      </c>
      <c r="I105" t="s">
        <v>820</v>
      </c>
    </row>
    <row r="106">
      <c r="A106" t="s">
        <v>955</v>
      </c>
      <c r="E106">
        <v>1.1</v>
      </c>
      <c r="F106">
        <v>39.7</v>
      </c>
      <c r="G106" t="s">
        <v>956</v>
      </c>
      <c r="H106" t="s">
        <v>954</v>
      </c>
      <c r="I106" t="s">
        <v>820</v>
      </c>
    </row>
    <row r="107">
      <c r="A107" t="s">
        <v>957</v>
      </c>
      <c r="E107">
        <v>27.6</v>
      </c>
      <c r="F107">
        <v>18</v>
      </c>
      <c r="G107" t="s">
        <v>958</v>
      </c>
      <c r="H107" t="s">
        <v>954</v>
      </c>
      <c r="I107" t="s">
        <v>820</v>
      </c>
    </row>
    <row r="108">
      <c r="A108" t="s">
        <v>959</v>
      </c>
      <c r="E108">
        <v>66.4</v>
      </c>
      <c r="F108">
        <v>144.9</v>
      </c>
      <c r="G108" t="s">
        <v>960</v>
      </c>
      <c r="H108" t="s">
        <v>954</v>
      </c>
      <c r="I108" t="s">
        <v>820</v>
      </c>
    </row>
    <row r="109">
      <c r="A109" t="s">
        <v>961</v>
      </c>
      <c r="E109">
        <v>1.1</v>
      </c>
      <c r="F109">
        <v>1.1</v>
      </c>
      <c r="G109" t="s">
        <v>962</v>
      </c>
      <c r="H109" t="s">
        <v>954</v>
      </c>
      <c r="I109" t="s">
        <v>820</v>
      </c>
    </row>
    <row r="110">
      <c r="A110" t="s">
        <v>963</v>
      </c>
      <c r="E110">
        <v>-38.5</v>
      </c>
      <c r="F110">
        <v>-1.6</v>
      </c>
      <c r="G110" t="s">
        <v>818</v>
      </c>
      <c r="H110" t="s">
        <v>954</v>
      </c>
      <c r="I110" t="s">
        <v>820</v>
      </c>
    </row>
    <row r="111">
      <c r="A111" t="s">
        <v>964</v>
      </c>
      <c r="E111">
        <v>80.9</v>
      </c>
      <c r="F111">
        <v>95.6</v>
      </c>
      <c r="G111" t="s">
        <v>818</v>
      </c>
      <c r="H111" t="s">
        <v>954</v>
      </c>
      <c r="I111" t="s">
        <v>820</v>
      </c>
    </row>
    <row r="112">
      <c r="A112" t="s">
        <v>965</v>
      </c>
      <c r="E112">
        <v>3.3</v>
      </c>
      <c r="F112">
        <v>2.3</v>
      </c>
      <c r="G112" t="s">
        <v>966</v>
      </c>
      <c r="H112" t="s">
        <v>954</v>
      </c>
      <c r="I112" t="s">
        <v>820</v>
      </c>
    </row>
    <row r="113">
      <c r="A113" t="s">
        <v>967</v>
      </c>
      <c r="E113">
        <v>94.9</v>
      </c>
      <c r="F113">
        <v>106.7</v>
      </c>
      <c r="G113" t="s">
        <v>818</v>
      </c>
      <c r="H113" t="s">
        <v>968</v>
      </c>
      <c r="I113" t="s">
        <v>820</v>
      </c>
    </row>
    <row r="114">
      <c r="A114" t="s">
        <v>969</v>
      </c>
      <c r="I114" t="s">
        <v>970</v>
      </c>
    </row>
    <row r="116">
      <c r="A116" t="s">
        <v>971</v>
      </c>
    </row>
    <row r="117">
      <c r="A117" t="s">
        <v>972</v>
      </c>
      <c r="E117">
        <v>4750</v>
      </c>
      <c r="F117">
        <v>3750</v>
      </c>
      <c r="G117" t="s">
        <v>818</v>
      </c>
      <c r="H117" t="s">
        <v>973</v>
      </c>
      <c r="I117" t="s">
        <v>820</v>
      </c>
    </row>
    <row r="118">
      <c r="A118" t="s">
        <v>974</v>
      </c>
      <c r="E118">
        <v>4669.4</v>
      </c>
      <c r="F118">
        <v>3682.8</v>
      </c>
      <c r="G118" t="s">
        <v>818</v>
      </c>
      <c r="H118" t="s">
        <v>975</v>
      </c>
      <c r="I118" t="s">
        <v>820</v>
      </c>
    </row>
    <row r="119">
      <c r="A119" t="s">
        <v>976</v>
      </c>
      <c r="E119">
        <v>4561.8</v>
      </c>
      <c r="F119">
        <v>3590.8</v>
      </c>
      <c r="G119" t="s">
        <v>818</v>
      </c>
      <c r="H119" t="s">
        <v>973</v>
      </c>
      <c r="I119" t="s">
        <v>820</v>
      </c>
    </row>
    <row r="120">
      <c r="A120" t="s">
        <v>977</v>
      </c>
      <c r="E120">
        <v>0</v>
      </c>
      <c r="F120">
        <v>691.7</v>
      </c>
      <c r="G120" t="s">
        <v>818</v>
      </c>
      <c r="H120" t="s">
        <v>978</v>
      </c>
      <c r="I120" t="s">
        <v>820</v>
      </c>
    </row>
    <row r="121">
      <c r="A121" t="s">
        <v>979</v>
      </c>
      <c r="E121">
        <v>1010.3</v>
      </c>
      <c r="F121">
        <v>990.2</v>
      </c>
      <c r="G121" t="s">
        <v>818</v>
      </c>
      <c r="H121" t="s">
        <v>973</v>
      </c>
      <c r="I121" t="s">
        <v>820</v>
      </c>
    </row>
    <row r="122">
      <c r="A122" t="s">
        <v>980</v>
      </c>
      <c r="E122">
        <v>3677.3</v>
      </c>
      <c r="F122">
        <v>2709</v>
      </c>
      <c r="G122" t="s">
        <v>818</v>
      </c>
      <c r="H122" t="s">
        <v>973</v>
      </c>
      <c r="I122" t="s">
        <v>820</v>
      </c>
    </row>
    <row r="123">
      <c r="A123" t="s">
        <v>981</v>
      </c>
      <c r="E123">
        <f>E120+E121-BS_Hist!C32</f>
        <v>0</v>
      </c>
      <c r="F123">
        <f>F120+F121-BS_Hist!D32</f>
        <v>0</v>
      </c>
      <c r="G123" t="s">
        <v>818</v>
      </c>
      <c r="H123" t="s">
        <v>982</v>
      </c>
      <c r="I123" t="s">
        <v>825</v>
      </c>
    </row>
    <row r="124">
      <c r="A124" t="s">
        <v>983</v>
      </c>
      <c r="E124">
        <f>E122-BS_Hist!C35</f>
        <v>0</v>
      </c>
      <c r="F124">
        <f>F122-BS_Hist!D35</f>
        <v>0</v>
      </c>
      <c r="G124" t="s">
        <v>818</v>
      </c>
      <c r="H124" t="s">
        <v>829</v>
      </c>
      <c r="I124" t="s">
        <v>825</v>
      </c>
    </row>
    <row r="125">
      <c r="A125" t="s">
        <v>984</v>
      </c>
      <c r="E125">
        <v>6.4</v>
      </c>
      <c r="F125">
        <v>7.5</v>
      </c>
      <c r="G125" t="s">
        <v>985</v>
      </c>
      <c r="H125" t="s">
        <v>986</v>
      </c>
      <c r="I125" t="s">
        <v>820</v>
      </c>
    </row>
    <row r="126">
      <c r="A126" t="s">
        <v>987</v>
      </c>
      <c r="C126">
        <f>-CF_Hist!B34</f>
        <v>2559.8</v>
      </c>
      <c r="D126">
        <f>-CF_Hist!C34</f>
        <v>2348.3</v>
      </c>
      <c r="E126">
        <f>-CF_Hist!D34</f>
        <v>2452.9</v>
      </c>
      <c r="F126">
        <f>-CF_Hist!E34</f>
        <v>2550.3</v>
      </c>
      <c r="G126" t="s">
        <v>818</v>
      </c>
      <c r="H126" t="s">
        <v>988</v>
      </c>
      <c r="I126" t="s">
        <v>989</v>
      </c>
    </row>
    <row r="127">
      <c r="A127" t="s">
        <v>990</v>
      </c>
      <c r="E127">
        <v>574925</v>
      </c>
      <c r="F127">
        <v>8323320</v>
      </c>
      <c r="G127" t="s">
        <v>991</v>
      </c>
      <c r="H127" t="s">
        <v>992</v>
      </c>
      <c r="I127" t="s">
        <v>820</v>
      </c>
    </row>
    <row r="128">
      <c r="A128" t="s">
        <v>993</v>
      </c>
      <c r="E128">
        <v>500</v>
      </c>
      <c r="F128">
        <v>5950</v>
      </c>
      <c r="G128" t="s">
        <v>818</v>
      </c>
      <c r="H128" t="s">
        <v>994</v>
      </c>
      <c r="I128" t="s">
        <v>820</v>
      </c>
    </row>
    <row r="129">
      <c r="A129" t="s">
        <v>995</v>
      </c>
      <c r="E129">
        <f>E128+CF_Hist!D35</f>
        <v>0</v>
      </c>
      <c r="F129">
        <f>F128+CF_Hist!E35</f>
        <v>0</v>
      </c>
      <c r="G129" t="s">
        <v>818</v>
      </c>
      <c r="H129" t="s">
        <v>829</v>
      </c>
      <c r="I129" t="s">
        <v>825</v>
      </c>
    </row>
    <row r="130">
      <c r="A130" t="s">
        <v>996</v>
      </c>
      <c r="H130" t="s">
        <v>997</v>
      </c>
      <c r="I130" t="s">
        <v>970</v>
      </c>
    </row>
    <row r="131">
      <c r="A131" t="s">
        <v>998</v>
      </c>
      <c r="D131">
        <v>193.9</v>
      </c>
      <c r="E131">
        <v>182.4</v>
      </c>
      <c r="F131">
        <v>223</v>
      </c>
      <c r="G131" t="s">
        <v>818</v>
      </c>
      <c r="H131" t="s">
        <v>973</v>
      </c>
      <c r="I131" t="s">
        <v>820</v>
      </c>
    </row>
    <row r="132">
      <c r="A132" t="s">
        <v>999</v>
      </c>
      <c r="D132">
        <v>-152.7</v>
      </c>
      <c r="E132">
        <v>-162.6</v>
      </c>
      <c r="F132">
        <v>-118.3</v>
      </c>
      <c r="G132" t="s">
        <v>818</v>
      </c>
      <c r="H132" t="s">
        <v>973</v>
      </c>
      <c r="I132" t="s">
        <v>820</v>
      </c>
    </row>
    <row r="134">
      <c r="A134" t="s">
        <v>1000</v>
      </c>
    </row>
    <row r="135">
      <c r="A135" t="s">
        <v>1001</v>
      </c>
      <c r="F135">
        <v>34000</v>
      </c>
      <c r="G135" t="s">
        <v>818</v>
      </c>
      <c r="H135" t="s">
        <v>1002</v>
      </c>
      <c r="I135" t="s">
        <v>820</v>
      </c>
    </row>
    <row r="136">
      <c r="A136" t="s">
        <v>1003</v>
      </c>
      <c r="F136">
        <v>39000</v>
      </c>
      <c r="G136" t="s">
        <v>818</v>
      </c>
      <c r="H136" t="s">
        <v>1004</v>
      </c>
      <c r="I136" t="s">
        <v>820</v>
      </c>
    </row>
    <row r="137">
      <c r="A137" t="s">
        <v>1005</v>
      </c>
      <c r="F137" s="35">
        <f>ABS(F135-Sector_KPIs!B11)+ABS(F136-Sector_KPIs!B12)</f>
        <v>0</v>
      </c>
      <c r="G137" t="s">
        <v>818</v>
      </c>
      <c r="H137" t="s">
        <v>829</v>
      </c>
      <c r="I137" t="s">
        <v>825</v>
      </c>
    </row>
    <row r="139">
      <c r="A139" t="s">
        <v>1006</v>
      </c>
    </row>
    <row r="140">
      <c r="A140" t="s">
        <v>1007</v>
      </c>
      <c r="I140" t="s">
        <v>1008</v>
      </c>
    </row>
    <row r="141">
      <c r="A141" t="s">
        <v>1009</v>
      </c>
      <c r="I141" t="s">
        <v>1008</v>
      </c>
    </row>
    <row r="142">
      <c r="A142" t="s">
        <v>1010</v>
      </c>
      <c r="I142" t="s">
        <v>1008</v>
      </c>
    </row>
    <row r="143">
      <c r="A143" t="s">
        <v>1011</v>
      </c>
      <c r="I143" t="s">
        <v>1008</v>
      </c>
    </row>
    <row r="144">
      <c r="A144" t="s">
        <v>1012</v>
      </c>
      <c r="I144" t="s">
        <v>1008</v>
      </c>
    </row>
    <row r="145">
      <c r="A145" t="s">
        <v>1013</v>
      </c>
      <c r="I145" t="s">
        <v>1008</v>
      </c>
    </row>
    <row r="146">
      <c r="A146" t="s">
        <v>1014</v>
      </c>
      <c r="I146" t="s">
        <v>1008</v>
      </c>
    </row>
    <row r="147">
      <c r="A147" t="s">
        <v>1015</v>
      </c>
      <c r="I147" t="s">
        <v>1008</v>
      </c>
    </row>
    <row r="149">
      <c r="A149" t="s">
        <v>1016</v>
      </c>
    </row>
    <row r="150">
      <c r="A150" t="s">
        <v>1017</v>
      </c>
      <c r="F150" s="35">
        <f>Forecast!B5-F31</f>
        <v>0</v>
      </c>
      <c r="G150" t="s">
        <v>845</v>
      </c>
      <c r="H150" t="s">
        <v>829</v>
      </c>
      <c r="I150" t="s">
        <v>825</v>
      </c>
    </row>
    <row r="151">
      <c r="A151" t="s">
        <v>1018</v>
      </c>
      <c r="F151" s="35">
        <f>Forecast!B6-F42</f>
        <v>0</v>
      </c>
      <c r="G151" t="s">
        <v>869</v>
      </c>
      <c r="H151" t="s">
        <v>1019</v>
      </c>
      <c r="I151" t="s">
        <v>825</v>
      </c>
    </row>
    <row r="152">
      <c r="A152" t="s">
        <v>1020</v>
      </c>
      <c r="F152" s="35">
        <f>Forecast!B7-F8</f>
        <v>0</v>
      </c>
      <c r="G152" t="s">
        <v>818</v>
      </c>
      <c r="H152" t="s">
        <v>829</v>
      </c>
      <c r="I152" t="s">
        <v>825</v>
      </c>
    </row>
    <row r="153">
      <c r="A153" t="s">
        <v>1021</v>
      </c>
      <c r="F153" s="35">
        <f>Forecast!B8-F9</f>
        <v>0</v>
      </c>
      <c r="G153" t="s">
        <v>818</v>
      </c>
      <c r="H153" t="s">
        <v>1022</v>
      </c>
      <c r="I153" t="s">
        <v>825</v>
      </c>
    </row>
    <row r="154">
      <c r="A154" t="s">
        <v>1023</v>
      </c>
      <c r="F154" s="35">
        <f>Sector_KPIs!B5-F7</f>
        <v>0</v>
      </c>
      <c r="G154" t="s">
        <v>818</v>
      </c>
      <c r="H154" t="s">
        <v>829</v>
      </c>
      <c r="I154" t="s">
        <v>825</v>
      </c>
    </row>
    <row r="155">
      <c r="A155" t="s">
        <v>1024</v>
      </c>
      <c r="F155" s="35">
        <f>Sector_KPIs!B6-F8</f>
        <v>0</v>
      </c>
      <c r="G155" t="s">
        <v>818</v>
      </c>
      <c r="H155" t="s">
        <v>829</v>
      </c>
      <c r="I155" t="s">
        <v>825</v>
      </c>
    </row>
    <row r="156">
      <c r="A156" t="s">
        <v>1025</v>
      </c>
      <c r="F156" s="34">
        <f>Sector_KPIs!B10-F20</f>
        <v>0</v>
      </c>
      <c r="G156" t="s">
        <v>841</v>
      </c>
      <c r="H156" t="s">
        <v>829</v>
      </c>
      <c r="I156" t="s">
        <v>825</v>
      </c>
    </row>
    <row r="157">
      <c r="A157" t="s">
        <v>1026</v>
      </c>
    </row>
    <row r="158">
      <c r="A158" t="s">
        <v>1027</v>
      </c>
    </row>
    <row r="159">
      <c r="A159" t="s">
        <v>1028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FormatPr defaultColWidth="8.375" defaultRowHeight="15"/>
  <sheetData>
    <row r="1">
      <c r="A1" t="s">
        <v>1029</v>
      </c>
    </row>
    <row r="2">
      <c r="A2" t="s">
        <v>1030</v>
      </c>
    </row>
    <row r="4">
      <c r="A4" t="s">
        <v>1031</v>
      </c>
      <c r="B4" t="s">
        <v>1032</v>
      </c>
      <c r="C4" t="s">
        <v>814</v>
      </c>
      <c r="D4" t="s">
        <v>1033</v>
      </c>
      <c r="E4" t="s">
        <v>1034</v>
      </c>
      <c r="F4" t="s">
        <v>1035</v>
      </c>
    </row>
    <row r="6">
      <c r="A6" t="s">
        <v>1036</v>
      </c>
    </row>
    <row r="7">
      <c r="A7" t="s">
        <v>1037</v>
      </c>
      <c r="B7">
        <v>1609.4</v>
      </c>
      <c r="C7" t="s">
        <v>1038</v>
      </c>
      <c r="D7">
        <v>46247</v>
      </c>
      <c r="E7" t="s">
        <v>1039</v>
      </c>
      <c r="F7" t="s">
        <v>1040</v>
      </c>
    </row>
    <row r="8">
      <c r="A8" t="s">
        <v>1041</v>
      </c>
      <c r="B8">
        <v>1847.9</v>
      </c>
      <c r="C8" t="s">
        <v>1042</v>
      </c>
      <c r="D8">
        <v>46247</v>
      </c>
      <c r="E8" t="s">
        <v>1043</v>
      </c>
      <c r="F8" t="s">
        <v>1044</v>
      </c>
    </row>
    <row r="9">
      <c r="A9" t="s">
        <v>1045</v>
      </c>
      <c r="B9">
        <v>1.1534</v>
      </c>
      <c r="C9" t="s">
        <v>1046</v>
      </c>
      <c r="D9">
        <v>46247</v>
      </c>
      <c r="E9" t="s">
        <v>1047</v>
      </c>
      <c r="F9" t="s">
        <v>1048</v>
      </c>
    </row>
    <row r="10">
      <c r="A10" t="s">
        <v>1049</v>
      </c>
      <c r="B10">
        <f>B7*B9/B8-1</f>
        <v>0.004535938091888125</v>
      </c>
      <c r="C10" t="s">
        <v>288</v>
      </c>
      <c r="D10">
        <v>46247</v>
      </c>
      <c r="E10" t="s">
        <v>1050</v>
      </c>
      <c r="F10" t="s">
        <v>1051</v>
      </c>
    </row>
    <row r="11">
      <c r="A11" t="s">
        <v>1052</v>
      </c>
      <c r="B11">
        <v>385.417665</v>
      </c>
      <c r="C11" t="s">
        <v>1053</v>
      </c>
      <c r="D11">
        <v>46022</v>
      </c>
      <c r="E11" t="s">
        <v>1054</v>
      </c>
      <c r="F11" t="s">
        <v>1055</v>
      </c>
    </row>
    <row r="12">
      <c r="A12" t="s">
        <v>1056</v>
      </c>
      <c r="B12" s="35">
        <f>Forecast!B28</f>
        <v>388.9</v>
      </c>
      <c r="C12" t="s">
        <v>1053</v>
      </c>
      <c r="D12">
        <v>46022</v>
      </c>
      <c r="E12" t="s">
        <v>1057</v>
      </c>
      <c r="F12" t="s">
        <v>1058</v>
      </c>
    </row>
    <row r="13">
      <c r="A13" t="s">
        <v>1059</v>
      </c>
      <c r="B13">
        <f>B7*B11</f>
        <v>620291.190051</v>
      </c>
      <c r="C13" t="s">
        <v>818</v>
      </c>
      <c r="D13">
        <v>46247</v>
      </c>
      <c r="E13" t="s">
        <v>1060</v>
      </c>
      <c r="F13" t="s">
        <v>1061</v>
      </c>
    </row>
    <row r="14">
      <c r="A14" t="s">
        <v>1062</v>
      </c>
      <c r="B14">
        <f>B8*B11</f>
        <v>712213.3031535001</v>
      </c>
      <c r="C14" t="s">
        <v>1063</v>
      </c>
      <c r="D14">
        <v>46247</v>
      </c>
      <c r="E14" t="s">
        <v>1064</v>
      </c>
    </row>
    <row r="16">
      <c r="A16" t="s">
        <v>1065</v>
      </c>
    </row>
    <row r="17">
      <c r="A17" t="s">
        <v>1066</v>
      </c>
      <c r="B17">
        <f>BS_Hist!D6</f>
        <v>12916</v>
      </c>
      <c r="C17" t="s">
        <v>818</v>
      </c>
      <c r="D17">
        <v>46022</v>
      </c>
      <c r="E17" t="s">
        <v>1067</v>
      </c>
      <c r="F17" t="s">
        <v>989</v>
      </c>
    </row>
    <row r="18">
      <c r="A18" t="s">
        <v>1068</v>
      </c>
      <c r="B18">
        <f>BS_Hist!D7</f>
        <v>405.9</v>
      </c>
      <c r="C18" t="s">
        <v>818</v>
      </c>
      <c r="D18">
        <v>46022</v>
      </c>
      <c r="E18" t="s">
        <v>1069</v>
      </c>
      <c r="F18" t="s">
        <v>989</v>
      </c>
    </row>
    <row r="19">
      <c r="A19" t="s">
        <v>1070</v>
      </c>
      <c r="B19">
        <f>B17+B18</f>
        <v>13321.9</v>
      </c>
      <c r="C19" t="s">
        <v>818</v>
      </c>
      <c r="D19">
        <v>46022</v>
      </c>
      <c r="E19" t="s">
        <v>822</v>
      </c>
      <c r="F19" t="s">
        <v>1071</v>
      </c>
    </row>
    <row r="20">
      <c r="A20" t="s">
        <v>1072</v>
      </c>
      <c r="B20">
        <f>BS_Hist!D32</f>
        <v>1681.9</v>
      </c>
      <c r="C20" t="s">
        <v>818</v>
      </c>
      <c r="D20">
        <v>46022</v>
      </c>
      <c r="E20" t="s">
        <v>1073</v>
      </c>
      <c r="F20" t="s">
        <v>1074</v>
      </c>
    </row>
    <row r="21">
      <c r="A21" t="s">
        <v>1075</v>
      </c>
      <c r="B21">
        <f>BS_Hist!D35</f>
        <v>2709</v>
      </c>
      <c r="C21" t="s">
        <v>818</v>
      </c>
      <c r="D21">
        <v>46022</v>
      </c>
      <c r="E21" t="s">
        <v>1076</v>
      </c>
      <c r="F21" t="s">
        <v>989</v>
      </c>
    </row>
    <row r="22">
      <c r="A22" t="s">
        <v>1077</v>
      </c>
      <c r="B22">
        <f>B20+B21</f>
        <v>4390.9</v>
      </c>
      <c r="C22" t="s">
        <v>818</v>
      </c>
      <c r="D22">
        <v>46022</v>
      </c>
      <c r="E22" t="s">
        <v>822</v>
      </c>
      <c r="F22" t="s">
        <v>1078</v>
      </c>
    </row>
    <row r="23">
      <c r="A23" t="s">
        <v>1079</v>
      </c>
      <c r="B23">
        <f>B22-B19</f>
        <v>-8931</v>
      </c>
      <c r="C23" t="s">
        <v>818</v>
      </c>
      <c r="D23">
        <v>46022</v>
      </c>
      <c r="E23" t="s">
        <v>822</v>
      </c>
      <c r="F23" t="s">
        <v>1080</v>
      </c>
    </row>
    <row r="24">
      <c r="A24" t="s">
        <v>420</v>
      </c>
      <c r="B24">
        <f>B13+B22-B19</f>
        <v>611360.190051</v>
      </c>
      <c r="C24" t="s">
        <v>818</v>
      </c>
      <c r="D24">
        <v>46247</v>
      </c>
      <c r="E24" t="s">
        <v>1081</v>
      </c>
      <c r="F24" t="s">
        <v>1082</v>
      </c>
    </row>
    <row r="25">
      <c r="A25" t="s">
        <v>1083</v>
      </c>
      <c r="B25" s="35">
        <f>Forecast!B27</f>
        <v>2709</v>
      </c>
      <c r="C25" t="s">
        <v>818</v>
      </c>
      <c r="D25">
        <v>46022</v>
      </c>
      <c r="E25" t="s">
        <v>1084</v>
      </c>
      <c r="F25" t="s">
        <v>1085</v>
      </c>
    </row>
    <row r="26">
      <c r="A26" t="s">
        <v>1086</v>
      </c>
      <c r="B26" s="35">
        <f>B22-B25</f>
        <v>1681.8999999999996</v>
      </c>
      <c r="C26" t="s">
        <v>818</v>
      </c>
      <c r="D26">
        <v>46022</v>
      </c>
      <c r="E26" t="s">
        <v>822</v>
      </c>
      <c r="F26" t="s">
        <v>1087</v>
      </c>
    </row>
    <row r="27">
      <c r="A27" t="s">
        <v>1088</v>
      </c>
      <c r="B27" s="35">
        <f>Forecast!B26</f>
        <v>12916</v>
      </c>
      <c r="C27" t="s">
        <v>818</v>
      </c>
      <c r="D27">
        <v>46022</v>
      </c>
      <c r="E27" t="s">
        <v>1089</v>
      </c>
      <c r="F27" t="s">
        <v>1090</v>
      </c>
    </row>
    <row r="28">
      <c r="A28" t="s">
        <v>1091</v>
      </c>
      <c r="B28" s="35">
        <f>B19-B27</f>
        <v>405.89999999999964</v>
      </c>
      <c r="C28" t="s">
        <v>818</v>
      </c>
      <c r="D28">
        <v>46022</v>
      </c>
      <c r="E28" t="s">
        <v>822</v>
      </c>
      <c r="F28" t="s">
        <v>1092</v>
      </c>
    </row>
    <row r="30">
      <c r="A30" t="s">
        <v>1093</v>
      </c>
    </row>
    <row r="31">
      <c r="A31" t="s">
        <v>1094</v>
      </c>
      <c r="B31">
        <v>0.03139</v>
      </c>
      <c r="C31" t="s">
        <v>288</v>
      </c>
      <c r="D31">
        <v>46247</v>
      </c>
      <c r="E31" t="s">
        <v>1095</v>
      </c>
      <c r="F31" t="s">
        <v>1096</v>
      </c>
    </row>
    <row r="32">
      <c r="A32" t="s">
        <v>1097</v>
      </c>
      <c r="B32">
        <v>0.0423</v>
      </c>
      <c r="C32" t="s">
        <v>288</v>
      </c>
      <c r="D32">
        <v>46023</v>
      </c>
      <c r="E32" t="s">
        <v>1098</v>
      </c>
      <c r="F32" t="s">
        <v>1099</v>
      </c>
    </row>
    <row r="33">
      <c r="A33" t="s">
        <v>1100</v>
      </c>
      <c r="B33">
        <v>1.37</v>
      </c>
      <c r="C33" t="s">
        <v>922</v>
      </c>
      <c r="D33">
        <v>46248</v>
      </c>
      <c r="E33" t="s">
        <v>1101</v>
      </c>
      <c r="F33" t="s">
        <v>1102</v>
      </c>
    </row>
    <row r="34">
      <c r="A34" t="s">
        <v>1103</v>
      </c>
      <c r="B34">
        <f>B31+B33*B32</f>
        <v>0.089341</v>
      </c>
      <c r="C34" t="s">
        <v>288</v>
      </c>
      <c r="D34">
        <v>46247</v>
      </c>
      <c r="E34" t="s">
        <v>1104</v>
      </c>
      <c r="F34" t="s">
        <v>1105</v>
      </c>
    </row>
    <row r="35">
      <c r="A35" t="s">
        <v>1106</v>
      </c>
      <c r="B35">
        <v>0.0371</v>
      </c>
      <c r="C35" t="s">
        <v>288</v>
      </c>
      <c r="D35">
        <v>46247</v>
      </c>
      <c r="E35" t="s">
        <v>1107</v>
      </c>
      <c r="F35" t="s">
        <v>1108</v>
      </c>
    </row>
    <row r="36">
      <c r="A36" t="s">
        <v>1109</v>
      </c>
      <c r="B36" t="s">
        <v>1110</v>
      </c>
      <c r="C36" t="s">
        <v>1111</v>
      </c>
      <c r="D36">
        <v>46022</v>
      </c>
      <c r="E36" t="s">
        <v>1112</v>
      </c>
      <c r="F36" t="s">
        <v>1113</v>
      </c>
    </row>
    <row r="37">
      <c r="A37" t="s">
        <v>1114</v>
      </c>
      <c r="B37">
        <v>0.0203</v>
      </c>
      <c r="C37" t="s">
        <v>288</v>
      </c>
      <c r="D37">
        <v>46022</v>
      </c>
      <c r="E37" t="s">
        <v>1115</v>
      </c>
    </row>
    <row r="38">
      <c r="A38" t="s">
        <v>1116</v>
      </c>
      <c r="B38">
        <f>-IS_Hist!E13/IS_Hist!E12</f>
        <v>0.17651958162737483</v>
      </c>
      <c r="C38" t="s">
        <v>288</v>
      </c>
      <c r="D38">
        <v>46022</v>
      </c>
      <c r="E38" t="s">
        <v>1117</v>
      </c>
      <c r="F38" t="s">
        <v>1118</v>
      </c>
    </row>
    <row r="39">
      <c r="A39" t="s">
        <v>1119</v>
      </c>
      <c r="B39">
        <f>B35*(1-B38)</f>
        <v>0.030551123521624396</v>
      </c>
      <c r="C39" t="s">
        <v>288</v>
      </c>
      <c r="D39">
        <v>46247</v>
      </c>
      <c r="E39" t="s">
        <v>1120</v>
      </c>
    </row>
    <row r="40">
      <c r="A40" t="s">
        <v>1121</v>
      </c>
      <c r="B40">
        <f>B13</f>
        <v>620291.190051</v>
      </c>
      <c r="C40" t="s">
        <v>818</v>
      </c>
      <c r="D40">
        <v>46247</v>
      </c>
      <c r="E40" t="s">
        <v>822</v>
      </c>
    </row>
    <row r="41">
      <c r="A41" t="s">
        <v>1122</v>
      </c>
      <c r="B41">
        <f>B22</f>
        <v>4390.9</v>
      </c>
      <c r="C41" t="s">
        <v>818</v>
      </c>
      <c r="D41">
        <v>46022</v>
      </c>
      <c r="E41" t="s">
        <v>822</v>
      </c>
      <c r="F41" t="s">
        <v>1123</v>
      </c>
    </row>
    <row r="42">
      <c r="A42" t="s">
        <v>1124</v>
      </c>
      <c r="B42">
        <f>B40+B41</f>
        <v>624682.090051</v>
      </c>
      <c r="C42" t="s">
        <v>818</v>
      </c>
      <c r="E42" t="s">
        <v>822</v>
      </c>
    </row>
    <row r="43">
      <c r="A43" t="s">
        <v>1125</v>
      </c>
      <c r="B43">
        <f>B40/B42</f>
        <v>0.9929709846497415</v>
      </c>
      <c r="C43" t="s">
        <v>288</v>
      </c>
      <c r="E43" t="s">
        <v>822</v>
      </c>
      <c r="F43" t="s">
        <v>1126</v>
      </c>
    </row>
    <row r="44">
      <c r="A44" t="s">
        <v>1127</v>
      </c>
      <c r="B44">
        <f>B41/B42</f>
        <v>0.007029015350258433</v>
      </c>
      <c r="C44" t="s">
        <v>288</v>
      </c>
      <c r="E44" t="s">
        <v>822</v>
      </c>
      <c r="F44" t="s">
        <v>1128</v>
      </c>
    </row>
    <row r="45">
      <c r="A45" t="s">
        <v>352</v>
      </c>
      <c r="B45">
        <f>B43*B34+B44*B39</f>
        <v>0.0889277650557937</v>
      </c>
      <c r="C45" t="s">
        <v>288</v>
      </c>
      <c r="D45">
        <v>46247</v>
      </c>
      <c r="E45" t="s">
        <v>1129</v>
      </c>
      <c r="F45" t="s">
        <v>1130</v>
      </c>
    </row>
    <row r="46">
      <c r="A46" t="s">
        <v>1131</v>
      </c>
      <c r="B46" s="34">
        <f>Assumptions!E20</f>
        <v>0.085</v>
      </c>
      <c r="C46" t="s">
        <v>288</v>
      </c>
      <c r="D46">
        <v>46219</v>
      </c>
      <c r="E46" t="s">
        <v>1132</v>
      </c>
      <c r="F46" t="s">
        <v>1133</v>
      </c>
    </row>
    <row r="47">
      <c r="A47" t="s">
        <v>1134</v>
      </c>
      <c r="B47" s="34">
        <f>B45-B46</f>
        <v>0.003927765055793689</v>
      </c>
      <c r="C47" t="s">
        <v>841</v>
      </c>
      <c r="E47" t="s">
        <v>822</v>
      </c>
      <c r="F47" t="s">
        <v>1135</v>
      </c>
    </row>
    <row r="49">
      <c r="A49" t="s">
        <v>1136</v>
      </c>
    </row>
    <row r="50">
      <c r="A50" t="s">
        <v>1137</v>
      </c>
      <c r="B50">
        <f>IS_Hist!E5</f>
        <v>32667.3</v>
      </c>
      <c r="C50" t="s">
        <v>818</v>
      </c>
      <c r="D50">
        <v>46022</v>
      </c>
      <c r="E50" t="s">
        <v>1138</v>
      </c>
      <c r="F50" t="s">
        <v>989</v>
      </c>
    </row>
    <row r="51">
      <c r="A51" t="s">
        <v>1139</v>
      </c>
      <c r="B51">
        <f>IS_Hist!E10</f>
        <v>11301.4</v>
      </c>
      <c r="C51" t="s">
        <v>818</v>
      </c>
      <c r="D51">
        <v>46022</v>
      </c>
      <c r="E51" t="s">
        <v>1140</v>
      </c>
      <c r="F51" t="s">
        <v>989</v>
      </c>
    </row>
    <row r="52">
      <c r="A52" t="s">
        <v>1141</v>
      </c>
      <c r="B52">
        <f>CF_Hist!E7</f>
        <v>1025.9</v>
      </c>
      <c r="C52" t="s">
        <v>818</v>
      </c>
      <c r="D52">
        <v>46022</v>
      </c>
      <c r="E52" t="s">
        <v>1142</v>
      </c>
      <c r="F52" t="s">
        <v>989</v>
      </c>
    </row>
    <row r="53">
      <c r="A53" t="s">
        <v>1143</v>
      </c>
      <c r="B53">
        <f>B51+B52</f>
        <v>12327.3</v>
      </c>
      <c r="C53" t="s">
        <v>818</v>
      </c>
      <c r="D53">
        <v>46022</v>
      </c>
      <c r="E53" t="s">
        <v>1144</v>
      </c>
      <c r="F53" t="s">
        <v>1145</v>
      </c>
    </row>
    <row r="54">
      <c r="A54" t="s">
        <v>1146</v>
      </c>
      <c r="B54">
        <f>IS_Hist!E16</f>
        <v>9609.4</v>
      </c>
      <c r="C54" t="s">
        <v>818</v>
      </c>
      <c r="D54">
        <v>46022</v>
      </c>
      <c r="E54" t="s">
        <v>1147</v>
      </c>
      <c r="F54" t="s">
        <v>989</v>
      </c>
    </row>
    <row r="55">
      <c r="A55" t="s">
        <v>1148</v>
      </c>
      <c r="B55">
        <f>IS_Hist!E18</f>
        <v>24.71</v>
      </c>
      <c r="C55" t="s">
        <v>1038</v>
      </c>
      <c r="D55">
        <v>46022</v>
      </c>
      <c r="E55" t="s">
        <v>1149</v>
      </c>
      <c r="F55" t="s">
        <v>989</v>
      </c>
    </row>
    <row r="56">
      <c r="A56" t="s">
        <v>1150</v>
      </c>
      <c r="B56">
        <f>CF_Hist!E22</f>
        <v>12658.5</v>
      </c>
      <c r="C56" t="s">
        <v>818</v>
      </c>
      <c r="D56">
        <v>46022</v>
      </c>
      <c r="E56" t="s">
        <v>1151</v>
      </c>
      <c r="F56" t="s">
        <v>989</v>
      </c>
    </row>
    <row r="57">
      <c r="A57" t="s">
        <v>1152</v>
      </c>
      <c r="B57">
        <f>-CF_Hist!E24</f>
        <v>1573.6</v>
      </c>
      <c r="C57" t="s">
        <v>818</v>
      </c>
      <c r="D57">
        <v>46022</v>
      </c>
      <c r="E57" t="s">
        <v>1153</v>
      </c>
      <c r="F57" t="s">
        <v>1154</v>
      </c>
    </row>
    <row r="58">
      <c r="A58" t="s">
        <v>1155</v>
      </c>
      <c r="B58">
        <f>B56-B57</f>
        <v>11084.9</v>
      </c>
      <c r="C58" t="s">
        <v>818</v>
      </c>
      <c r="D58">
        <v>46022</v>
      </c>
      <c r="E58" t="s">
        <v>822</v>
      </c>
      <c r="F58" t="s">
        <v>1156</v>
      </c>
    </row>
    <row r="59">
      <c r="A59" t="s">
        <v>1157</v>
      </c>
      <c r="B59">
        <f>B13/B54</f>
        <v>64.55045997159031</v>
      </c>
      <c r="C59" t="s">
        <v>922</v>
      </c>
      <c r="D59">
        <v>46247</v>
      </c>
      <c r="E59" t="s">
        <v>822</v>
      </c>
      <c r="F59" t="s">
        <v>1158</v>
      </c>
    </row>
    <row r="60">
      <c r="A60" t="s">
        <v>1159</v>
      </c>
      <c r="B60">
        <f>B7/B55</f>
        <v>65.13152569809793</v>
      </c>
      <c r="C60" t="s">
        <v>922</v>
      </c>
      <c r="D60">
        <v>46247</v>
      </c>
      <c r="E60" t="s">
        <v>822</v>
      </c>
      <c r="F60" t="s">
        <v>1160</v>
      </c>
    </row>
    <row r="61">
      <c r="A61" t="s">
        <v>1161</v>
      </c>
      <c r="B61">
        <f>B24/B50</f>
        <v>18.714745021810803</v>
      </c>
      <c r="C61" t="s">
        <v>922</v>
      </c>
      <c r="D61">
        <v>46247</v>
      </c>
      <c r="E61" t="s">
        <v>822</v>
      </c>
      <c r="F61" t="s">
        <v>1162</v>
      </c>
    </row>
    <row r="62">
      <c r="A62" t="s">
        <v>1163</v>
      </c>
      <c r="B62">
        <f>B24/B53</f>
        <v>49.59400599084958</v>
      </c>
      <c r="C62" t="s">
        <v>922</v>
      </c>
      <c r="D62">
        <v>46247</v>
      </c>
      <c r="E62" t="s">
        <v>822</v>
      </c>
      <c r="F62" t="s">
        <v>1164</v>
      </c>
    </row>
    <row r="63">
      <c r="A63" t="s">
        <v>1165</v>
      </c>
      <c r="B63">
        <f>B24/B51</f>
        <v>54.09596953041216</v>
      </c>
      <c r="C63" t="s">
        <v>922</v>
      </c>
      <c r="D63">
        <v>46247</v>
      </c>
      <c r="E63" t="s">
        <v>822</v>
      </c>
      <c r="F63" t="s">
        <v>1166</v>
      </c>
    </row>
    <row r="64">
      <c r="A64" t="s">
        <v>1167</v>
      </c>
      <c r="B64">
        <f>B58/B13</f>
        <v>0.017870477894565303</v>
      </c>
      <c r="C64" t="s">
        <v>288</v>
      </c>
      <c r="D64">
        <v>46247</v>
      </c>
      <c r="E64" t="s">
        <v>822</v>
      </c>
      <c r="F64" t="s">
        <v>1168</v>
      </c>
    </row>
    <row r="65">
      <c r="A65" t="s">
        <v>1169</v>
      </c>
      <c r="B65">
        <f>-CF_Hist!E34/B13</f>
        <v>0.004111456104656776</v>
      </c>
      <c r="C65" t="s">
        <v>288</v>
      </c>
      <c r="D65">
        <v>46247</v>
      </c>
      <c r="E65" t="s">
        <v>1170</v>
      </c>
      <c r="F65" t="s">
        <v>1171</v>
      </c>
    </row>
    <row r="66">
      <c r="A66" t="s">
        <v>1172</v>
      </c>
      <c r="B66">
        <f>-CF_Hist!E35/B13</f>
        <v>0.009592269075288325</v>
      </c>
      <c r="C66" t="s">
        <v>288</v>
      </c>
      <c r="D66">
        <v>46247</v>
      </c>
      <c r="E66" t="s">
        <v>1173</v>
      </c>
      <c r="F66" t="s">
        <v>1174</v>
      </c>
    </row>
    <row r="67">
      <c r="A67" t="s">
        <v>1175</v>
      </c>
      <c r="B67">
        <f>B65+B66</f>
        <v>0.0137037251799451</v>
      </c>
      <c r="C67" t="s">
        <v>288</v>
      </c>
      <c r="D67">
        <v>46247</v>
      </c>
      <c r="E67" t="s">
        <v>822</v>
      </c>
      <c r="F67" t="s">
        <v>1176</v>
      </c>
    </row>
    <row r="68">
      <c r="A68" t="s">
        <v>1177</v>
      </c>
      <c r="B68">
        <v>7.5</v>
      </c>
      <c r="C68" t="s">
        <v>1038</v>
      </c>
      <c r="D68">
        <v>46022</v>
      </c>
      <c r="E68" t="s">
        <v>1178</v>
      </c>
      <c r="F68" t="s">
        <v>1179</v>
      </c>
    </row>
    <row r="70">
      <c r="A70" t="s">
        <v>1180</v>
      </c>
    </row>
    <row r="71">
      <c r="A71" t="s">
        <v>1181</v>
      </c>
      <c r="B71" s="35">
        <f>Valuation!B18</f>
        <v>647.6686121386523</v>
      </c>
      <c r="C71" t="s">
        <v>1038</v>
      </c>
      <c r="D71">
        <v>46219</v>
      </c>
      <c r="E71" t="s">
        <v>1182</v>
      </c>
      <c r="F71" t="s">
        <v>1183</v>
      </c>
    </row>
    <row r="72">
      <c r="A72" t="s">
        <v>1184</v>
      </c>
      <c r="B72" s="36">
        <f>Valuation!B21</f>
        <v>743.1349655678896</v>
      </c>
      <c r="C72" t="s">
        <v>1185</v>
      </c>
      <c r="D72">
        <v>46219</v>
      </c>
      <c r="E72" t="s">
        <v>1186</v>
      </c>
      <c r="F72" t="s">
        <v>1187</v>
      </c>
    </row>
    <row r="73">
      <c r="A73" t="s">
        <v>1188</v>
      </c>
      <c r="B73" s="36">
        <f>Assumptions!E24</f>
        <v>1815.27</v>
      </c>
      <c r="C73" t="s">
        <v>1185</v>
      </c>
      <c r="D73">
        <v>46219</v>
      </c>
      <c r="E73" t="s">
        <v>1189</v>
      </c>
      <c r="F73" t="s">
        <v>1190</v>
      </c>
    </row>
    <row r="74">
      <c r="A74" t="s">
        <v>1191</v>
      </c>
      <c r="B74" s="34">
        <f>Valuation!B23</f>
        <v>-0.5906201471032466</v>
      </c>
      <c r="C74" t="s">
        <v>288</v>
      </c>
      <c r="D74">
        <v>46219</v>
      </c>
      <c r="E74" t="s">
        <v>1192</v>
      </c>
      <c r="F74" t="s">
        <v>1193</v>
      </c>
    </row>
    <row r="75">
      <c r="A75" t="s">
        <v>1194</v>
      </c>
      <c r="B75" s="35">
        <f>Valuation!B16/IS_Hist!E16</f>
        <v>26.211659756147302</v>
      </c>
      <c r="C75" t="s">
        <v>922</v>
      </c>
      <c r="D75">
        <v>46219</v>
      </c>
      <c r="E75" t="s">
        <v>822</v>
      </c>
      <c r="F75" t="s">
        <v>1195</v>
      </c>
    </row>
    <row r="76">
      <c r="A76" t="s">
        <v>1196</v>
      </c>
      <c r="B76" s="35">
        <f>Valuation!B13/B53</f>
        <v>19.604562496306723</v>
      </c>
      <c r="C76" t="s">
        <v>922</v>
      </c>
      <c r="D76">
        <v>46219</v>
      </c>
      <c r="E76" t="s">
        <v>822</v>
      </c>
      <c r="F76" t="s">
        <v>1197</v>
      </c>
    </row>
    <row r="78">
      <c r="A78" t="s">
        <v>1198</v>
      </c>
    </row>
    <row r="79">
      <c r="A79" t="s">
        <v>1199</v>
      </c>
      <c r="B79">
        <v>8</v>
      </c>
      <c r="C79" t="s">
        <v>1200</v>
      </c>
      <c r="E79" t="s">
        <v>1201</v>
      </c>
      <c r="F79" t="s">
        <v>1202</v>
      </c>
    </row>
    <row r="80">
      <c r="A80" t="s">
        <v>1203</v>
      </c>
      <c r="B80">
        <f>IF(LEN(E7)=0,1,0)+IF(LEN(E8)=0,1,0)+IF(LEN(E9)=0,1,0)+IF(LEN(E11)=0,1,0)+IF(LEN(E31)=0,1,0)+IF(LEN(E32)=0,1,0)+IF(LEN(E33)=0,1,0)+IF(LEN(E35)=0,1,0)</f>
        <v>0</v>
      </c>
      <c r="C80" t="s">
        <v>1200</v>
      </c>
      <c r="E80" t="s">
        <v>822</v>
      </c>
      <c r="F80" t="s">
        <v>829</v>
      </c>
    </row>
    <row r="81">
      <c r="A81" t="s">
        <v>1204</v>
      </c>
      <c r="B81">
        <f>IF(OR(LEN(D7)=0,NOT(ISNUMBER(D7))),1,0)+IF(OR(LEN(D8)=0,NOT(ISNUMBER(D8))),1,0)+IF(OR(LEN(D9)=0,NOT(ISNUMBER(D9))),1,0)+IF(OR(LEN(D11)=0,NOT(ISNUMBER(D11))),1,0)+IF(OR(LEN(D31)=0,NOT(ISNUMBER(D31))),1,0)+IF(OR(LEN(D32)=0,NOT(ISNUMBER(D32))),1,0)+IF(OR(LEN(D33)=0,NOT(ISNUMBER(D33))),1,0)+IF(OR(LEN(D35)=0,NOT(ISNUMBER(D35))),1,0)</f>
        <v>0</v>
      </c>
      <c r="C81" t="s">
        <v>1200</v>
      </c>
      <c r="E81" t="s">
        <v>822</v>
      </c>
      <c r="F81" t="s">
        <v>1205</v>
      </c>
    </row>
    <row r="82">
      <c r="A82" t="s">
        <v>1206</v>
      </c>
      <c r="B82">
        <f>IF(D7&lt;MAX(D7,D8,D9,D31)-5,1,0)+IF(D8&lt;MAX(D7,D8,D9,D31)-5,1,0)+IF(D9&lt;MAX(D7,D8,D9,D31)-5,1,0)+IF(D31&lt;MAX(D7,D8,D9,D31)-5,1,0)+IF(MAX(D7,D8,D9,D31,D33)&lt;TODAY()-10,1,0)</f>
        <v>1</v>
      </c>
      <c r="C82" t="s">
        <v>1200</v>
      </c>
      <c r="E82" t="s">
        <v>822</v>
      </c>
      <c r="F82" t="s">
        <v>1207</v>
      </c>
    </row>
    <row r="83">
      <c r="A83" t="s">
        <v>1208</v>
      </c>
      <c r="B83" t="str">
        <f>IF(AND(B80=0,B81=0,B82=0),"PASS","FAIL")</f>
        <v>FAIL</v>
      </c>
      <c r="C83" t="s">
        <v>1209</v>
      </c>
      <c r="E83" t="s">
        <v>822</v>
      </c>
    </row>
    <row r="85">
      <c r="A85" t="s">
        <v>1210</v>
      </c>
    </row>
    <row r="86">
      <c r="A86" t="s">
        <v>1211</v>
      </c>
    </row>
    <row r="87">
      <c r="A87" t="s">
        <v>1212</v>
      </c>
    </row>
    <row r="88">
      <c r="A88" t="s">
        <v>1213</v>
      </c>
    </row>
    <row r="89">
      <c r="A89" t="s">
        <v>1214</v>
      </c>
    </row>
    <row r="90">
      <c r="A90" t="s">
        <v>1215</v>
      </c>
    </row>
    <row r="91">
      <c r="A91" t="s">
        <v>1216</v>
      </c>
    </row>
    <row r="92">
      <c r="A92" t="s">
        <v>1217</v>
      </c>
    </row>
    <row r="93">
      <c r="A93" t="s">
        <v>1218</v>
      </c>
    </row>
    <row r="94">
      <c r="A94" t="s">
        <v>1219</v>
      </c>
    </row>
    <row r="95">
      <c r="A95" t="s">
        <v>1220</v>
      </c>
    </row>
    <row r="96">
      <c r="A96" t="s">
        <v>1221</v>
      </c>
    </row>
    <row r="98">
      <c r="A98" t="s">
        <v>1222</v>
      </c>
    </row>
    <row r="99">
      <c r="A99" t="s">
        <v>1223</v>
      </c>
      <c r="B99">
        <v>12916</v>
      </c>
      <c r="C99" t="s">
        <v>818</v>
      </c>
      <c r="D99">
        <v>46022</v>
      </c>
      <c r="E99" t="s">
        <v>1224</v>
      </c>
      <c r="F99" t="s">
        <v>1225</v>
      </c>
    </row>
    <row r="100">
      <c r="A100" t="s">
        <v>1226</v>
      </c>
      <c r="B100">
        <v>405.9</v>
      </c>
      <c r="C100" t="s">
        <v>818</v>
      </c>
      <c r="D100">
        <v>46022</v>
      </c>
      <c r="E100" t="s">
        <v>1227</v>
      </c>
      <c r="F100" t="s">
        <v>1225</v>
      </c>
    </row>
    <row r="101">
      <c r="A101" t="s">
        <v>1228</v>
      </c>
      <c r="B101">
        <v>990.2</v>
      </c>
      <c r="C101" t="s">
        <v>818</v>
      </c>
      <c r="D101">
        <v>46022</v>
      </c>
      <c r="E101" t="s">
        <v>1229</v>
      </c>
      <c r="F101" t="s">
        <v>1230</v>
      </c>
    </row>
    <row r="102">
      <c r="A102" t="s">
        <v>1231</v>
      </c>
      <c r="B102">
        <v>2709</v>
      </c>
      <c r="C102" t="s">
        <v>818</v>
      </c>
      <c r="D102">
        <v>46022</v>
      </c>
      <c r="E102" t="s">
        <v>1229</v>
      </c>
      <c r="F102" t="s">
        <v>1230</v>
      </c>
    </row>
    <row r="103">
      <c r="A103" t="s">
        <v>1232</v>
      </c>
      <c r="B103">
        <v>691.7</v>
      </c>
      <c r="C103" t="s">
        <v>818</v>
      </c>
      <c r="D103">
        <v>46022</v>
      </c>
      <c r="E103" t="s">
        <v>1229</v>
      </c>
      <c r="F103" t="s">
        <v>1230</v>
      </c>
    </row>
    <row r="104">
      <c r="A104" t="s">
        <v>1233</v>
      </c>
      <c r="B104">
        <v>12735.9</v>
      </c>
      <c r="C104" t="s">
        <v>818</v>
      </c>
      <c r="D104">
        <v>45657</v>
      </c>
      <c r="E104" t="s">
        <v>1234</v>
      </c>
      <c r="F104" t="s">
        <v>1235</v>
      </c>
    </row>
    <row r="105">
      <c r="A105" t="s">
        <v>1236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38" t="s">
        <v>1237</v>
      </c>
      <c r="B1" s="38" t="s">
        <v>486</v>
      </c>
      <c r="C1" s="38" t="s">
        <v>1238</v>
      </c>
      <c r="D1" s="38" t="s">
        <v>1239</v>
      </c>
      <c r="E1" s="38" t="s">
        <v>1240</v>
      </c>
      <c r="F1" s="38" t="s">
        <v>1241</v>
      </c>
    </row>
    <row r="2">
      <c r="A2" s="37">
        <v>1</v>
      </c>
      <c r="B2" s="39">
        <v>46324.359322523145</v>
      </c>
      <c r="C2" s="37" t="s">
        <v>1242</v>
      </c>
      <c r="D2" s="37" t="s">
        <v>1243</v>
      </c>
      <c r="E2" s="37" t="s">
        <v>1244</v>
      </c>
      <c r="F2" s="37" t="s">
        <v>1245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