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Notas_EEFF" sheetId="2" r:id="rId5"/>
    <sheet name="Supuestos" sheetId="3" r:id="rId6"/>
    <sheet name="ModeloFinanciero" sheetId="4" r:id="rId7"/>
    <sheet name="_CHECKS" sheetId="5" r:id="rId8"/>
    <sheet name="Source_Register" sheetId="6" r:id="rId9"/>
    <sheet name="_CHANGELOG" sheetId="7" r:id="rId10"/>
    <sheet name="MD&amp;A" sheetId="8" r:id="rId11"/>
    <sheet name="Claude Code Log" sheetId="9" r:id="rId12"/>
  </sheets>
  <calcPr calcId="0"/>
</workbook>
</file>

<file path=xl/sharedStrings.xml><?xml version="1.0" encoding="utf-8"?>
<sst xmlns="http://schemas.openxmlformats.org/spreadsheetml/2006/main" count="2296" uniqueCount="517">
  <si>
    <t>Grupo Melo, S.A. y Subsidiarias</t>
  </si>
  <si>
    <t>Estados Financieros Consolidados Auditados FY21-FY25</t>
  </si>
  <si>
    <t>en B/. sin escala</t>
  </si>
  <si>
    <t>Años</t>
  </si>
  <si>
    <t>FY21A</t>
  </si>
  <si>
    <t>FY22A</t>
  </si>
  <si>
    <t>FY23A</t>
  </si>
  <si>
    <t>FY24A</t>
  </si>
  <si>
    <t>FY25A</t>
  </si>
  <si>
    <t>FY26E</t>
  </si>
  <si>
    <t>FY27E</t>
  </si>
  <si>
    <t>FY28E</t>
  </si>
  <si>
    <t>FY29E</t>
  </si>
  <si>
    <t>FY30E</t>
  </si>
  <si>
    <t>Estado Consolidado de Resultados y Otros Resultados Integrales</t>
  </si>
  <si>
    <t>Ingresos de actividades ordinarias</t>
  </si>
  <si>
    <t>Otros ingresos</t>
  </si>
  <si>
    <t>Cambios en el inventario de mercancía, productos terminados, en proceso y otros</t>
  </si>
  <si>
    <t>Consumo de materia prima y materiales usados</t>
  </si>
  <si>
    <t>Gastos de personal</t>
  </si>
  <si>
    <t>Depreciación y amortización</t>
  </si>
  <si>
    <t>Depreciación activos derecho de uso</t>
  </si>
  <si>
    <t>Pérdida crediticia esperada</t>
  </si>
  <si>
    <t>Otros gastos</t>
  </si>
  <si>
    <t>Ganancia operativa</t>
  </si>
  <si>
    <t>Intereses y dividendos ganados</t>
  </si>
  <si>
    <t>Gastos de intereses pasivos por arrendamiento</t>
  </si>
  <si>
    <t>Gasto de intereses</t>
  </si>
  <si>
    <t>Costos financieros, neto</t>
  </si>
  <si>
    <t>Participación en resultados de asociadas</t>
  </si>
  <si>
    <t>Utilidad antes del impuesto sobre la renta</t>
  </si>
  <si>
    <t>Impuesto sobre la renta</t>
  </si>
  <si>
    <t>Utilidad neta</t>
  </si>
  <si>
    <t>Reserva para conversión de moneda extranjera</t>
  </si>
  <si>
    <t>Total de otros resultados integrales</t>
  </si>
  <si>
    <t>Total de resultados integrales</t>
  </si>
  <si>
    <t>Estado Consolidado de Situación Financiera</t>
  </si>
  <si>
    <t>Efectivo y equivalentes de efectivo</t>
  </si>
  <si>
    <t>Documentos y cuentas por cobrar, neto</t>
  </si>
  <si>
    <t>Inventarios</t>
  </si>
  <si>
    <t>Inventario de materiales, piezas y repuestos</t>
  </si>
  <si>
    <t>Lotes disponibles para la venta</t>
  </si>
  <si>
    <t>Activos biológicos</t>
  </si>
  <si>
    <t>Adelantos para compras de inventarios y granos</t>
  </si>
  <si>
    <t>Gastos pagados por adelantado</t>
  </si>
  <si>
    <t>Impuesto sobre la renta pagado por adelantado</t>
  </si>
  <si>
    <t>Otros activos</t>
  </si>
  <si>
    <t>Total de activos corrientes</t>
  </si>
  <si>
    <t>Efectivo y equivalentes de efectivo (no corriente)</t>
  </si>
  <si>
    <t>Documentos por cobrar, neto</t>
  </si>
  <si>
    <t>Inventario de materiales, piezas y repuestos (no corriente)</t>
  </si>
  <si>
    <t>Inmuebles, mobiliarios, equipos y mejoras, neto</t>
  </si>
  <si>
    <t>Activo Intangible, neto</t>
  </si>
  <si>
    <t>Equipo para arrendamiento, neto</t>
  </si>
  <si>
    <t>Activos por derecho de uso</t>
  </si>
  <si>
    <t>Propiedades de inversión</t>
  </si>
  <si>
    <t>Otras inversiones</t>
  </si>
  <si>
    <t>Inversión en asociadas</t>
  </si>
  <si>
    <t>Activos biológicos (no corriente)</t>
  </si>
  <si>
    <t>Fondo de cesantía</t>
  </si>
  <si>
    <t>Impuesto sobre la renta diferido</t>
  </si>
  <si>
    <t>Otros activos (no corriente)</t>
  </si>
  <si>
    <t>Total de activos no corrientes</t>
  </si>
  <si>
    <t>Total de activos</t>
  </si>
  <si>
    <t>Préstamos por pagar</t>
  </si>
  <si>
    <t>Valores comerciales negociables</t>
  </si>
  <si>
    <t>Pasivos por arrendamiento</t>
  </si>
  <si>
    <t>Cuentas por pagar proveedores</t>
  </si>
  <si>
    <t>Adelantos recibidos de clientes</t>
  </si>
  <si>
    <t>Cuentas por pagar compañías relacionadas</t>
  </si>
  <si>
    <t>Impuesto sobre la renta por pagar</t>
  </si>
  <si>
    <t>Gastos acumulados y otros pasivos</t>
  </si>
  <si>
    <t>Total de pasivos corrientes</t>
  </si>
  <si>
    <t>Préstamos por pagar (no corriente)</t>
  </si>
  <si>
    <t>Bonos por pagar</t>
  </si>
  <si>
    <t>Pasivos por arrendamiento (no corriente)</t>
  </si>
  <si>
    <t>Provisión para prima de antigüedad</t>
  </si>
  <si>
    <t>Total de pasivos no corrientes</t>
  </si>
  <si>
    <t>Total de pasivos</t>
  </si>
  <si>
    <t>Capital emitido: acciones comunes, sin valor nominal</t>
  </si>
  <si>
    <t>Utilidades no distribuidas</t>
  </si>
  <si>
    <t>Otros resultados integrales</t>
  </si>
  <si>
    <t>Total de patrimonio atribuible a los propietarios</t>
  </si>
  <si>
    <t>Participación no controladora</t>
  </si>
  <si>
    <t>Total de patrimonio</t>
  </si>
  <si>
    <t>Total de pasivos y patrimonio</t>
  </si>
  <si>
    <t>Estado Consolidado de Flujos de Efectivo</t>
  </si>
  <si>
    <t>Participación en resultado de asociadas</t>
  </si>
  <si>
    <t>Depreciación y amortización de propiedad, equipo y mejoras</t>
  </si>
  <si>
    <t>Amortización de activo intangible</t>
  </si>
  <si>
    <t>Depreciación de equipo para arrendamiento</t>
  </si>
  <si>
    <t>Depreciación de derecho de uso</t>
  </si>
  <si>
    <t>Pérdida en venta de activo fijo</t>
  </si>
  <si>
    <t>Ganancia por cancelación o acuerdos en derecho de uso</t>
  </si>
  <si>
    <t>Pérdida en disposición de propiedad de inversión</t>
  </si>
  <si>
    <t>Ganancia en venta de valores</t>
  </si>
  <si>
    <t>Documentos y cuentas por cobrar</t>
  </si>
  <si>
    <t>Adelanto a compra de inventarios y granos</t>
  </si>
  <si>
    <t>Cuentas por pagar proveedores y compañías relacionadas</t>
  </si>
  <si>
    <t>Flujos netos procedentes en las actividades de operación</t>
  </si>
  <si>
    <t>Prima de antigüedad pagada</t>
  </si>
  <si>
    <t>Intereses pagados</t>
  </si>
  <si>
    <t>Impuestos sobre la renta pagado</t>
  </si>
  <si>
    <t>Efectivo neto provisto por las actividades de operación</t>
  </si>
  <si>
    <t>Intereses y dividendos recibidos</t>
  </si>
  <si>
    <t>Aportes al fondo de cesantía</t>
  </si>
  <si>
    <t>Adquisición de propiedades, equipos y mejoras</t>
  </si>
  <si>
    <t>Producto de la venta de propiedades, equipos y mejoras</t>
  </si>
  <si>
    <t>Adquisición de equipo de arrendamiento</t>
  </si>
  <si>
    <t>Adquisición de activos intangibles</t>
  </si>
  <si>
    <t>Producto de la disposición de propiedades de inversión</t>
  </si>
  <si>
    <t>Dividendos recibidos de inversión en asociadas</t>
  </si>
  <si>
    <t>Costos incurridos en activo biológico - plantación forestal</t>
  </si>
  <si>
    <t>Producto de la venta de subsidiaria</t>
  </si>
  <si>
    <t>Plazo fijo</t>
  </si>
  <si>
    <t>Mejoras a propiedades de inversión</t>
  </si>
  <si>
    <t>Efectivo neto usado en las actividades de inversión</t>
  </si>
  <si>
    <t>Pagos de préstamos generadores de interés y deuda</t>
  </si>
  <si>
    <t>Productos de préstamos generadores de interés y deuda</t>
  </si>
  <si>
    <t>Emisión de valores comerciales negociables</t>
  </si>
  <si>
    <t>Pagos de valores comerciales negociables</t>
  </si>
  <si>
    <t>Pagos de arrendamientos</t>
  </si>
  <si>
    <t>Emisión de bonos</t>
  </si>
  <si>
    <t>Pago de bonos</t>
  </si>
  <si>
    <t>Producto de prima en emisión de bonos</t>
  </si>
  <si>
    <t>Adquisición de acciones propias</t>
  </si>
  <si>
    <t>Dividendos pagados a participación no controlada</t>
  </si>
  <si>
    <t>Dividendos pagados</t>
  </si>
  <si>
    <t>Efectivo neto usado en las actividades de financiamiento</t>
  </si>
  <si>
    <t>Aumento (disminución) neto en efectivo</t>
  </si>
  <si>
    <t>Efectivo al inicio del año</t>
  </si>
  <si>
    <t>Efecto de las variaciones en las tasas de cambio sobre el efectivo mantenido</t>
  </si>
  <si>
    <t>Efectivo neto al final del año</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</si>
  <si>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</si>
  <si>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</si>
  <si>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</si>
  <si>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</si>
  <si>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</si>
  <si>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</si>
  <si>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</si>
  <si>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</si>
  <si>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</si>
  <si>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</si>
  <si>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</si>
  <si>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</si>
  <si>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</si>
  <si>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</si>
  <si>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</si>
  <si>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</si>
  <si>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</si>
  <si>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</si>
  <si>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</si>
  <si>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</si>
  <si>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</si>
  <si>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</si>
  <si>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2022</t>
  </si>
  <si>
    <t>INA_GRMELO_2022_0.pdf</t>
  </si>
  <si>
    <t>page-34</t>
  </si>
  <si>
    <t>markdown.md</t>
  </si>
  <si>
    <t>1</t>
  </si>
  <si>
    <t>1. Información general</t>
  </si>
  <si>
    <t>Otros</t>
  </si>
  <si>
    <t>Empresas Melo, S.A., (en adelante, el "Fideicomitente Emisor") y MMG Bank Corporation como Agente Fiduciario (FIDBI-006), constituyeron el Fideicomiso de Garantía mediante Escritura Pública No.19,704 del 17 de diciembre de 2009, de la Notaría Cuarta del Circuito de Panamá.</t>
  </si>
  <si>
    <t>OK</t>
  </si>
  <si>
    <t>El objetivo general del Fideicomiso es garantizar con los bienes que mantienen, el cumplimiento de las obligaciones adquiridas por parte del Fideicomitente. Las obligaciones por parte del Fideicomitente son derivadas de: a) la emisión de bonos corporativos rotativos de hasta B/.50,000.000, cuyo registro y oferta pública fue autorizada por la Superintendencia de Mercado de Valores de Panamá mediante Resolución CNV No.358-09 de 20 de noviembre de 2009, modificada mediante Resolución SMV-552-14 del 13 de noviembre de 2014.</t>
  </si>
  <si>
    <t>B/.</t>
  </si>
  <si>
    <t>El Fiduciario es MMG Bank Corporation ("Agente Fiduciario") es una sociedad anónima organizada y de conformidad con las leyes de la República de Panamá, autorizada para ejercer el negocio Fiduciario en o desde la República de Panamá mediante Resolución Fiduciaria No.SBP-FID.0009-2013 de 14 de junio de 2013.</t>
  </si>
  <si>
    <t>El negocio de Fideicomiso en Panamá está regulado mediante la ley No.1 del 5 de enero de 1984, y la Ley No.21 del 10 de mayo de 2017, así como resoluciones y acuerdos de la Superintendencia de Bancos de Panamá.</t>
  </si>
  <si>
    <t>Los bienes del Fideicomiso de garantía están compuestos por:</t>
  </si>
  <si>
    <t>- Los derechos reales derivados de la Primera Hipoteca y Anticresis que se constituye a favor del Fiduciario, sobre ciertos bienes inmuebles propiedad del Fideicomitente y/o el Garante Hipotecario y cuyo valor de mercado, según avalúo por un evaluador aceptable al Fiduciario deberá cubrir al menos un 120% del saldo insoluto a capital de los Bonos emitidos y en circulación (Ver Nota No.4).</t>
  </si>
  <si>
    <t>- Cesión de las pólizas de seguro contra incendios de las fincas hipotecadas a favor del Fiduciario.</t>
  </si>
  <si>
    <t>El total del Patrimonio del Fideicomiso es de B/.66,200,381 (2021: B/.67,125,350) de los cuales la suma de B/.66,200,381 (2021: B/.67,125,350) están conformados por el derecho real de hipoteca a favor del Fiduciario detallados en la Nota No.4.</t>
  </si>
  <si>
    <t>Al 31 de diciembre de 2022, la Cobertura de Garantía representa el 195%, la cual resulta de dividir el valor de mercado de los bienes inmuebles hipotecados entre el saldo insoluto a capital de los Bonos emitidos y en circulación.</t>
  </si>
  <si>
    <t>El Fideicomiso estará vigente hasta la fecha en que todas las obligaciones garantizadas se extingan.</t>
  </si>
  <si>
    <t>La oficina principal de la Fiduciaria está localizada en Costa del Este, Avenida Paseo del Mar, Edificio MMG Tower, Piso 22, Ciudad de Panamá República de Panamá.</t>
  </si>
  <si>
    <t>page-35</t>
  </si>
  <si>
    <t>Notas a los Estados Financieros Por el año terminado el 31 de diciembre de 2022 (Cifras en balboas)</t>
  </si>
  <si>
    <t>2</t>
  </si>
  <si>
    <t>2. Bases para la preparación de los estados financieros</t>
  </si>
  <si>
    <t>### 2.1. Base de medición</t>
  </si>
  <si>
    <t>Los estados financieros del Fideicomiso de Garantía Empresas Melo S.A. (FIDBI-006) (MMG Bank Corporation como Agente Fiduciario al 31 de diciembre de 2022, fueron preparados sobre la base de costo o costo amortizado.</t>
  </si>
  <si>
    <t>### 2.2. Moneda funcional y de presentación</t>
  </si>
  <si>
    <t>Los estados financieros están expresados en balboas (B/.), que es la moneda funcional del Fideicomiso y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t>
  </si>
  <si>
    <t>3</t>
  </si>
  <si>
    <t>3. Resumen de las principales políticas contables</t>
  </si>
  <si>
    <t>Políticas contables</t>
  </si>
  <si>
    <t>### 3.1. Estimaciones y juicios realizados</t>
  </si>
  <si>
    <t>La preparación de los estados financieros del Fideicomiso requiere que se realicen estimaciones y juicios contables que son evaluados de manera continua y se basan en experiencia pasadas y ciertos factores aplicables al sector, mismos que son razonables bajo las circunstancias actuales y las expectativas de sucesos futuros.</t>
  </si>
  <si>
    <t>Al 31 de diciembre de 2022, el Fideicomiso no ha requerido estimaciones contables significativas.</t>
  </si>
  <si>
    <t>### 3.2. Derecho real de hipoteca</t>
  </si>
  <si>
    <t>El derecho real de hipoteca sobre bienes inmuebles se reconoce como activos dentro del estado de situación financiera de acuerdo con las políticas contables de la Fiduciaria, por el monto o valor de mercado de las hipotecas constituidas a favor del Fiduciario según indica en la Escritura Pública donde consta la primera hipoteca y anticresis.</t>
  </si>
  <si>
    <t>### 3.3. Aportes al Fideicomiso</t>
  </si>
  <si>
    <t>Todos los derechos cedidos, los cuales incluyen depósito en banco, derecho real de hipoteca y los contratos de servicios conexos, son reconocidos como aportes al patrimonio del Fideicomiso conforme se reciben.</t>
  </si>
  <si>
    <t>page-36</t>
  </si>
  <si>
    <t>### 3.4. Retiros de aportes al Fideicomiso</t>
  </si>
  <si>
    <t>Corresponden a desembolsos o retiros de derecho real de hipoteca que debe efectuar la administradora del Fideicomiso de conformidad y en cumplimiento con el Contrato de Fideicomiso, los cuales se reconocen como retiros al Patrimonio del Fideicomiso.</t>
  </si>
  <si>
    <t>4</t>
  </si>
  <si>
    <t>4. Derecho real de hipoteca</t>
  </si>
  <si>
    <t>Los derechos hipotecarios y anticréticos corresponden a la primera hipoteca constituida a favor del Fiduciario MMG Bank Corporation, sobre bienes inmuebles del Fideicomitente y/o del Garante Hipotecario Inmobiliaria los Libertadores, S.A., por un valor de B/.61,077,310.</t>
  </si>
  <si>
    <t>Los bienes inmuebles en garantía tienen un valor de mercado de B/.66,200,381 (2021: B/.67,125,350) según informe del Avaluador Panamericana de Avalúos, S.A. de fecha 30 de diciembre 2022, (2021: según informe del Avaluador Panamericana de Avalúos, S.A. de fecha diciembre 2021).</t>
  </si>
  <si>
    <t>tbl-28.html</t>
  </si>
  <si>
    <t>[tbl-28.html](tbl-28.html)</t>
  </si>
  <si>
    <t>5</t>
  </si>
  <si>
    <t>5. Impuesto sobre la renta</t>
  </si>
  <si>
    <t>Impuestos</t>
  </si>
  <si>
    <t>- El Decreto Ejecutivo No.170 del 27 de octubre de 1993, establece en el artículo 81 que se consideran contribuyentes el Fideicomiso constituido conforme a la Ley que generan rentas gravables. El Fideicomiso constituido de acuerdo con la Ley No.1 del 5 de enero de 1984, se considera contribuyente al Fiduciario, quien determinará el impuesto de acuerdo con las reglas generales aplicables a las personas jurídicas o naturales según sea su naturaleza.</t>
  </si>
  <si>
    <t>- De acuerdo con la legislación fiscal vigente, la renta proveniente de los intereses ganados sobre depósitos en bancos locales, están exentos del pago del impuesto sobre la renta.</t>
  </si>
  <si>
    <t>- Al 31 de diciembre de 2022, el Fideicomiso no generó renta gravable.</t>
  </si>
  <si>
    <t>page-37</t>
  </si>
  <si>
    <t>2023</t>
  </si>
  <si>
    <t>INA_GRMELO_2023_0.pdf</t>
  </si>
  <si>
    <t>El objetivo general del Fideicomiso es garantizar con los bienes que mantienen, el cumplimiento de las obligaciones adquiridas por parte del Fideicomitente. Las obligaciones por parte del Fideicomitente son derivadas de: a) la emisión de bonos corporativos rotativos de hasta B/.50,000.000, cuyo registro y oferta pública fue autorizada por la Superintendencia de Mercado de Valores de Panamá mediante Resolución CNV No.358-09 de 20 de noviembre de 2009.</t>
  </si>
  <si>
    <t>El total del Patrimonio del Fideicomiso es de B/.57,200,381 (2022: B/.66,200,381) de los cuales la suma de B/.57,200,381 (2022: B/.66,200,381) están conformados por el derecho real de hipoteca a favor del Fiduciario detallados en la Nota No.4.</t>
  </si>
  <si>
    <t>Al 31 de diciembre de 2023, la Cobertura de Garantía representa el 168% (2022: 195%), la cual resulta de dividir el valor de mercado de los bienes inmuebles hipotecados entre el saldo insoluto a capital de los Bonos emitidos y en circulación.</t>
  </si>
  <si>
    <t>Los estados financieros del Fideicomiso de Garantía Empresas Melo S.A. (FIDBI-006) (MMG Bank Corporation como Agente Fiduciario al 31 de diciembre de 2023, fueron preparados sobre la base de costo o costo amortizado.</t>
  </si>
  <si>
    <t>Al 31 de diciembre de 2023 y 2022, el Fideicomiso no ha requerido estimaciones contables significativas.</t>
  </si>
  <si>
    <t>## 3.4. Retiros de aportes al Fideicomiso</t>
  </si>
  <si>
    <t>Mediante Escritura Pública No.2,620 de 15 de marzo de 2023, el Fiduciario otorga consentimiento para cancelar parcialmente gravámenes hipotecarios y anticréticos que pesaban sobre 8 fincas de propiedad de Empresas Melo.</t>
  </si>
  <si>
    <t>Los bienes inmuebles en garantía tienen un valor de mercado de B/.57,200,381 (2022: B/.66,200,381) según informe del Avaluador Panamericana de Avalúos, S.A. de fecha 28 de septiembre 2023 (2022: según informe del Avaluador Panamericana de Avalúos, S.A. de fecha 30 de diciembre 2022).</t>
  </si>
  <si>
    <t>tbl-20.html</t>
  </si>
  <si>
    <t>[tbl-20.html](tbl-20.html)</t>
  </si>
  <si>
    <t>- Al 31 de diciembre de 2023 y 2022, el Fideicomiso no generó renta gravable.</t>
  </si>
  <si>
    <t>page-38</t>
  </si>
  <si>
    <t>Notas a los Estados Financieros Por el año terminado el 31 de diciembre de 2023 (Cifras en balboas)</t>
  </si>
  <si>
    <t>2024</t>
  </si>
  <si>
    <t>INA_GRMELO_2024_0.pdf</t>
  </si>
  <si>
    <t>page-32</t>
  </si>
  <si>
    <t>El total del Patrimonio del Fideicomiso es de B/.66,274,750 (2023: B/.57,200,381) de los cuales la suma de B/.66,274,750 (2023: B/.57,200,381) están conformados por el derecho real de hipoteca a favor del Fiduciario detallados en la Nota No.4.</t>
  </si>
  <si>
    <t>Al 31 de diciembre de 2024, la Cobertura de Garantía representa el 195% (2023: 168%), la cual resulta de dividir el valor de mercado de los bienes inmuebles hipotecados entre el saldo insoluto a capital de los Bonos emitidos y en circulación.</t>
  </si>
  <si>
    <t>page-33</t>
  </si>
  <si>
    <t>Los estados financieros del Fideicomiso de Garantía Empresas Melo S.A. (FIDBI-006) (MMG Bank Corporation como Agente Fiduciario al 31 de diciembre de 2024, fueron preparados sobre la base de costo o costo amortizado.</t>
  </si>
  <si>
    <t>Al 31 de diciembre de 2024 y 2023, el Fideicomiso no ha requerido estimaciones contables significativas.</t>
  </si>
  <si>
    <t>Los bienes inmuebles en garantía tienen un valor de mercado de B/.66,274,750 (2023: B/.57,200,381) según informe del Avaluador Panamericana de Avalúos, S.A., de fecha de diciembre 2024 (2023: según informe del Avaluador Panamericana de Avalúos, S.A. de fecha 28 de septiembre 2023).</t>
  </si>
  <si>
    <t>tbl-27.html</t>
  </si>
  <si>
    <t>[tbl-27.html](tbl-27.html)</t>
  </si>
  <si>
    <t>- El Decreto Ejecutivo No.170 del 27 de octubre de 1993, establece en el artículo 81 que se consideran contribuyentes el Fideicomiso constituido conforme a la Ley que generan rentas gravables. El Fideicomiso constituido de acuerdo con la Ley No.1 del 5 de enero de 1984, se considera contribuyente al Fiduciario, quien determinará el impuesto de acuerdo con las reglas generales aplicables a las personas jurídicas o naturales según sea su naturaleza. - De acuerdo con la legislación fiscal vigente, la renta proveniente de los intereses ganados sobre depósitos en bancos locales, están exentos del pago del impuesto sobre la renta. - Al 31 de diciembre de 2024 y 2023, el Fideicomiso no generó renta gravable.</t>
  </si>
  <si>
    <t>Notas a los Estados Financieros Por el año terminado el 31 de diciembre de 2024 (Cifras en balboas)</t>
  </si>
  <si>
    <t>2025</t>
  </si>
  <si>
    <t>INA_GRMELO_2025_0.pdf</t>
  </si>
  <si>
    <t>page-43</t>
  </si>
  <si>
    <t>El objetivo general del Fideicomiso es garantizar con los bienes que mantienen, el cumplimiento de las obligaciones adquiridas por parte del Fideicomitente. Las obligaciones por parte del Fideicomitente son derivadas de la emisión de bonos corporativos rotativos de hasta B/.50,000.000, cuyo registro y oferta pública fue autorizada por la Superintendencia de Mercado de Valores de Panamá mediante Resolución CNV No.358-09 de 20 de noviembre de 2009.</t>
  </si>
  <si>
    <t>El total del Patrimonio del Fideicomiso es de B/.66,274,750 (2024: B/.66,274,750) de los cuales la suma de B/.66,274,750 (2024: B/.66,274,750) están conformados por el derecho real de hipoteca a favor del Fiduciario detallados en la Nota No.4.</t>
  </si>
  <si>
    <t>Al 31 de diciembre de 2025, la Cobertura de Garantía representa el 195% (2024: 195%), la cual resulta de dividir el valor de mercado de los bienes inmuebles hipotecados entre el saldo insoluto a capital de los Bonos emitidos y en circulación.</t>
  </si>
  <si>
    <t>La oficina principal de la Fiduciaria está localizada en Costa del Este, Avenida Paseo del Mar, PH MMG Tower, Piso 22, Ciudad de Panamá República de Panamá.</t>
  </si>
  <si>
    <t>page-44</t>
  </si>
  <si>
    <t>Los estados financieros del Fideicomiso MMG BANK CORPORATION FIDBI-006 (MMG Bank Corporation como Agente Fiduciario), fueron preparados sobre la base de costo o costo amortizado.</t>
  </si>
  <si>
    <t>Al 31 de diciembre de 2025 y 2024, el Fideicomiso no ha requerido estimaciones contables significativas.</t>
  </si>
  <si>
    <t>page-45</t>
  </si>
  <si>
    <t>## 3.4. Retiros al Fideicomiso</t>
  </si>
  <si>
    <t>Los derechos hipotecarios y anticréticos corresponden a la primera hipoteca constituida a favor del Fiduciario MMG Bank Corporation, sobre bienes inmuebles del Fideicomitente y/o del Garante Hipotecario Inmobiliaria Los Libertadores, S.A., por un valor de B/.61,077,310.</t>
  </si>
  <si>
    <t>Los bienes inmuebles en garantía tienen un valor de mercado de B/.66,274,750 (2024: B/.66,274,750) según informe del Avaluador Panamericana de Avalúos, S.A., de fecha de diciembre 2024.</t>
  </si>
  <si>
    <t>tbl-33.html</t>
  </si>
  <si>
    <t>[tbl-33.html](tbl-33.html)</t>
  </si>
  <si>
    <t>- El Decreto Ejecutivo No.170 del 27 de octubre de 1993, establece en el artículo 81 que se consideran contribuyentes el Fideicomiso constituido conforme a la Ley que generan rentas gravables. El Fideicomiso constituido de acuerdo con la Ley No.1 del 5 de enero de 1984, se considera contribuyente al Fiduciario, quien determinará el impuesto de acuerdo con las reglas generales aplicables a las personas jurídicas o naturales según sea su naturaleza. - De acuerdo con la legislación fiscal vigente, la renta proveniente de los intereses ganados sobre depósitos en bancos locales, están exentos del pago del impuesto sobre la renta. - Al 31 de diciembre de 2025 y 2024, el Fideicomiso no generó renta gravable.</t>
  </si>
  <si>
    <t>page-46</t>
  </si>
  <si>
    <t>(MMG Bank Corporation como Agente Fiduciario</t>
  </si>
  <si>
    <t>Por el año terminado el 31 de diciembre de 2025</t>
  </si>
  <si>
    <t>COLOR KEY: Input (azul) · Fórmula (negro) · Link inter-hoja (verde)</t>
  </si>
  <si>
    <t>Escenario (1=Base, 2=Bull, 3=Bear)</t>
  </si>
  <si>
    <t xml:space="preserve">  Selector escenario</t>
  </si>
  <si>
    <t>caso</t>
  </si>
  <si>
    <t>NOT_DISCLOSED</t>
  </si>
  <si>
    <t>Derivación mecánica declarada por el plan.</t>
  </si>
  <si>
    <t xml:space="preserve">  Escenario activo</t>
  </si>
  <si>
    <t>moneda del modelo</t>
  </si>
  <si>
    <t>Selector de caso activo C5: Base/Bull/Bear.</t>
  </si>
  <si>
    <t>Unidad</t>
  </si>
  <si>
    <t>Fuente / nota</t>
  </si>
  <si>
    <t>Rationale</t>
  </si>
  <si>
    <t>A. INGRESOS POR SEGMENTO — Nota 29 / Nota 7 (revenue_by_division.csv)</t>
  </si>
  <si>
    <t xml:space="preserve">  Avícola / Alimentos — crecimiento activo</t>
  </si>
  <si>
    <t>%</t>
  </si>
  <si>
    <t xml:space="preserve">    Bear</t>
  </si>
  <si>
    <t>Escenario driver citado; NOT_DISCLOSED si no hay fuente explícita.</t>
  </si>
  <si>
    <t xml:space="preserve">    Base</t>
  </si>
  <si>
    <t xml:space="preserve">    Bull</t>
  </si>
  <si>
    <t xml:space="preserve">  Avícola / Alimentos — ingresos</t>
  </si>
  <si>
    <t>Derivación mecánica por fórmula viva.</t>
  </si>
  <si>
    <t xml:space="preserve">  Almacenes — crecimiento activo</t>
  </si>
  <si>
    <t xml:space="preserve">  Almacenes — ingresos</t>
  </si>
  <si>
    <t xml:space="preserve">  Maquinaria / Motors — crecimiento activo</t>
  </si>
  <si>
    <t xml:space="preserve">  Maquinaria / Motors — ingresos</t>
  </si>
  <si>
    <t xml:space="preserve">  Restaurantes — crecimiento activo</t>
  </si>
  <si>
    <t xml:space="preserve">  Restaurantes — ingresos</t>
  </si>
  <si>
    <t xml:space="preserve">  Bienes Raíces — crecimiento activo</t>
  </si>
  <si>
    <t xml:space="preserve">  Bienes Raíces — ingresos</t>
  </si>
  <si>
    <t xml:space="preserve">  Servicios — ingresos externos</t>
  </si>
  <si>
    <t xml:space="preserve">  Ingresos consolidados — suma segmentos</t>
  </si>
  <si>
    <t>Suma mecánica del bloque.</t>
  </si>
  <si>
    <t>B. COSTOS E IMPUESTOS — ratios activos sobre FY25 auditado</t>
  </si>
  <si>
    <t xml:space="preserve">  Cambio inventario / ingresos — driver activo</t>
  </si>
  <si>
    <t xml:space="preserve">  Materia prima / ingresos — driver activo</t>
  </si>
  <si>
    <t xml:space="preserve">  Personal / ingresos — driver activo</t>
  </si>
  <si>
    <t xml:space="preserve">  D&amp;A PP&amp;E / ingresos — driver activo</t>
  </si>
  <si>
    <t xml:space="preserve">  D&amp;A derecho de uso / ingresos — driver activo</t>
  </si>
  <si>
    <t xml:space="preserve">  Otros gastos / ingresos — driver activo</t>
  </si>
  <si>
    <t xml:space="preserve">  Tasa efectiva de impuesto — driver activo</t>
  </si>
  <si>
    <t>Efectivo conciliado (puente conciliación: efectivo BS - plazo fijo)</t>
  </si>
  <si>
    <t xml:space="preserve">  Depósitos a plazo fijo incluidos en efectivo BS (saldo corriente; fuente Nota 8: GRMELO_2024 lines 5193-5199; GRMELO_2025 lines 5311-5317; parsed EEFF BS rows 61/73/91, CF rows 180/240)</t>
  </si>
  <si>
    <t>_CHECKS panel — operating-EBITDA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</si>
  <si>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</si>
  <si>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</si>
  <si>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</si>
  <si>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</si>
  <si>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</si>
  <si>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</si>
  <si>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</si>
  <si>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</si>
  <si>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</si>
  <si>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</si>
  <si>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</si>
  <si>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</si>
  <si>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</si>
  <si>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</si>
  <si>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</si>
  <si>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</si>
  <si>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</si>
  <si>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</si>
  <si>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</si>
  <si>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SOURCE_GAP</t>
  </si>
  <si>
    <t>No semantic anchors resolved for CASH_TIE.</t>
  </si>
  <si>
    <t>CF_ROLLFORWARD</t>
  </si>
  <si>
    <t>UNIVERSAL | expected 0; hard_tie_tolerance; historical rows may be WARN if source CF transcript is incomplete. | source applies_to: all 16 where CF is modeled</t>
  </si>
  <si>
    <t>No semantic anchors resolved for CF_ROLLFORWARD.</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</si>
  <si>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</si>
  <si>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</si>
  <si>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</si>
  <si>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</si>
  <si>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</si>
  <si>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Sign convention diagnostic remains visible; tax-sign taxonomy is not a signed hard-control anchor.</t>
  </si>
  <si>
    <t>RE_ROLLFORWARD</t>
  </si>
  <si>
    <t>UNIVERSAL | expected 0; hard_tie_tolerance. | source applies_to: all 16 with RE row</t>
  </si>
  <si>
    <t>KNOWN_RESIDUAL</t>
  </si>
  <si>
    <t>-1584437 @ FY23A</t>
  </si>
  <si>
    <t>G7c retained earnings roll: OCI/translation/equity movement suspected; signed as visible known residual.</t>
  </si>
  <si>
    <t>EQUITY_TOTAL_TIE</t>
  </si>
  <si>
    <t>BS_LINEITEM_SUM_ASSETS</t>
  </si>
  <si>
    <t>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</si>
  <si>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</si>
  <si>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</si>
  <si>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</si>
  <si>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</si>
  <si>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</si>
  <si>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</si>
  <si>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</si>
  <si>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</si>
  <si>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</si>
  <si>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</si>
  <si>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</si>
  <si>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</si>
  <si>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</si>
  <si>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</si>
  <si>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No semantic anchors resolved for PPE_SCHEDULE_TIE.</t>
  </si>
  <si>
    <t>LEASE_SCHEDULE_TIE</t>
  </si>
  <si>
    <t>ARCHETYPE/conditional | expected 0; hard_tie_tolerance. | source applies_to: IFRS-16 issuers</t>
  </si>
  <si>
    <t>No semantic anchors resolved for LEASE_SCHEDULE_TIE.</t>
  </si>
  <si>
    <t>DEBT_SCHEDULE_TIE</t>
  </si>
  <si>
    <t>ARCHETYPE/conditional | expected 0; hard_tie_tolerance; project-finance debt can include accrued interest/unamortized cost roles. | source applies_to: non-bank-lender, power, utility, operating-EBITDA with debt</t>
  </si>
  <si>
    <t>No semantic anchors resolved for DEBT_SCHEDULE_TIE.</t>
  </si>
  <si>
    <t>OPERATING-EBITDA CHECKS</t>
  </si>
  <si>
    <t>OPERATING_GP_OR_EBITDA_TIE</t>
  </si>
  <si>
    <t>ARCHETYPE | expected 0; hard_tie_tolerance. | source applies_to: operating-EBITDA, downstream fuel, power when EBITDA is used</t>
  </si>
  <si>
    <t>No semantic anchors resolved for OPERATING_GP_OR_EBITDA_TIE.</t>
  </si>
  <si>
    <t>OPERATING_WC_DRIVER_TIE</t>
  </si>
  <si>
    <t>ARCHETYPE | expected 0; hard_tie_tolerance. | source applies_to: operating-EBITDA/downstream fuel</t>
  </si>
  <si>
    <t>No semantic anchors resolved for OPERATING_WC_DRIVER_TIE.</t>
  </si>
  <si>
    <t>DOWNSTREAM_VOL_MARGIN_TIE</t>
  </si>
  <si>
    <t>ARCHETYPE | expected 0; observed PDelta hard check #13. | source applies_to: downstream fuel</t>
  </si>
  <si>
    <t>No semantic anchors resolved for DOWNSTREAM_VOL_MARGIN_TIE.</t>
  </si>
  <si>
    <t>Source_Register — operating-EBITDA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</si>
  <si>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</si>
  <si>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</si>
  <si>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</si>
  <si>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</si>
  <si>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</si>
  <si>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</si>
  <si>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</si>
  <si>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</si>
  <si>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</si>
  <si>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</si>
  <si>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</si>
  <si>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</si>
  <si>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OCR_ROOT:grupo-melo</t>
  </si>
  <si>
    <t>OCR_ROOT</t>
  </si>
  <si>
    <t>GRMELO</t>
  </si>
  <si>
    <t>EEFF; Notas_EEFF</t>
  </si>
  <si>
    <t>OCR of the published filings</t>
  </si>
  <si>
    <t>Annual reports (INA) of grupo-melo</t>
  </si>
  <si>
    <t>EEFF_FILING:ina_grmelo_2022_0</t>
  </si>
  <si>
    <t>EEFF_FILING</t>
  </si>
  <si>
    <t>EEFF; Notas_EEFF; MD&amp;A</t>
  </si>
  <si>
    <t>00-index.md; 01-eeff.md; 02-notas.md; 03-mda.md; 09-otros.md</t>
  </si>
  <si>
    <t>FY22 (A)</t>
  </si>
  <si>
    <t>136</t>
  </si>
  <si>
    <t>markdown.md sha256=112b5d16c2e16b90...</t>
  </si>
  <si>
    <t>EEFF_FILING:ina_grmelo_2023_0</t>
  </si>
  <si>
    <t>FY23 (A)</t>
  </si>
  <si>
    <t>134</t>
  </si>
  <si>
    <t>markdown.md sha256=386e714365b9dde1...</t>
  </si>
  <si>
    <t>EEFF_FILING:ina_grmelo_2024_0</t>
  </si>
  <si>
    <t>FY24 (A)</t>
  </si>
  <si>
    <t>markdown.md sha256=d4d3a487f1eb288c...</t>
  </si>
  <si>
    <t>EEFF_FILING:ina_grmelo_2025_0</t>
  </si>
  <si>
    <t>FY25 (A)</t>
  </si>
  <si>
    <t>markdown.md sha256=107f44b0d5591ba1...</t>
  </si>
  <si>
    <t>NOTA:INA_GRMELO_2022_0.pdf#1</t>
  </si>
  <si>
    <t>NOTA</t>
  </si>
  <si>
    <t>Notas_EEFF</t>
  </si>
  <si>
    <t>12</t>
  </si>
  <si>
    <t>NOTA:INA_GRMELO_2022_0.pdf#2</t>
  </si>
  <si>
    <t>NOTA:INA_GRMELO_2022_0.pdf#3</t>
  </si>
  <si>
    <t>10</t>
  </si>
  <si>
    <t>NOTA:INA_GRMELO_2022_0.pdf#4</t>
  </si>
  <si>
    <t>markdown.md; tbl-28.html</t>
  </si>
  <si>
    <t>NOTA:INA_GRMELO_2022_0.pdf#5</t>
  </si>
  <si>
    <t>NOTA:INA_GRMELO_2023_0.pdf#1</t>
  </si>
  <si>
    <t>11</t>
  </si>
  <si>
    <t>NOTA:INA_GRMELO_2023_0.pdf#2</t>
  </si>
  <si>
    <t>NOTA:INA_GRMELO_2023_0.pdf#3</t>
  </si>
  <si>
    <t>9</t>
  </si>
  <si>
    <t>NOTA:INA_GRMELO_2023_0.pdf#4</t>
  </si>
  <si>
    <t>markdown.md; tbl-20.html</t>
  </si>
  <si>
    <t>NOTA:INA_GRMELO_2023_0.pdf#5</t>
  </si>
  <si>
    <t>NOTA:INA_GRMELO_2024_0.pdf#1</t>
  </si>
  <si>
    <t>NOTA:INA_GRMELO_2024_0.pdf#2</t>
  </si>
  <si>
    <t>NOTA:INA_GRMELO_2024_0.pdf#3</t>
  </si>
  <si>
    <t>NOTA:INA_GRMELO_2024_0.pdf#4</t>
  </si>
  <si>
    <t>markdown.md; tbl-27.html</t>
  </si>
  <si>
    <t>NOTA:INA_GRMELO_2024_0.pdf#5</t>
  </si>
  <si>
    <t>NOTA:INA_GRMELO_2025_0.pdf#1</t>
  </si>
  <si>
    <t>NOTA:INA_GRMELO_2025_0.pdf#2</t>
  </si>
  <si>
    <t>NOTA:INA_GRMELO_2025_0.pdf#3</t>
  </si>
  <si>
    <t>NOTA:INA_GRMELO_2025_0.pdf#4</t>
  </si>
  <si>
    <t>markdown.md; tbl-33.html</t>
  </si>
  <si>
    <t>NOTA:INA_GRMELO_2025_0.pdf#5</t>
  </si>
  <si>
    <t>DRIVER:NOT_DISCLOSED</t>
  </si>
  <si>
    <t>DRIVER_OTHER</t>
  </si>
  <si>
    <t>Supuestos</t>
  </si>
  <si>
    <t>Selector escenario</t>
  </si>
  <si>
    <t>57</t>
  </si>
  <si>
    <t>Unclassified _source citation shape: NOT_DISCLOSED</t>
  </si>
  <si>
    <t>_CHANGELOG — generation record for grupo-melo.</t>
  </si>
  <si>
    <t>Internal build history omitted from the public export. Record public changes below.</t>
  </si>
  <si>
    <t>MD&amp;A — Informe de Actualización INA_GRMELO_2025_0 (índice verbatim del mirror OCR; la narrativa completa vive en el mirror)</t>
  </si>
  <si>
    <t>Fuente: mirror OCR INA_GRMELO_2025_0, sección MD&amp;A · sha256=1a3f9439f4566b31… · linaje completo en Source_Register.</t>
  </si>
  <si>
    <t>A. ÍNDICE DE SECCIONES DEL MD&amp;A (verbatim, con página del filing)</t>
  </si>
  <si>
    <t>· FORMULARIO IN-A  (pág. 1)</t>
  </si>
  <si>
    <t xml:space="preserve">  · INFORME DE ACTUALIZACIÓN ANUAL*  (pág. 1)</t>
  </si>
  <si>
    <t>· I PARTE  (pág. 1)</t>
  </si>
  <si>
    <t xml:space="preserve">  · I. INFORMACIÓN DE LA COMPAÑÍA  (pág. 1)</t>
  </si>
  <si>
    <t xml:space="preserve">    · A. Historia y Desarrollo de GRUPO MELO, S.A.  (pág. 1)</t>
  </si>
  <si>
    <t xml:space="preserve">  · Departamento de Estudio y Desarrollo  (pág. 6)</t>
  </si>
  <si>
    <t xml:space="preserve">  · G. Información sobre tendencias  (pág. 6)</t>
  </si>
  <si>
    <t xml:space="preserve">  · II. ANÁLISIS DE RESULTADOS FINANCIEROS Y OPERATIVOS  (pág. 6)</t>
  </si>
  <si>
    <t xml:space="preserve">    · A. Liquidez  (pág. 6)</t>
  </si>
  <si>
    <t xml:space="preserve">  · B. Recursos de Capital  (pág. 7)</t>
  </si>
  <si>
    <t xml:space="preserve">  · C. Resultados de las Operaciones  (pág. 7)</t>
  </si>
  <si>
    <t>· D. Análisis de Perspectivas  (pág. 8)</t>
  </si>
  <si>
    <t>· III. DIRECTORES DIGNATARIOS, EJECUTIVOS, ADMINISTRADORES, ASESORES Y EMPLEADOS  (pág. 10)</t>
  </si>
  <si>
    <t xml:space="preserve">  · A. Identidad  (pág. 10)</t>
  </si>
  <si>
    <t xml:space="preserve">    · Directores, Dignatarios, Ejecutivos y Administradores  (pág. 10)</t>
  </si>
  <si>
    <t xml:space="preserve">  · Empleados de importancia y asesores  (pág. 13)</t>
  </si>
  <si>
    <t xml:space="preserve">  · Asesores legales  (pág. 17)</t>
  </si>
  <si>
    <t xml:space="preserve">  · Auditores  (pág. 17)</t>
  </si>
  <si>
    <t xml:space="preserve">  · Designación por acuerdos o entendimientos  (pág. 17)</t>
  </si>
  <si>
    <t xml:space="preserve">  · B. Compensación  (pág. 17)</t>
  </si>
  <si>
    <t xml:space="preserve">  · C. Prácticas de la Directiva  (pág. 17)</t>
  </si>
  <si>
    <t>· Comité Ejecutivo  (pág. 18)</t>
  </si>
  <si>
    <t>· Comité de Auditoría  (pág. 18)</t>
  </si>
  <si>
    <t>· Comité de Finanzas  (pág. 18)</t>
  </si>
  <si>
    <t>· Comité de Compensación Ejecutiva y Recursos Humanos  (pág. 19)</t>
  </si>
  <si>
    <t>· Comité de Gobernabilidad y Estrategia  (pág. 19)</t>
  </si>
  <si>
    <t xml:space="preserve">  · D. Empleados  (pág. 19)</t>
  </si>
  <si>
    <t>· E. Propiedad Accionaria  (pág. 20)</t>
  </si>
  <si>
    <t>· ACCIONISTAS PRINCIPALES  (pág. 21)</t>
  </si>
  <si>
    <t xml:space="preserve">  · IV. PARTES RELACIONADAS, VINCULOS Y AFILIACIONES  (pág. 21)</t>
  </si>
  <si>
    <t xml:space="preserve">  · V. TRATAMIENTO FISCAL  (pág. 21)</t>
  </si>
  <si>
    <t xml:space="preserve">  · VI. ESTRUCTURA DE CAPITALIZACION  (pág. 21)</t>
  </si>
  <si>
    <t xml:space="preserve">  · Descripción y Derechos de los Títulos de Capital Accionario  (pág. 21)</t>
  </si>
  <si>
    <t>· Títulos de Deuda  (pág. 22)</t>
  </si>
  <si>
    <t>· Información de Mercado  (pág. 22)</t>
  </si>
  <si>
    <t>· II PARTE  (pág. 23)</t>
  </si>
  <si>
    <t>· III PARTE  (pág. 24)</t>
  </si>
  <si>
    <t xml:space="preserve">  · ESTADOS FINANCIEROS  (pág. 24)</t>
  </si>
  <si>
    <t>· IV PARTE  (pág. 24)</t>
  </si>
  <si>
    <t xml:space="preserve">  · DIVULGACIÓN  (pág. 24)</t>
  </si>
  <si>
    <t>· Grupo Melo, S.A.; Empresas Melo, S.A.  (pág. 25)</t>
  </si>
  <si>
    <t xml:space="preserve">  · Factores Clave de Calificación  (pág. 25)</t>
  </si>
  <si>
    <t xml:space="preserve">  · Resumen de Información Financiera  (pág. 26)</t>
  </si>
  <si>
    <t xml:space="preserve">  · Análisis de Pares  (pág. 26)</t>
  </si>
  <si>
    <t xml:space="preserve">  · Sensibilidades de la Calificación  (pág. 26)</t>
  </si>
  <si>
    <t xml:space="preserve">    · Factores que Podrían, Individual o Colectivamente, Conducir a una Acción de Calificación Negativa/Baja  (pág. 26)</t>
  </si>
  <si>
    <t xml:space="preserve">    · Factores que Podrían, Individual o Colectivamente, Conducir a una Acción de Calificación Positiva/Alza  (pág. 26)</t>
  </si>
  <si>
    <t xml:space="preserve">  · Liquidez y Estructura de la Deuda  (pág. 26)</t>
  </si>
  <si>
    <t xml:space="preserve">  · Escenario de Liquidez y Vencimiento de Deuda sin Refinanciamiento  (pág. 27)</t>
  </si>
  <si>
    <t xml:space="preserve">  · Vencimientos de Deuda Programados  (pág. 27)</t>
  </si>
  <si>
    <t xml:space="preserve">  · Supuestos Clave  (pág. 27)</t>
  </si>
  <si>
    <t xml:space="preserve">  · Cómo Interpretar las Proyecciones Presentadas  (pág. 29)</t>
  </si>
  <si>
    <t>· Diagrama de la Estructura Simplificada del Grupo  (pág. 30)</t>
  </si>
  <si>
    <t>· ESTADO DE LA SOLICITUD Y PARTICIPACIÓN  (pág. 33)</t>
  </si>
  <si>
    <t>· AVISO LEGAL Y DIVULGACIÓN  (pág. 33)</t>
  </si>
  <si>
    <t>· CERTIFICACIÓN  (pág. 34)</t>
  </si>
  <si>
    <t xml:space="preserve">  · EMPRESAS MELO, S. A.  (pág. 34)</t>
  </si>
  <si>
    <t xml:space="preserve">  · MMG BANK CORPORATION FIDBI-006  (pág. 34)</t>
  </si>
  <si>
    <t xml:space="preserve">  · BONOS CORPORATIVOS ROTATIVOS  (pág. 34)</t>
  </si>
  <si>
    <t xml:space="preserve">  · US$50,000,000.00  (pág. 34)</t>
  </si>
  <si>
    <t>Doctrina: hoja índice/verbatim — sin narrativa inventada; cifras solo del filing (NOT_DISCLOSED donde no hay dato).</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</si>
  <si>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</si>
  <si>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</si>
  <si>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</si>
  <si>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</si>
  <si>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</si>
  <si>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</si>
  <si>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</si>
  <si>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</si>
  <si>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_CHECKS: 1 cell written, at G12; Source_Register: 3 cells written, at A2, I5, M5; _CHANGELOG: data A1:H33 -&gt; A1:A3 (rows 33 -&gt; 3, columns 8 -&gt; 1), 205 cells written, at A2, A3, B3, C3, D3, E3, F3, G3, H3, A4, B4, C4, D4, E4, F4 and 190 more.
Other actions: clear x1.
Agent: OpenFinmods export</t>
  </si>
  <si>
    <t>Compare against source and review public copy</t>
  </si>
</sst>
</file>

<file path=xl/styles.xml><?xml version="1.0" encoding="utf-8"?>
<styleSheet xmlns="http://schemas.openxmlformats.org/spreadsheetml/2006/main">
  <numFmts count="8">
    <numFmt numFmtId="164" formatCode="General"/>
    <numFmt numFmtId="165" formatCode="#,##0;(#,##0);-"/>
    <numFmt numFmtId="166" formatCode="@"/>
    <numFmt numFmtId="167" formatCode="#,##0;[Red](#,##0);-"/>
    <numFmt numFmtId="168" formatCode="0.0%"/>
    <numFmt numFmtId="169" formatCode="0"/>
    <numFmt numFmtId="170" formatCode="yyyy-mm-dd"/>
    <numFmt numFmtId="171" formatCode="yyyy\-mm\-dd hh:mm"/>
  </numFmts>
  <fonts count="13">
    <font>
      <sz val="11"/>
      <color theme="1"/>
      <name val="Calibri"/>
      <family val="2"/>
      <scheme val="minor"/>
    </font>
    <font>
      <sz val="11"/>
      <color rgb="FF000000"/>
      <name val="Calibri"/>
      <family val="2"/>
      <scheme val="minor"/>
    </font>
    <font>
      <b val="0"/>
      <i val="0"/>
      <strike val="0"/>
      <sz val="10"/>
      <name val="Arial"/>
    </font>
    <font>
      <b val="0"/>
      <i val="0"/>
      <strike val="0"/>
      <sz val="10"/>
      <color rgb="FF000000"/>
      <name val="Arial"/>
    </font>
    <font>
      <b val="0"/>
      <i val="0"/>
      <strike val="0"/>
      <sz val="10"/>
      <color rgb="FF0432FF"/>
      <name val="Arial"/>
    </font>
    <font>
      <b/>
      <i val="0"/>
      <strike val="0"/>
      <sz val="10"/>
      <color rgb="FF0432FF"/>
      <name val="Arial"/>
    </font>
    <font>
      <b/>
      <i val="0"/>
      <strike val="0"/>
      <sz val="10"/>
      <color rgb="FF000000"/>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b val="0"/>
      <i val="0"/>
      <strike val="0"/>
      <sz val="10"/>
      <color rgb="FF000000"/>
      <name val="Arial"/>
      <family val="2"/>
      <scheme val="minor"/>
    </font>
    <font>
      <b/>
      <i val="0"/>
      <strike val="0"/>
      <sz val="10"/>
      <color rgb="FF000000"/>
      <name val="Arial"/>
      <family val="2"/>
      <scheme val="minor"/>
    </font>
  </fonts>
  <fills count="5">
    <fill>
      <patternFill patternType="none"/>
    </fill>
    <fill>
      <patternFill patternType="gray125"/>
    </fill>
    <fill>
      <patternFill patternType="solid">
        <fgColor rgb="FFF2F2F2"/>
        <bgColor rgb="FFF2F2F2"/>
      </patternFill>
    </fill>
    <fill>
      <patternFill patternType="solid">
        <fgColor rgb="FFDCE6F1"/>
        <bgColor rgb="FFDCE6F1"/>
      </patternFill>
    </fill>
    <fill>
      <patternFill patternType="solid">
        <fgColor rgb="FFFFF2CC"/>
        <bgColor rgb="FFFFF2CC"/>
      </patternFill>
    </fill>
  </fills>
  <borders count="4">
    <border/>
    <border>
      <left style="thin">
        <color rgb="FF000000"/>
      </left>
    </border>
    <border>
      <top style="thin">
        <color rgb="FF000000"/>
      </top>
    </border>
    <border>
      <left style="thin">
        <color rgb="FF000000"/>
      </left>
      <top style="thin">
        <color rgb="FF000000"/>
      </top>
    </border>
  </borders>
  <cellStyleXfs count="1">
    <xf numFmtId="0" fontId="1" fillId="0" borderId="0"/>
  </cellStyleXfs>
  <cellXfs count="537">
    <xf numFmtId="0" fontId="1" fillId="0" borderId="0" xfId="0" applyFont="1"/>
    <xf numFmtId="164" fontId="2" fillId="0" borderId="0" xfId="0" applyNumberFormat="1" applyFont="1"/>
    <xf numFmtId="164" fontId="3" fillId="0" borderId="0" xfId="0" applyNumberFormat="1" applyFont="1" applyAlignment="1">
      <alignment horizontal="left" vertical="bottom" textRotation="0" indent="0" readingOrder="0"/>
    </xf>
    <xf numFmtId="165" fontId="4" fillId="0" borderId="0" xfId="0" applyNumberFormat="1" applyFont="1" applyAlignment="1">
      <alignment horizontal="right" vertical="bottom" textRotation="0" indent="0" readingOrder="0"/>
    </xf>
    <xf numFmtId="165" fontId="4" fillId="0" borderId="1" xfId="0" applyNumberFormat="1" applyFont="1" applyBorder="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5" fontId="5" fillId="0" borderId="3" xfId="0" applyNumberFormat="1" applyFont="1" applyBorder="1" applyAlignment="1">
      <alignment horizontal="right" vertical="bottom" textRotation="0" indent="0" readingOrder="0"/>
    </xf>
    <xf numFmtId="164" fontId="6" fillId="3" borderId="1" xfId="0" applyNumberFormat="1" applyFont="1" applyFill="1" applyBorder="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4" fontId="2" fillId="0" borderId="1" xfId="0" applyNumberFormat="1" applyFont="1" applyBorder="1"/>
    <xf numFmtId="164" fontId="6" fillId="2" borderId="0" xfId="0" applyNumberFormat="1" applyFont="1" applyFill="1" applyAlignment="1">
      <alignment horizontal="left" vertical="bottom" textRotation="0" indent="0" readingOrder="0"/>
    </xf>
    <xf numFmtId="166" fontId="3" fillId="0" borderId="0" xfId="0" applyNumberFormat="1" applyFont="1" applyAlignment="1">
      <alignment horizontal="left" vertical="top" textRotation="0" wrapText="1" indent="0" readingOrder="0"/>
    </xf>
    <xf numFmtId="164" fontId="6" fillId="2" borderId="0" xfId="0" applyNumberFormat="1" applyFont="1" applyFill="1" applyAlignment="1">
      <alignment horizontal="left" vertical="top" textRotation="0" wrapText="1" indent="0" readingOrder="0"/>
    </xf>
    <xf numFmtId="166" fontId="3" fillId="0" borderId="0" xfId="0" applyNumberFormat="1" applyFont="1" applyAlignment="1">
      <alignment horizontal="left" vertical="top" textRotation="0" indent="0" readingOrder="0"/>
    </xf>
    <xf numFmtId="167" fontId="4"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4" fontId="6" fillId="3" borderId="0" xfId="0" applyNumberFormat="1" applyFont="1" applyFill="1" applyAlignment="1">
      <alignment horizontal="left" vertical="top" textRotation="0" wrapText="1" indent="0" readingOrder="0"/>
    </xf>
    <xf numFmtId="164" fontId="3" fillId="0" borderId="0" xfId="0" applyNumberFormat="1" applyFont="1"/>
    <xf numFmtId="164" fontId="8" fillId="0" borderId="0" xfId="0" applyNumberFormat="1" applyFont="1"/>
    <xf numFmtId="168" fontId="3" fillId="0" borderId="0" xfId="0" applyNumberFormat="1" applyFont="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2" fillId="3" borderId="0" xfId="0" applyNumberFormat="1" applyFont="1" applyFill="1"/>
    <xf numFmtId="168" fontId="4" fillId="4" borderId="0" xfId="0" applyNumberFormat="1" applyFont="1" applyFill="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0" borderId="0" xfId="0" applyNumberFormat="1" applyFont="1"/>
    <xf numFmtId="164" fontId="6" fillId="3" borderId="0" xfId="0" applyNumberFormat="1" applyFont="1" applyFill="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5" fontId="3" fillId="0" borderId="0" xfId="0" applyNumberFormat="1" applyFont="1" applyAlignment="1">
      <alignment horizontal="right" vertical="bottom" textRotation="0" indent="0" readingOrder="0"/>
    </xf>
    <xf numFmtId="164" fontId="2" fillId="3" borderId="1" xfId="0" applyNumberFormat="1" applyFont="1" applyFill="1" applyBorder="1"/>
    <xf numFmtId="168" fontId="3" fillId="0" borderId="1" xfId="0" applyNumberFormat="1" applyFont="1" applyBorder="1" applyAlignment="1">
      <alignment horizontal="right" vertical="bottom" textRotation="0" indent="0" readingOrder="0"/>
    </xf>
    <xf numFmtId="164" fontId="2" fillId="2" borderId="0" xfId="0" applyNumberFormat="1" applyFont="1" applyFill="1"/>
    <xf numFmtId="164" fontId="3" fillId="0" borderId="0" xfId="0" applyNumberFormat="1" applyFont="1" applyAlignment="1">
      <alignment horizontal="left" vertical="bottom" textRotation="0" indent="0" readingOrder="0"/>
    </xf>
    <xf numFmtId="164" fontId="2" fillId="0" borderId="1" xfId="0" applyNumberFormat="1" applyFont="1" applyBorder="1"/>
    <xf numFmtId="168" fontId="4" fillId="4" borderId="1" xfId="0" applyNumberFormat="1" applyFont="1" applyFill="1" applyBorder="1" applyAlignment="1">
      <alignment horizontal="right" vertical="bottom" textRotation="0" indent="0" readingOrder="0"/>
    </xf>
    <xf numFmtId="164" fontId="6" fillId="3" borderId="1" xfId="0" applyNumberFormat="1" applyFont="1" applyFill="1" applyBorder="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9" fontId="3" fillId="0" borderId="0" xfId="0" applyNumberFormat="1" applyFont="1" applyAlignment="1">
      <alignment horizontal="right" vertical="bottom" textRotation="0" indent="0" readingOrder="0"/>
    </xf>
    <xf numFmtId="169" fontId="3"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4" fontId="6" fillId="3" borderId="0" xfId="0" applyNumberFormat="1" applyFont="1" applyFill="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5" fontId="3" fillId="0" borderId="1" xfId="0" applyNumberFormat="1" applyFont="1" applyBorder="1" applyAlignment="1">
      <alignment horizontal="right" vertical="bottom" textRotation="0" indent="0" readingOrder="0"/>
    </xf>
    <xf numFmtId="164" fontId="2" fillId="0" borderId="0" xfId="0" applyNumberFormat="1" applyFont="1"/>
    <xf numFmtId="164" fontId="2" fillId="2" borderId="0" xfId="0" applyNumberFormat="1" applyFont="1" applyFill="1"/>
    <xf numFmtId="165" fontId="6" fillId="0" borderId="3" xfId="0" applyNumberFormat="1" applyFont="1" applyBorder="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2" fillId="3" borderId="1" xfId="0" applyNumberFormat="1" applyFont="1" applyFill="1" applyBorder="1"/>
    <xf numFmtId="164" fontId="2" fillId="3" borderId="0" xfId="0" applyNumberFormat="1" applyFont="1" applyFill="1"/>
    <xf numFmtId="164" fontId="6" fillId="3" borderId="1" xfId="0" applyNumberFormat="1" applyFont="1" applyFill="1" applyBorder="1" applyAlignment="1">
      <alignment horizontal="right" vertical="bottom" textRotation="0" indent="0" readingOrder="0"/>
    </xf>
    <xf numFmtId="164" fontId="2" fillId="0" borderId="1" xfId="0" applyNumberFormat="1" applyFont="1" applyBorder="1"/>
    <xf numFmtId="166" fontId="3" fillId="0" borderId="0" xfId="0" applyNumberFormat="1" applyFont="1" applyAlignment="1">
      <alignment horizontal="left" vertical="top" textRotation="0" indent="0" readingOrder="0"/>
    </xf>
    <xf numFmtId="166" fontId="3" fillId="0" borderId="0" xfId="0" applyNumberFormat="1" applyFont="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4" fontId="6" fillId="2" borderId="0" xfId="0" applyNumberFormat="1" applyFont="1" applyFill="1" applyAlignment="1">
      <alignment horizontal="left" vertical="top" textRotation="0" wrapText="1" indent="0" readingOrder="0"/>
    </xf>
    <xf numFmtId="164" fontId="3" fillId="0" borderId="0" xfId="0" applyNumberFormat="1" applyFont="1"/>
    <xf numFmtId="164" fontId="8" fillId="0" borderId="0" xfId="0" applyNumberFormat="1" applyFont="1"/>
    <xf numFmtId="164" fontId="6" fillId="3" borderId="0" xfId="0" applyNumberFormat="1" applyFont="1" applyFill="1" applyAlignment="1">
      <alignment horizontal="left" vertical="top" textRotation="0" wrapText="1" indent="0" readingOrder="0"/>
    </xf>
    <xf numFmtId="164" fontId="6" fillId="2" borderId="0" xfId="0" applyNumberFormat="1" applyFont="1" applyFill="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8" fontId="3" fillId="0" borderId="1" xfId="0" applyNumberFormat="1" applyFont="1" applyBorder="1" applyAlignment="1">
      <alignment horizontal="right" vertical="bottom" textRotation="0" indent="0" readingOrder="0"/>
    </xf>
    <xf numFmtId="164" fontId="2" fillId="0" borderId="0" xfId="0" applyNumberFormat="1" applyFont="1"/>
    <xf numFmtId="168" fontId="3" fillId="0" borderId="0" xfId="0" applyNumberFormat="1" applyFont="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4" fontId="6" fillId="2" borderId="0" xfId="0" applyNumberFormat="1" applyFont="1" applyFill="1" applyAlignment="1">
      <alignment horizontal="right" vertical="bottom" textRotation="0" indent="0" readingOrder="0"/>
    </xf>
    <xf numFmtId="164" fontId="2" fillId="3" borderId="0" xfId="0" applyNumberFormat="1" applyFont="1" applyFill="1"/>
    <xf numFmtId="169" fontId="4" fillId="4" borderId="0" xfId="0" applyNumberFormat="1" applyFont="1" applyFill="1" applyAlignment="1">
      <alignment horizontal="right" vertical="bottom" textRotation="0" indent="0" readingOrder="0"/>
    </xf>
    <xf numFmtId="168" fontId="4" fillId="4" borderId="1" xfId="0" applyNumberFormat="1" applyFont="1" applyFill="1" applyBorder="1" applyAlignment="1">
      <alignment horizontal="right" vertical="bottom" textRotation="0" indent="0" readingOrder="0"/>
    </xf>
    <xf numFmtId="164" fontId="2" fillId="2" borderId="0" xfId="0" applyNumberFormat="1" applyFont="1" applyFill="1"/>
    <xf numFmtId="165" fontId="3" fillId="0" borderId="0" xfId="0" applyNumberFormat="1" applyFont="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8" fontId="4" fillId="4" borderId="0" xfId="0" applyNumberFormat="1" applyFont="1" applyFill="1" applyAlignment="1">
      <alignment horizontal="right" vertical="bottom" textRotation="0" indent="0" readingOrder="0"/>
    </xf>
    <xf numFmtId="164" fontId="2" fillId="0" borderId="1" xfId="0" applyNumberFormat="1" applyFont="1" applyBorder="1"/>
    <xf numFmtId="169" fontId="3" fillId="0" borderId="0" xfId="0" applyNumberFormat="1" applyFont="1" applyAlignment="1">
      <alignment horizontal="right" vertical="bottom" textRotation="0" indent="0" readingOrder="0"/>
    </xf>
    <xf numFmtId="164" fontId="2" fillId="3" borderId="1" xfId="0" applyNumberFormat="1" applyFont="1" applyFill="1" applyBorder="1"/>
    <xf numFmtId="164" fontId="6" fillId="3" borderId="1" xfId="0" applyNumberFormat="1" applyFont="1" applyFill="1" applyBorder="1" applyAlignment="1">
      <alignment horizontal="right" vertical="bottom" textRotation="0" indent="0" readingOrder="0"/>
    </xf>
    <xf numFmtId="169" fontId="3" fillId="0" borderId="1"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5" fontId="3" fillId="0" borderId="1" xfId="0" applyNumberFormat="1" applyFont="1" applyBorder="1" applyAlignment="1">
      <alignment horizontal="right" vertical="bottom" textRotation="0" indent="0" readingOrder="0"/>
    </xf>
    <xf numFmtId="164" fontId="2" fillId="0" borderId="0" xfId="0" applyNumberFormat="1" applyFont="1"/>
    <xf numFmtId="164" fontId="2" fillId="2" borderId="0" xfId="0" applyNumberFormat="1" applyFont="1" applyFill="1"/>
    <xf numFmtId="164" fontId="6" fillId="3" borderId="0" xfId="0" applyNumberFormat="1" applyFont="1" applyFill="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6" fillId="2" borderId="0" xfId="0" applyNumberFormat="1" applyFont="1" applyFill="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4" fontId="2" fillId="3" borderId="1" xfId="0" applyNumberFormat="1" applyFont="1" applyFill="1" applyBorder="1"/>
    <xf numFmtId="164" fontId="6" fillId="3" borderId="1" xfId="0" applyNumberFormat="1" applyFont="1" applyFill="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4" fontId="2" fillId="3" borderId="0" xfId="0" applyNumberFormat="1" applyFont="1" applyFill="1"/>
    <xf numFmtId="164" fontId="2" fillId="0" borderId="1" xfId="0" applyNumberFormat="1" applyFont="1" applyBorder="1"/>
    <xf numFmtId="166" fontId="3" fillId="0" borderId="0" xfId="0" applyNumberFormat="1" applyFont="1" applyAlignment="1">
      <alignment horizontal="left" vertical="top" textRotation="0" indent="0" readingOrder="0"/>
    </xf>
    <xf numFmtId="166" fontId="3" fillId="0" borderId="0" xfId="0" applyNumberFormat="1" applyFont="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4" fontId="6" fillId="2" borderId="0" xfId="0" applyNumberFormat="1" applyFont="1" applyFill="1" applyAlignment="1">
      <alignment horizontal="left" vertical="top" textRotation="0" wrapText="1" indent="0" readingOrder="0"/>
    </xf>
    <xf numFmtId="164" fontId="3" fillId="0" borderId="0" xfId="0" applyNumberFormat="1" applyFont="1"/>
    <xf numFmtId="164" fontId="6" fillId="0" borderId="0" xfId="0" applyNumberFormat="1" applyFont="1"/>
    <xf numFmtId="164" fontId="6" fillId="3" borderId="0" xfId="0" applyNumberFormat="1" applyFont="1" applyFill="1" applyAlignment="1">
      <alignment horizontal="left" vertical="top" textRotation="0" wrapText="1" indent="0" readingOrder="0"/>
    </xf>
    <xf numFmtId="165" fontId="7" fillId="0" borderId="0" xfId="0" applyNumberFormat="1" applyFont="1" applyAlignment="1">
      <alignment horizontal="right" vertical="bottom" textRotation="0" indent="0" readingOrder="0"/>
    </xf>
    <xf numFmtId="164" fontId="2" fillId="0" borderId="1" xfId="0" applyNumberFormat="1" applyFont="1" applyBorder="1"/>
    <xf numFmtId="164" fontId="6" fillId="2" borderId="0" xfId="0" applyNumberFormat="1" applyFont="1" applyFill="1" applyAlignment="1">
      <alignment horizontal="right" vertical="bottom" textRotation="0" indent="0" readingOrder="0"/>
    </xf>
    <xf numFmtId="164" fontId="2" fillId="3" borderId="0" xfId="0" applyNumberFormat="1" applyFont="1" applyFill="1"/>
    <xf numFmtId="164" fontId="2" fillId="0" borderId="0" xfId="0" applyNumberFormat="1" applyFont="1"/>
    <xf numFmtId="169" fontId="4" fillId="4" borderId="0" xfId="0" applyNumberFormat="1" applyFont="1" applyFill="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8" fontId="4" fillId="4" borderId="0" xfId="0" applyNumberFormat="1" applyFont="1" applyFill="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3" fillId="0" borderId="0" xfId="0" applyNumberFormat="1" applyFont="1" applyAlignment="1">
      <alignment horizontal="left" vertical="bottom" textRotation="0" indent="0" readingOrder="0"/>
    </xf>
    <xf numFmtId="169" fontId="3" fillId="0" borderId="0" xfId="0" applyNumberFormat="1" applyFont="1" applyAlignment="1">
      <alignment horizontal="right" vertical="bottom" textRotation="0" indent="0" readingOrder="0"/>
    </xf>
    <xf numFmtId="164" fontId="2" fillId="2" borderId="0" xfId="0" applyNumberFormat="1" applyFont="1" applyFill="1"/>
    <xf numFmtId="164" fontId="6" fillId="3" borderId="1" xfId="0" applyNumberFormat="1" applyFont="1" applyFill="1" applyBorder="1" applyAlignment="1">
      <alignment horizontal="right" vertical="bottom" textRotation="0" indent="0" readingOrder="0"/>
    </xf>
    <xf numFmtId="168" fontId="4" fillId="4" borderId="1" xfId="0" applyNumberFormat="1" applyFont="1" applyFill="1" applyBorder="1" applyAlignment="1">
      <alignment horizontal="right" vertical="bottom" textRotation="0" indent="0" readingOrder="0"/>
    </xf>
    <xf numFmtId="168" fontId="3" fillId="0" borderId="1" xfId="0" applyNumberFormat="1" applyFont="1" applyBorder="1" applyAlignment="1">
      <alignment horizontal="right" vertical="bottom" textRotation="0" indent="0" readingOrder="0"/>
    </xf>
    <xf numFmtId="164" fontId="2" fillId="3" borderId="1" xfId="0" applyNumberFormat="1" applyFont="1" applyFill="1" applyBorder="1"/>
    <xf numFmtId="169" fontId="3" fillId="0" borderId="1"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5" fontId="3" fillId="0" borderId="1" xfId="0" applyNumberFormat="1" applyFont="1" applyBorder="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4" fontId="2" fillId="3" borderId="0" xfId="0" applyNumberFormat="1" applyFont="1" applyFill="1"/>
    <xf numFmtId="164" fontId="2" fillId="0" borderId="0" xfId="0" applyNumberFormat="1" applyFont="1"/>
    <xf numFmtId="164" fontId="6" fillId="3" borderId="0" xfId="0" applyNumberFormat="1" applyFont="1" applyFill="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2" fillId="2" borderId="0" xfId="0" applyNumberFormat="1" applyFont="1" applyFill="1"/>
    <xf numFmtId="165" fontId="6" fillId="0" borderId="3" xfId="0" applyNumberFormat="1" applyFont="1" applyBorder="1" applyAlignment="1">
      <alignment horizontal="right" vertical="bottom" textRotation="0" indent="0" readingOrder="0"/>
    </xf>
    <xf numFmtId="164" fontId="2" fillId="0" borderId="1" xfId="0" applyNumberFormat="1" applyFont="1" applyBorder="1"/>
    <xf numFmtId="164" fontId="6" fillId="3" borderId="1" xfId="0" applyNumberFormat="1" applyFont="1" applyFill="1" applyBorder="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2" fillId="3" borderId="1" xfId="0" applyNumberFormat="1" applyFont="1" applyFill="1" applyBorder="1"/>
    <xf numFmtId="165" fontId="7" fillId="0" borderId="1" xfId="0" applyNumberFormat="1" applyFont="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5" fontId="3" fillId="0" borderId="1" xfId="0" applyNumberFormat="1" applyFont="1" applyBorder="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4" fontId="2" fillId="3" borderId="0" xfId="0" applyNumberFormat="1" applyFont="1" applyFill="1"/>
    <xf numFmtId="164" fontId="2" fillId="0" borderId="0" xfId="0" applyNumberFormat="1" applyFont="1"/>
    <xf numFmtId="164" fontId="6" fillId="3" borderId="0" xfId="0" applyNumberFormat="1" applyFont="1" applyFill="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2" fillId="2" borderId="0" xfId="0" applyNumberFormat="1" applyFont="1" applyFill="1"/>
    <xf numFmtId="165" fontId="6" fillId="0" borderId="3" xfId="0" applyNumberFormat="1" applyFont="1" applyBorder="1" applyAlignment="1">
      <alignment horizontal="right" vertical="bottom" textRotation="0" indent="0" readingOrder="0"/>
    </xf>
    <xf numFmtId="164" fontId="2" fillId="0" borderId="1" xfId="0" applyNumberFormat="1" applyFont="1" applyBorder="1"/>
    <xf numFmtId="164" fontId="6" fillId="3" borderId="1" xfId="0" applyNumberFormat="1" applyFont="1" applyFill="1" applyBorder="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2" fillId="3" borderId="1" xfId="0" applyNumberFormat="1" applyFont="1" applyFill="1" applyBorder="1"/>
    <xf numFmtId="165" fontId="7" fillId="0" borderId="1" xfId="0" applyNumberFormat="1" applyFont="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5" fontId="3" fillId="0" borderId="1" xfId="0" applyNumberFormat="1" applyFont="1" applyBorder="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4" fontId="2" fillId="3" borderId="0" xfId="0" applyNumberFormat="1" applyFont="1" applyFill="1"/>
    <xf numFmtId="164" fontId="2" fillId="0" borderId="0" xfId="0" applyNumberFormat="1" applyFont="1"/>
    <xf numFmtId="164" fontId="6" fillId="3" borderId="0" xfId="0" applyNumberFormat="1" applyFont="1" applyFill="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2" fillId="2" borderId="0" xfId="0" applyNumberFormat="1" applyFont="1" applyFill="1"/>
    <xf numFmtId="165" fontId="6" fillId="0" borderId="3" xfId="0" applyNumberFormat="1" applyFont="1" applyBorder="1" applyAlignment="1">
      <alignment horizontal="right" vertical="bottom" textRotation="0" indent="0" readingOrder="0"/>
    </xf>
    <xf numFmtId="164" fontId="2" fillId="0" borderId="1" xfId="0" applyNumberFormat="1" applyFont="1" applyBorder="1"/>
    <xf numFmtId="164" fontId="6" fillId="3" borderId="1" xfId="0" applyNumberFormat="1" applyFont="1" applyFill="1" applyBorder="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2" fillId="3" borderId="1" xfId="0" applyNumberFormat="1" applyFont="1" applyFill="1" applyBorder="1"/>
    <xf numFmtId="165" fontId="7" fillId="0" borderId="1" xfId="0" applyNumberFormat="1" applyFont="1" applyBorder="1" applyAlignment="1">
      <alignment horizontal="right" vertical="bottom" textRotation="0" indent="0" readingOrder="0"/>
    </xf>
    <xf numFmtId="166" fontId="3" fillId="0" borderId="0" xfId="0" applyNumberFormat="1" applyFont="1" applyAlignment="1">
      <alignment horizontal="left" vertical="top" textRotation="0" indent="0" readingOrder="0"/>
    </xf>
    <xf numFmtId="166" fontId="3" fillId="0" borderId="0" xfId="0" applyNumberFormat="1" applyFont="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4" fontId="3" fillId="0" borderId="0" xfId="0" applyNumberFormat="1" applyFont="1"/>
    <xf numFmtId="164" fontId="6" fillId="2" borderId="0" xfId="0" applyNumberFormat="1" applyFont="1" applyFill="1" applyAlignment="1">
      <alignment horizontal="left" vertical="top" textRotation="0" wrapText="1" indent="0" readingOrder="0"/>
    </xf>
    <xf numFmtId="164" fontId="6" fillId="0" borderId="0" xfId="0" applyNumberFormat="1" applyFont="1"/>
    <xf numFmtId="164" fontId="6" fillId="3" borderId="0" xfId="0" applyNumberFormat="1" applyFont="1" applyFill="1" applyAlignment="1">
      <alignment horizontal="left" vertical="top" textRotation="0" wrapText="1" indent="0" readingOrder="0"/>
    </xf>
    <xf numFmtId="164" fontId="3" fillId="0" borderId="0" xfId="0" applyNumberFormat="1" applyFont="1" applyAlignment="1">
      <alignment horizontal="left" vertical="bottom" textRotation="0" indent="0" readingOrder="0"/>
    </xf>
    <xf numFmtId="164" fontId="2" fillId="0" borderId="0" xfId="0" applyNumberFormat="1" applyFont="1"/>
    <xf numFmtId="164" fontId="6" fillId="2" borderId="0" xfId="0" applyNumberFormat="1" applyFont="1" applyFill="1" applyAlignment="1">
      <alignment horizontal="right" vertical="bottom" textRotation="0" indent="0" readingOrder="0"/>
    </xf>
    <xf numFmtId="164" fontId="2" fillId="3" borderId="0" xfId="0" applyNumberFormat="1" applyFont="1" applyFill="1"/>
    <xf numFmtId="168" fontId="3" fillId="0" borderId="0" xfId="0" applyNumberFormat="1" applyFont="1" applyAlignment="1">
      <alignment horizontal="right" vertical="bottom" textRotation="0" indent="0" readingOrder="0"/>
    </xf>
    <xf numFmtId="169" fontId="3" fillId="0" borderId="0" xfId="0" applyNumberFormat="1" applyFont="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8" fontId="4" fillId="4" borderId="0" xfId="0" applyNumberFormat="1" applyFont="1" applyFill="1" applyAlignment="1">
      <alignment horizontal="right" vertical="bottom" textRotation="0" indent="0" readingOrder="0"/>
    </xf>
    <xf numFmtId="164" fontId="2" fillId="2" borderId="0" xfId="0" applyNumberFormat="1" applyFont="1" applyFill="1"/>
    <xf numFmtId="164" fontId="6" fillId="2" borderId="0" xfId="0" applyNumberFormat="1" applyFont="1" applyFill="1" applyAlignment="1">
      <alignment horizontal="left" vertical="bottom" textRotation="0" indent="0" readingOrder="0"/>
    </xf>
    <xf numFmtId="164" fontId="6" fillId="3" borderId="1" xfId="0" applyNumberFormat="1" applyFont="1" applyFill="1" applyBorder="1" applyAlignment="1">
      <alignment horizontal="right" vertical="bottom" textRotation="0" indent="0" readingOrder="0"/>
    </xf>
    <xf numFmtId="168" fontId="4" fillId="4" borderId="1" xfId="0" applyNumberFormat="1" applyFont="1" applyFill="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8" fontId="3" fillId="0" borderId="1" xfId="0" applyNumberFormat="1" applyFont="1" applyBorder="1" applyAlignment="1">
      <alignment horizontal="right" vertical="bottom" textRotation="0" indent="0" readingOrder="0"/>
    </xf>
    <xf numFmtId="164" fontId="2" fillId="0" borderId="1" xfId="0" applyNumberFormat="1" applyFont="1" applyBorder="1"/>
    <xf numFmtId="164" fontId="2" fillId="3" borderId="1" xfId="0" applyNumberFormat="1" applyFont="1" applyFill="1" applyBorder="1"/>
    <xf numFmtId="169" fontId="3" fillId="0" borderId="1"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5" fontId="3" fillId="0" borderId="1" xfId="0" applyNumberFormat="1" applyFont="1" applyBorder="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4" fontId="2" fillId="3" borderId="0" xfId="0" applyNumberFormat="1" applyFont="1" applyFill="1"/>
    <xf numFmtId="164" fontId="2" fillId="0" borderId="0" xfId="0" applyNumberFormat="1" applyFont="1"/>
    <xf numFmtId="164" fontId="6" fillId="3" borderId="0" xfId="0" applyNumberFormat="1" applyFont="1" applyFill="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2" fillId="2" borderId="0" xfId="0" applyNumberFormat="1" applyFont="1" applyFill="1"/>
    <xf numFmtId="165" fontId="6" fillId="0" borderId="3" xfId="0" applyNumberFormat="1" applyFont="1" applyBorder="1" applyAlignment="1">
      <alignment horizontal="right" vertical="bottom" textRotation="0" indent="0" readingOrder="0"/>
    </xf>
    <xf numFmtId="164" fontId="2" fillId="0" borderId="1" xfId="0" applyNumberFormat="1" applyFont="1" applyBorder="1"/>
    <xf numFmtId="164" fontId="6" fillId="3" borderId="1" xfId="0" applyNumberFormat="1" applyFont="1" applyFill="1" applyBorder="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2" fillId="3" borderId="1" xfId="0" applyNumberFormat="1" applyFont="1" applyFill="1" applyBorder="1"/>
    <xf numFmtId="165" fontId="7" fillId="0" borderId="1" xfId="0" applyNumberFormat="1" applyFont="1" applyBorder="1" applyAlignment="1">
      <alignment horizontal="right" vertical="bottom" textRotation="0" indent="0" readingOrder="0"/>
    </xf>
    <xf numFmtId="166" fontId="3" fillId="0" borderId="0" xfId="0" applyNumberFormat="1" applyFont="1" applyAlignment="1">
      <alignment horizontal="left" vertical="top" textRotation="0" indent="0" readingOrder="0"/>
    </xf>
    <xf numFmtId="166" fontId="3" fillId="0" borderId="0" xfId="0" applyNumberFormat="1" applyFont="1" applyAlignment="1">
      <alignment horizontal="left" vertical="top" textRotation="0" wrapText="1" indent="0" readingOrder="0"/>
    </xf>
    <xf numFmtId="164" fontId="3" fillId="0" borderId="0" xfId="0" applyNumberFormat="1" applyFont="1"/>
    <xf numFmtId="164" fontId="6" fillId="2"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4" fillId="0" borderId="0" xfId="0" applyNumberFormat="1" applyFont="1" applyAlignment="1">
      <alignment horizontal="right" vertical="top" textRotation="0" indent="0" readingOrder="0"/>
    </xf>
    <xf numFmtId="164" fontId="6" fillId="0" borderId="0" xfId="0" applyNumberFormat="1" applyFont="1"/>
    <xf numFmtId="164" fontId="6" fillId="3"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6" fontId="3" fillId="0" borderId="0" xfId="0" applyNumberFormat="1" applyFont="1" applyAlignment="1">
      <alignment horizontal="left" vertical="top" textRotation="0" wrapText="1" indent="0" readingOrder="0"/>
    </xf>
    <xf numFmtId="166" fontId="3" fillId="0" borderId="0" xfId="0" applyNumberFormat="1" applyFont="1" applyAlignment="1">
      <alignment horizontal="left" vertical="top" textRotation="0" indent="0" readingOrder="0"/>
    </xf>
    <xf numFmtId="167" fontId="4" fillId="0" borderId="0" xfId="0" applyNumberFormat="1" applyFont="1" applyAlignment="1">
      <alignment horizontal="right" vertical="top" textRotation="0" indent="0" readingOrder="0"/>
    </xf>
    <xf numFmtId="164" fontId="6" fillId="2" borderId="0" xfId="0" applyNumberFormat="1" applyFont="1" applyFill="1" applyAlignment="1">
      <alignment horizontal="left" vertical="top" textRotation="0" wrapText="1" indent="0" readingOrder="0"/>
    </xf>
    <xf numFmtId="164" fontId="6" fillId="3" borderId="0" xfId="0" applyNumberFormat="1" applyFont="1" applyFill="1" applyAlignment="1">
      <alignment horizontal="left" vertical="top" textRotation="0" wrapText="1" indent="0" readingOrder="0"/>
    </xf>
    <xf numFmtId="164" fontId="3" fillId="0" borderId="0" xfId="0" applyNumberFormat="1" applyFont="1"/>
    <xf numFmtId="164" fontId="6" fillId="0" borderId="0" xfId="0" applyNumberFormat="1" applyFont="1"/>
    <xf numFmtId="165" fontId="3" fillId="0" borderId="0" xfId="0" applyNumberFormat="1" applyFont="1" applyAlignment="1">
      <alignment horizontal="right" vertical="bottom" textRotation="0" indent="0" readingOrder="0"/>
    </xf>
    <xf numFmtId="164" fontId="2" fillId="2" borderId="0" xfId="0" applyNumberFormat="1" applyFont="1" applyFill="1"/>
    <xf numFmtId="165" fontId="7" fillId="0" borderId="0" xfId="0" applyNumberFormat="1" applyFont="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3" fillId="0" borderId="0" xfId="0" applyNumberFormat="1" applyFont="1" applyAlignment="1">
      <alignment horizontal="left" vertical="bottom" textRotation="0" indent="0" readingOrder="0"/>
    </xf>
    <xf numFmtId="165" fontId="6" fillId="0" borderId="3"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4" fontId="6" fillId="3" borderId="1" xfId="0" applyNumberFormat="1" applyFont="1" applyFill="1" applyBorder="1" applyAlignment="1">
      <alignment horizontal="right" vertical="bottom" textRotation="0" indent="0" readingOrder="0"/>
    </xf>
    <xf numFmtId="164" fontId="2" fillId="3" borderId="0" xfId="0" applyNumberFormat="1" applyFont="1" applyFill="1"/>
    <xf numFmtId="164" fontId="6" fillId="3" borderId="0" xfId="0" applyNumberFormat="1" applyFont="1" applyFill="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2" fillId="0" borderId="0" xfId="0" applyNumberFormat="1" applyFont="1"/>
    <xf numFmtId="165" fontId="7" fillId="0" borderId="1" xfId="0" applyNumberFormat="1" applyFont="1" applyBorder="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4" fontId="2" fillId="0" borderId="1" xfId="0" applyNumberFormat="1" applyFont="1" applyBorder="1"/>
    <xf numFmtId="164" fontId="2" fillId="3" borderId="1" xfId="0" applyNumberFormat="1" applyFont="1" applyFill="1" applyBorder="1"/>
    <xf numFmtId="166" fontId="3" fillId="0" borderId="0" xfId="0" applyNumberFormat="1" applyFont="1" applyAlignment="1">
      <alignment horizontal="left" vertical="top" textRotation="0" wrapText="1" indent="0" readingOrder="0"/>
    </xf>
    <xf numFmtId="166" fontId="3" fillId="0" borderId="0" xfId="0" applyNumberFormat="1" applyFont="1" applyAlignment="1">
      <alignment horizontal="left" vertical="top" textRotation="0" indent="0" readingOrder="0"/>
    </xf>
    <xf numFmtId="164" fontId="6" fillId="2"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4" fillId="0" borderId="0" xfId="0" applyNumberFormat="1" applyFont="1" applyAlignment="1">
      <alignment horizontal="right" vertical="top" textRotation="0" indent="0" readingOrder="0"/>
    </xf>
    <xf numFmtId="164" fontId="6" fillId="3" borderId="0" xfId="0" applyNumberFormat="1" applyFont="1" applyFill="1" applyAlignment="1">
      <alignment horizontal="left" vertical="top" textRotation="0" wrapText="1" indent="0" readingOrder="0"/>
    </xf>
    <xf numFmtId="164" fontId="3" fillId="0" borderId="0" xfId="0" applyNumberFormat="1" applyFont="1"/>
    <xf numFmtId="164" fontId="6" fillId="0" borderId="0" xfId="0" applyNumberFormat="1" applyFont="1"/>
    <xf numFmtId="164" fontId="3" fillId="0" borderId="0" xfId="0" applyNumberFormat="1" applyFont="1" applyAlignment="1">
      <alignment horizontal="left" vertical="bottom" textRotation="0" indent="0" readingOrder="0"/>
    </xf>
    <xf numFmtId="164" fontId="6" fillId="3" borderId="1" xfId="0" applyNumberFormat="1" applyFont="1" applyFill="1" applyBorder="1" applyAlignment="1">
      <alignment horizontal="right" vertical="bottom" textRotation="0" indent="0" readingOrder="0"/>
    </xf>
    <xf numFmtId="164" fontId="2" fillId="0" borderId="0" xfId="0" applyNumberFormat="1" applyFont="1"/>
    <xf numFmtId="164" fontId="6" fillId="3" borderId="0" xfId="0" applyNumberFormat="1" applyFont="1" applyFill="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8" fontId="4" fillId="4" borderId="0" xfId="0" applyNumberFormat="1" applyFont="1" applyFill="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6" fillId="2" borderId="0" xfId="0" applyNumberFormat="1" applyFont="1" applyFill="1" applyAlignment="1">
      <alignment horizontal="right" vertical="bottom" textRotation="0" indent="0" readingOrder="0"/>
    </xf>
    <xf numFmtId="164" fontId="2" fillId="3" borderId="0" xfId="0" applyNumberFormat="1" applyFont="1" applyFill="1"/>
    <xf numFmtId="168" fontId="4" fillId="4" borderId="1" xfId="0" applyNumberFormat="1" applyFont="1" applyFill="1" applyBorder="1" applyAlignment="1">
      <alignment horizontal="right" vertical="bottom" textRotation="0" indent="0" readingOrder="0"/>
    </xf>
    <xf numFmtId="164" fontId="2" fillId="0" borderId="1" xfId="0" applyNumberFormat="1" applyFont="1" applyBorder="1"/>
    <xf numFmtId="169" fontId="3" fillId="0" borderId="0" xfId="0" applyNumberFormat="1" applyFont="1" applyAlignment="1">
      <alignment horizontal="right" vertical="bottom" textRotation="0" indent="0" readingOrder="0"/>
    </xf>
    <xf numFmtId="164" fontId="2" fillId="3" borderId="1" xfId="0" applyNumberFormat="1" applyFont="1" applyFill="1" applyBorder="1"/>
    <xf numFmtId="165" fontId="7" fillId="0" borderId="0" xfId="0" applyNumberFormat="1" applyFont="1" applyAlignment="1">
      <alignment horizontal="right" vertical="bottom" textRotation="0" indent="0" readingOrder="0"/>
    </xf>
    <xf numFmtId="164" fontId="2" fillId="2" borderId="0" xfId="0" applyNumberFormat="1" applyFont="1" applyFill="1"/>
    <xf numFmtId="169" fontId="3" fillId="0" borderId="1"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8" fontId="3" fillId="0" borderId="1" xfId="0" applyNumberFormat="1" applyFont="1" applyBorder="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4" fontId="2" fillId="0" borderId="0" xfId="0" applyNumberFormat="1" applyFont="1"/>
    <xf numFmtId="165" fontId="3" fillId="0" borderId="0" xfId="0" applyNumberFormat="1" applyFont="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4" fontId="2" fillId="3" borderId="1" xfId="0" applyNumberFormat="1" applyFont="1" applyFill="1" applyBorder="1"/>
    <xf numFmtId="165" fontId="3" fillId="0" borderId="1" xfId="0" applyNumberFormat="1" applyFont="1" applyBorder="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2" fillId="2" borderId="0" xfId="0" applyNumberFormat="1" applyFont="1" applyFill="1"/>
    <xf numFmtId="165" fontId="6" fillId="0" borderId="3" xfId="0" applyNumberFormat="1" applyFont="1" applyBorder="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4" fontId="2" fillId="3" borderId="0" xfId="0" applyNumberFormat="1" applyFont="1" applyFill="1"/>
    <xf numFmtId="164" fontId="2" fillId="0" borderId="1" xfId="0" applyNumberFormat="1" applyFont="1" applyBorder="1"/>
    <xf numFmtId="164" fontId="6" fillId="3" borderId="1" xfId="0" applyNumberFormat="1" applyFont="1" applyFill="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6" fontId="3" fillId="0" borderId="0" xfId="0" applyNumberFormat="1" applyFont="1" applyAlignment="1">
      <alignment horizontal="left" vertical="top" textRotation="0" wrapText="1" indent="0" readingOrder="0"/>
    </xf>
    <xf numFmtId="166" fontId="3"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4" fillId="0" borderId="0" xfId="0" applyNumberFormat="1" applyFont="1" applyAlignment="1">
      <alignment horizontal="right" vertical="top" textRotation="0" indent="0" readingOrder="0"/>
    </xf>
    <xf numFmtId="164" fontId="6" fillId="2" borderId="0" xfId="0" applyNumberFormat="1" applyFont="1" applyFill="1" applyAlignment="1">
      <alignment horizontal="left" vertical="top" textRotation="0" wrapText="1" indent="0" readingOrder="0"/>
    </xf>
    <xf numFmtId="164" fontId="6" fillId="3" borderId="0" xfId="0" applyNumberFormat="1" applyFont="1" applyFill="1" applyAlignment="1">
      <alignment horizontal="left" vertical="top" textRotation="0" wrapText="1" indent="0" readingOrder="0"/>
    </xf>
    <xf numFmtId="164" fontId="3" fillId="0" borderId="0" xfId="0" applyNumberFormat="1" applyFont="1"/>
    <xf numFmtId="164" fontId="6" fillId="0" borderId="0" xfId="0" applyNumberFormat="1" applyFont="1"/>
    <xf numFmtId="168" fontId="4" fillId="4" borderId="0" xfId="0" applyNumberFormat="1" applyFont="1" applyFill="1" applyAlignment="1">
      <alignment horizontal="right" vertical="bottom" textRotation="0" indent="0" readingOrder="0"/>
    </xf>
    <xf numFmtId="164" fontId="2" fillId="0" borderId="0" xfId="0" applyNumberFormat="1" applyFont="1"/>
    <xf numFmtId="164" fontId="6" fillId="2" borderId="0" xfId="0" applyNumberFormat="1" applyFont="1" applyFill="1" applyAlignment="1">
      <alignment horizontal="left" vertical="bottom" textRotation="0" indent="0" readingOrder="0"/>
    </xf>
    <xf numFmtId="164" fontId="6" fillId="2" borderId="0" xfId="0" applyNumberFormat="1" applyFont="1" applyFill="1" applyAlignment="1">
      <alignment horizontal="right" vertical="bottom" textRotation="0" indent="0" readingOrder="0"/>
    </xf>
    <xf numFmtId="164" fontId="6" fillId="3" borderId="1" xfId="0" applyNumberFormat="1" applyFont="1" applyFill="1" applyBorder="1" applyAlignment="1">
      <alignment horizontal="right" vertical="bottom" textRotation="0" indent="0" readingOrder="0"/>
    </xf>
    <xf numFmtId="164" fontId="2" fillId="3" borderId="0" xfId="0" applyNumberFormat="1" applyFont="1" applyFill="1"/>
    <xf numFmtId="168" fontId="4" fillId="4" borderId="1" xfId="0" applyNumberFormat="1" applyFont="1" applyFill="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4" fontId="2" fillId="0" borderId="1" xfId="0" applyNumberFormat="1" applyFont="1" applyBorder="1"/>
    <xf numFmtId="164" fontId="3" fillId="0" borderId="0" xfId="0" applyNumberFormat="1" applyFont="1" applyAlignment="1">
      <alignment horizontal="left" vertical="bottom" textRotation="0" indent="0" readingOrder="0"/>
    </xf>
    <xf numFmtId="169" fontId="3" fillId="0" borderId="0" xfId="0" applyNumberFormat="1" applyFont="1" applyAlignment="1">
      <alignment horizontal="right" vertical="bottom" textRotation="0" indent="0" readingOrder="0"/>
    </xf>
    <xf numFmtId="164" fontId="2" fillId="3" borderId="1" xfId="0" applyNumberFormat="1" applyFont="1" applyFill="1" applyBorder="1"/>
    <xf numFmtId="165" fontId="7" fillId="0" borderId="0" xfId="0" applyNumberFormat="1" applyFont="1" applyAlignment="1">
      <alignment horizontal="right" vertical="bottom" textRotation="0" indent="0" readingOrder="0"/>
    </xf>
    <xf numFmtId="164" fontId="2" fillId="2" borderId="0" xfId="0" applyNumberFormat="1" applyFont="1" applyFill="1"/>
    <xf numFmtId="169" fontId="3" fillId="0" borderId="1"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8" fontId="3" fillId="0" borderId="1" xfId="0" applyNumberFormat="1" applyFont="1" applyBorder="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4" fontId="2" fillId="0" borderId="0" xfId="0" applyNumberFormat="1" applyFont="1"/>
    <xf numFmtId="165" fontId="3" fillId="0" borderId="0" xfId="0" applyNumberFormat="1" applyFont="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4" fontId="2" fillId="3" borderId="1" xfId="0" applyNumberFormat="1" applyFont="1" applyFill="1" applyBorder="1"/>
    <xf numFmtId="165" fontId="3" fillId="0" borderId="1" xfId="0" applyNumberFormat="1" applyFont="1" applyBorder="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2" fillId="2" borderId="0" xfId="0" applyNumberFormat="1" applyFont="1" applyFill="1"/>
    <xf numFmtId="165" fontId="6" fillId="0" borderId="3" xfId="0" applyNumberFormat="1" applyFont="1" applyBorder="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4" fontId="2" fillId="3" borderId="0" xfId="0" applyNumberFormat="1" applyFont="1" applyFill="1"/>
    <xf numFmtId="164" fontId="2" fillId="0" borderId="1" xfId="0" applyNumberFormat="1" applyFont="1" applyBorder="1"/>
    <xf numFmtId="164" fontId="6" fillId="3" borderId="1" xfId="0" applyNumberFormat="1" applyFont="1" applyFill="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6" fontId="3" fillId="0" borderId="0" xfId="0" applyNumberFormat="1" applyFont="1" applyAlignment="1">
      <alignment horizontal="left" vertical="top" textRotation="0" wrapText="1" indent="0" readingOrder="0"/>
    </xf>
    <xf numFmtId="166" fontId="3"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4" fillId="0" borderId="0" xfId="0" applyNumberFormat="1" applyFont="1" applyAlignment="1">
      <alignment horizontal="right" vertical="top" textRotation="0" indent="0" readingOrder="0"/>
    </xf>
    <xf numFmtId="164" fontId="6" fillId="2" borderId="0" xfId="0" applyNumberFormat="1" applyFont="1" applyFill="1" applyAlignment="1">
      <alignment horizontal="left" vertical="top" textRotation="0" wrapText="1" indent="0" readingOrder="0"/>
    </xf>
    <xf numFmtId="164" fontId="6" fillId="3" borderId="0" xfId="0" applyNumberFormat="1" applyFont="1" applyFill="1" applyAlignment="1">
      <alignment horizontal="left" vertical="top" textRotation="0" wrapText="1" indent="0" readingOrder="0"/>
    </xf>
    <xf numFmtId="164" fontId="3" fillId="0" borderId="0" xfId="0" applyNumberFormat="1" applyFont="1"/>
    <xf numFmtId="164" fontId="6" fillId="0" borderId="0" xfId="0" applyNumberFormat="1" applyFont="1"/>
    <xf numFmtId="168" fontId="4" fillId="4" borderId="0" xfId="0" applyNumberFormat="1" applyFont="1" applyFill="1" applyAlignment="1">
      <alignment horizontal="right" vertical="bottom" textRotation="0" indent="0" readingOrder="0"/>
    </xf>
    <xf numFmtId="164" fontId="2" fillId="0" borderId="0" xfId="0" applyNumberFormat="1" applyFont="1"/>
    <xf numFmtId="164" fontId="6" fillId="2" borderId="0" xfId="0" applyNumberFormat="1" applyFont="1" applyFill="1" applyAlignment="1">
      <alignment horizontal="left" vertical="bottom" textRotation="0" indent="0" readingOrder="0"/>
    </xf>
    <xf numFmtId="164" fontId="6" fillId="2" borderId="0" xfId="0" applyNumberFormat="1" applyFont="1" applyFill="1" applyAlignment="1">
      <alignment horizontal="right" vertical="bottom" textRotation="0" indent="0" readingOrder="0"/>
    </xf>
    <xf numFmtId="164" fontId="6" fillId="3" borderId="1" xfId="0" applyNumberFormat="1" applyFont="1" applyFill="1" applyBorder="1" applyAlignment="1">
      <alignment horizontal="right" vertical="bottom" textRotation="0" indent="0" readingOrder="0"/>
    </xf>
    <xf numFmtId="164" fontId="2" fillId="3" borderId="0" xfId="0" applyNumberFormat="1" applyFont="1" applyFill="1"/>
    <xf numFmtId="168" fontId="4" fillId="4" borderId="1" xfId="0" applyNumberFormat="1" applyFont="1" applyFill="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4" fontId="2" fillId="0" borderId="1" xfId="0" applyNumberFormat="1" applyFont="1" applyBorder="1"/>
    <xf numFmtId="164" fontId="3" fillId="0" borderId="0" xfId="0" applyNumberFormat="1" applyFont="1" applyAlignment="1">
      <alignment horizontal="left" vertical="bottom" textRotation="0" indent="0" readingOrder="0"/>
    </xf>
    <xf numFmtId="169" fontId="3" fillId="0" borderId="0" xfId="0" applyNumberFormat="1" applyFont="1" applyAlignment="1">
      <alignment horizontal="right" vertical="bottom" textRotation="0" indent="0" readingOrder="0"/>
    </xf>
    <xf numFmtId="164" fontId="2" fillId="3" borderId="1" xfId="0" applyNumberFormat="1" applyFont="1" applyFill="1" applyBorder="1"/>
    <xf numFmtId="165" fontId="7" fillId="0" borderId="0" xfId="0" applyNumberFormat="1" applyFont="1" applyAlignment="1">
      <alignment horizontal="right" vertical="bottom" textRotation="0" indent="0" readingOrder="0"/>
    </xf>
    <xf numFmtId="164" fontId="2" fillId="2" borderId="0" xfId="0" applyNumberFormat="1" applyFont="1" applyFill="1"/>
    <xf numFmtId="169" fontId="3" fillId="0" borderId="1"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8" fontId="3" fillId="0" borderId="1" xfId="0" applyNumberFormat="1" applyFont="1" applyBorder="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4" fontId="2" fillId="0" borderId="0" xfId="0" applyNumberFormat="1" applyFont="1"/>
    <xf numFmtId="165" fontId="3" fillId="0" borderId="0" xfId="0" applyNumberFormat="1" applyFont="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4" fontId="2" fillId="3" borderId="1" xfId="0" applyNumberFormat="1" applyFont="1" applyFill="1" applyBorder="1"/>
    <xf numFmtId="165" fontId="3" fillId="0" borderId="1" xfId="0" applyNumberFormat="1" applyFont="1" applyBorder="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2" fillId="2" borderId="0" xfId="0" applyNumberFormat="1" applyFont="1" applyFill="1"/>
    <xf numFmtId="165" fontId="6" fillId="0" borderId="3" xfId="0" applyNumberFormat="1" applyFont="1" applyBorder="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4" fontId="2" fillId="3" borderId="0" xfId="0" applyNumberFormat="1" applyFont="1" applyFill="1"/>
    <xf numFmtId="164" fontId="2" fillId="0" borderId="1" xfId="0" applyNumberFormat="1" applyFont="1" applyBorder="1"/>
    <xf numFmtId="164" fontId="6" fillId="3" borderId="1" xfId="0" applyNumberFormat="1" applyFont="1" applyFill="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8" fontId="4" fillId="4" borderId="0" xfId="0" applyNumberFormat="1" applyFont="1" applyFill="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2" fillId="2" borderId="0" xfId="0" applyNumberFormat="1" applyFont="1" applyFill="1"/>
    <xf numFmtId="164" fontId="3" fillId="0" borderId="0" xfId="0" applyNumberFormat="1" applyFont="1" applyAlignment="1">
      <alignment horizontal="left" vertical="bottom" textRotation="0" indent="0" readingOrder="0"/>
    </xf>
    <xf numFmtId="168" fontId="4" fillId="4" borderId="1" xfId="0" applyNumberFormat="1" applyFont="1" applyFill="1" applyBorder="1" applyAlignment="1">
      <alignment horizontal="right" vertical="bottom" textRotation="0" indent="0" readingOrder="0"/>
    </xf>
    <xf numFmtId="165" fontId="4" fillId="0" borderId="0" xfId="0" applyNumberFormat="1" applyFont="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9" fontId="3" fillId="0" borderId="0" xfId="0" applyNumberFormat="1" applyFont="1" applyAlignment="1">
      <alignment horizontal="right" vertical="bottom" textRotation="0" indent="0" readingOrder="0"/>
    </xf>
    <xf numFmtId="164" fontId="2" fillId="0" borderId="0" xfId="0" applyNumberFormat="1" applyFont="1"/>
    <xf numFmtId="168" fontId="3" fillId="0" borderId="1"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4" fontId="2" fillId="0" borderId="1" xfId="0" applyNumberFormat="1" applyFont="1" applyBorder="1"/>
    <xf numFmtId="164" fontId="2" fillId="3" borderId="0" xfId="0" applyNumberFormat="1" applyFont="1" applyFill="1"/>
    <xf numFmtId="164" fontId="6" fillId="3" borderId="0" xfId="0" applyNumberFormat="1" applyFont="1" applyFill="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6" fillId="3" borderId="1" xfId="0" applyNumberFormat="1" applyFont="1" applyFill="1" applyBorder="1" applyAlignment="1">
      <alignment horizontal="right" vertical="bottom" textRotation="0" indent="0" readingOrder="0"/>
    </xf>
    <xf numFmtId="164" fontId="2" fillId="3" borderId="1" xfId="0" applyNumberFormat="1" applyFont="1" applyFill="1" applyBorder="1"/>
    <xf numFmtId="165" fontId="4" fillId="0" borderId="1" xfId="0" applyNumberFormat="1" applyFont="1" applyBorder="1" applyAlignment="1">
      <alignment horizontal="right" vertical="bottom" textRotation="0" indent="0" readingOrder="0"/>
    </xf>
    <xf numFmtId="169" fontId="3"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5" fontId="3" fillId="0" borderId="1" xfId="0" applyNumberFormat="1" applyFont="1" applyBorder="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4" fontId="2" fillId="3" borderId="0" xfId="0" applyNumberFormat="1" applyFont="1" applyFill="1"/>
    <xf numFmtId="164" fontId="2" fillId="0" borderId="0" xfId="0" applyNumberFormat="1" applyFont="1"/>
    <xf numFmtId="164" fontId="6" fillId="2" borderId="0" xfId="0" applyNumberFormat="1" applyFont="1" applyFill="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6" fillId="0" borderId="2" xfId="0" applyNumberFormat="1" applyFont="1" applyBorder="1" applyAlignment="1">
      <alignment horizontal="left" vertical="bottom" textRotation="0" indent="0" readingOrder="0"/>
    </xf>
    <xf numFmtId="164" fontId="2" fillId="2" borderId="0" xfId="0" applyNumberFormat="1" applyFont="1" applyFill="1"/>
    <xf numFmtId="164" fontId="6" fillId="3" borderId="1" xfId="0" applyNumberFormat="1" applyFont="1" applyFill="1" applyBorder="1" applyAlignment="1">
      <alignment horizontal="right" vertical="bottom" textRotation="0" indent="0" readingOrder="0"/>
    </xf>
    <xf numFmtId="164" fontId="2" fillId="3" borderId="1" xfId="0" applyNumberFormat="1" applyFont="1" applyFill="1" applyBorder="1"/>
    <xf numFmtId="164" fontId="6" fillId="3" borderId="0" xfId="0" applyNumberFormat="1" applyFont="1" applyFill="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4" fontId="2" fillId="0" borderId="1" xfId="0" applyNumberFormat="1" applyFont="1" applyBorder="1"/>
    <xf numFmtId="165" fontId="6" fillId="0" borderId="3"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5" fontId="6" fillId="0" borderId="2" xfId="0" applyNumberFormat="1" applyFont="1" applyBorder="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4" fontId="2" fillId="2" borderId="0" xfId="0" applyNumberFormat="1" applyFont="1" applyFill="1"/>
    <xf numFmtId="165" fontId="9" fillId="0" borderId="2" xfId="0" applyNumberFormat="1" applyFont="1" applyBorder="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2" fillId="3" borderId="0" xfId="0" applyNumberFormat="1" applyFont="1" applyFill="1"/>
    <xf numFmtId="164" fontId="2" fillId="0" borderId="0" xfId="0" applyNumberFormat="1" applyFont="1"/>
    <xf numFmtId="164" fontId="6" fillId="2" borderId="0" xfId="0" applyNumberFormat="1" applyFont="1" applyFill="1" applyAlignment="1">
      <alignment horizontal="left" vertical="bottom" textRotation="0" indent="0" readingOrder="0"/>
    </xf>
    <xf numFmtId="164" fontId="6" fillId="3" borderId="1" xfId="0" applyNumberFormat="1" applyFont="1" applyFill="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4" fontId="6" fillId="0" borderId="2" xfId="0" applyNumberFormat="1" applyFont="1" applyBorder="1" applyAlignment="1">
      <alignment horizontal="left" vertical="bottom" textRotation="0" indent="0" readingOrder="0"/>
    </xf>
    <xf numFmtId="164" fontId="2" fillId="3" borderId="1" xfId="0" applyNumberFormat="1" applyFont="1" applyFill="1" applyBorder="1"/>
    <xf numFmtId="164" fontId="2" fillId="0" borderId="1" xfId="0" applyNumberFormat="1" applyFont="1" applyBorder="1"/>
    <xf numFmtId="165" fontId="3" fillId="0" borderId="0" xfId="0" applyNumberFormat="1" applyFont="1" applyAlignment="1">
      <alignment horizontal="right" vertical="bottom" textRotation="0" indent="0" readingOrder="0"/>
    </xf>
    <xf numFmtId="164" fontId="3" fillId="0" borderId="0" xfId="0" applyNumberFormat="1" applyFont="1" applyAlignment="1">
      <alignment horizontal="center" vertical="bottom" textRotation="0" indent="0" readingOrder="0"/>
    </xf>
    <xf numFmtId="164" fontId="3" fillId="0" borderId="0" xfId="0" applyNumberFormat="1" applyFont="1" applyAlignment="1">
      <alignment horizontal="left" vertical="bottom" textRotation="0" indent="0" readingOrder="0"/>
    </xf>
    <xf numFmtId="164" fontId="6" fillId="3" borderId="1" xfId="0" applyNumberFormat="1" applyFont="1" applyFill="1" applyBorder="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3" fillId="0" borderId="0" xfId="0" applyNumberFormat="1" applyFont="1"/>
    <xf numFmtId="164" fontId="6" fillId="3" borderId="1" xfId="0" applyNumberFormat="1" applyFont="1" applyFill="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4" fontId="6" fillId="0" borderId="0" xfId="0" applyNumberFormat="1" applyFont="1" applyAlignment="1">
      <alignment horizontal="center" vertical="bottom" textRotation="0" indent="0" readingOrder="0"/>
    </xf>
    <xf numFmtId="165" fontId="4" fillId="4" borderId="0" xfId="0" applyNumberFormat="1" applyFont="1" applyFill="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4" fontId="2" fillId="0" borderId="0" xfId="0" applyNumberFormat="1" applyFont="1"/>
    <xf numFmtId="164" fontId="10" fillId="0" borderId="0" xfId="0" applyNumberFormat="1" applyFont="1" applyAlignment="1">
      <alignment horizontal="left" vertical="bottom" textRotation="0" indent="0" readingOrder="0"/>
    </xf>
    <xf numFmtId="165" fontId="3" fillId="0" borderId="0" xfId="0" applyNumberFormat="1" applyFont="1" applyAlignment="1">
      <alignment horizontal="right" vertical="bottom" textRotation="0" indent="0" readingOrder="0"/>
    </xf>
    <xf numFmtId="165" fontId="4" fillId="4" borderId="1" xfId="0" applyNumberFormat="1" applyFont="1" applyFill="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4" fontId="2" fillId="3" borderId="0" xfId="0" applyNumberFormat="1" applyFont="1" applyFill="1"/>
    <xf numFmtId="164" fontId="6" fillId="3" borderId="1" xfId="0" applyNumberFormat="1" applyFont="1" applyFill="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4" fontId="2" fillId="3" borderId="1" xfId="0" applyNumberFormat="1" applyFont="1" applyFill="1" applyBorder="1"/>
    <xf numFmtId="164" fontId="2" fillId="0" borderId="1" xfId="0" applyNumberFormat="1" applyFont="1" applyBorder="1"/>
    <xf numFmtId="164" fontId="6" fillId="0" borderId="0" xfId="0" applyNumberFormat="1" applyFont="1" applyAlignment="1">
      <alignment horizontal="left" vertical="bottom" textRotation="0" indent="0" readingOrder="0"/>
    </xf>
    <xf numFmtId="164" fontId="6" fillId="2" borderId="0" xfId="0" applyNumberFormat="1" applyFont="1" applyFill="1" applyAlignment="1">
      <alignment horizontal="right" vertical="bottom" textRotation="0" indent="0" readingOrder="0"/>
    </xf>
    <xf numFmtId="164" fontId="2" fillId="2" borderId="0" xfId="0" applyNumberFormat="1" applyFont="1" applyFill="1"/>
    <xf numFmtId="164" fontId="6" fillId="3" borderId="0" xfId="0" applyNumberFormat="1" applyFont="1" applyFill="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3" fillId="0" borderId="0" xfId="0" applyNumberFormat="1" applyFont="1" applyAlignment="1">
      <alignment horizontal="left" vertical="bottom" textRotation="0" indent="0" readingOrder="0"/>
    </xf>
    <xf numFmtId="165" fontId="3" fillId="0" borderId="1" xfId="0" applyNumberFormat="1" applyFont="1" applyBorder="1" applyAlignment="1">
      <alignment horizontal="right" vertical="bottom" textRotation="0" indent="0" readingOrder="0"/>
    </xf>
    <xf numFmtId="164" fontId="2" fillId="3" borderId="0" xfId="0" applyNumberFormat="1" applyFont="1" applyFill="1"/>
    <xf numFmtId="165" fontId="9" fillId="0" borderId="2" xfId="0" applyNumberFormat="1" applyFont="1" applyBorder="1" applyAlignment="1">
      <alignment horizontal="right" vertical="bottom" textRotation="0" indent="0" readingOrder="0"/>
    </xf>
    <xf numFmtId="165" fontId="6" fillId="0" borderId="2" xfId="0" applyNumberFormat="1" applyFont="1" applyBorder="1" applyAlignment="1">
      <alignment horizontal="right" vertical="bottom" textRotation="0" indent="0" readingOrder="0"/>
    </xf>
    <xf numFmtId="164" fontId="2" fillId="0" borderId="0" xfId="0" applyNumberFormat="1" applyFont="1"/>
    <xf numFmtId="165" fontId="7" fillId="0" borderId="1" xfId="0" applyNumberFormat="1" applyFont="1" applyBorder="1" applyAlignment="1">
      <alignment horizontal="right" vertical="bottom" textRotation="0" indent="0" readingOrder="0"/>
    </xf>
    <xf numFmtId="164" fontId="6" fillId="3" borderId="0" xfId="0" applyNumberFormat="1" applyFont="1" applyFill="1" applyAlignment="1">
      <alignment horizontal="right" vertical="bottom" textRotation="0" indent="0" readingOrder="0"/>
    </xf>
    <xf numFmtId="164" fontId="6" fillId="2" borderId="0" xfId="0" applyNumberFormat="1" applyFont="1" applyFill="1" applyAlignment="1">
      <alignment horizontal="right" vertical="bottom" textRotation="0" indent="0" readingOrder="0"/>
    </xf>
    <xf numFmtId="164" fontId="2" fillId="2" borderId="0" xfId="0" applyNumberFormat="1" applyFont="1" applyFill="1"/>
    <xf numFmtId="164" fontId="6" fillId="0" borderId="2" xfId="0" applyNumberFormat="1" applyFont="1" applyBorder="1" applyAlignment="1">
      <alignment horizontal="left" vertical="bottom" textRotation="0" indent="0" readingOrder="0"/>
    </xf>
    <xf numFmtId="164" fontId="2" fillId="3" borderId="1" xfId="0" applyNumberFormat="1" applyFont="1" applyFill="1" applyBorder="1"/>
    <xf numFmtId="164" fontId="6" fillId="3" borderId="1" xfId="0" applyNumberFormat="1" applyFont="1" applyFill="1" applyBorder="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5" fontId="6" fillId="0" borderId="3" xfId="0" applyNumberFormat="1" applyFont="1" applyBorder="1" applyAlignment="1">
      <alignment horizontal="right" vertical="bottom" textRotation="0" indent="0" readingOrder="0"/>
    </xf>
    <xf numFmtId="164" fontId="2" fillId="0" borderId="1" xfId="0" applyNumberFormat="1" applyFont="1" applyBorder="1"/>
    <xf numFmtId="164" fontId="3" fillId="0" borderId="0" xfId="0" applyNumberFormat="1" applyFont="1" applyAlignment="1">
      <alignment horizontal="left" vertical="bottom" textRotation="0" indent="0" readingOrder="0"/>
    </xf>
    <xf numFmtId="165" fontId="3" fillId="0" borderId="0" xfId="0" applyNumberFormat="1" applyFont="1" applyAlignment="1">
      <alignment horizontal="right" vertical="bottom" textRotation="0" indent="0" readingOrder="0"/>
    </xf>
    <xf numFmtId="164" fontId="3" fillId="0" borderId="0" xfId="0" applyNumberFormat="1" applyFont="1"/>
    <xf numFmtId="165" fontId="7" fillId="0" borderId="0" xfId="0" applyNumberFormat="1" applyFont="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4" fontId="6" fillId="2" borderId="0" xfId="0" applyNumberFormat="1" applyFont="1" applyFill="1" applyAlignment="1">
      <alignment horizontal="left" vertical="bottom" textRotation="0" indent="0" readingOrder="0"/>
    </xf>
    <xf numFmtId="164" fontId="6" fillId="3" borderId="1" xfId="0" applyNumberFormat="1" applyFont="1" applyFill="1" applyBorder="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4" fontId="3" fillId="0" borderId="0" xfId="0" applyNumberFormat="1" applyFont="1" applyAlignment="1">
      <alignment horizontal="center" vertical="bottom" textRotation="0" indent="0" readingOrder="0"/>
    </xf>
    <xf numFmtId="164" fontId="6" fillId="3" borderId="1" xfId="0" applyNumberFormat="1" applyFont="1" applyFill="1" applyBorder="1" applyAlignment="1">
      <alignment horizontal="right" vertical="bottom" textRotation="0" indent="0" readingOrder="0"/>
    </xf>
    <xf numFmtId="164" fontId="6" fillId="0" borderId="0" xfId="0" applyNumberFormat="1" applyFont="1" applyAlignment="1">
      <alignment horizontal="center" vertical="bottom" textRotation="0" indent="0" readingOrder="0"/>
    </xf>
    <xf numFmtId="164" fontId="6" fillId="0" borderId="0" xfId="0" applyNumberFormat="1" applyFont="1" applyAlignment="1">
      <alignment horizontal="left" vertical="bottom" textRotation="0" indent="0" readingOrder="0"/>
    </xf>
    <xf numFmtId="164" fontId="3" fillId="0" borderId="0" xfId="0" applyNumberFormat="1" applyFont="1"/>
    <xf numFmtId="170" fontId="3" fillId="0" borderId="0" xfId="0" applyNumberFormat="1" applyFont="1"/>
    <xf numFmtId="164" fontId="6" fillId="0" borderId="0" xfId="0" applyNumberFormat="1" applyFont="1" applyAlignment="1">
      <alignment horizontal="center" vertical="bottom" textRotation="0" indent="0" readingOrder="0"/>
    </xf>
    <xf numFmtId="164" fontId="6" fillId="0" borderId="0" xfId="0" applyNumberFormat="1" applyFont="1"/>
    <xf numFmtId="164" fontId="9" fillId="0" borderId="0" xfId="0" applyNumberFormat="1" applyFont="1" applyAlignment="1">
      <alignment horizontal="center" vertical="bottom" textRotation="0" indent="0" readingOrder="0"/>
    </xf>
    <xf numFmtId="164" fontId="3" fillId="0" borderId="0" xfId="0" applyNumberFormat="1" applyFont="1" applyAlignment="1">
      <alignment horizontal="left" vertical="bottom" textRotation="0" indent="0" readingOrder="0"/>
    </xf>
    <xf numFmtId="164" fontId="2" fillId="2" borderId="0" xfId="0" applyNumberFormat="1" applyFont="1" applyFill="1"/>
    <xf numFmtId="164" fontId="2" fillId="0" borderId="0" xfId="0" applyNumberFormat="1" applyFont="1"/>
    <xf numFmtId="164" fontId="6" fillId="2" borderId="0" xfId="0" applyNumberFormat="1" applyFont="1" applyFill="1" applyAlignment="1">
      <alignment horizontal="right" vertical="bottom" textRotation="0" indent="0" readingOrder="0"/>
    </xf>
    <xf numFmtId="164" fontId="6" fillId="2" borderId="0" xfId="0" applyNumberFormat="1" applyFont="1" applyFill="1" applyAlignment="1">
      <alignment horizontal="left" vertical="bottom" textRotation="0" indent="0" readingOrder="0"/>
    </xf>
    <xf numFmtId="164" fontId="6" fillId="2" borderId="0" xfId="0" applyNumberFormat="1" applyFont="1" applyFill="1" applyAlignment="1">
      <alignment horizontal="center" vertical="bottom" textRotation="0" indent="0" readingOrder="0"/>
    </xf>
    <xf numFmtId="164" fontId="6" fillId="3" borderId="0" xfId="0" applyNumberFormat="1" applyFont="1" applyFill="1" applyAlignment="1">
      <alignment horizontal="center" vertical="bottom" textRotation="0" indent="0" readingOrder="0"/>
    </xf>
    <xf numFmtId="164" fontId="6" fillId="3" borderId="1" xfId="0" applyNumberFormat="1" applyFont="1" applyFill="1" applyBorder="1" applyAlignment="1">
      <alignment horizontal="center" vertical="bottom" textRotation="0" indent="0" readingOrder="0"/>
    </xf>
    <xf numFmtId="0" fontId="11" fillId="0" borderId="0" xfId="0" applyFont="1" applyFill="1" applyAlignment="1" applyProtection="1">
      <alignment vertical="top"/>
      <protection locked="1" hidden="0"/>
    </xf>
    <xf numFmtId="0" fontId="12" fillId="0" borderId="0" xfId="0" applyFont="1" applyFill="1" applyProtection="1">
      <protection locked="1" hidden="0"/>
    </xf>
    <xf numFmtId="171" fontId="11"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2"/>
  <sheetViews>
    <sheetView showGridLines="0" tabSelected="1" workbookViewId="0"/>
  </sheetViews>
  <sheetFormatPr defaultColWidth="8.375" defaultRowHeight="15"/>
  <cols>
    <col min="1" max="1" width="43.125" customWidth="1"/>
    <col min="2" max="11" width="12.5" customWidth="1"/>
  </cols>
  <sheetData>
    <row r="1">
      <c r="A1" s="530" t="s">
        <v>0</v>
      </c>
      <c r="B1" s="6"/>
      <c r="C1" s="6"/>
      <c r="D1" s="6"/>
      <c r="E1" s="6"/>
      <c r="F1" s="6"/>
      <c r="G1" s="8"/>
      <c r="H1" s="9"/>
      <c r="I1" s="9"/>
      <c r="J1" s="9"/>
      <c r="K1" s="9"/>
    </row>
    <row r="2">
      <c r="A2" s="526" t="s">
        <v>1</v>
      </c>
      <c r="G2" s="11"/>
    </row>
    <row r="3">
      <c r="A3" s="526" t="s">
        <v>2</v>
      </c>
      <c r="G3" s="11"/>
    </row>
    <row r="4">
      <c r="A4" s="1"/>
      <c r="B4" s="1"/>
      <c r="C4" s="1"/>
      <c r="D4" s="1"/>
      <c r="E4" s="1"/>
      <c r="F4" s="1"/>
      <c r="G4" s="11"/>
      <c r="H4" s="1"/>
      <c r="I4" s="1"/>
      <c r="J4" s="1"/>
      <c r="K4" s="1"/>
    </row>
    <row r="5">
      <c r="A5" s="530" t="s">
        <v>3</v>
      </c>
      <c r="B5" s="531" t="s">
        <v>4</v>
      </c>
      <c r="C5" s="531" t="s">
        <v>5</v>
      </c>
      <c r="D5" s="531" t="s">
        <v>6</v>
      </c>
      <c r="E5" s="531" t="s">
        <v>7</v>
      </c>
      <c r="F5" s="531" t="s">
        <v>8</v>
      </c>
      <c r="G5" s="533" t="s">
        <v>9</v>
      </c>
      <c r="H5" s="532" t="s">
        <v>10</v>
      </c>
      <c r="I5" s="532" t="s">
        <v>11</v>
      </c>
      <c r="J5" s="532" t="s">
        <v>12</v>
      </c>
      <c r="K5" s="532" t="s">
        <v>13</v>
      </c>
    </row>
    <row r="6">
      <c r="A6" s="530" t="s">
        <v>14</v>
      </c>
      <c r="B6" s="6"/>
      <c r="C6" s="6"/>
      <c r="D6" s="6"/>
      <c r="E6" s="6"/>
      <c r="F6" s="6"/>
      <c r="G6" s="8"/>
      <c r="H6" s="9"/>
      <c r="I6" s="9"/>
      <c r="J6" s="9"/>
      <c r="K6" s="9"/>
    </row>
    <row r="7">
      <c r="A7" s="526" t="s">
        <v>15</v>
      </c>
      <c r="B7" s="410">
        <v>446526908</v>
      </c>
      <c r="C7" s="410">
        <v>475476377</v>
      </c>
      <c r="D7" s="410">
        <v>460436761</v>
      </c>
      <c r="E7" s="410">
        <v>471286765</v>
      </c>
      <c r="F7" s="410">
        <v>477606859</v>
      </c>
      <c r="G7" s="4"/>
      <c r="H7" s="3"/>
      <c r="I7" s="3"/>
      <c r="J7" s="3"/>
      <c r="K7" s="3"/>
    </row>
    <row r="8">
      <c r="A8" s="526" t="s">
        <v>16</v>
      </c>
      <c r="B8" s="410">
        <v>4324870</v>
      </c>
      <c r="C8" s="410">
        <v>3967649</v>
      </c>
      <c r="D8" s="410">
        <v>10430308</v>
      </c>
      <c r="E8" s="410">
        <v>3049990</v>
      </c>
      <c r="F8" s="410">
        <v>3273534</v>
      </c>
      <c r="G8" s="4"/>
      <c r="H8" s="3"/>
      <c r="I8" s="3"/>
      <c r="J8" s="3"/>
      <c r="K8" s="3"/>
    </row>
    <row r="9">
      <c r="A9" s="526" t="s">
        <v>17</v>
      </c>
      <c r="B9" s="410">
        <v>-151521675</v>
      </c>
      <c r="C9" s="410">
        <v>-187725448</v>
      </c>
      <c r="D9" s="410">
        <v>-172601924</v>
      </c>
      <c r="E9" s="410">
        <v>-172621803</v>
      </c>
      <c r="F9" s="410">
        <v>-184583589</v>
      </c>
      <c r="G9" s="4"/>
      <c r="H9" s="3"/>
      <c r="I9" s="3"/>
      <c r="J9" s="3"/>
      <c r="K9" s="3"/>
    </row>
    <row r="10">
      <c r="A10" s="526" t="s">
        <v>18</v>
      </c>
      <c r="B10" s="410">
        <v>-101910296</v>
      </c>
      <c r="C10" s="410">
        <v>-91798432</v>
      </c>
      <c r="D10" s="410">
        <v>-85551297</v>
      </c>
      <c r="E10" s="410">
        <v>-86117863</v>
      </c>
      <c r="F10" s="410">
        <v>-78107263</v>
      </c>
      <c r="G10" s="4"/>
      <c r="H10" s="3"/>
      <c r="I10" s="3"/>
      <c r="J10" s="3"/>
      <c r="K10" s="3"/>
    </row>
    <row r="11">
      <c r="A11" s="526" t="s">
        <v>19</v>
      </c>
      <c r="B11" s="410">
        <v>-78191068</v>
      </c>
      <c r="C11" s="410">
        <v>-82630079</v>
      </c>
      <c r="D11" s="410">
        <v>-84367143</v>
      </c>
      <c r="E11" s="410">
        <v>-90003575</v>
      </c>
      <c r="F11" s="410">
        <v>-92534638</v>
      </c>
      <c r="G11" s="4"/>
      <c r="H11" s="3"/>
      <c r="I11" s="3"/>
      <c r="J11" s="3"/>
      <c r="K11" s="3"/>
    </row>
    <row r="12">
      <c r="A12" s="526" t="s">
        <v>20</v>
      </c>
      <c r="B12" s="410">
        <v>-14499892</v>
      </c>
      <c r="C12" s="410">
        <v>-13788592</v>
      </c>
      <c r="D12" s="410">
        <v>-14598107</v>
      </c>
      <c r="E12" s="410">
        <v>-15421420</v>
      </c>
      <c r="F12" s="410">
        <v>-15968601</v>
      </c>
      <c r="G12" s="4"/>
      <c r="H12" s="3"/>
      <c r="I12" s="3"/>
      <c r="J12" s="3"/>
      <c r="K12" s="3"/>
    </row>
    <row r="13">
      <c r="A13" s="526" t="s">
        <v>21</v>
      </c>
      <c r="B13" s="410">
        <v>-4281088</v>
      </c>
      <c r="C13" s="410">
        <v>-4141096</v>
      </c>
      <c r="D13" s="410">
        <v>-3853656</v>
      </c>
      <c r="E13" s="410">
        <v>-4881754</v>
      </c>
      <c r="F13" s="410">
        <v>-5584457</v>
      </c>
      <c r="G13" s="4"/>
      <c r="H13" s="3"/>
      <c r="I13" s="3"/>
      <c r="J13" s="3"/>
      <c r="K13" s="3"/>
    </row>
    <row r="14">
      <c r="A14" s="526" t="s">
        <v>22</v>
      </c>
      <c r="B14" s="410">
        <v>-926879</v>
      </c>
      <c r="C14" s="410">
        <v>-767688</v>
      </c>
      <c r="D14" s="410">
        <v>-1432537</v>
      </c>
      <c r="E14" s="410">
        <v>-1418031</v>
      </c>
      <c r="F14" s="410">
        <v>-455297</v>
      </c>
      <c r="G14" s="4"/>
      <c r="H14" s="3"/>
      <c r="I14" s="3"/>
      <c r="J14" s="3"/>
      <c r="K14" s="3"/>
    </row>
    <row r="15">
      <c r="A15" s="526" t="s">
        <v>23</v>
      </c>
      <c r="B15" s="410">
        <v>-67772425</v>
      </c>
      <c r="C15" s="410">
        <v>-73044128</v>
      </c>
      <c r="D15" s="410">
        <v>-84424966</v>
      </c>
      <c r="E15" s="410">
        <v>-81815270</v>
      </c>
      <c r="F15" s="410">
        <v>-80604183</v>
      </c>
      <c r="G15" s="4"/>
      <c r="H15" s="3"/>
      <c r="I15" s="3"/>
      <c r="J15" s="3"/>
      <c r="K15" s="3"/>
    </row>
    <row r="16">
      <c r="A16" s="502" t="s">
        <v>24</v>
      </c>
      <c r="B16" s="5">
        <v>31748455</v>
      </c>
      <c r="C16" s="5">
        <v>25548563</v>
      </c>
      <c r="D16" s="5">
        <v>24037439</v>
      </c>
      <c r="E16" s="5">
        <v>22057039</v>
      </c>
      <c r="F16" s="5">
        <v>23042365</v>
      </c>
      <c r="G16" s="7"/>
      <c r="H16" s="5"/>
      <c r="I16" s="5"/>
      <c r="J16" s="5"/>
      <c r="K16" s="5"/>
    </row>
    <row r="17">
      <c r="A17" s="526" t="s">
        <v>25</v>
      </c>
      <c r="B17" s="410">
        <v>1827169</v>
      </c>
      <c r="C17" s="410">
        <v>2203898</v>
      </c>
      <c r="D17" s="410">
        <v>1911252</v>
      </c>
      <c r="E17" s="410">
        <v>2201801</v>
      </c>
      <c r="F17" s="410">
        <v>2520005</v>
      </c>
      <c r="G17" s="4"/>
      <c r="H17" s="3"/>
      <c r="I17" s="3"/>
      <c r="J17" s="3"/>
      <c r="K17" s="3"/>
    </row>
    <row r="18">
      <c r="A18" s="526" t="s">
        <v>26</v>
      </c>
      <c r="B18" s="410">
        <v>-1003513</v>
      </c>
      <c r="C18" s="410">
        <v>-925031</v>
      </c>
      <c r="D18" s="410">
        <v>-830555</v>
      </c>
      <c r="E18" s="410">
        <v>-1006351</v>
      </c>
      <c r="F18" s="410">
        <v>-1199370</v>
      </c>
      <c r="G18" s="4"/>
      <c r="H18" s="3"/>
      <c r="I18" s="3"/>
      <c r="J18" s="3"/>
      <c r="K18" s="3"/>
    </row>
    <row r="19">
      <c r="A19" s="526" t="s">
        <v>27</v>
      </c>
      <c r="B19" s="410">
        <v>-5077114</v>
      </c>
      <c r="C19" s="410">
        <v>-3585083</v>
      </c>
      <c r="D19" s="410">
        <v>-4658040</v>
      </c>
      <c r="E19" s="410">
        <v>-4941802</v>
      </c>
      <c r="F19" s="410">
        <v>-4478120</v>
      </c>
      <c r="G19" s="4"/>
      <c r="H19" s="3"/>
      <c r="I19" s="3"/>
      <c r="J19" s="3"/>
      <c r="K19" s="3"/>
    </row>
    <row r="20">
      <c r="A20" s="502" t="s">
        <v>28</v>
      </c>
      <c r="B20" s="5">
        <v>-4253458</v>
      </c>
      <c r="C20" s="5">
        <v>-2306216</v>
      </c>
      <c r="D20" s="5">
        <v>-3577343</v>
      </c>
      <c r="E20" s="5">
        <v>-3746352</v>
      </c>
      <c r="F20" s="5">
        <v>-3157485</v>
      </c>
      <c r="G20" s="7"/>
      <c r="H20" s="5"/>
      <c r="I20" s="5"/>
      <c r="J20" s="5"/>
      <c r="K20" s="5"/>
    </row>
    <row r="21">
      <c r="A21" s="526" t="s">
        <v>29</v>
      </c>
      <c r="B21" s="410">
        <v>1026225</v>
      </c>
      <c r="C21" s="410">
        <v>1366177</v>
      </c>
      <c r="D21" s="410">
        <v>1650460</v>
      </c>
      <c r="E21" s="410">
        <v>1225747</v>
      </c>
      <c r="F21" s="410">
        <v>1203147</v>
      </c>
      <c r="G21" s="4"/>
      <c r="H21" s="3"/>
      <c r="I21" s="3"/>
      <c r="J21" s="3"/>
      <c r="K21" s="3"/>
    </row>
    <row r="22">
      <c r="A22" s="502" t="s">
        <v>30</v>
      </c>
      <c r="B22" s="5">
        <v>28521222</v>
      </c>
      <c r="C22" s="5">
        <v>24608524</v>
      </c>
      <c r="D22" s="5">
        <v>22110556</v>
      </c>
      <c r="E22" s="5">
        <v>19536434</v>
      </c>
      <c r="F22" s="5">
        <v>21088027</v>
      </c>
      <c r="G22" s="7"/>
      <c r="H22" s="5"/>
      <c r="I22" s="5"/>
      <c r="J22" s="5"/>
      <c r="K22" s="5"/>
    </row>
    <row r="23">
      <c r="A23" s="526" t="s">
        <v>31</v>
      </c>
      <c r="B23" s="410">
        <v>-7315922</v>
      </c>
      <c r="C23" s="410">
        <v>-6603590</v>
      </c>
      <c r="D23" s="410">
        <v>-4017612</v>
      </c>
      <c r="E23" s="410">
        <v>-5061963</v>
      </c>
      <c r="F23" s="410">
        <v>-5141262</v>
      </c>
      <c r="G23" s="4"/>
      <c r="H23" s="3"/>
      <c r="I23" s="3"/>
      <c r="J23" s="3"/>
      <c r="K23" s="3"/>
    </row>
    <row r="24">
      <c r="A24" s="502" t="s">
        <v>32</v>
      </c>
      <c r="B24" s="5">
        <v>21205300</v>
      </c>
      <c r="C24" s="5">
        <v>18004934</v>
      </c>
      <c r="D24" s="5">
        <v>18092944</v>
      </c>
      <c r="E24" s="5">
        <v>14474471</v>
      </c>
      <c r="F24" s="5">
        <v>15946765</v>
      </c>
      <c r="G24" s="7"/>
      <c r="H24" s="5"/>
      <c r="I24" s="5"/>
      <c r="J24" s="5"/>
      <c r="K24" s="5"/>
    </row>
    <row r="25">
      <c r="A25" s="526" t="s">
        <v>33</v>
      </c>
      <c r="B25" s="410">
        <v>-84705</v>
      </c>
      <c r="C25" s="410">
        <v>107709</v>
      </c>
      <c r="D25" s="410">
        <v>321093</v>
      </c>
      <c r="E25" s="410">
        <v>79637</v>
      </c>
      <c r="F25" s="410">
        <v>14817</v>
      </c>
      <c r="G25" s="4"/>
      <c r="H25" s="3"/>
      <c r="I25" s="3"/>
      <c r="J25" s="3"/>
      <c r="K25" s="3"/>
    </row>
    <row r="26">
      <c r="A26" s="502" t="s">
        <v>34</v>
      </c>
      <c r="B26" s="5">
        <v>-84705</v>
      </c>
      <c r="C26" s="5">
        <v>107709</v>
      </c>
      <c r="D26" s="5">
        <v>321093</v>
      </c>
      <c r="E26" s="5">
        <v>79637</v>
      </c>
      <c r="F26" s="5">
        <v>14817</v>
      </c>
      <c r="G26" s="7"/>
      <c r="H26" s="5"/>
      <c r="I26" s="5"/>
      <c r="J26" s="5"/>
      <c r="K26" s="5"/>
    </row>
    <row r="27">
      <c r="A27" s="502" t="s">
        <v>35</v>
      </c>
      <c r="B27" s="5">
        <v>21120595</v>
      </c>
      <c r="C27" s="5">
        <v>18112643</v>
      </c>
      <c r="D27" s="5">
        <v>18414037</v>
      </c>
      <c r="E27" s="5">
        <v>14554108</v>
      </c>
      <c r="F27" s="5">
        <v>15961582</v>
      </c>
      <c r="G27" s="7"/>
      <c r="H27" s="5"/>
      <c r="I27" s="5"/>
      <c r="J27" s="5"/>
      <c r="K27" s="5"/>
    </row>
    <row r="28">
      <c r="A28" s="1"/>
      <c r="B28" s="1"/>
      <c r="C28" s="1"/>
      <c r="D28" s="1"/>
      <c r="E28" s="1"/>
      <c r="F28" s="1"/>
      <c r="G28" s="11"/>
      <c r="H28" s="1"/>
      <c r="I28" s="1"/>
      <c r="J28" s="1"/>
      <c r="K28" s="1"/>
    </row>
    <row r="29">
      <c r="A29" s="530" t="s">
        <v>3</v>
      </c>
      <c r="B29" s="531" t="s">
        <v>4</v>
      </c>
      <c r="C29" s="531" t="s">
        <v>5</v>
      </c>
      <c r="D29" s="531" t="s">
        <v>6</v>
      </c>
      <c r="E29" s="531" t="s">
        <v>7</v>
      </c>
      <c r="F29" s="531" t="s">
        <v>8</v>
      </c>
      <c r="G29" s="533" t="s">
        <v>9</v>
      </c>
      <c r="H29" s="532" t="s">
        <v>10</v>
      </c>
      <c r="I29" s="532" t="s">
        <v>11</v>
      </c>
      <c r="J29" s="532" t="s">
        <v>12</v>
      </c>
      <c r="K29" s="532" t="s">
        <v>13</v>
      </c>
    </row>
    <row r="30">
      <c r="A30" s="530" t="s">
        <v>36</v>
      </c>
      <c r="B30" s="6"/>
      <c r="C30" s="6"/>
      <c r="D30" s="6"/>
      <c r="E30" s="6"/>
      <c r="F30" s="6"/>
      <c r="G30" s="8"/>
      <c r="H30" s="9"/>
      <c r="I30" s="9"/>
      <c r="J30" s="9"/>
      <c r="K30" s="9"/>
    </row>
    <row r="31">
      <c r="A31" s="526" t="s">
        <v>37</v>
      </c>
      <c r="B31" s="410">
        <v>14137059</v>
      </c>
      <c r="C31" s="410">
        <v>10248083</v>
      </c>
      <c r="D31" s="410">
        <v>13933186</v>
      </c>
      <c r="E31" s="410">
        <v>14627619</v>
      </c>
      <c r="F31" s="410">
        <v>21421098</v>
      </c>
      <c r="G31" s="4"/>
      <c r="H31" s="3"/>
      <c r="I31" s="3"/>
      <c r="J31" s="3"/>
      <c r="K31" s="3"/>
    </row>
    <row r="32">
      <c r="A32" s="526" t="s">
        <v>38</v>
      </c>
      <c r="B32" s="410">
        <v>55987713</v>
      </c>
      <c r="C32" s="410">
        <v>55396562</v>
      </c>
      <c r="D32" s="410">
        <v>50598758</v>
      </c>
      <c r="E32" s="410">
        <v>48881564</v>
      </c>
      <c r="F32" s="410">
        <v>47635856</v>
      </c>
      <c r="G32" s="4"/>
      <c r="H32" s="3"/>
      <c r="I32" s="3"/>
      <c r="J32" s="3"/>
      <c r="K32" s="3"/>
    </row>
    <row r="33">
      <c r="A33" s="526" t="s">
        <v>39</v>
      </c>
      <c r="B33" s="410">
        <v>88215721</v>
      </c>
      <c r="C33" s="410">
        <v>105854774</v>
      </c>
      <c r="D33" s="410">
        <v>106547752</v>
      </c>
      <c r="E33" s="410">
        <v>98584841</v>
      </c>
      <c r="F33" s="410">
        <v>86537964</v>
      </c>
      <c r="G33" s="4"/>
      <c r="H33" s="3"/>
      <c r="I33" s="3"/>
      <c r="J33" s="3"/>
      <c r="K33" s="3"/>
    </row>
    <row r="34">
      <c r="A34" s="526" t="s">
        <v>40</v>
      </c>
      <c r="B34" s="410">
        <v>4368953</v>
      </c>
      <c r="C34" s="410">
        <v>5522228</v>
      </c>
      <c r="D34" s="410">
        <v>5650193</v>
      </c>
      <c r="E34" s="410">
        <v>7019946</v>
      </c>
      <c r="F34" s="410">
        <v>7379445</v>
      </c>
      <c r="G34" s="4"/>
      <c r="H34" s="3"/>
      <c r="I34" s="3"/>
      <c r="J34" s="3"/>
      <c r="K34" s="3"/>
    </row>
    <row r="35">
      <c r="A35" s="526" t="s">
        <v>41</v>
      </c>
      <c r="B35" s="410">
        <v>7437127</v>
      </c>
      <c r="C35" s="410">
        <v>6714577</v>
      </c>
      <c r="D35" s="410">
        <v>8088976</v>
      </c>
      <c r="E35" s="410">
        <v>6759518</v>
      </c>
      <c r="F35" s="410">
        <v>5876049</v>
      </c>
      <c r="G35" s="4"/>
      <c r="H35" s="3"/>
      <c r="I35" s="3"/>
      <c r="J35" s="3"/>
      <c r="K35" s="3"/>
    </row>
    <row r="36">
      <c r="A36" s="526" t="s">
        <v>42</v>
      </c>
      <c r="B36" s="410">
        <v>9533860</v>
      </c>
      <c r="C36" s="410">
        <v>10662082</v>
      </c>
      <c r="D36" s="410">
        <v>9971872</v>
      </c>
      <c r="E36" s="410">
        <v>7465217</v>
      </c>
      <c r="F36" s="410">
        <v>8437671</v>
      </c>
      <c r="G36" s="4"/>
      <c r="H36" s="3"/>
      <c r="I36" s="3"/>
      <c r="J36" s="3"/>
      <c r="K36" s="3"/>
    </row>
    <row r="37">
      <c r="A37" s="526" t="s">
        <v>43</v>
      </c>
      <c r="B37" s="410">
        <v>6253970</v>
      </c>
      <c r="C37" s="410">
        <v>4940077</v>
      </c>
      <c r="D37" s="410">
        <v>11953319</v>
      </c>
      <c r="E37" s="410">
        <v>15363019</v>
      </c>
      <c r="F37" s="410">
        <v>20196108</v>
      </c>
      <c r="G37" s="4"/>
      <c r="H37" s="3"/>
      <c r="I37" s="3"/>
      <c r="J37" s="3"/>
      <c r="K37" s="3"/>
    </row>
    <row r="38">
      <c r="A38" s="526" t="s">
        <v>44</v>
      </c>
      <c r="B38" s="410">
        <v>3881243</v>
      </c>
      <c r="C38" s="410">
        <v>9409729</v>
      </c>
      <c r="D38" s="410">
        <v>2059074</v>
      </c>
      <c r="E38" s="410">
        <v>1651119</v>
      </c>
      <c r="F38" s="410">
        <v>1545541</v>
      </c>
      <c r="G38" s="4"/>
      <c r="H38" s="3"/>
      <c r="I38" s="3"/>
      <c r="J38" s="3"/>
      <c r="K38" s="3"/>
    </row>
    <row r="39">
      <c r="A39" s="526" t="s">
        <v>45</v>
      </c>
      <c r="B39" s="410">
        <v>683093</v>
      </c>
      <c r="C39" s="410">
        <v>2940162</v>
      </c>
      <c r="D39" s="410">
        <v>3768331</v>
      </c>
      <c r="E39" s="410">
        <v>828999</v>
      </c>
      <c r="F39" s="410">
        <v>1992042</v>
      </c>
      <c r="G39" s="4"/>
      <c r="H39" s="3"/>
      <c r="I39" s="3"/>
      <c r="J39" s="3"/>
      <c r="K39" s="3"/>
    </row>
    <row r="40">
      <c r="A40" s="526" t="s">
        <v>46</v>
      </c>
      <c r="B40" s="410">
        <v>339020</v>
      </c>
      <c r="C40" s="410">
        <v>312728</v>
      </c>
      <c r="D40" s="410">
        <v>123508</v>
      </c>
      <c r="E40" s="410">
        <v>228031</v>
      </c>
      <c r="F40" s="410">
        <v>239863</v>
      </c>
      <c r="G40" s="4"/>
      <c r="H40" s="3"/>
      <c r="I40" s="3"/>
      <c r="J40" s="3"/>
      <c r="K40" s="3"/>
    </row>
    <row r="41">
      <c r="A41" s="502" t="s">
        <v>47</v>
      </c>
      <c r="B41" s="5">
        <v>190837759</v>
      </c>
      <c r="C41" s="5">
        <v>212001002</v>
      </c>
      <c r="D41" s="5">
        <v>212694969</v>
      </c>
      <c r="E41" s="5">
        <v>201409873</v>
      </c>
      <c r="F41" s="5">
        <v>201261637</v>
      </c>
      <c r="G41" s="7"/>
      <c r="H41" s="5"/>
      <c r="I41" s="5"/>
      <c r="J41" s="5"/>
      <c r="K41" s="5"/>
    </row>
    <row r="42">
      <c r="A42" s="526" t="s">
        <v>48</v>
      </c>
      <c r="B42" s="3"/>
      <c r="C42" s="3"/>
      <c r="D42" s="410">
        <v>0</v>
      </c>
      <c r="E42" s="410">
        <v>1400000</v>
      </c>
      <c r="F42" s="410">
        <v>0</v>
      </c>
      <c r="G42" s="4"/>
      <c r="H42" s="3"/>
      <c r="I42" s="3"/>
      <c r="J42" s="3"/>
      <c r="K42" s="3"/>
    </row>
    <row r="43">
      <c r="A43" s="526" t="s">
        <v>49</v>
      </c>
      <c r="B43" s="410">
        <v>12370463</v>
      </c>
      <c r="C43" s="410">
        <v>11827693</v>
      </c>
      <c r="D43" s="410">
        <v>11670843</v>
      </c>
      <c r="E43" s="410">
        <v>11965641</v>
      </c>
      <c r="F43" s="410">
        <v>11635096</v>
      </c>
      <c r="G43" s="4"/>
      <c r="H43" s="3"/>
      <c r="I43" s="3"/>
      <c r="J43" s="3"/>
      <c r="K43" s="3"/>
    </row>
    <row r="44">
      <c r="A44" s="526" t="s">
        <v>50</v>
      </c>
      <c r="B44" s="410">
        <v>394833</v>
      </c>
      <c r="C44" s="410">
        <v>435601</v>
      </c>
      <c r="D44" s="410">
        <v>364529</v>
      </c>
      <c r="E44" s="410">
        <v>958317</v>
      </c>
      <c r="F44" s="410">
        <v>936271</v>
      </c>
      <c r="G44" s="4"/>
      <c r="H44" s="3"/>
      <c r="I44" s="3"/>
      <c r="J44" s="3"/>
      <c r="K44" s="3"/>
    </row>
    <row r="45">
      <c r="A45" s="526" t="s">
        <v>51</v>
      </c>
      <c r="B45" s="410">
        <v>122024120</v>
      </c>
      <c r="C45" s="410">
        <v>121738941</v>
      </c>
      <c r="D45" s="410">
        <v>123764215</v>
      </c>
      <c r="E45" s="410">
        <v>117719141</v>
      </c>
      <c r="F45" s="410">
        <v>119820020</v>
      </c>
      <c r="G45" s="4"/>
      <c r="H45" s="3"/>
      <c r="I45" s="3"/>
      <c r="J45" s="3"/>
      <c r="K45" s="3"/>
    </row>
    <row r="46">
      <c r="A46" s="526" t="s">
        <v>52</v>
      </c>
      <c r="B46" s="3"/>
      <c r="C46" s="3"/>
      <c r="D46" s="410">
        <v>0</v>
      </c>
      <c r="E46" s="410">
        <v>7437220</v>
      </c>
      <c r="F46" s="410">
        <v>6646648</v>
      </c>
      <c r="G46" s="4"/>
      <c r="H46" s="3"/>
      <c r="I46" s="3"/>
      <c r="J46" s="3"/>
      <c r="K46" s="3"/>
    </row>
    <row r="47">
      <c r="A47" s="526" t="s">
        <v>53</v>
      </c>
      <c r="B47" s="410">
        <v>2092260</v>
      </c>
      <c r="C47" s="410">
        <v>2003420</v>
      </c>
      <c r="D47" s="410">
        <v>3633937</v>
      </c>
      <c r="E47" s="410">
        <v>3477575</v>
      </c>
      <c r="F47" s="410">
        <v>2378222</v>
      </c>
      <c r="G47" s="4"/>
      <c r="H47" s="3"/>
      <c r="I47" s="3"/>
      <c r="J47" s="3"/>
      <c r="K47" s="3"/>
    </row>
    <row r="48">
      <c r="A48" s="526" t="s">
        <v>54</v>
      </c>
      <c r="B48" s="410">
        <v>16299265</v>
      </c>
      <c r="C48" s="410">
        <v>15847890</v>
      </c>
      <c r="D48" s="410">
        <v>14989169</v>
      </c>
      <c r="E48" s="410">
        <v>17883482</v>
      </c>
      <c r="F48" s="410">
        <v>18860730</v>
      </c>
      <c r="G48" s="4"/>
      <c r="H48" s="3"/>
      <c r="I48" s="3"/>
      <c r="J48" s="3"/>
      <c r="K48" s="3"/>
    </row>
    <row r="49">
      <c r="A49" s="526" t="s">
        <v>55</v>
      </c>
      <c r="B49" s="410">
        <v>9805509</v>
      </c>
      <c r="C49" s="410">
        <v>9967013</v>
      </c>
      <c r="D49" s="410">
        <v>7548656</v>
      </c>
      <c r="E49" s="410">
        <v>7555934</v>
      </c>
      <c r="F49" s="410">
        <v>7439753</v>
      </c>
      <c r="G49" s="4"/>
      <c r="H49" s="3"/>
      <c r="I49" s="3"/>
      <c r="J49" s="3"/>
      <c r="K49" s="3"/>
    </row>
    <row r="50">
      <c r="A50" s="526" t="s">
        <v>56</v>
      </c>
      <c r="B50" s="410">
        <v>615566</v>
      </c>
      <c r="C50" s="410">
        <v>615566</v>
      </c>
      <c r="D50" s="410">
        <v>615566</v>
      </c>
      <c r="E50" s="410">
        <v>615566</v>
      </c>
      <c r="F50" s="410">
        <v>615566</v>
      </c>
      <c r="G50" s="4"/>
      <c r="H50" s="3"/>
      <c r="I50" s="3"/>
      <c r="J50" s="3"/>
      <c r="K50" s="3"/>
    </row>
    <row r="51">
      <c r="A51" s="526" t="s">
        <v>57</v>
      </c>
      <c r="B51" s="410">
        <v>4864483</v>
      </c>
      <c r="C51" s="410">
        <v>5436683</v>
      </c>
      <c r="D51" s="410">
        <v>6419403</v>
      </c>
      <c r="E51" s="410">
        <v>6760369</v>
      </c>
      <c r="F51" s="410">
        <v>7176666</v>
      </c>
      <c r="G51" s="4"/>
      <c r="H51" s="3"/>
      <c r="I51" s="3"/>
      <c r="J51" s="3"/>
      <c r="K51" s="3"/>
    </row>
    <row r="52">
      <c r="A52" s="526" t="s">
        <v>58</v>
      </c>
      <c r="B52" s="410">
        <v>8125114</v>
      </c>
      <c r="C52" s="410">
        <v>7741648</v>
      </c>
      <c r="D52" s="410">
        <v>9201413</v>
      </c>
      <c r="E52" s="410">
        <v>9128819</v>
      </c>
      <c r="F52" s="410">
        <v>9133839</v>
      </c>
      <c r="G52" s="4"/>
      <c r="H52" s="3"/>
      <c r="I52" s="3"/>
      <c r="J52" s="3"/>
      <c r="K52" s="3"/>
    </row>
    <row r="53">
      <c r="A53" s="526" t="s">
        <v>59</v>
      </c>
      <c r="B53" s="410">
        <v>9075419</v>
      </c>
      <c r="C53" s="410">
        <v>10207260</v>
      </c>
      <c r="D53" s="410">
        <v>10640387</v>
      </c>
      <c r="E53" s="410">
        <v>11667330</v>
      </c>
      <c r="F53" s="410">
        <v>12349530</v>
      </c>
      <c r="G53" s="4"/>
      <c r="H53" s="3"/>
      <c r="I53" s="3"/>
      <c r="J53" s="3"/>
      <c r="K53" s="3"/>
    </row>
    <row r="54">
      <c r="A54" s="526" t="s">
        <v>60</v>
      </c>
      <c r="B54" s="410">
        <v>1084512</v>
      </c>
      <c r="C54" s="410">
        <v>1088903</v>
      </c>
      <c r="D54" s="410">
        <v>1094422</v>
      </c>
      <c r="E54" s="410">
        <v>421341</v>
      </c>
      <c r="F54" s="410">
        <v>420911</v>
      </c>
      <c r="G54" s="4"/>
      <c r="H54" s="3"/>
      <c r="I54" s="3"/>
      <c r="J54" s="3"/>
      <c r="K54" s="3"/>
    </row>
    <row r="55">
      <c r="A55" s="526" t="s">
        <v>61</v>
      </c>
      <c r="B55" s="410">
        <v>578136</v>
      </c>
      <c r="C55" s="410">
        <v>600216</v>
      </c>
      <c r="D55" s="410">
        <v>643053</v>
      </c>
      <c r="E55" s="410">
        <v>663877</v>
      </c>
      <c r="F55" s="410">
        <v>676023</v>
      </c>
      <c r="G55" s="4"/>
      <c r="H55" s="3"/>
      <c r="I55" s="3"/>
      <c r="J55" s="3"/>
      <c r="K55" s="3"/>
    </row>
    <row r="56">
      <c r="A56" s="502" t="s">
        <v>62</v>
      </c>
      <c r="B56" s="5">
        <v>187329680</v>
      </c>
      <c r="C56" s="5">
        <v>187510834</v>
      </c>
      <c r="D56" s="5">
        <v>190585593</v>
      </c>
      <c r="E56" s="5">
        <v>197654612</v>
      </c>
      <c r="F56" s="5">
        <v>198089275</v>
      </c>
      <c r="G56" s="7"/>
      <c r="H56" s="5"/>
      <c r="I56" s="5"/>
      <c r="J56" s="5"/>
      <c r="K56" s="5"/>
    </row>
    <row r="57">
      <c r="A57" s="502" t="s">
        <v>63</v>
      </c>
      <c r="B57" s="5">
        <v>378167439</v>
      </c>
      <c r="C57" s="5">
        <v>399511836</v>
      </c>
      <c r="D57" s="5">
        <v>403280562</v>
      </c>
      <c r="E57" s="5">
        <v>399064485</v>
      </c>
      <c r="F57" s="5">
        <v>399350912</v>
      </c>
      <c r="G57" s="7"/>
      <c r="H57" s="5"/>
      <c r="I57" s="5"/>
      <c r="J57" s="5"/>
      <c r="K57" s="5"/>
    </row>
    <row r="58">
      <c r="A58" s="526" t="s">
        <v>64</v>
      </c>
      <c r="B58" s="410">
        <v>12760000</v>
      </c>
      <c r="C58" s="410">
        <v>14000000</v>
      </c>
      <c r="D58" s="410">
        <v>13819186</v>
      </c>
      <c r="E58" s="410">
        <v>8000000</v>
      </c>
      <c r="F58" s="410">
        <v>6900000</v>
      </c>
      <c r="G58" s="4"/>
      <c r="H58" s="3"/>
      <c r="I58" s="3"/>
      <c r="J58" s="3"/>
      <c r="K58" s="3"/>
    </row>
    <row r="59">
      <c r="A59" s="526" t="s">
        <v>65</v>
      </c>
      <c r="B59" s="410">
        <v>20160000</v>
      </c>
      <c r="C59" s="410">
        <v>15500000</v>
      </c>
      <c r="D59" s="410">
        <v>16029000</v>
      </c>
      <c r="E59" s="410">
        <v>13091000</v>
      </c>
      <c r="F59" s="410">
        <v>16247000</v>
      </c>
      <c r="G59" s="4"/>
      <c r="H59" s="3"/>
      <c r="I59" s="3"/>
      <c r="J59" s="3"/>
      <c r="K59" s="3"/>
    </row>
    <row r="60">
      <c r="A60" s="526" t="s">
        <v>66</v>
      </c>
      <c r="B60" s="410">
        <v>4352542</v>
      </c>
      <c r="C60" s="410">
        <v>3943713</v>
      </c>
      <c r="D60" s="410">
        <v>3740937</v>
      </c>
      <c r="E60" s="410">
        <v>4392972</v>
      </c>
      <c r="F60" s="410">
        <v>5334463</v>
      </c>
      <c r="G60" s="4"/>
      <c r="H60" s="3"/>
      <c r="I60" s="3"/>
      <c r="J60" s="3"/>
      <c r="K60" s="3"/>
    </row>
    <row r="61">
      <c r="A61" s="526" t="s">
        <v>67</v>
      </c>
      <c r="B61" s="410">
        <v>38430913</v>
      </c>
      <c r="C61" s="410">
        <v>43375293</v>
      </c>
      <c r="D61" s="410">
        <v>36875789</v>
      </c>
      <c r="E61" s="410">
        <v>32911493</v>
      </c>
      <c r="F61" s="410">
        <v>29555752</v>
      </c>
      <c r="G61" s="4"/>
      <c r="H61" s="3"/>
      <c r="I61" s="3"/>
      <c r="J61" s="3"/>
      <c r="K61" s="3"/>
    </row>
    <row r="62">
      <c r="A62" s="526" t="s">
        <v>68</v>
      </c>
      <c r="B62" s="410">
        <v>4659947</v>
      </c>
      <c r="C62" s="410">
        <v>2358023</v>
      </c>
      <c r="D62" s="410">
        <v>4246512</v>
      </c>
      <c r="E62" s="410">
        <v>4892938</v>
      </c>
      <c r="F62" s="410">
        <v>5212186</v>
      </c>
      <c r="G62" s="4"/>
      <c r="H62" s="3"/>
      <c r="I62" s="3"/>
      <c r="J62" s="3"/>
      <c r="K62" s="3"/>
    </row>
    <row r="63">
      <c r="A63" s="526" t="s">
        <v>69</v>
      </c>
      <c r="B63" s="410">
        <v>15200</v>
      </c>
      <c r="C63" s="410">
        <v>248703</v>
      </c>
      <c r="D63" s="410">
        <v>68927</v>
      </c>
      <c r="E63" s="410">
        <v>0</v>
      </c>
      <c r="F63" s="410">
        <v>42296</v>
      </c>
      <c r="G63" s="4"/>
      <c r="H63" s="3"/>
      <c r="I63" s="3"/>
      <c r="J63" s="3"/>
      <c r="K63" s="3"/>
    </row>
    <row r="64">
      <c r="A64" s="526" t="s">
        <v>70</v>
      </c>
      <c r="B64" s="410">
        <v>2908783</v>
      </c>
      <c r="C64" s="410">
        <v>0</v>
      </c>
      <c r="D64" s="3"/>
      <c r="E64" s="3"/>
      <c r="F64" s="3"/>
      <c r="G64" s="4"/>
      <c r="H64" s="3"/>
      <c r="I64" s="3"/>
      <c r="J64" s="3"/>
      <c r="K64" s="3"/>
    </row>
    <row r="65">
      <c r="A65" s="526" t="s">
        <v>71</v>
      </c>
      <c r="B65" s="410">
        <v>7121789</v>
      </c>
      <c r="C65" s="410">
        <v>7040115</v>
      </c>
      <c r="D65" s="410">
        <v>7090627</v>
      </c>
      <c r="E65" s="410">
        <v>7903342</v>
      </c>
      <c r="F65" s="410">
        <v>7308891</v>
      </c>
      <c r="G65" s="4"/>
      <c r="H65" s="3"/>
      <c r="I65" s="3"/>
      <c r="J65" s="3"/>
      <c r="K65" s="3"/>
    </row>
    <row r="66">
      <c r="A66" s="502" t="s">
        <v>72</v>
      </c>
      <c r="B66" s="5">
        <v>90409174</v>
      </c>
      <c r="C66" s="5">
        <v>86465847</v>
      </c>
      <c r="D66" s="5">
        <v>81870978</v>
      </c>
      <c r="E66" s="5">
        <v>71191745</v>
      </c>
      <c r="F66" s="5">
        <v>70600588</v>
      </c>
      <c r="G66" s="7"/>
      <c r="H66" s="5"/>
      <c r="I66" s="5"/>
      <c r="J66" s="5"/>
      <c r="K66" s="5"/>
    </row>
    <row r="67">
      <c r="A67" s="526" t="s">
        <v>73</v>
      </c>
      <c r="B67" s="3"/>
      <c r="C67" s="3"/>
      <c r="D67" s="410">
        <v>0</v>
      </c>
      <c r="E67" s="410">
        <v>2124600</v>
      </c>
      <c r="F67" s="410">
        <v>2124600</v>
      </c>
      <c r="G67" s="4"/>
      <c r="H67" s="3"/>
      <c r="I67" s="3"/>
      <c r="J67" s="3"/>
      <c r="K67" s="3"/>
    </row>
    <row r="68">
      <c r="A68" s="526" t="s">
        <v>74</v>
      </c>
      <c r="B68" s="410">
        <v>52466986</v>
      </c>
      <c r="C68" s="410">
        <v>67427589</v>
      </c>
      <c r="D68" s="410">
        <v>67388899</v>
      </c>
      <c r="E68" s="410">
        <v>62350209</v>
      </c>
      <c r="F68" s="410">
        <v>52311519</v>
      </c>
      <c r="G68" s="4"/>
      <c r="H68" s="3"/>
      <c r="I68" s="3"/>
      <c r="J68" s="3"/>
      <c r="K68" s="3"/>
    </row>
    <row r="69">
      <c r="A69" s="526" t="s">
        <v>75</v>
      </c>
      <c r="B69" s="410">
        <v>14331670</v>
      </c>
      <c r="C69" s="410">
        <v>14277496</v>
      </c>
      <c r="D69" s="410">
        <v>13594963</v>
      </c>
      <c r="E69" s="410">
        <v>15912188</v>
      </c>
      <c r="F69" s="410">
        <v>15961760</v>
      </c>
      <c r="G69" s="4"/>
      <c r="H69" s="3"/>
      <c r="I69" s="3"/>
      <c r="J69" s="3"/>
      <c r="K69" s="3"/>
    </row>
    <row r="70">
      <c r="A70" s="526" t="s">
        <v>76</v>
      </c>
      <c r="B70" s="410">
        <v>9477255</v>
      </c>
      <c r="C70" s="410">
        <v>10127829</v>
      </c>
      <c r="D70" s="410">
        <v>10407453</v>
      </c>
      <c r="E70" s="410">
        <v>10739857</v>
      </c>
      <c r="F70" s="410">
        <v>10998227</v>
      </c>
      <c r="G70" s="4"/>
      <c r="H70" s="3"/>
      <c r="I70" s="3"/>
      <c r="J70" s="3"/>
      <c r="K70" s="3"/>
    </row>
    <row r="71">
      <c r="A71" s="502" t="s">
        <v>77</v>
      </c>
      <c r="B71" s="5">
        <v>76275911</v>
      </c>
      <c r="C71" s="5">
        <v>91832914</v>
      </c>
      <c r="D71" s="5">
        <v>91391315</v>
      </c>
      <c r="E71" s="5">
        <v>91126854</v>
      </c>
      <c r="F71" s="5">
        <v>81396106</v>
      </c>
      <c r="G71" s="7"/>
      <c r="H71" s="5"/>
      <c r="I71" s="5"/>
      <c r="J71" s="5"/>
      <c r="K71" s="5"/>
    </row>
    <row r="72">
      <c r="A72" s="502" t="s">
        <v>78</v>
      </c>
      <c r="B72" s="5">
        <v>166685085</v>
      </c>
      <c r="C72" s="5">
        <v>178298761</v>
      </c>
      <c r="D72" s="5">
        <v>173262293</v>
      </c>
      <c r="E72" s="5">
        <v>162318599</v>
      </c>
      <c r="F72" s="5">
        <v>151996694</v>
      </c>
      <c r="G72" s="7"/>
      <c r="H72" s="5"/>
      <c r="I72" s="5"/>
      <c r="J72" s="5"/>
      <c r="K72" s="5"/>
    </row>
    <row r="73">
      <c r="A73" s="526" t="s">
        <v>79</v>
      </c>
      <c r="B73" s="410">
        <v>45813813</v>
      </c>
      <c r="C73" s="410">
        <v>45813813</v>
      </c>
      <c r="D73" s="410">
        <v>45077843</v>
      </c>
      <c r="E73" s="410">
        <v>44725993</v>
      </c>
      <c r="F73" s="410">
        <v>44553868</v>
      </c>
      <c r="G73" s="4"/>
      <c r="H73" s="3"/>
      <c r="I73" s="3"/>
      <c r="J73" s="3"/>
      <c r="K73" s="3"/>
    </row>
    <row r="74">
      <c r="A74" s="526" t="s">
        <v>80</v>
      </c>
      <c r="B74" s="410">
        <v>165176872</v>
      </c>
      <c r="C74" s="410">
        <v>174803519</v>
      </c>
      <c r="D74" s="410">
        <v>183969668</v>
      </c>
      <c r="E74" s="410">
        <v>190907552</v>
      </c>
      <c r="F74" s="410">
        <v>201717520</v>
      </c>
      <c r="G74" s="4"/>
      <c r="H74" s="3"/>
      <c r="I74" s="3"/>
      <c r="J74" s="3"/>
      <c r="K74" s="3"/>
    </row>
    <row r="75">
      <c r="A75" s="526" t="s">
        <v>81</v>
      </c>
      <c r="B75" s="410">
        <v>216328</v>
      </c>
      <c r="C75" s="410">
        <v>324037</v>
      </c>
      <c r="D75" s="410">
        <v>645130</v>
      </c>
      <c r="E75" s="410">
        <v>724767</v>
      </c>
      <c r="F75" s="410">
        <v>739584</v>
      </c>
      <c r="G75" s="4"/>
      <c r="H75" s="3"/>
      <c r="I75" s="3"/>
      <c r="J75" s="3"/>
      <c r="K75" s="3"/>
    </row>
    <row r="76">
      <c r="A76" s="502" t="s">
        <v>82</v>
      </c>
      <c r="B76" s="5">
        <v>211207013</v>
      </c>
      <c r="C76" s="5">
        <v>220941369</v>
      </c>
      <c r="D76" s="5">
        <v>229692641</v>
      </c>
      <c r="E76" s="5">
        <v>236358312</v>
      </c>
      <c r="F76" s="5">
        <v>247010972</v>
      </c>
      <c r="G76" s="7"/>
      <c r="H76" s="5"/>
      <c r="I76" s="5"/>
      <c r="J76" s="5"/>
      <c r="K76" s="5"/>
    </row>
    <row r="77">
      <c r="A77" s="526" t="s">
        <v>83</v>
      </c>
      <c r="B77" s="410">
        <v>275341</v>
      </c>
      <c r="C77" s="410">
        <v>271706</v>
      </c>
      <c r="D77" s="410">
        <v>325628</v>
      </c>
      <c r="E77" s="410">
        <v>387574</v>
      </c>
      <c r="F77" s="410">
        <v>343246</v>
      </c>
      <c r="G77" s="4"/>
      <c r="H77" s="3"/>
      <c r="I77" s="3"/>
      <c r="J77" s="3"/>
      <c r="K77" s="3"/>
    </row>
    <row r="78">
      <c r="A78" s="502" t="s">
        <v>84</v>
      </c>
      <c r="B78" s="5">
        <v>211482354</v>
      </c>
      <c r="C78" s="5">
        <v>221213075</v>
      </c>
      <c r="D78" s="5">
        <v>230018269</v>
      </c>
      <c r="E78" s="5">
        <v>236745886</v>
      </c>
      <c r="F78" s="5">
        <v>247354218</v>
      </c>
      <c r="G78" s="7"/>
      <c r="H78" s="5"/>
      <c r="I78" s="5"/>
      <c r="J78" s="5"/>
      <c r="K78" s="5"/>
    </row>
    <row r="79">
      <c r="A79" s="502" t="s">
        <v>85</v>
      </c>
      <c r="B79" s="5">
        <v>378167439</v>
      </c>
      <c r="C79" s="5">
        <v>399511836</v>
      </c>
      <c r="D79" s="5">
        <v>403280562</v>
      </c>
      <c r="E79" s="5">
        <v>399064485</v>
      </c>
      <c r="F79" s="5">
        <v>399350912</v>
      </c>
      <c r="G79" s="7"/>
      <c r="H79" s="5"/>
      <c r="I79" s="5"/>
      <c r="J79" s="5"/>
      <c r="K79" s="5"/>
    </row>
    <row r="80">
      <c r="A80" s="1"/>
      <c r="B80" s="1"/>
      <c r="C80" s="1"/>
      <c r="D80" s="1"/>
      <c r="E80" s="1"/>
      <c r="F80" s="1"/>
      <c r="G80" s="11"/>
      <c r="H80" s="1"/>
      <c r="I80" s="1"/>
      <c r="J80" s="1"/>
      <c r="K80" s="1"/>
    </row>
    <row r="81">
      <c r="A81" s="530" t="s">
        <v>3</v>
      </c>
      <c r="B81" s="531" t="s">
        <v>4</v>
      </c>
      <c r="C81" s="531" t="s">
        <v>5</v>
      </c>
      <c r="D81" s="531" t="s">
        <v>6</v>
      </c>
      <c r="E81" s="531" t="s">
        <v>7</v>
      </c>
      <c r="F81" s="531" t="s">
        <v>8</v>
      </c>
      <c r="G81" s="533" t="s">
        <v>9</v>
      </c>
      <c r="H81" s="532" t="s">
        <v>10</v>
      </c>
      <c r="I81" s="532" t="s">
        <v>11</v>
      </c>
      <c r="J81" s="532" t="s">
        <v>12</v>
      </c>
      <c r="K81" s="532" t="s">
        <v>13</v>
      </c>
    </row>
    <row r="82">
      <c r="A82" s="530" t="s">
        <v>86</v>
      </c>
      <c r="B82" s="6"/>
      <c r="C82" s="6"/>
      <c r="D82" s="6"/>
      <c r="E82" s="6"/>
      <c r="F82" s="6"/>
      <c r="G82" s="8"/>
      <c r="H82" s="9"/>
      <c r="I82" s="9"/>
      <c r="J82" s="9"/>
      <c r="K82" s="9"/>
    </row>
    <row r="83">
      <c r="A83" s="526" t="s">
        <v>32</v>
      </c>
      <c r="B83" s="410">
        <v>21205300</v>
      </c>
      <c r="C83" s="410">
        <v>18004934</v>
      </c>
      <c r="D83" s="410">
        <v>18092944</v>
      </c>
      <c r="E83" s="410">
        <v>14474471</v>
      </c>
      <c r="F83" s="410">
        <v>15946765</v>
      </c>
      <c r="G83" s="4"/>
      <c r="H83" s="3"/>
      <c r="I83" s="3"/>
      <c r="J83" s="3"/>
      <c r="K83" s="3"/>
    </row>
    <row r="84">
      <c r="A84" s="526" t="s">
        <v>87</v>
      </c>
      <c r="B84" s="410">
        <v>-1026225</v>
      </c>
      <c r="C84" s="410">
        <v>-1366177</v>
      </c>
      <c r="D84" s="410">
        <v>-1650460</v>
      </c>
      <c r="E84" s="410">
        <v>-1225747</v>
      </c>
      <c r="F84" s="410">
        <v>-1203147</v>
      </c>
      <c r="G84" s="4"/>
      <c r="H84" s="3"/>
      <c r="I84" s="3"/>
      <c r="J84" s="3"/>
      <c r="K84" s="3"/>
    </row>
    <row r="85">
      <c r="A85" s="526" t="s">
        <v>88</v>
      </c>
      <c r="B85" s="410">
        <v>13407970</v>
      </c>
      <c r="C85" s="410">
        <v>12908124</v>
      </c>
      <c r="D85" s="410">
        <v>13628603</v>
      </c>
      <c r="E85" s="410">
        <v>13965491</v>
      </c>
      <c r="F85" s="410">
        <v>14006514</v>
      </c>
      <c r="G85" s="4"/>
      <c r="H85" s="3"/>
      <c r="I85" s="3"/>
      <c r="J85" s="3"/>
      <c r="K85" s="3"/>
    </row>
    <row r="86">
      <c r="A86" s="526" t="s">
        <v>89</v>
      </c>
      <c r="B86" s="3"/>
      <c r="C86" s="3"/>
      <c r="D86" s="410">
        <v>0</v>
      </c>
      <c r="E86" s="410">
        <v>191146</v>
      </c>
      <c r="F86" s="410">
        <v>798172</v>
      </c>
      <c r="G86" s="4"/>
      <c r="H86" s="3"/>
      <c r="I86" s="3"/>
      <c r="J86" s="3"/>
      <c r="K86" s="3"/>
    </row>
    <row r="87">
      <c r="A87" s="526" t="s">
        <v>90</v>
      </c>
      <c r="B87" s="410">
        <v>1091922</v>
      </c>
      <c r="C87" s="410">
        <v>880468</v>
      </c>
      <c r="D87" s="410">
        <v>973473</v>
      </c>
      <c r="E87" s="410">
        <v>1264783</v>
      </c>
      <c r="F87" s="410">
        <v>1163915</v>
      </c>
      <c r="G87" s="4"/>
      <c r="H87" s="3"/>
      <c r="I87" s="3"/>
      <c r="J87" s="3"/>
      <c r="K87" s="3"/>
    </row>
    <row r="88">
      <c r="A88" s="526" t="s">
        <v>91</v>
      </c>
      <c r="B88" s="410">
        <v>4281088</v>
      </c>
      <c r="C88" s="410">
        <v>4141096</v>
      </c>
      <c r="D88" s="410">
        <v>3853656</v>
      </c>
      <c r="E88" s="410">
        <v>4881754</v>
      </c>
      <c r="F88" s="410">
        <v>5084457</v>
      </c>
      <c r="G88" s="4"/>
      <c r="H88" s="3"/>
      <c r="I88" s="3"/>
      <c r="J88" s="3"/>
      <c r="K88" s="3"/>
    </row>
    <row r="89">
      <c r="A89" s="526" t="s">
        <v>92</v>
      </c>
      <c r="B89" s="410">
        <v>111753</v>
      </c>
      <c r="C89" s="410">
        <v>78722</v>
      </c>
      <c r="D89" s="410">
        <v>-221006</v>
      </c>
      <c r="E89" s="410">
        <v>7413</v>
      </c>
      <c r="F89" s="410">
        <v>84328</v>
      </c>
      <c r="G89" s="4"/>
      <c r="H89" s="3"/>
      <c r="I89" s="3"/>
      <c r="J89" s="3"/>
      <c r="K89" s="3"/>
    </row>
    <row r="90">
      <c r="A90" s="526" t="s">
        <v>93</v>
      </c>
      <c r="B90" s="410">
        <v>-720416</v>
      </c>
      <c r="C90" s="410">
        <v>-726549</v>
      </c>
      <c r="D90" s="410">
        <v>-45930</v>
      </c>
      <c r="E90" s="410">
        <v>-15073</v>
      </c>
      <c r="F90" s="3"/>
      <c r="G90" s="4"/>
      <c r="H90" s="3"/>
      <c r="I90" s="3"/>
      <c r="J90" s="3"/>
      <c r="K90" s="3"/>
    </row>
    <row r="91">
      <c r="A91" s="526" t="s">
        <v>94</v>
      </c>
      <c r="B91" s="3"/>
      <c r="C91" s="3"/>
      <c r="D91" s="3"/>
      <c r="E91" s="410">
        <v>0</v>
      </c>
      <c r="F91" s="410">
        <v>8000</v>
      </c>
      <c r="G91" s="4"/>
      <c r="H91" s="3"/>
      <c r="I91" s="3"/>
      <c r="J91" s="3"/>
      <c r="K91" s="3"/>
    </row>
    <row r="92">
      <c r="A92" s="526" t="s">
        <v>95</v>
      </c>
      <c r="B92" s="3"/>
      <c r="C92" s="3"/>
      <c r="D92" s="410">
        <v>-6443146</v>
      </c>
      <c r="E92" s="410">
        <v>0</v>
      </c>
      <c r="F92" s="3"/>
      <c r="G92" s="4"/>
      <c r="H92" s="3"/>
      <c r="I92" s="3"/>
      <c r="J92" s="3"/>
      <c r="K92" s="3"/>
    </row>
    <row r="93">
      <c r="A93" s="526" t="s">
        <v>76</v>
      </c>
      <c r="B93" s="410">
        <v>1717272</v>
      </c>
      <c r="C93" s="410">
        <v>2015167</v>
      </c>
      <c r="D93" s="410">
        <v>1194818</v>
      </c>
      <c r="E93" s="410">
        <v>1254843</v>
      </c>
      <c r="F93" s="410">
        <v>1277252</v>
      </c>
      <c r="G93" s="4"/>
      <c r="H93" s="3"/>
      <c r="I93" s="3"/>
      <c r="J93" s="3"/>
      <c r="K93" s="3"/>
    </row>
    <row r="94">
      <c r="A94" s="526" t="s">
        <v>22</v>
      </c>
      <c r="B94" s="3"/>
      <c r="C94" s="3"/>
      <c r="D94" s="410">
        <v>1432537</v>
      </c>
      <c r="E94" s="410">
        <v>1418031</v>
      </c>
      <c r="F94" s="410">
        <v>455297</v>
      </c>
      <c r="G94" s="4"/>
      <c r="H94" s="3"/>
      <c r="I94" s="3"/>
      <c r="J94" s="3"/>
      <c r="K94" s="3"/>
    </row>
    <row r="95">
      <c r="A95" s="526" t="s">
        <v>28</v>
      </c>
      <c r="B95" s="410">
        <v>4253458</v>
      </c>
      <c r="C95" s="410">
        <v>2306216</v>
      </c>
      <c r="D95" s="410">
        <v>3577343</v>
      </c>
      <c r="E95" s="410">
        <v>3746352</v>
      </c>
      <c r="F95" s="410">
        <v>3157485</v>
      </c>
      <c r="G95" s="4"/>
      <c r="H95" s="3"/>
      <c r="I95" s="3"/>
      <c r="J95" s="3"/>
      <c r="K95" s="3"/>
    </row>
    <row r="96">
      <c r="A96" s="526" t="s">
        <v>31</v>
      </c>
      <c r="B96" s="410">
        <v>7315922</v>
      </c>
      <c r="C96" s="410">
        <v>6603590</v>
      </c>
      <c r="D96" s="410">
        <v>4017612</v>
      </c>
      <c r="E96" s="410">
        <v>5061963</v>
      </c>
      <c r="F96" s="410">
        <v>5141262</v>
      </c>
      <c r="G96" s="4"/>
      <c r="H96" s="3"/>
      <c r="I96" s="3"/>
      <c r="J96" s="3"/>
      <c r="K96" s="3"/>
    </row>
    <row r="97">
      <c r="A97" s="526" t="s">
        <v>96</v>
      </c>
      <c r="B97" s="410">
        <v>-4692774</v>
      </c>
      <c r="C97" s="410">
        <v>1133921</v>
      </c>
      <c r="D97" s="410">
        <v>5956108</v>
      </c>
      <c r="E97" s="410">
        <v>4365</v>
      </c>
      <c r="F97" s="410">
        <v>1120956</v>
      </c>
      <c r="G97" s="4"/>
      <c r="H97" s="3"/>
      <c r="I97" s="3"/>
      <c r="J97" s="3"/>
      <c r="K97" s="3"/>
    </row>
    <row r="98">
      <c r="A98" s="526" t="s">
        <v>39</v>
      </c>
      <c r="B98" s="410">
        <v>-12146830</v>
      </c>
      <c r="C98" s="410">
        <v>-17465207</v>
      </c>
      <c r="D98" s="410">
        <v>-1051273</v>
      </c>
      <c r="E98" s="410">
        <v>8766185</v>
      </c>
      <c r="F98" s="410">
        <v>13354407</v>
      </c>
      <c r="G98" s="4"/>
      <c r="H98" s="3"/>
      <c r="I98" s="3"/>
      <c r="J98" s="3"/>
      <c r="K98" s="3"/>
    </row>
    <row r="99">
      <c r="A99" s="526" t="s">
        <v>40</v>
      </c>
      <c r="B99" s="410">
        <v>-33995</v>
      </c>
      <c r="C99" s="410">
        <v>-1194043</v>
      </c>
      <c r="D99" s="410">
        <v>-56893</v>
      </c>
      <c r="E99" s="410">
        <v>-1963541</v>
      </c>
      <c r="F99" s="410">
        <v>-337453</v>
      </c>
      <c r="G99" s="4"/>
      <c r="H99" s="3"/>
      <c r="I99" s="3"/>
      <c r="J99" s="3"/>
      <c r="K99" s="3"/>
    </row>
    <row r="100">
      <c r="A100" s="526" t="s">
        <v>41</v>
      </c>
      <c r="B100" s="410">
        <v>816657</v>
      </c>
      <c r="C100" s="410">
        <v>722550</v>
      </c>
      <c r="D100" s="410">
        <v>1098461</v>
      </c>
      <c r="E100" s="410">
        <v>1329458</v>
      </c>
      <c r="F100" s="410">
        <v>883469</v>
      </c>
      <c r="G100" s="4"/>
      <c r="H100" s="3"/>
      <c r="I100" s="3"/>
      <c r="J100" s="3"/>
      <c r="K100" s="3"/>
    </row>
    <row r="101">
      <c r="A101" s="526" t="s">
        <v>42</v>
      </c>
      <c r="B101" s="410">
        <v>-2230832</v>
      </c>
      <c r="C101" s="410">
        <v>-561778</v>
      </c>
      <c r="D101" s="410">
        <v>-162083</v>
      </c>
      <c r="E101" s="410">
        <v>2512854</v>
      </c>
      <c r="F101" s="410">
        <v>-977474</v>
      </c>
      <c r="G101" s="4"/>
      <c r="H101" s="3"/>
      <c r="I101" s="3"/>
      <c r="J101" s="3"/>
      <c r="K101" s="3"/>
    </row>
    <row r="102">
      <c r="A102" s="526" t="s">
        <v>97</v>
      </c>
      <c r="B102" s="410">
        <v>-2308440</v>
      </c>
      <c r="C102" s="410">
        <v>1313893</v>
      </c>
      <c r="D102" s="410">
        <v>-7013242</v>
      </c>
      <c r="E102" s="410">
        <v>-3409700</v>
      </c>
      <c r="F102" s="410">
        <v>-4833089</v>
      </c>
      <c r="G102" s="4"/>
      <c r="H102" s="3"/>
      <c r="I102" s="3"/>
      <c r="J102" s="3"/>
      <c r="K102" s="3"/>
    </row>
    <row r="103">
      <c r="A103" s="526" t="s">
        <v>44</v>
      </c>
      <c r="B103" s="410">
        <v>-3086910</v>
      </c>
      <c r="C103" s="410">
        <v>-5528486</v>
      </c>
      <c r="D103" s="410">
        <v>7350655</v>
      </c>
      <c r="E103" s="410">
        <v>407955</v>
      </c>
      <c r="F103" s="410">
        <v>105578</v>
      </c>
      <c r="G103" s="4"/>
      <c r="H103" s="3"/>
      <c r="I103" s="3"/>
      <c r="J103" s="3"/>
      <c r="K103" s="3"/>
    </row>
    <row r="104">
      <c r="A104" s="526" t="s">
        <v>46</v>
      </c>
      <c r="B104" s="410">
        <v>502522</v>
      </c>
      <c r="C104" s="410">
        <v>4211</v>
      </c>
      <c r="D104" s="410">
        <v>146383</v>
      </c>
      <c r="E104" s="410">
        <v>-125347</v>
      </c>
      <c r="F104" s="410">
        <v>-23978</v>
      </c>
      <c r="G104" s="4"/>
      <c r="H104" s="3"/>
      <c r="I104" s="3"/>
      <c r="J104" s="3"/>
      <c r="K104" s="3"/>
    </row>
    <row r="105">
      <c r="A105" s="526" t="s">
        <v>98</v>
      </c>
      <c r="B105" s="410">
        <v>18812266</v>
      </c>
      <c r="C105" s="410">
        <v>5177883</v>
      </c>
      <c r="D105" s="410">
        <v>-6679279</v>
      </c>
      <c r="E105" s="410">
        <v>-4033223</v>
      </c>
      <c r="F105" s="410">
        <v>-3313445</v>
      </c>
      <c r="G105" s="4"/>
      <c r="H105" s="3"/>
      <c r="I105" s="3"/>
      <c r="J105" s="3"/>
      <c r="K105" s="3"/>
    </row>
    <row r="106">
      <c r="A106" s="526" t="s">
        <v>68</v>
      </c>
      <c r="B106" s="410">
        <v>2365978</v>
      </c>
      <c r="C106" s="410">
        <v>-2301924</v>
      </c>
      <c r="D106" s="410">
        <v>1888489</v>
      </c>
      <c r="E106" s="410">
        <v>646426</v>
      </c>
      <c r="F106" s="410">
        <v>319248</v>
      </c>
      <c r="G106" s="4"/>
      <c r="H106" s="3"/>
      <c r="I106" s="3"/>
      <c r="J106" s="3"/>
      <c r="K106" s="3"/>
    </row>
    <row r="107">
      <c r="A107" s="526" t="s">
        <v>71</v>
      </c>
      <c r="B107" s="410">
        <v>2289233</v>
      </c>
      <c r="C107" s="410">
        <v>498044</v>
      </c>
      <c r="D107" s="410">
        <v>-1840219</v>
      </c>
      <c r="E107" s="410">
        <v>529290</v>
      </c>
      <c r="F107" s="410">
        <v>-545079</v>
      </c>
      <c r="G107" s="4"/>
      <c r="H107" s="3"/>
      <c r="I107" s="3"/>
      <c r="J107" s="3"/>
      <c r="K107" s="3"/>
    </row>
    <row r="108">
      <c r="A108" s="502" t="s">
        <v>99</v>
      </c>
      <c r="B108" s="5">
        <v>51924919</v>
      </c>
      <c r="C108" s="5">
        <v>26644655</v>
      </c>
      <c r="D108" s="5">
        <v>38047551</v>
      </c>
      <c r="E108" s="5">
        <v>49690149</v>
      </c>
      <c r="F108" s="5">
        <v>52173440</v>
      </c>
      <c r="G108" s="7"/>
      <c r="H108" s="5"/>
      <c r="I108" s="5"/>
      <c r="J108" s="5"/>
      <c r="K108" s="5"/>
    </row>
    <row r="109">
      <c r="A109" s="526" t="s">
        <v>100</v>
      </c>
      <c r="B109" s="410">
        <v>-1332192</v>
      </c>
      <c r="C109" s="410">
        <v>-1364593</v>
      </c>
      <c r="D109" s="410">
        <v>-917438</v>
      </c>
      <c r="E109" s="410">
        <v>-925047</v>
      </c>
      <c r="F109" s="410">
        <v>-1018882</v>
      </c>
      <c r="G109" s="4"/>
      <c r="H109" s="3"/>
      <c r="I109" s="3"/>
      <c r="J109" s="3"/>
      <c r="K109" s="3"/>
    </row>
    <row r="110">
      <c r="A110" s="526" t="s">
        <v>101</v>
      </c>
      <c r="B110" s="410">
        <v>-6080627</v>
      </c>
      <c r="C110" s="410">
        <v>-3627764</v>
      </c>
      <c r="D110" s="410">
        <v>-4696730</v>
      </c>
      <c r="E110" s="410">
        <v>-4980492</v>
      </c>
      <c r="F110" s="410">
        <v>-4181690</v>
      </c>
      <c r="G110" s="4"/>
      <c r="H110" s="3"/>
      <c r="I110" s="3"/>
      <c r="J110" s="3"/>
      <c r="K110" s="3"/>
    </row>
    <row r="111">
      <c r="A111" s="526" t="s">
        <v>102</v>
      </c>
      <c r="B111" s="410">
        <v>-929149</v>
      </c>
      <c r="C111" s="410">
        <v>-11773833</v>
      </c>
      <c r="D111" s="410">
        <v>-4851299</v>
      </c>
      <c r="E111" s="410">
        <v>-1449549</v>
      </c>
      <c r="F111" s="410">
        <v>-6303875</v>
      </c>
      <c r="G111" s="4"/>
      <c r="H111" s="3"/>
      <c r="I111" s="3"/>
      <c r="J111" s="3"/>
      <c r="K111" s="3"/>
    </row>
    <row r="112">
      <c r="A112" s="502" t="s">
        <v>103</v>
      </c>
      <c r="B112" s="5">
        <v>43582951</v>
      </c>
      <c r="C112" s="5">
        <v>9878465</v>
      </c>
      <c r="D112" s="5">
        <v>27582084</v>
      </c>
      <c r="E112" s="5">
        <v>42335061</v>
      </c>
      <c r="F112" s="5">
        <v>40668993</v>
      </c>
      <c r="G112" s="7"/>
      <c r="H112" s="5"/>
      <c r="I112" s="5"/>
      <c r="J112" s="5"/>
      <c r="K112" s="5"/>
    </row>
    <row r="113">
      <c r="A113" s="526" t="s">
        <v>104</v>
      </c>
      <c r="B113" s="410">
        <v>1627169</v>
      </c>
      <c r="C113" s="410">
        <v>2203898</v>
      </c>
      <c r="D113" s="410">
        <v>1911252</v>
      </c>
      <c r="E113" s="410">
        <v>2201801</v>
      </c>
      <c r="F113" s="410">
        <v>2520005</v>
      </c>
      <c r="G113" s="4"/>
      <c r="H113" s="3"/>
      <c r="I113" s="3"/>
      <c r="J113" s="3"/>
      <c r="K113" s="3"/>
    </row>
    <row r="114">
      <c r="A114" s="526" t="s">
        <v>105</v>
      </c>
      <c r="B114" s="410">
        <v>1421</v>
      </c>
      <c r="C114" s="410">
        <v>-1131841</v>
      </c>
      <c r="D114" s="410">
        <v>-433127</v>
      </c>
      <c r="E114" s="410">
        <v>-1026943</v>
      </c>
      <c r="F114" s="410">
        <v>-682200</v>
      </c>
      <c r="G114" s="4"/>
      <c r="H114" s="3"/>
      <c r="I114" s="3"/>
      <c r="J114" s="3"/>
      <c r="K114" s="3"/>
    </row>
    <row r="115">
      <c r="A115" s="526" t="s">
        <v>106</v>
      </c>
      <c r="B115" s="410">
        <v>-8796300</v>
      </c>
      <c r="C115" s="410">
        <v>-12854095</v>
      </c>
      <c r="D115" s="410">
        <v>-16438880</v>
      </c>
      <c r="E115" s="410">
        <v>-15891935</v>
      </c>
      <c r="F115" s="410">
        <v>-17109401</v>
      </c>
      <c r="G115" s="4"/>
      <c r="H115" s="3"/>
      <c r="I115" s="3"/>
      <c r="J115" s="3"/>
      <c r="K115" s="3"/>
    </row>
    <row r="116">
      <c r="A116" s="526" t="s">
        <v>107</v>
      </c>
      <c r="B116" s="410">
        <v>260483</v>
      </c>
      <c r="C116" s="410">
        <v>152429</v>
      </c>
      <c r="D116" s="410">
        <v>270038</v>
      </c>
      <c r="E116" s="410">
        <v>4543</v>
      </c>
      <c r="F116" s="410">
        <v>158160</v>
      </c>
      <c r="G116" s="4"/>
      <c r="H116" s="3"/>
      <c r="I116" s="3"/>
      <c r="J116" s="3"/>
      <c r="K116" s="3"/>
    </row>
    <row r="117">
      <c r="A117" s="526" t="s">
        <v>108</v>
      </c>
      <c r="B117" s="410">
        <v>-310772</v>
      </c>
      <c r="C117" s="410">
        <v>-965474</v>
      </c>
      <c r="D117" s="410">
        <v>-2850922</v>
      </c>
      <c r="E117" s="410">
        <v>-1511496</v>
      </c>
      <c r="F117" s="410">
        <v>-612571</v>
      </c>
      <c r="G117" s="4"/>
      <c r="H117" s="3"/>
      <c r="I117" s="3"/>
      <c r="J117" s="3"/>
      <c r="K117" s="3"/>
    </row>
    <row r="118">
      <c r="A118" s="526" t="s">
        <v>109</v>
      </c>
      <c r="B118" s="3"/>
      <c r="C118" s="3"/>
      <c r="D118" s="3"/>
      <c r="E118" s="410">
        <v>0</v>
      </c>
      <c r="F118" s="410">
        <v>-7600</v>
      </c>
      <c r="G118" s="4"/>
      <c r="H118" s="3"/>
      <c r="I118" s="3"/>
      <c r="J118" s="3"/>
      <c r="K118" s="3"/>
    </row>
    <row r="119">
      <c r="A119" s="526" t="s">
        <v>110</v>
      </c>
      <c r="B119" s="3"/>
      <c r="C119" s="3"/>
      <c r="D119" s="3"/>
      <c r="E119" s="410">
        <v>0</v>
      </c>
      <c r="F119" s="410">
        <v>105000</v>
      </c>
      <c r="G119" s="4"/>
      <c r="H119" s="3"/>
      <c r="I119" s="3"/>
      <c r="J119" s="3"/>
      <c r="K119" s="3"/>
    </row>
    <row r="120">
      <c r="A120" s="526" t="s">
        <v>111</v>
      </c>
      <c r="B120" s="410">
        <v>1395523</v>
      </c>
      <c r="C120" s="410">
        <v>793977</v>
      </c>
      <c r="D120" s="410">
        <v>667740</v>
      </c>
      <c r="E120" s="410">
        <v>817297</v>
      </c>
      <c r="F120" s="410">
        <v>795946</v>
      </c>
      <c r="G120" s="4"/>
      <c r="H120" s="3"/>
      <c r="I120" s="3"/>
      <c r="J120" s="3"/>
      <c r="K120" s="3"/>
    </row>
    <row r="121">
      <c r="A121" s="526" t="s">
        <v>112</v>
      </c>
      <c r="B121" s="410">
        <v>-165254</v>
      </c>
      <c r="C121" s="410">
        <v>-182978</v>
      </c>
      <c r="D121" s="3"/>
      <c r="E121" s="3"/>
      <c r="F121" s="3"/>
      <c r="G121" s="4"/>
      <c r="H121" s="3"/>
      <c r="I121" s="3"/>
      <c r="J121" s="3"/>
      <c r="K121" s="3"/>
    </row>
    <row r="122">
      <c r="A122" s="526" t="s">
        <v>113</v>
      </c>
      <c r="B122" s="3"/>
      <c r="C122" s="3"/>
      <c r="D122" s="410">
        <v>4009155</v>
      </c>
      <c r="E122" s="410">
        <v>0</v>
      </c>
      <c r="F122" s="3"/>
      <c r="G122" s="4"/>
      <c r="H122" s="3"/>
      <c r="I122" s="3"/>
      <c r="J122" s="3"/>
      <c r="K122" s="3"/>
    </row>
    <row r="123">
      <c r="A123" s="526" t="s">
        <v>114</v>
      </c>
      <c r="B123" s="3"/>
      <c r="C123" s="3"/>
      <c r="D123" s="410">
        <v>0</v>
      </c>
      <c r="E123" s="410">
        <v>-3400000</v>
      </c>
      <c r="F123" s="410">
        <v>-4606000</v>
      </c>
      <c r="G123" s="4"/>
      <c r="H123" s="3"/>
      <c r="I123" s="3"/>
      <c r="J123" s="3"/>
      <c r="K123" s="3"/>
    </row>
    <row r="124">
      <c r="A124" s="526" t="s">
        <v>115</v>
      </c>
      <c r="B124" s="410">
        <v>-14988</v>
      </c>
      <c r="C124" s="410">
        <v>-161504</v>
      </c>
      <c r="D124" s="410">
        <v>-54503</v>
      </c>
      <c r="E124" s="410">
        <v>-7278</v>
      </c>
      <c r="F124" s="410">
        <v>3181</v>
      </c>
      <c r="G124" s="4"/>
      <c r="H124" s="3"/>
      <c r="I124" s="3"/>
      <c r="J124" s="3"/>
      <c r="K124" s="3"/>
    </row>
    <row r="125">
      <c r="A125" s="502" t="s">
        <v>116</v>
      </c>
      <c r="B125" s="5">
        <v>-5802718</v>
      </c>
      <c r="C125" s="5">
        <v>-12145588</v>
      </c>
      <c r="D125" s="5">
        <v>-12919247</v>
      </c>
      <c r="E125" s="5">
        <v>-18814011</v>
      </c>
      <c r="F125" s="5">
        <v>-19429480</v>
      </c>
      <c r="G125" s="7"/>
      <c r="H125" s="5"/>
      <c r="I125" s="5"/>
      <c r="J125" s="5"/>
      <c r="K125" s="5"/>
    </row>
    <row r="126">
      <c r="A126" s="526" t="s">
        <v>117</v>
      </c>
      <c r="B126" s="410">
        <v>-18446530</v>
      </c>
      <c r="C126" s="410">
        <v>-34808648</v>
      </c>
      <c r="D126" s="410">
        <v>-33873089</v>
      </c>
      <c r="E126" s="410">
        <v>-26719186</v>
      </c>
      <c r="F126" s="410">
        <v>-23847912</v>
      </c>
      <c r="G126" s="4"/>
      <c r="H126" s="3"/>
      <c r="I126" s="3"/>
      <c r="J126" s="3"/>
      <c r="K126" s="3"/>
    </row>
    <row r="127">
      <c r="A127" s="526" t="s">
        <v>118</v>
      </c>
      <c r="B127" s="410">
        <v>18110000</v>
      </c>
      <c r="C127" s="410">
        <v>36048648</v>
      </c>
      <c r="D127" s="410">
        <v>33692275</v>
      </c>
      <c r="E127" s="410">
        <v>23024600</v>
      </c>
      <c r="F127" s="410">
        <v>22747912</v>
      </c>
      <c r="G127" s="4"/>
      <c r="H127" s="3"/>
      <c r="I127" s="3"/>
      <c r="J127" s="3"/>
      <c r="K127" s="3"/>
    </row>
    <row r="128">
      <c r="A128" s="526" t="s">
        <v>119</v>
      </c>
      <c r="B128" s="410">
        <v>20160000</v>
      </c>
      <c r="C128" s="410">
        <v>15500000</v>
      </c>
      <c r="D128" s="410">
        <v>16029000</v>
      </c>
      <c r="E128" s="410">
        <v>13111000</v>
      </c>
      <c r="F128" s="410">
        <v>16247000</v>
      </c>
      <c r="G128" s="4"/>
      <c r="H128" s="3"/>
      <c r="I128" s="3"/>
      <c r="J128" s="3"/>
      <c r="K128" s="3"/>
    </row>
    <row r="129">
      <c r="A129" s="526" t="s">
        <v>120</v>
      </c>
      <c r="B129" s="410">
        <v>-28240000</v>
      </c>
      <c r="C129" s="410">
        <v>-20160000</v>
      </c>
      <c r="D129" s="410">
        <v>-15500000</v>
      </c>
      <c r="E129" s="410">
        <v>-16049000</v>
      </c>
      <c r="F129" s="410">
        <v>-13091000</v>
      </c>
      <c r="G129" s="4"/>
      <c r="H129" s="3"/>
      <c r="I129" s="3"/>
      <c r="J129" s="3"/>
      <c r="K129" s="3"/>
    </row>
    <row r="130">
      <c r="A130" s="526" t="s">
        <v>121</v>
      </c>
      <c r="B130" s="410">
        <v>-3452694</v>
      </c>
      <c r="C130" s="410">
        <v>-4927640</v>
      </c>
      <c r="D130" s="410">
        <v>-4278457</v>
      </c>
      <c r="E130" s="410">
        <v>-5798085</v>
      </c>
      <c r="F130" s="410">
        <v>-6793745</v>
      </c>
      <c r="G130" s="4"/>
      <c r="H130" s="3"/>
      <c r="I130" s="3"/>
      <c r="J130" s="3"/>
      <c r="K130" s="3"/>
    </row>
    <row r="131">
      <c r="A131" s="526" t="s">
        <v>122</v>
      </c>
      <c r="B131" s="410">
        <v>28000000</v>
      </c>
      <c r="C131" s="410">
        <v>15000000</v>
      </c>
      <c r="D131" s="3"/>
      <c r="E131" s="3"/>
      <c r="F131" s="3"/>
      <c r="G131" s="4"/>
      <c r="H131" s="3"/>
      <c r="I131" s="3"/>
      <c r="J131" s="3"/>
      <c r="K131" s="3"/>
    </row>
    <row r="132">
      <c r="A132" s="526" t="s">
        <v>123</v>
      </c>
      <c r="B132" s="410">
        <v>-57649000</v>
      </c>
      <c r="C132" s="410">
        <v>0</v>
      </c>
      <c r="D132" s="410">
        <v>0</v>
      </c>
      <c r="E132" s="410">
        <v>-5000000</v>
      </c>
      <c r="F132" s="410">
        <v>-10000000</v>
      </c>
      <c r="G132" s="4"/>
      <c r="H132" s="3"/>
      <c r="I132" s="3"/>
      <c r="J132" s="3"/>
      <c r="K132" s="3"/>
    </row>
    <row r="133">
      <c r="A133" s="526" t="s">
        <v>124</v>
      </c>
      <c r="B133" s="410">
        <v>466986</v>
      </c>
      <c r="C133" s="410">
        <v>0</v>
      </c>
      <c r="D133" s="3"/>
      <c r="E133" s="3"/>
      <c r="F133" s="3"/>
      <c r="G133" s="4"/>
      <c r="H133" s="3"/>
      <c r="I133" s="3"/>
      <c r="J133" s="3"/>
      <c r="K133" s="3"/>
    </row>
    <row r="134">
      <c r="A134" s="526" t="s">
        <v>125</v>
      </c>
      <c r="B134" s="410">
        <v>-16496</v>
      </c>
      <c r="C134" s="3"/>
      <c r="D134" s="3"/>
      <c r="E134" s="410">
        <v>-351850</v>
      </c>
      <c r="F134" s="410">
        <v>-172125</v>
      </c>
      <c r="G134" s="4"/>
      <c r="H134" s="3"/>
      <c r="I134" s="3"/>
      <c r="J134" s="3"/>
      <c r="K134" s="3"/>
    </row>
    <row r="135">
      <c r="A135" s="526" t="s">
        <v>126</v>
      </c>
      <c r="B135" s="410">
        <v>0</v>
      </c>
      <c r="C135" s="410">
        <v>-17669</v>
      </c>
      <c r="D135" s="410">
        <v>-26198</v>
      </c>
      <c r="E135" s="410">
        <v>-32383</v>
      </c>
      <c r="F135" s="410">
        <v>-42272</v>
      </c>
      <c r="G135" s="4"/>
      <c r="H135" s="3"/>
      <c r="I135" s="3"/>
      <c r="J135" s="3"/>
      <c r="K135" s="3"/>
    </row>
    <row r="136">
      <c r="A136" s="526" t="s">
        <v>127</v>
      </c>
      <c r="B136" s="410">
        <v>-4065112</v>
      </c>
      <c r="C136" s="410">
        <v>-8364253</v>
      </c>
      <c r="D136" s="410">
        <v>-7342358</v>
      </c>
      <c r="E136" s="410">
        <v>-7091350</v>
      </c>
      <c r="F136" s="410">
        <v>-5508708</v>
      </c>
      <c r="G136" s="4"/>
      <c r="H136" s="3"/>
      <c r="I136" s="3"/>
      <c r="J136" s="3"/>
      <c r="K136" s="3"/>
    </row>
    <row r="137">
      <c r="A137" s="502" t="s">
        <v>128</v>
      </c>
      <c r="B137" s="5">
        <v>-45132846</v>
      </c>
      <c r="C137" s="5">
        <v>-1729562</v>
      </c>
      <c r="D137" s="5">
        <v>-11298827</v>
      </c>
      <c r="E137" s="5">
        <v>-24906254</v>
      </c>
      <c r="F137" s="5">
        <v>-20460850</v>
      </c>
      <c r="G137" s="7"/>
      <c r="H137" s="5"/>
      <c r="I137" s="5"/>
      <c r="J137" s="5"/>
      <c r="K137" s="5"/>
    </row>
    <row r="138">
      <c r="A138" s="526" t="s">
        <v>129</v>
      </c>
      <c r="B138" s="410">
        <v>-7352613</v>
      </c>
      <c r="C138" s="410">
        <v>-3996685</v>
      </c>
      <c r="D138" s="410">
        <v>3364010</v>
      </c>
      <c r="E138" s="410">
        <v>-1385204</v>
      </c>
      <c r="F138" s="410">
        <v>778663</v>
      </c>
      <c r="G138" s="4"/>
      <c r="H138" s="3"/>
      <c r="I138" s="3"/>
      <c r="J138" s="3"/>
      <c r="K138" s="3"/>
    </row>
    <row r="139">
      <c r="A139" s="526" t="s">
        <v>130</v>
      </c>
      <c r="B139" s="410">
        <v>21574377</v>
      </c>
      <c r="C139" s="410">
        <v>14137059</v>
      </c>
      <c r="D139" s="410">
        <v>10248083</v>
      </c>
      <c r="E139" s="410">
        <v>13933186</v>
      </c>
      <c r="F139" s="410">
        <v>12627619</v>
      </c>
      <c r="G139" s="4"/>
      <c r="H139" s="3"/>
      <c r="I139" s="3"/>
      <c r="J139" s="3"/>
      <c r="K139" s="3"/>
    </row>
    <row r="140">
      <c r="A140" s="526" t="s">
        <v>131</v>
      </c>
      <c r="B140" s="410">
        <v>-84705</v>
      </c>
      <c r="C140" s="410">
        <v>107709</v>
      </c>
      <c r="D140" s="410">
        <v>321093</v>
      </c>
      <c r="E140" s="410">
        <v>79637</v>
      </c>
      <c r="F140" s="410">
        <v>14816</v>
      </c>
      <c r="G140" s="4"/>
      <c r="H140" s="3"/>
      <c r="I140" s="3"/>
      <c r="J140" s="3"/>
      <c r="K140" s="3"/>
    </row>
    <row r="141">
      <c r="A141" s="502" t="s">
        <v>132</v>
      </c>
      <c r="B141" s="5">
        <v>14137059</v>
      </c>
      <c r="C141" s="5">
        <v>10248083</v>
      </c>
      <c r="D141" s="5">
        <v>13933186</v>
      </c>
      <c r="E141" s="5">
        <v>12627619</v>
      </c>
      <c r="F141" s="5">
        <v>13421098</v>
      </c>
      <c r="G141" s="7"/>
      <c r="H141" s="5"/>
      <c r="I141" s="5"/>
      <c r="J141" s="5"/>
      <c r="K141" s="5"/>
    </row>
    <row r="142">
      <c r="A142" s="1"/>
      <c r="B142" s="1"/>
      <c r="C142" s="1"/>
      <c r="D142" s="1"/>
      <c r="E142" s="1"/>
      <c r="F142" s="1"/>
      <c r="G142" s="11"/>
      <c r="H142" s="1"/>
      <c r="I142" s="1"/>
      <c r="J142" s="1"/>
      <c r="K142" s="1"/>
    </row>
  </sheetData>
</worksheet>
</file>

<file path=xl/worksheets/sheet2.xml><?xml version="1.0" encoding="utf-8"?>
<worksheet xmlns="http://schemas.openxmlformats.org/spreadsheetml/2006/main" xmlns:r="http://schemas.openxmlformats.org/officeDocument/2006/relationships">
  <dimension ref="A1:T132"/>
  <sheetViews>
    <sheetView showGridLines="0" workbookViewId="0">
      <pane ySplit="5" topLeftCell="A6" activePane="bottomLeft" state="frozen"/>
    </sheetView>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524" t="s">
        <v>0</v>
      </c>
    </row>
    <row r="2">
      <c r="A2" s="521" t="s">
        <v>133</v>
      </c>
    </row>
    <row r="3">
      <c r="A3" s="521" t="s">
        <v>134</v>
      </c>
    </row>
    <row r="5">
      <c r="A5" s="362" t="s">
        <v>135</v>
      </c>
      <c r="B5" s="362" t="s">
        <v>136</v>
      </c>
      <c r="C5" s="362" t="s">
        <v>137</v>
      </c>
      <c r="D5" s="362" t="s">
        <v>138</v>
      </c>
      <c r="E5" s="362" t="s">
        <v>139</v>
      </c>
      <c r="F5" s="362" t="s">
        <v>140</v>
      </c>
      <c r="G5" s="362" t="s">
        <v>141</v>
      </c>
      <c r="H5" s="362" t="s">
        <v>142</v>
      </c>
      <c r="I5" s="362" t="s">
        <v>143</v>
      </c>
      <c r="J5" s="362" t="s">
        <v>144</v>
      </c>
      <c r="K5" s="362" t="s">
        <v>145</v>
      </c>
      <c r="L5" s="362" t="s">
        <v>146</v>
      </c>
      <c r="M5" s="362" t="s">
        <v>147</v>
      </c>
      <c r="N5" s="362" t="s">
        <v>148</v>
      </c>
      <c r="O5" s="362" t="s">
        <v>149</v>
      </c>
      <c r="P5" s="363" t="s">
        <v>150</v>
      </c>
      <c r="Q5" s="363" t="s">
        <v>151</v>
      </c>
      <c r="R5" s="362" t="s">
        <v>152</v>
      </c>
      <c r="S5" s="362" t="s">
        <v>153</v>
      </c>
      <c r="T5" s="362" t="s">
        <v>154</v>
      </c>
    </row>
    <row r="6">
      <c r="A6" s="359" t="s">
        <v>155</v>
      </c>
      <c r="B6" s="359" t="s">
        <v>156</v>
      </c>
      <c r="C6" s="359" t="s">
        <v>157</v>
      </c>
      <c r="D6" s="359" t="s">
        <v>158</v>
      </c>
      <c r="E6" s="359" t="s">
        <v>159</v>
      </c>
      <c r="F6" s="358" t="s">
        <v>160</v>
      </c>
      <c r="G6" s="359" t="s">
        <v>161</v>
      </c>
      <c r="H6" s="358"/>
      <c r="I6" s="358"/>
      <c r="J6" s="358" t="s">
        <v>162</v>
      </c>
      <c r="K6" s="361"/>
      <c r="L6" s="359"/>
      <c r="M6" s="359"/>
      <c r="N6" s="358"/>
      <c r="O6" s="358"/>
      <c r="P6" s="358"/>
      <c r="Q6" s="358"/>
      <c r="R6" s="360"/>
      <c r="S6" s="358"/>
      <c r="T6" s="359" t="s">
        <v>163</v>
      </c>
    </row>
    <row r="7" ht="34.5">
      <c r="A7" s="359" t="s">
        <v>155</v>
      </c>
      <c r="B7" s="359" t="s">
        <v>156</v>
      </c>
      <c r="C7" s="359" t="s">
        <v>157</v>
      </c>
      <c r="D7" s="359" t="s">
        <v>158</v>
      </c>
      <c r="E7" s="359" t="s">
        <v>159</v>
      </c>
      <c r="F7" s="358" t="s">
        <v>160</v>
      </c>
      <c r="G7" s="359" t="s">
        <v>161</v>
      </c>
      <c r="H7" s="358"/>
      <c r="I7" s="358"/>
      <c r="J7" s="358" t="s">
        <v>164</v>
      </c>
      <c r="K7" s="361">
        <v>50000</v>
      </c>
      <c r="L7" s="359" t="s">
        <v>165</v>
      </c>
      <c r="M7" s="359"/>
      <c r="N7" s="358"/>
      <c r="O7" s="358"/>
      <c r="P7" s="358"/>
      <c r="Q7" s="358"/>
      <c r="R7" s="360"/>
      <c r="S7" s="358"/>
      <c r="T7" s="359" t="s">
        <v>163</v>
      </c>
    </row>
    <row r="8" ht="34.5">
      <c r="A8" s="359" t="s">
        <v>155</v>
      </c>
      <c r="B8" s="359" t="s">
        <v>156</v>
      </c>
      <c r="C8" s="359" t="s">
        <v>157</v>
      </c>
      <c r="D8" s="359" t="s">
        <v>158</v>
      </c>
      <c r="E8" s="359" t="s">
        <v>159</v>
      </c>
      <c r="F8" s="358" t="s">
        <v>160</v>
      </c>
      <c r="G8" s="359" t="s">
        <v>161</v>
      </c>
      <c r="H8" s="358"/>
      <c r="I8" s="358"/>
      <c r="J8" s="358" t="s">
        <v>166</v>
      </c>
      <c r="K8" s="361"/>
      <c r="L8" s="359"/>
      <c r="M8" s="359"/>
      <c r="N8" s="358"/>
      <c r="O8" s="358"/>
      <c r="P8" s="358"/>
      <c r="Q8" s="358"/>
      <c r="R8" s="360"/>
      <c r="S8" s="358"/>
      <c r="T8" s="359" t="s">
        <v>163</v>
      </c>
    </row>
    <row r="9" ht="34.5">
      <c r="A9" s="359" t="s">
        <v>155</v>
      </c>
      <c r="B9" s="359" t="s">
        <v>156</v>
      </c>
      <c r="C9" s="359" t="s">
        <v>157</v>
      </c>
      <c r="D9" s="359" t="s">
        <v>158</v>
      </c>
      <c r="E9" s="359" t="s">
        <v>159</v>
      </c>
      <c r="F9" s="358" t="s">
        <v>160</v>
      </c>
      <c r="G9" s="359" t="s">
        <v>161</v>
      </c>
      <c r="H9" s="358"/>
      <c r="I9" s="358"/>
      <c r="J9" s="358" t="s">
        <v>167</v>
      </c>
      <c r="K9" s="361"/>
      <c r="L9" s="359"/>
      <c r="M9" s="359"/>
      <c r="N9" s="358"/>
      <c r="O9" s="358"/>
      <c r="P9" s="358"/>
      <c r="Q9" s="358"/>
      <c r="R9" s="360"/>
      <c r="S9" s="358"/>
      <c r="T9" s="359" t="s">
        <v>163</v>
      </c>
    </row>
    <row r="10" ht="34.5">
      <c r="A10" s="359" t="s">
        <v>155</v>
      </c>
      <c r="B10" s="359" t="s">
        <v>156</v>
      </c>
      <c r="C10" s="359" t="s">
        <v>157</v>
      </c>
      <c r="D10" s="359" t="s">
        <v>158</v>
      </c>
      <c r="E10" s="359" t="s">
        <v>159</v>
      </c>
      <c r="F10" s="358" t="s">
        <v>160</v>
      </c>
      <c r="G10" s="359" t="s">
        <v>161</v>
      </c>
      <c r="H10" s="358"/>
      <c r="I10" s="358"/>
      <c r="J10" s="358" t="s">
        <v>168</v>
      </c>
      <c r="K10" s="361"/>
      <c r="L10" s="359"/>
      <c r="M10" s="359"/>
      <c r="N10" s="358"/>
      <c r="O10" s="358"/>
      <c r="P10" s="358"/>
      <c r="Q10" s="358"/>
      <c r="R10" s="360"/>
      <c r="S10" s="358"/>
      <c r="T10" s="359" t="s">
        <v>163</v>
      </c>
    </row>
    <row r="11" ht="34.5">
      <c r="A11" s="359" t="s">
        <v>155</v>
      </c>
      <c r="B11" s="359" t="s">
        <v>156</v>
      </c>
      <c r="C11" s="359" t="s">
        <v>157</v>
      </c>
      <c r="D11" s="359" t="s">
        <v>158</v>
      </c>
      <c r="E11" s="359" t="s">
        <v>159</v>
      </c>
      <c r="F11" s="358" t="s">
        <v>160</v>
      </c>
      <c r="G11" s="359" t="s">
        <v>161</v>
      </c>
      <c r="H11" s="358"/>
      <c r="I11" s="358"/>
      <c r="J11" s="358" t="s">
        <v>169</v>
      </c>
      <c r="K11" s="361"/>
      <c r="L11" s="359"/>
      <c r="M11" s="359"/>
      <c r="N11" s="358"/>
      <c r="O11" s="358"/>
      <c r="P11" s="358"/>
      <c r="Q11" s="358"/>
      <c r="R11" s="360"/>
      <c r="S11" s="358"/>
      <c r="T11" s="359" t="s">
        <v>163</v>
      </c>
    </row>
    <row r="12" ht="34.5">
      <c r="A12" s="359" t="s">
        <v>155</v>
      </c>
      <c r="B12" s="359" t="s">
        <v>156</v>
      </c>
      <c r="C12" s="359" t="s">
        <v>157</v>
      </c>
      <c r="D12" s="359" t="s">
        <v>158</v>
      </c>
      <c r="E12" s="359" t="s">
        <v>159</v>
      </c>
      <c r="F12" s="358" t="s">
        <v>160</v>
      </c>
      <c r="G12" s="359" t="s">
        <v>161</v>
      </c>
      <c r="H12" s="358"/>
      <c r="I12" s="358"/>
      <c r="J12" s="358" t="s">
        <v>170</v>
      </c>
      <c r="K12" s="361"/>
      <c r="L12" s="359"/>
      <c r="M12" s="359"/>
      <c r="N12" s="358"/>
      <c r="O12" s="358"/>
      <c r="P12" s="358"/>
      <c r="Q12" s="358"/>
      <c r="R12" s="360"/>
      <c r="S12" s="358"/>
      <c r="T12" s="359" t="s">
        <v>163</v>
      </c>
    </row>
    <row r="13" ht="34.5">
      <c r="A13" s="359" t="s">
        <v>155</v>
      </c>
      <c r="B13" s="359" t="s">
        <v>156</v>
      </c>
      <c r="C13" s="359" t="s">
        <v>157</v>
      </c>
      <c r="D13" s="359" t="s">
        <v>158</v>
      </c>
      <c r="E13" s="359" t="s">
        <v>159</v>
      </c>
      <c r="F13" s="358" t="s">
        <v>160</v>
      </c>
      <c r="G13" s="359" t="s">
        <v>161</v>
      </c>
      <c r="H13" s="358"/>
      <c r="I13" s="358"/>
      <c r="J13" s="358" t="s">
        <v>171</v>
      </c>
      <c r="K13" s="361">
        <v>66200381</v>
      </c>
      <c r="L13" s="359" t="s">
        <v>165</v>
      </c>
      <c r="M13" s="359"/>
      <c r="N13" s="358"/>
      <c r="O13" s="358"/>
      <c r="P13" s="358"/>
      <c r="Q13" s="358"/>
      <c r="R13" s="360"/>
      <c r="S13" s="358"/>
      <c r="T13" s="359" t="s">
        <v>163</v>
      </c>
    </row>
    <row r="14" ht="34.5">
      <c r="A14" s="359" t="s">
        <v>155</v>
      </c>
      <c r="B14" s="359" t="s">
        <v>156</v>
      </c>
      <c r="C14" s="359" t="s">
        <v>157</v>
      </c>
      <c r="D14" s="359" t="s">
        <v>158</v>
      </c>
      <c r="E14" s="359" t="s">
        <v>159</v>
      </c>
      <c r="F14" s="358" t="s">
        <v>160</v>
      </c>
      <c r="G14" s="359" t="s">
        <v>161</v>
      </c>
      <c r="H14" s="358"/>
      <c r="I14" s="358"/>
      <c r="J14" s="358" t="s">
        <v>172</v>
      </c>
      <c r="K14" s="361"/>
      <c r="L14" s="359"/>
      <c r="M14" s="359"/>
      <c r="N14" s="358"/>
      <c r="O14" s="358"/>
      <c r="P14" s="358"/>
      <c r="Q14" s="358"/>
      <c r="R14" s="360"/>
      <c r="S14" s="358"/>
      <c r="T14" s="359" t="s">
        <v>163</v>
      </c>
    </row>
    <row r="15" ht="34.5">
      <c r="A15" s="359" t="s">
        <v>155</v>
      </c>
      <c r="B15" s="359" t="s">
        <v>156</v>
      </c>
      <c r="C15" s="359" t="s">
        <v>157</v>
      </c>
      <c r="D15" s="359" t="s">
        <v>158</v>
      </c>
      <c r="E15" s="359" t="s">
        <v>159</v>
      </c>
      <c r="F15" s="358" t="s">
        <v>160</v>
      </c>
      <c r="G15" s="359" t="s">
        <v>161</v>
      </c>
      <c r="H15" s="358"/>
      <c r="I15" s="358"/>
      <c r="J15" s="358" t="s">
        <v>173</v>
      </c>
      <c r="K15" s="361"/>
      <c r="L15" s="359"/>
      <c r="M15" s="359"/>
      <c r="N15" s="358"/>
      <c r="O15" s="358"/>
      <c r="P15" s="358"/>
      <c r="Q15" s="358"/>
      <c r="R15" s="360"/>
      <c r="S15" s="358"/>
      <c r="T15" s="359" t="s">
        <v>163</v>
      </c>
    </row>
    <row r="16" ht="34.5">
      <c r="A16" s="359" t="s">
        <v>155</v>
      </c>
      <c r="B16" s="359" t="s">
        <v>156</v>
      </c>
      <c r="C16" s="359" t="s">
        <v>157</v>
      </c>
      <c r="D16" s="359" t="s">
        <v>158</v>
      </c>
      <c r="E16" s="359" t="s">
        <v>159</v>
      </c>
      <c r="F16" s="358" t="s">
        <v>160</v>
      </c>
      <c r="G16" s="359" t="s">
        <v>161</v>
      </c>
      <c r="H16" s="358"/>
      <c r="I16" s="358"/>
      <c r="J16" s="358" t="s">
        <v>174</v>
      </c>
      <c r="K16" s="361"/>
      <c r="L16" s="359"/>
      <c r="M16" s="359"/>
      <c r="N16" s="358"/>
      <c r="O16" s="358"/>
      <c r="P16" s="358"/>
      <c r="Q16" s="358"/>
      <c r="R16" s="360"/>
      <c r="S16" s="358"/>
      <c r="T16" s="359" t="s">
        <v>163</v>
      </c>
    </row>
    <row r="17" ht="34.5">
      <c r="A17" s="359" t="s">
        <v>155</v>
      </c>
      <c r="B17" s="359" t="s">
        <v>156</v>
      </c>
      <c r="C17" s="359" t="s">
        <v>175</v>
      </c>
      <c r="D17" s="359" t="s">
        <v>158</v>
      </c>
      <c r="E17" s="359" t="s">
        <v>159</v>
      </c>
      <c r="F17" s="358" t="s">
        <v>160</v>
      </c>
      <c r="G17" s="359" t="s">
        <v>161</v>
      </c>
      <c r="H17" s="358"/>
      <c r="I17" s="358"/>
      <c r="J17" s="358" t="s">
        <v>176</v>
      </c>
      <c r="K17" s="361"/>
      <c r="L17" s="359"/>
      <c r="M17" s="359"/>
      <c r="N17" s="358"/>
      <c r="O17" s="358"/>
      <c r="P17" s="358"/>
      <c r="Q17" s="358"/>
      <c r="R17" s="360"/>
      <c r="S17" s="358"/>
      <c r="T17" s="359" t="s">
        <v>163</v>
      </c>
    </row>
    <row r="18" ht="34.5">
      <c r="A18" s="359" t="s">
        <v>155</v>
      </c>
      <c r="B18" s="359" t="s">
        <v>156</v>
      </c>
      <c r="C18" s="359" t="s">
        <v>175</v>
      </c>
      <c r="D18" s="359" t="s">
        <v>158</v>
      </c>
      <c r="E18" s="359" t="s">
        <v>177</v>
      </c>
      <c r="F18" s="358" t="s">
        <v>178</v>
      </c>
      <c r="G18" s="359" t="s">
        <v>161</v>
      </c>
      <c r="H18" s="358"/>
      <c r="I18" s="358"/>
      <c r="J18" s="358" t="s">
        <v>179</v>
      </c>
      <c r="K18" s="361"/>
      <c r="L18" s="359"/>
      <c r="M18" s="359"/>
      <c r="N18" s="358"/>
      <c r="O18" s="358"/>
      <c r="P18" s="358"/>
      <c r="Q18" s="358"/>
      <c r="R18" s="360"/>
      <c r="S18" s="358"/>
      <c r="T18" s="359" t="s">
        <v>163</v>
      </c>
    </row>
    <row r="19" ht="34.5">
      <c r="A19" s="359" t="s">
        <v>155</v>
      </c>
      <c r="B19" s="359" t="s">
        <v>156</v>
      </c>
      <c r="C19" s="359" t="s">
        <v>175</v>
      </c>
      <c r="D19" s="359" t="s">
        <v>158</v>
      </c>
      <c r="E19" s="359" t="s">
        <v>177</v>
      </c>
      <c r="F19" s="358" t="s">
        <v>178</v>
      </c>
      <c r="G19" s="359" t="s">
        <v>161</v>
      </c>
      <c r="H19" s="358"/>
      <c r="I19" s="358"/>
      <c r="J19" s="358" t="s">
        <v>180</v>
      </c>
      <c r="K19" s="361"/>
      <c r="L19" s="359"/>
      <c r="M19" s="359"/>
      <c r="N19" s="358"/>
      <c r="O19" s="358"/>
      <c r="P19" s="358"/>
      <c r="Q19" s="358"/>
      <c r="R19" s="360"/>
      <c r="S19" s="358"/>
      <c r="T19" s="359" t="s">
        <v>163</v>
      </c>
    </row>
    <row r="20" ht="34.5">
      <c r="A20" s="359" t="s">
        <v>155</v>
      </c>
      <c r="B20" s="359" t="s">
        <v>156</v>
      </c>
      <c r="C20" s="359" t="s">
        <v>175</v>
      </c>
      <c r="D20" s="359" t="s">
        <v>158</v>
      </c>
      <c r="E20" s="359" t="s">
        <v>177</v>
      </c>
      <c r="F20" s="358" t="s">
        <v>178</v>
      </c>
      <c r="G20" s="359" t="s">
        <v>161</v>
      </c>
      <c r="H20" s="358"/>
      <c r="I20" s="358"/>
      <c r="J20" s="358" t="s">
        <v>181</v>
      </c>
      <c r="K20" s="361"/>
      <c r="L20" s="359"/>
      <c r="M20" s="359"/>
      <c r="N20" s="358"/>
      <c r="O20" s="358"/>
      <c r="P20" s="358"/>
      <c r="Q20" s="358"/>
      <c r="R20" s="360"/>
      <c r="S20" s="358"/>
      <c r="T20" s="359" t="s">
        <v>163</v>
      </c>
    </row>
    <row r="21" ht="34.5">
      <c r="A21" s="359" t="s">
        <v>155</v>
      </c>
      <c r="B21" s="359" t="s">
        <v>156</v>
      </c>
      <c r="C21" s="359" t="s">
        <v>175</v>
      </c>
      <c r="D21" s="359" t="s">
        <v>158</v>
      </c>
      <c r="E21" s="359" t="s">
        <v>177</v>
      </c>
      <c r="F21" s="358" t="s">
        <v>178</v>
      </c>
      <c r="G21" s="359" t="s">
        <v>161</v>
      </c>
      <c r="H21" s="358"/>
      <c r="I21" s="358"/>
      <c r="J21" s="358" t="s">
        <v>182</v>
      </c>
      <c r="K21" s="361"/>
      <c r="L21" s="359"/>
      <c r="M21" s="359"/>
      <c r="N21" s="358"/>
      <c r="O21" s="358"/>
      <c r="P21" s="358"/>
      <c r="Q21" s="358"/>
      <c r="R21" s="360"/>
      <c r="S21" s="358"/>
      <c r="T21" s="359" t="s">
        <v>163</v>
      </c>
    </row>
    <row r="22" ht="34.5">
      <c r="A22" s="359" t="s">
        <v>155</v>
      </c>
      <c r="B22" s="359" t="s">
        <v>156</v>
      </c>
      <c r="C22" s="359" t="s">
        <v>175</v>
      </c>
      <c r="D22" s="359" t="s">
        <v>158</v>
      </c>
      <c r="E22" s="359" t="s">
        <v>183</v>
      </c>
      <c r="F22" s="358" t="s">
        <v>184</v>
      </c>
      <c r="G22" s="359" t="s">
        <v>185</v>
      </c>
      <c r="H22" s="358"/>
      <c r="I22" s="358"/>
      <c r="J22" s="358" t="s">
        <v>186</v>
      </c>
      <c r="K22" s="361"/>
      <c r="L22" s="359"/>
      <c r="M22" s="359"/>
      <c r="N22" s="358"/>
      <c r="O22" s="358"/>
      <c r="P22" s="358"/>
      <c r="Q22" s="358"/>
      <c r="R22" s="360"/>
      <c r="S22" s="358"/>
      <c r="T22" s="359" t="s">
        <v>163</v>
      </c>
    </row>
    <row r="23" ht="34.5">
      <c r="A23" s="359" t="s">
        <v>155</v>
      </c>
      <c r="B23" s="359" t="s">
        <v>156</v>
      </c>
      <c r="C23" s="359" t="s">
        <v>175</v>
      </c>
      <c r="D23" s="359" t="s">
        <v>158</v>
      </c>
      <c r="E23" s="359" t="s">
        <v>183</v>
      </c>
      <c r="F23" s="358" t="s">
        <v>184</v>
      </c>
      <c r="G23" s="359" t="s">
        <v>185</v>
      </c>
      <c r="H23" s="358"/>
      <c r="I23" s="358"/>
      <c r="J23" s="358" t="s">
        <v>187</v>
      </c>
      <c r="K23" s="361"/>
      <c r="L23" s="359"/>
      <c r="M23" s="359"/>
      <c r="N23" s="358"/>
      <c r="O23" s="358"/>
      <c r="P23" s="358"/>
      <c r="Q23" s="358"/>
      <c r="R23" s="360"/>
      <c r="S23" s="358"/>
      <c r="T23" s="359" t="s">
        <v>163</v>
      </c>
    </row>
    <row r="24" ht="34.5">
      <c r="A24" s="359" t="s">
        <v>155</v>
      </c>
      <c r="B24" s="359" t="s">
        <v>156</v>
      </c>
      <c r="C24" s="359" t="s">
        <v>175</v>
      </c>
      <c r="D24" s="359" t="s">
        <v>158</v>
      </c>
      <c r="E24" s="359" t="s">
        <v>183</v>
      </c>
      <c r="F24" s="358" t="s">
        <v>184</v>
      </c>
      <c r="G24" s="359" t="s">
        <v>185</v>
      </c>
      <c r="H24" s="358"/>
      <c r="I24" s="358"/>
      <c r="J24" s="358" t="s">
        <v>188</v>
      </c>
      <c r="K24" s="361"/>
      <c r="L24" s="359"/>
      <c r="M24" s="359"/>
      <c r="N24" s="358"/>
      <c r="O24" s="358"/>
      <c r="P24" s="358"/>
      <c r="Q24" s="358"/>
      <c r="R24" s="360"/>
      <c r="S24" s="358"/>
      <c r="T24" s="359" t="s">
        <v>163</v>
      </c>
    </row>
    <row r="25" ht="34.5">
      <c r="A25" s="359" t="s">
        <v>155</v>
      </c>
      <c r="B25" s="359" t="s">
        <v>156</v>
      </c>
      <c r="C25" s="359" t="s">
        <v>175</v>
      </c>
      <c r="D25" s="359" t="s">
        <v>158</v>
      </c>
      <c r="E25" s="359" t="s">
        <v>183</v>
      </c>
      <c r="F25" s="358" t="s">
        <v>184</v>
      </c>
      <c r="G25" s="359" t="s">
        <v>185</v>
      </c>
      <c r="H25" s="358"/>
      <c r="I25" s="358"/>
      <c r="J25" s="358" t="s">
        <v>189</v>
      </c>
      <c r="K25" s="361"/>
      <c r="L25" s="359"/>
      <c r="M25" s="359"/>
      <c r="N25" s="358"/>
      <c r="O25" s="358"/>
      <c r="P25" s="358"/>
      <c r="Q25" s="358"/>
      <c r="R25" s="360"/>
      <c r="S25" s="358"/>
      <c r="T25" s="359" t="s">
        <v>163</v>
      </c>
    </row>
    <row r="26" ht="34.5">
      <c r="A26" s="359" t="s">
        <v>155</v>
      </c>
      <c r="B26" s="359" t="s">
        <v>156</v>
      </c>
      <c r="C26" s="359" t="s">
        <v>175</v>
      </c>
      <c r="D26" s="359" t="s">
        <v>158</v>
      </c>
      <c r="E26" s="359" t="s">
        <v>183</v>
      </c>
      <c r="F26" s="358" t="s">
        <v>184</v>
      </c>
      <c r="G26" s="359" t="s">
        <v>185</v>
      </c>
      <c r="H26" s="358"/>
      <c r="I26" s="358"/>
      <c r="J26" s="358" t="s">
        <v>190</v>
      </c>
      <c r="K26" s="361"/>
      <c r="L26" s="359"/>
      <c r="M26" s="359"/>
      <c r="N26" s="358"/>
      <c r="O26" s="358"/>
      <c r="P26" s="358"/>
      <c r="Q26" s="358"/>
      <c r="R26" s="360"/>
      <c r="S26" s="358"/>
      <c r="T26" s="359" t="s">
        <v>163</v>
      </c>
    </row>
    <row r="27" ht="34.5">
      <c r="A27" s="359" t="s">
        <v>155</v>
      </c>
      <c r="B27" s="359" t="s">
        <v>156</v>
      </c>
      <c r="C27" s="359" t="s">
        <v>175</v>
      </c>
      <c r="D27" s="359" t="s">
        <v>158</v>
      </c>
      <c r="E27" s="359" t="s">
        <v>183</v>
      </c>
      <c r="F27" s="358" t="s">
        <v>184</v>
      </c>
      <c r="G27" s="359" t="s">
        <v>185</v>
      </c>
      <c r="H27" s="358"/>
      <c r="I27" s="358"/>
      <c r="J27" s="358" t="s">
        <v>191</v>
      </c>
      <c r="K27" s="361"/>
      <c r="L27" s="359"/>
      <c r="M27" s="359"/>
      <c r="N27" s="358"/>
      <c r="O27" s="358"/>
      <c r="P27" s="358"/>
      <c r="Q27" s="358"/>
      <c r="R27" s="360"/>
      <c r="S27" s="358"/>
      <c r="T27" s="359" t="s">
        <v>163</v>
      </c>
    </row>
    <row r="28" ht="34.5">
      <c r="A28" s="359" t="s">
        <v>155</v>
      </c>
      <c r="B28" s="359" t="s">
        <v>156</v>
      </c>
      <c r="C28" s="359" t="s">
        <v>175</v>
      </c>
      <c r="D28" s="359" t="s">
        <v>158</v>
      </c>
      <c r="E28" s="359" t="s">
        <v>183</v>
      </c>
      <c r="F28" s="358" t="s">
        <v>184</v>
      </c>
      <c r="G28" s="359" t="s">
        <v>185</v>
      </c>
      <c r="H28" s="358"/>
      <c r="I28" s="358"/>
      <c r="J28" s="358" t="s">
        <v>192</v>
      </c>
      <c r="K28" s="361"/>
      <c r="L28" s="359"/>
      <c r="M28" s="359"/>
      <c r="N28" s="358"/>
      <c r="O28" s="358"/>
      <c r="P28" s="358"/>
      <c r="Q28" s="358"/>
      <c r="R28" s="360"/>
      <c r="S28" s="358"/>
      <c r="T28" s="359" t="s">
        <v>163</v>
      </c>
    </row>
    <row r="29" ht="34.5">
      <c r="A29" s="359" t="s">
        <v>155</v>
      </c>
      <c r="B29" s="359" t="s">
        <v>156</v>
      </c>
      <c r="C29" s="359" t="s">
        <v>193</v>
      </c>
      <c r="D29" s="359" t="s">
        <v>158</v>
      </c>
      <c r="E29" s="359" t="s">
        <v>183</v>
      </c>
      <c r="F29" s="358" t="s">
        <v>184</v>
      </c>
      <c r="G29" s="359" t="s">
        <v>185</v>
      </c>
      <c r="H29" s="358"/>
      <c r="I29" s="358"/>
      <c r="J29" s="358" t="s">
        <v>176</v>
      </c>
      <c r="K29" s="361"/>
      <c r="L29" s="359"/>
      <c r="M29" s="359"/>
      <c r="N29" s="358"/>
      <c r="O29" s="358"/>
      <c r="P29" s="358"/>
      <c r="Q29" s="358"/>
      <c r="R29" s="360"/>
      <c r="S29" s="358"/>
      <c r="T29" s="359" t="s">
        <v>163</v>
      </c>
    </row>
    <row r="30" ht="34.5">
      <c r="A30" s="359" t="s">
        <v>155</v>
      </c>
      <c r="B30" s="359" t="s">
        <v>156</v>
      </c>
      <c r="C30" s="359" t="s">
        <v>193</v>
      </c>
      <c r="D30" s="359" t="s">
        <v>158</v>
      </c>
      <c r="E30" s="359" t="s">
        <v>183</v>
      </c>
      <c r="F30" s="358" t="s">
        <v>184</v>
      </c>
      <c r="G30" s="359" t="s">
        <v>185</v>
      </c>
      <c r="H30" s="358"/>
      <c r="I30" s="358"/>
      <c r="J30" s="358" t="s">
        <v>194</v>
      </c>
      <c r="K30" s="361"/>
      <c r="L30" s="359"/>
      <c r="M30" s="359"/>
      <c r="N30" s="358"/>
      <c r="O30" s="358"/>
      <c r="P30" s="358"/>
      <c r="Q30" s="358"/>
      <c r="R30" s="360"/>
      <c r="S30" s="358"/>
      <c r="T30" s="359" t="s">
        <v>163</v>
      </c>
    </row>
    <row r="31" ht="34.5">
      <c r="A31" s="359" t="s">
        <v>155</v>
      </c>
      <c r="B31" s="359" t="s">
        <v>156</v>
      </c>
      <c r="C31" s="359" t="s">
        <v>193</v>
      </c>
      <c r="D31" s="359" t="s">
        <v>158</v>
      </c>
      <c r="E31" s="359" t="s">
        <v>183</v>
      </c>
      <c r="F31" s="358" t="s">
        <v>184</v>
      </c>
      <c r="G31" s="359" t="s">
        <v>185</v>
      </c>
      <c r="H31" s="358"/>
      <c r="I31" s="358"/>
      <c r="J31" s="358" t="s">
        <v>195</v>
      </c>
      <c r="K31" s="361"/>
      <c r="L31" s="359"/>
      <c r="M31" s="359"/>
      <c r="N31" s="358"/>
      <c r="O31" s="358"/>
      <c r="P31" s="358"/>
      <c r="Q31" s="358"/>
      <c r="R31" s="360"/>
      <c r="S31" s="358"/>
      <c r="T31" s="359" t="s">
        <v>163</v>
      </c>
    </row>
    <row r="32" ht="34.5">
      <c r="A32" s="359" t="s">
        <v>155</v>
      </c>
      <c r="B32" s="359" t="s">
        <v>156</v>
      </c>
      <c r="C32" s="359" t="s">
        <v>193</v>
      </c>
      <c r="D32" s="359" t="s">
        <v>158</v>
      </c>
      <c r="E32" s="359" t="s">
        <v>196</v>
      </c>
      <c r="F32" s="358" t="s">
        <v>197</v>
      </c>
      <c r="G32" s="359" t="s">
        <v>161</v>
      </c>
      <c r="H32" s="358"/>
      <c r="I32" s="358"/>
      <c r="J32" s="358" t="s">
        <v>198</v>
      </c>
      <c r="K32" s="361">
        <v>61077310</v>
      </c>
      <c r="L32" s="359" t="s">
        <v>165</v>
      </c>
      <c r="M32" s="359"/>
      <c r="N32" s="358"/>
      <c r="O32" s="358"/>
      <c r="P32" s="358"/>
      <c r="Q32" s="358"/>
      <c r="R32" s="360"/>
      <c r="S32" s="358"/>
      <c r="T32" s="359" t="s">
        <v>163</v>
      </c>
    </row>
    <row r="33" ht="34.5">
      <c r="A33" s="359" t="s">
        <v>155</v>
      </c>
      <c r="B33" s="359" t="s">
        <v>156</v>
      </c>
      <c r="C33" s="359" t="s">
        <v>193</v>
      </c>
      <c r="D33" s="359" t="s">
        <v>158</v>
      </c>
      <c r="E33" s="359" t="s">
        <v>196</v>
      </c>
      <c r="F33" s="358" t="s">
        <v>197</v>
      </c>
      <c r="G33" s="359" t="s">
        <v>161</v>
      </c>
      <c r="H33" s="358"/>
      <c r="I33" s="358"/>
      <c r="J33" s="358" t="s">
        <v>199</v>
      </c>
      <c r="K33" s="361">
        <v>66200381</v>
      </c>
      <c r="L33" s="359" t="s">
        <v>165</v>
      </c>
      <c r="M33" s="359"/>
      <c r="N33" s="358"/>
      <c r="O33" s="358"/>
      <c r="P33" s="358"/>
      <c r="Q33" s="358"/>
      <c r="R33" s="360"/>
      <c r="S33" s="358"/>
      <c r="T33" s="359" t="s">
        <v>163</v>
      </c>
    </row>
    <row r="34" ht="34.5">
      <c r="A34" s="359" t="s">
        <v>155</v>
      </c>
      <c r="B34" s="359" t="s">
        <v>156</v>
      </c>
      <c r="C34" s="359" t="s">
        <v>193</v>
      </c>
      <c r="D34" s="359" t="s">
        <v>200</v>
      </c>
      <c r="E34" s="359" t="s">
        <v>196</v>
      </c>
      <c r="F34" s="358" t="s">
        <v>197</v>
      </c>
      <c r="G34" s="359" t="s">
        <v>161</v>
      </c>
      <c r="H34" s="358"/>
      <c r="I34" s="358"/>
      <c r="J34" s="358" t="s">
        <v>201</v>
      </c>
      <c r="K34" s="361"/>
      <c r="L34" s="359"/>
      <c r="M34" s="359"/>
      <c r="N34" s="358"/>
      <c r="O34" s="358"/>
      <c r="P34" s="358"/>
      <c r="Q34" s="358"/>
      <c r="R34" s="360"/>
      <c r="S34" s="358"/>
      <c r="T34" s="359" t="s">
        <v>163</v>
      </c>
    </row>
    <row r="35" ht="34.5">
      <c r="A35" s="359" t="s">
        <v>155</v>
      </c>
      <c r="B35" s="359" t="s">
        <v>156</v>
      </c>
      <c r="C35" s="359" t="s">
        <v>193</v>
      </c>
      <c r="D35" s="359" t="s">
        <v>158</v>
      </c>
      <c r="E35" s="359" t="s">
        <v>202</v>
      </c>
      <c r="F35" s="358" t="s">
        <v>203</v>
      </c>
      <c r="G35" s="359" t="s">
        <v>204</v>
      </c>
      <c r="H35" s="358"/>
      <c r="I35" s="358"/>
      <c r="J35" s="358" t="s">
        <v>205</v>
      </c>
      <c r="K35" s="361"/>
      <c r="L35" s="359"/>
      <c r="M35" s="359"/>
      <c r="N35" s="358"/>
      <c r="O35" s="358"/>
      <c r="P35" s="358"/>
      <c r="Q35" s="358"/>
      <c r="R35" s="360"/>
      <c r="S35" s="358"/>
      <c r="T35" s="359" t="s">
        <v>163</v>
      </c>
    </row>
    <row r="36" ht="34.5">
      <c r="A36" s="359" t="s">
        <v>155</v>
      </c>
      <c r="B36" s="359" t="s">
        <v>156</v>
      </c>
      <c r="C36" s="359" t="s">
        <v>193</v>
      </c>
      <c r="D36" s="359" t="s">
        <v>158</v>
      </c>
      <c r="E36" s="359" t="s">
        <v>202</v>
      </c>
      <c r="F36" s="358" t="s">
        <v>203</v>
      </c>
      <c r="G36" s="359" t="s">
        <v>204</v>
      </c>
      <c r="H36" s="358"/>
      <c r="I36" s="358"/>
      <c r="J36" s="358" t="s">
        <v>206</v>
      </c>
      <c r="K36" s="361"/>
      <c r="L36" s="359"/>
      <c r="M36" s="359"/>
      <c r="N36" s="358"/>
      <c r="O36" s="358"/>
      <c r="P36" s="358"/>
      <c r="Q36" s="358"/>
      <c r="R36" s="360"/>
      <c r="S36" s="358"/>
      <c r="T36" s="359" t="s">
        <v>163</v>
      </c>
    </row>
    <row r="37" ht="34.5">
      <c r="A37" s="359" t="s">
        <v>155</v>
      </c>
      <c r="B37" s="359" t="s">
        <v>156</v>
      </c>
      <c r="C37" s="359" t="s">
        <v>193</v>
      </c>
      <c r="D37" s="359" t="s">
        <v>158</v>
      </c>
      <c r="E37" s="359" t="s">
        <v>202</v>
      </c>
      <c r="F37" s="358" t="s">
        <v>203</v>
      </c>
      <c r="G37" s="359" t="s">
        <v>204</v>
      </c>
      <c r="H37" s="358"/>
      <c r="I37" s="358"/>
      <c r="J37" s="358" t="s">
        <v>207</v>
      </c>
      <c r="K37" s="361"/>
      <c r="L37" s="359"/>
      <c r="M37" s="359"/>
      <c r="N37" s="358"/>
      <c r="O37" s="358"/>
      <c r="P37" s="358"/>
      <c r="Q37" s="358"/>
      <c r="R37" s="360"/>
      <c r="S37" s="358"/>
      <c r="T37" s="359" t="s">
        <v>163</v>
      </c>
    </row>
    <row r="38" ht="34.5">
      <c r="A38" s="359" t="s">
        <v>155</v>
      </c>
      <c r="B38" s="359" t="s">
        <v>156</v>
      </c>
      <c r="C38" s="359" t="s">
        <v>208</v>
      </c>
      <c r="D38" s="359" t="s">
        <v>158</v>
      </c>
      <c r="E38" s="359" t="s">
        <v>202</v>
      </c>
      <c r="F38" s="358" t="s">
        <v>203</v>
      </c>
      <c r="G38" s="359" t="s">
        <v>204</v>
      </c>
      <c r="H38" s="358"/>
      <c r="I38" s="358"/>
      <c r="J38" s="358" t="s">
        <v>176</v>
      </c>
      <c r="K38" s="361"/>
      <c r="L38" s="359"/>
      <c r="M38" s="359"/>
      <c r="N38" s="358"/>
      <c r="O38" s="358"/>
      <c r="P38" s="358"/>
      <c r="Q38" s="358"/>
      <c r="R38" s="360"/>
      <c r="S38" s="358"/>
      <c r="T38" s="359" t="s">
        <v>163</v>
      </c>
    </row>
    <row r="39" ht="34.5">
      <c r="A39" s="359" t="s">
        <v>209</v>
      </c>
      <c r="B39" s="359" t="s">
        <v>210</v>
      </c>
      <c r="C39" s="359" t="s">
        <v>175</v>
      </c>
      <c r="D39" s="359" t="s">
        <v>158</v>
      </c>
      <c r="E39" s="359" t="s">
        <v>159</v>
      </c>
      <c r="F39" s="358" t="s">
        <v>160</v>
      </c>
      <c r="G39" s="359" t="s">
        <v>161</v>
      </c>
      <c r="H39" s="358"/>
      <c r="I39" s="358"/>
      <c r="J39" s="358" t="s">
        <v>162</v>
      </c>
      <c r="K39" s="361"/>
      <c r="L39" s="359"/>
      <c r="M39" s="359"/>
      <c r="N39" s="358"/>
      <c r="O39" s="358"/>
      <c r="P39" s="358"/>
      <c r="Q39" s="358"/>
      <c r="R39" s="360"/>
      <c r="S39" s="358"/>
      <c r="T39" s="359" t="s">
        <v>163</v>
      </c>
    </row>
    <row r="40" ht="34.5">
      <c r="A40" s="359" t="s">
        <v>209</v>
      </c>
      <c r="B40" s="359" t="s">
        <v>210</v>
      </c>
      <c r="C40" s="359" t="s">
        <v>175</v>
      </c>
      <c r="D40" s="359" t="s">
        <v>158</v>
      </c>
      <c r="E40" s="359" t="s">
        <v>159</v>
      </c>
      <c r="F40" s="358" t="s">
        <v>160</v>
      </c>
      <c r="G40" s="359" t="s">
        <v>161</v>
      </c>
      <c r="H40" s="358"/>
      <c r="I40" s="358"/>
      <c r="J40" s="358" t="s">
        <v>211</v>
      </c>
      <c r="K40" s="361">
        <v>50000</v>
      </c>
      <c r="L40" s="359" t="s">
        <v>165</v>
      </c>
      <c r="M40" s="359"/>
      <c r="N40" s="358"/>
      <c r="O40" s="358"/>
      <c r="P40" s="358"/>
      <c r="Q40" s="358"/>
      <c r="R40" s="360"/>
      <c r="S40" s="358"/>
      <c r="T40" s="359" t="s">
        <v>163</v>
      </c>
    </row>
    <row r="41" ht="34.5">
      <c r="A41" s="359" t="s">
        <v>209</v>
      </c>
      <c r="B41" s="359" t="s">
        <v>210</v>
      </c>
      <c r="C41" s="359" t="s">
        <v>175</v>
      </c>
      <c r="D41" s="359" t="s">
        <v>158</v>
      </c>
      <c r="E41" s="359" t="s">
        <v>159</v>
      </c>
      <c r="F41" s="358" t="s">
        <v>160</v>
      </c>
      <c r="G41" s="359" t="s">
        <v>161</v>
      </c>
      <c r="H41" s="358"/>
      <c r="I41" s="358"/>
      <c r="J41" s="358" t="s">
        <v>166</v>
      </c>
      <c r="K41" s="361"/>
      <c r="L41" s="359"/>
      <c r="M41" s="359"/>
      <c r="N41" s="358"/>
      <c r="O41" s="358"/>
      <c r="P41" s="358"/>
      <c r="Q41" s="358"/>
      <c r="R41" s="360"/>
      <c r="S41" s="358"/>
      <c r="T41" s="359" t="s">
        <v>163</v>
      </c>
    </row>
    <row r="42" ht="34.5">
      <c r="A42" s="359" t="s">
        <v>209</v>
      </c>
      <c r="B42" s="359" t="s">
        <v>210</v>
      </c>
      <c r="C42" s="359" t="s">
        <v>175</v>
      </c>
      <c r="D42" s="359" t="s">
        <v>158</v>
      </c>
      <c r="E42" s="359" t="s">
        <v>159</v>
      </c>
      <c r="F42" s="358" t="s">
        <v>160</v>
      </c>
      <c r="G42" s="359" t="s">
        <v>161</v>
      </c>
      <c r="H42" s="358"/>
      <c r="I42" s="358"/>
      <c r="J42" s="358" t="s">
        <v>167</v>
      </c>
      <c r="K42" s="361"/>
      <c r="L42" s="359"/>
      <c r="M42" s="359"/>
      <c r="N42" s="358"/>
      <c r="O42" s="358"/>
      <c r="P42" s="358"/>
      <c r="Q42" s="358"/>
      <c r="R42" s="360"/>
      <c r="S42" s="358"/>
      <c r="T42" s="359" t="s">
        <v>163</v>
      </c>
    </row>
    <row r="43" ht="34.5">
      <c r="A43" s="359" t="s">
        <v>209</v>
      </c>
      <c r="B43" s="359" t="s">
        <v>210</v>
      </c>
      <c r="C43" s="359" t="s">
        <v>175</v>
      </c>
      <c r="D43" s="359" t="s">
        <v>158</v>
      </c>
      <c r="E43" s="359" t="s">
        <v>159</v>
      </c>
      <c r="F43" s="358" t="s">
        <v>160</v>
      </c>
      <c r="G43" s="359" t="s">
        <v>161</v>
      </c>
      <c r="H43" s="358"/>
      <c r="I43" s="358"/>
      <c r="J43" s="358" t="s">
        <v>168</v>
      </c>
      <c r="K43" s="361"/>
      <c r="L43" s="359"/>
      <c r="M43" s="359"/>
      <c r="N43" s="358"/>
      <c r="O43" s="358"/>
      <c r="P43" s="358"/>
      <c r="Q43" s="358"/>
      <c r="R43" s="360"/>
      <c r="S43" s="358"/>
      <c r="T43" s="359" t="s">
        <v>163</v>
      </c>
    </row>
    <row r="44" ht="34.5">
      <c r="A44" s="359" t="s">
        <v>209</v>
      </c>
      <c r="B44" s="359" t="s">
        <v>210</v>
      </c>
      <c r="C44" s="359" t="s">
        <v>175</v>
      </c>
      <c r="D44" s="359" t="s">
        <v>158</v>
      </c>
      <c r="E44" s="359" t="s">
        <v>159</v>
      </c>
      <c r="F44" s="358" t="s">
        <v>160</v>
      </c>
      <c r="G44" s="359" t="s">
        <v>161</v>
      </c>
      <c r="H44" s="358"/>
      <c r="I44" s="358"/>
      <c r="J44" s="358" t="s">
        <v>169</v>
      </c>
      <c r="K44" s="361"/>
      <c r="L44" s="359"/>
      <c r="M44" s="359"/>
      <c r="N44" s="358"/>
      <c r="O44" s="358"/>
      <c r="P44" s="358"/>
      <c r="Q44" s="358"/>
      <c r="R44" s="360"/>
      <c r="S44" s="358"/>
      <c r="T44" s="359" t="s">
        <v>163</v>
      </c>
    </row>
    <row r="45" ht="34.5">
      <c r="A45" s="359" t="s">
        <v>209</v>
      </c>
      <c r="B45" s="359" t="s">
        <v>210</v>
      </c>
      <c r="C45" s="359" t="s">
        <v>175</v>
      </c>
      <c r="D45" s="359" t="s">
        <v>158</v>
      </c>
      <c r="E45" s="359" t="s">
        <v>159</v>
      </c>
      <c r="F45" s="358" t="s">
        <v>160</v>
      </c>
      <c r="G45" s="359" t="s">
        <v>161</v>
      </c>
      <c r="H45" s="358"/>
      <c r="I45" s="358"/>
      <c r="J45" s="358" t="s">
        <v>170</v>
      </c>
      <c r="K45" s="361"/>
      <c r="L45" s="359"/>
      <c r="M45" s="359"/>
      <c r="N45" s="358"/>
      <c r="O45" s="358"/>
      <c r="P45" s="358"/>
      <c r="Q45" s="358"/>
      <c r="R45" s="360"/>
      <c r="S45" s="358"/>
      <c r="T45" s="359" t="s">
        <v>163</v>
      </c>
    </row>
    <row r="46" ht="34.5">
      <c r="A46" s="359" t="s">
        <v>209</v>
      </c>
      <c r="B46" s="359" t="s">
        <v>210</v>
      </c>
      <c r="C46" s="359" t="s">
        <v>175</v>
      </c>
      <c r="D46" s="359" t="s">
        <v>158</v>
      </c>
      <c r="E46" s="359" t="s">
        <v>159</v>
      </c>
      <c r="F46" s="358" t="s">
        <v>160</v>
      </c>
      <c r="G46" s="359" t="s">
        <v>161</v>
      </c>
      <c r="H46" s="358"/>
      <c r="I46" s="358"/>
      <c r="J46" s="358" t="s">
        <v>212</v>
      </c>
      <c r="K46" s="361">
        <v>57200381</v>
      </c>
      <c r="L46" s="359" t="s">
        <v>165</v>
      </c>
      <c r="M46" s="359"/>
      <c r="N46" s="358"/>
      <c r="O46" s="358"/>
      <c r="P46" s="358"/>
      <c r="Q46" s="358"/>
      <c r="R46" s="360"/>
      <c r="S46" s="358"/>
      <c r="T46" s="359" t="s">
        <v>163</v>
      </c>
    </row>
    <row r="47" ht="34.5">
      <c r="A47" s="359" t="s">
        <v>209</v>
      </c>
      <c r="B47" s="359" t="s">
        <v>210</v>
      </c>
      <c r="C47" s="359" t="s">
        <v>175</v>
      </c>
      <c r="D47" s="359" t="s">
        <v>158</v>
      </c>
      <c r="E47" s="359" t="s">
        <v>159</v>
      </c>
      <c r="F47" s="358" t="s">
        <v>160</v>
      </c>
      <c r="G47" s="359" t="s">
        <v>161</v>
      </c>
      <c r="H47" s="358"/>
      <c r="I47" s="358"/>
      <c r="J47" s="358" t="s">
        <v>213</v>
      </c>
      <c r="K47" s="361"/>
      <c r="L47" s="359"/>
      <c r="M47" s="359"/>
      <c r="N47" s="358"/>
      <c r="O47" s="358"/>
      <c r="P47" s="358"/>
      <c r="Q47" s="358"/>
      <c r="R47" s="360"/>
      <c r="S47" s="358"/>
      <c r="T47" s="359" t="s">
        <v>163</v>
      </c>
    </row>
    <row r="48" ht="34.5">
      <c r="A48" s="359" t="s">
        <v>209</v>
      </c>
      <c r="B48" s="359" t="s">
        <v>210</v>
      </c>
      <c r="C48" s="359" t="s">
        <v>175</v>
      </c>
      <c r="D48" s="359" t="s">
        <v>158</v>
      </c>
      <c r="E48" s="359" t="s">
        <v>159</v>
      </c>
      <c r="F48" s="358" t="s">
        <v>160</v>
      </c>
      <c r="G48" s="359" t="s">
        <v>161</v>
      </c>
      <c r="H48" s="358"/>
      <c r="I48" s="358"/>
      <c r="J48" s="358" t="s">
        <v>173</v>
      </c>
      <c r="K48" s="361"/>
      <c r="L48" s="359"/>
      <c r="M48" s="359"/>
      <c r="N48" s="358"/>
      <c r="O48" s="358"/>
      <c r="P48" s="358"/>
      <c r="Q48" s="358"/>
      <c r="R48" s="360"/>
      <c r="S48" s="358"/>
      <c r="T48" s="359" t="s">
        <v>163</v>
      </c>
    </row>
    <row r="49" ht="34.5">
      <c r="A49" s="359" t="s">
        <v>209</v>
      </c>
      <c r="B49" s="359" t="s">
        <v>210</v>
      </c>
      <c r="C49" s="359" t="s">
        <v>175</v>
      </c>
      <c r="D49" s="359" t="s">
        <v>158</v>
      </c>
      <c r="E49" s="359" t="s">
        <v>159</v>
      </c>
      <c r="F49" s="358" t="s">
        <v>160</v>
      </c>
      <c r="G49" s="359" t="s">
        <v>161</v>
      </c>
      <c r="H49" s="358"/>
      <c r="I49" s="358"/>
      <c r="J49" s="358" t="s">
        <v>174</v>
      </c>
      <c r="K49" s="361"/>
      <c r="L49" s="359"/>
      <c r="M49" s="359"/>
      <c r="N49" s="358"/>
      <c r="O49" s="358"/>
      <c r="P49" s="358"/>
      <c r="Q49" s="358"/>
      <c r="R49" s="360"/>
      <c r="S49" s="358"/>
      <c r="T49" s="359" t="s">
        <v>163</v>
      </c>
    </row>
    <row r="50" ht="34.5">
      <c r="A50" s="359" t="s">
        <v>209</v>
      </c>
      <c r="B50" s="359" t="s">
        <v>210</v>
      </c>
      <c r="C50" s="359" t="s">
        <v>193</v>
      </c>
      <c r="D50" s="359" t="s">
        <v>158</v>
      </c>
      <c r="E50" s="359" t="s">
        <v>177</v>
      </c>
      <c r="F50" s="358" t="s">
        <v>178</v>
      </c>
      <c r="G50" s="359" t="s">
        <v>161</v>
      </c>
      <c r="H50" s="358"/>
      <c r="I50" s="358"/>
      <c r="J50" s="358" t="s">
        <v>179</v>
      </c>
      <c r="K50" s="361"/>
      <c r="L50" s="359"/>
      <c r="M50" s="359"/>
      <c r="N50" s="358"/>
      <c r="O50" s="358"/>
      <c r="P50" s="358"/>
      <c r="Q50" s="358"/>
      <c r="R50" s="360"/>
      <c r="S50" s="358"/>
      <c r="T50" s="359" t="s">
        <v>163</v>
      </c>
    </row>
    <row r="51" ht="34.5">
      <c r="A51" s="359" t="s">
        <v>209</v>
      </c>
      <c r="B51" s="359" t="s">
        <v>210</v>
      </c>
      <c r="C51" s="359" t="s">
        <v>193</v>
      </c>
      <c r="D51" s="359" t="s">
        <v>158</v>
      </c>
      <c r="E51" s="359" t="s">
        <v>177</v>
      </c>
      <c r="F51" s="358" t="s">
        <v>178</v>
      </c>
      <c r="G51" s="359" t="s">
        <v>161</v>
      </c>
      <c r="H51" s="358"/>
      <c r="I51" s="358"/>
      <c r="J51" s="358" t="s">
        <v>214</v>
      </c>
      <c r="K51" s="361"/>
      <c r="L51" s="359"/>
      <c r="M51" s="359"/>
      <c r="N51" s="358"/>
      <c r="O51" s="358"/>
      <c r="P51" s="358"/>
      <c r="Q51" s="358"/>
      <c r="R51" s="360"/>
      <c r="S51" s="358"/>
      <c r="T51" s="359" t="s">
        <v>163</v>
      </c>
    </row>
    <row r="52" ht="34.5">
      <c r="A52" s="359" t="s">
        <v>209</v>
      </c>
      <c r="B52" s="359" t="s">
        <v>210</v>
      </c>
      <c r="C52" s="359" t="s">
        <v>193</v>
      </c>
      <c r="D52" s="359" t="s">
        <v>158</v>
      </c>
      <c r="E52" s="359" t="s">
        <v>177</v>
      </c>
      <c r="F52" s="358" t="s">
        <v>178</v>
      </c>
      <c r="G52" s="359" t="s">
        <v>161</v>
      </c>
      <c r="H52" s="358"/>
      <c r="I52" s="358"/>
      <c r="J52" s="358" t="s">
        <v>181</v>
      </c>
      <c r="K52" s="361"/>
      <c r="L52" s="359"/>
      <c r="M52" s="359"/>
      <c r="N52" s="358"/>
      <c r="O52" s="358"/>
      <c r="P52" s="358"/>
      <c r="Q52" s="358"/>
      <c r="R52" s="360"/>
      <c r="S52" s="358"/>
      <c r="T52" s="359" t="s">
        <v>163</v>
      </c>
    </row>
    <row r="53" ht="34.5">
      <c r="A53" s="359" t="s">
        <v>209</v>
      </c>
      <c r="B53" s="359" t="s">
        <v>210</v>
      </c>
      <c r="C53" s="359" t="s">
        <v>193</v>
      </c>
      <c r="D53" s="359" t="s">
        <v>158</v>
      </c>
      <c r="E53" s="359" t="s">
        <v>177</v>
      </c>
      <c r="F53" s="358" t="s">
        <v>178</v>
      </c>
      <c r="G53" s="359" t="s">
        <v>161</v>
      </c>
      <c r="H53" s="358"/>
      <c r="I53" s="358"/>
      <c r="J53" s="358" t="s">
        <v>182</v>
      </c>
      <c r="K53" s="361"/>
      <c r="L53" s="359"/>
      <c r="M53" s="359"/>
      <c r="N53" s="358"/>
      <c r="O53" s="358"/>
      <c r="P53" s="358"/>
      <c r="Q53" s="358"/>
      <c r="R53" s="360"/>
      <c r="S53" s="358"/>
      <c r="T53" s="359" t="s">
        <v>163</v>
      </c>
    </row>
    <row r="54" ht="34.5">
      <c r="A54" s="359" t="s">
        <v>209</v>
      </c>
      <c r="B54" s="359" t="s">
        <v>210</v>
      </c>
      <c r="C54" s="359" t="s">
        <v>193</v>
      </c>
      <c r="D54" s="359" t="s">
        <v>158</v>
      </c>
      <c r="E54" s="359" t="s">
        <v>183</v>
      </c>
      <c r="F54" s="358" t="s">
        <v>184</v>
      </c>
      <c r="G54" s="359" t="s">
        <v>185</v>
      </c>
      <c r="H54" s="358"/>
      <c r="I54" s="358"/>
      <c r="J54" s="358" t="s">
        <v>186</v>
      </c>
      <c r="K54" s="361"/>
      <c r="L54" s="359"/>
      <c r="M54" s="359"/>
      <c r="N54" s="358"/>
      <c r="O54" s="358"/>
      <c r="P54" s="358"/>
      <c r="Q54" s="358"/>
      <c r="R54" s="360"/>
      <c r="S54" s="358"/>
      <c r="T54" s="359" t="s">
        <v>163</v>
      </c>
    </row>
    <row r="55" ht="34.5">
      <c r="A55" s="359" t="s">
        <v>209</v>
      </c>
      <c r="B55" s="359" t="s">
        <v>210</v>
      </c>
      <c r="C55" s="359" t="s">
        <v>193</v>
      </c>
      <c r="D55" s="359" t="s">
        <v>158</v>
      </c>
      <c r="E55" s="359" t="s">
        <v>183</v>
      </c>
      <c r="F55" s="358" t="s">
        <v>184</v>
      </c>
      <c r="G55" s="359" t="s">
        <v>185</v>
      </c>
      <c r="H55" s="358"/>
      <c r="I55" s="358"/>
      <c r="J55" s="358" t="s">
        <v>187</v>
      </c>
      <c r="K55" s="361"/>
      <c r="L55" s="359"/>
      <c r="M55" s="359"/>
      <c r="N55" s="358"/>
      <c r="O55" s="358"/>
      <c r="P55" s="358"/>
      <c r="Q55" s="358"/>
      <c r="R55" s="360"/>
      <c r="S55" s="358"/>
      <c r="T55" s="359" t="s">
        <v>163</v>
      </c>
    </row>
    <row r="56" ht="34.5">
      <c r="A56" s="359" t="s">
        <v>209</v>
      </c>
      <c r="B56" s="359" t="s">
        <v>210</v>
      </c>
      <c r="C56" s="359" t="s">
        <v>193</v>
      </c>
      <c r="D56" s="359" t="s">
        <v>158</v>
      </c>
      <c r="E56" s="359" t="s">
        <v>183</v>
      </c>
      <c r="F56" s="358" t="s">
        <v>184</v>
      </c>
      <c r="G56" s="359" t="s">
        <v>185</v>
      </c>
      <c r="H56" s="358"/>
      <c r="I56" s="358"/>
      <c r="J56" s="358" t="s">
        <v>215</v>
      </c>
      <c r="K56" s="361"/>
      <c r="L56" s="359"/>
      <c r="M56" s="359"/>
      <c r="N56" s="358"/>
      <c r="O56" s="358"/>
      <c r="P56" s="358"/>
      <c r="Q56" s="358"/>
      <c r="R56" s="360"/>
      <c r="S56" s="358"/>
      <c r="T56" s="359" t="s">
        <v>163</v>
      </c>
    </row>
    <row r="57" ht="34.5">
      <c r="A57" s="359" t="s">
        <v>209</v>
      </c>
      <c r="B57" s="359" t="s">
        <v>210</v>
      </c>
      <c r="C57" s="359" t="s">
        <v>193</v>
      </c>
      <c r="D57" s="359" t="s">
        <v>158</v>
      </c>
      <c r="E57" s="359" t="s">
        <v>183</v>
      </c>
      <c r="F57" s="358" t="s">
        <v>184</v>
      </c>
      <c r="G57" s="359" t="s">
        <v>185</v>
      </c>
      <c r="H57" s="358"/>
      <c r="I57" s="358"/>
      <c r="J57" s="358" t="s">
        <v>189</v>
      </c>
      <c r="K57" s="361"/>
      <c r="L57" s="359"/>
      <c r="M57" s="359"/>
      <c r="N57" s="358"/>
      <c r="O57" s="358"/>
      <c r="P57" s="358"/>
      <c r="Q57" s="358"/>
      <c r="R57" s="360"/>
      <c r="S57" s="358"/>
      <c r="T57" s="359" t="s">
        <v>163</v>
      </c>
    </row>
    <row r="58" ht="34.5">
      <c r="A58" s="359" t="s">
        <v>209</v>
      </c>
      <c r="B58" s="359" t="s">
        <v>210</v>
      </c>
      <c r="C58" s="359" t="s">
        <v>193</v>
      </c>
      <c r="D58" s="359" t="s">
        <v>158</v>
      </c>
      <c r="E58" s="359" t="s">
        <v>183</v>
      </c>
      <c r="F58" s="358" t="s">
        <v>184</v>
      </c>
      <c r="G58" s="359" t="s">
        <v>185</v>
      </c>
      <c r="H58" s="358"/>
      <c r="I58" s="358"/>
      <c r="J58" s="358" t="s">
        <v>190</v>
      </c>
      <c r="K58" s="361"/>
      <c r="L58" s="359"/>
      <c r="M58" s="359"/>
      <c r="N58" s="358"/>
      <c r="O58" s="358"/>
      <c r="P58" s="358"/>
      <c r="Q58" s="358"/>
      <c r="R58" s="360"/>
      <c r="S58" s="358"/>
      <c r="T58" s="359" t="s">
        <v>163</v>
      </c>
    </row>
    <row r="59" ht="34.5">
      <c r="A59" s="359" t="s">
        <v>209</v>
      </c>
      <c r="B59" s="359" t="s">
        <v>210</v>
      </c>
      <c r="C59" s="359" t="s">
        <v>193</v>
      </c>
      <c r="D59" s="359" t="s">
        <v>158</v>
      </c>
      <c r="E59" s="359" t="s">
        <v>183</v>
      </c>
      <c r="F59" s="358" t="s">
        <v>184</v>
      </c>
      <c r="G59" s="359" t="s">
        <v>185</v>
      </c>
      <c r="H59" s="358"/>
      <c r="I59" s="358"/>
      <c r="J59" s="358" t="s">
        <v>191</v>
      </c>
      <c r="K59" s="361"/>
      <c r="L59" s="359"/>
      <c r="M59" s="359"/>
      <c r="N59" s="358"/>
      <c r="O59" s="358"/>
      <c r="P59" s="358"/>
      <c r="Q59" s="358"/>
      <c r="R59" s="360"/>
      <c r="S59" s="358"/>
      <c r="T59" s="359" t="s">
        <v>163</v>
      </c>
    </row>
    <row r="60" ht="34.5">
      <c r="A60" s="359" t="s">
        <v>209</v>
      </c>
      <c r="B60" s="359" t="s">
        <v>210</v>
      </c>
      <c r="C60" s="359" t="s">
        <v>193</v>
      </c>
      <c r="D60" s="359" t="s">
        <v>158</v>
      </c>
      <c r="E60" s="359" t="s">
        <v>183</v>
      </c>
      <c r="F60" s="358" t="s">
        <v>184</v>
      </c>
      <c r="G60" s="359" t="s">
        <v>185</v>
      </c>
      <c r="H60" s="358"/>
      <c r="I60" s="358"/>
      <c r="J60" s="358" t="s">
        <v>192</v>
      </c>
      <c r="K60" s="361"/>
      <c r="L60" s="359"/>
      <c r="M60" s="359"/>
      <c r="N60" s="358"/>
      <c r="O60" s="358"/>
      <c r="P60" s="358"/>
      <c r="Q60" s="358"/>
      <c r="R60" s="360"/>
      <c r="S60" s="358"/>
      <c r="T60" s="359" t="s">
        <v>163</v>
      </c>
    </row>
    <row r="61" ht="34.5">
      <c r="A61" s="359" t="s">
        <v>209</v>
      </c>
      <c r="B61" s="359" t="s">
        <v>210</v>
      </c>
      <c r="C61" s="359" t="s">
        <v>208</v>
      </c>
      <c r="D61" s="359" t="s">
        <v>158</v>
      </c>
      <c r="E61" s="359" t="s">
        <v>183</v>
      </c>
      <c r="F61" s="358" t="s">
        <v>184</v>
      </c>
      <c r="G61" s="359" t="s">
        <v>185</v>
      </c>
      <c r="H61" s="358"/>
      <c r="I61" s="358"/>
      <c r="J61" s="358" t="s">
        <v>216</v>
      </c>
      <c r="K61" s="361"/>
      <c r="L61" s="359"/>
      <c r="M61" s="359"/>
      <c r="N61" s="358"/>
      <c r="O61" s="358"/>
      <c r="P61" s="358"/>
      <c r="Q61" s="358"/>
      <c r="R61" s="360"/>
      <c r="S61" s="358"/>
      <c r="T61" s="359" t="s">
        <v>163</v>
      </c>
    </row>
    <row r="62" ht="34.5">
      <c r="A62" s="359" t="s">
        <v>209</v>
      </c>
      <c r="B62" s="359" t="s">
        <v>210</v>
      </c>
      <c r="C62" s="359" t="s">
        <v>208</v>
      </c>
      <c r="D62" s="359" t="s">
        <v>158</v>
      </c>
      <c r="E62" s="359" t="s">
        <v>183</v>
      </c>
      <c r="F62" s="358" t="s">
        <v>184</v>
      </c>
      <c r="G62" s="359" t="s">
        <v>185</v>
      </c>
      <c r="H62" s="358"/>
      <c r="I62" s="358"/>
      <c r="J62" s="358" t="s">
        <v>195</v>
      </c>
      <c r="K62" s="361"/>
      <c r="L62" s="359"/>
      <c r="M62" s="359"/>
      <c r="N62" s="358"/>
      <c r="O62" s="358"/>
      <c r="P62" s="358"/>
      <c r="Q62" s="358"/>
      <c r="R62" s="360"/>
      <c r="S62" s="358"/>
      <c r="T62" s="359" t="s">
        <v>163</v>
      </c>
    </row>
    <row r="63" ht="34.5">
      <c r="A63" s="359" t="s">
        <v>209</v>
      </c>
      <c r="B63" s="359" t="s">
        <v>210</v>
      </c>
      <c r="C63" s="359" t="s">
        <v>208</v>
      </c>
      <c r="D63" s="359" t="s">
        <v>158</v>
      </c>
      <c r="E63" s="359" t="s">
        <v>196</v>
      </c>
      <c r="F63" s="358" t="s">
        <v>197</v>
      </c>
      <c r="G63" s="359" t="s">
        <v>161</v>
      </c>
      <c r="H63" s="358"/>
      <c r="I63" s="358"/>
      <c r="J63" s="358" t="s">
        <v>198</v>
      </c>
      <c r="K63" s="361">
        <v>61077310</v>
      </c>
      <c r="L63" s="359" t="s">
        <v>165</v>
      </c>
      <c r="M63" s="359"/>
      <c r="N63" s="358"/>
      <c r="O63" s="358"/>
      <c r="P63" s="358"/>
      <c r="Q63" s="358"/>
      <c r="R63" s="360"/>
      <c r="S63" s="358"/>
      <c r="T63" s="359" t="s">
        <v>163</v>
      </c>
    </row>
    <row r="64" ht="34.5">
      <c r="A64" s="359" t="s">
        <v>209</v>
      </c>
      <c r="B64" s="359" t="s">
        <v>210</v>
      </c>
      <c r="C64" s="359" t="s">
        <v>208</v>
      </c>
      <c r="D64" s="359" t="s">
        <v>158</v>
      </c>
      <c r="E64" s="359" t="s">
        <v>196</v>
      </c>
      <c r="F64" s="358" t="s">
        <v>197</v>
      </c>
      <c r="G64" s="359" t="s">
        <v>161</v>
      </c>
      <c r="H64" s="358"/>
      <c r="I64" s="358"/>
      <c r="J64" s="358" t="s">
        <v>217</v>
      </c>
      <c r="K64" s="361"/>
      <c r="L64" s="359"/>
      <c r="M64" s="359"/>
      <c r="N64" s="358"/>
      <c r="O64" s="358"/>
      <c r="P64" s="358"/>
      <c r="Q64" s="358"/>
      <c r="R64" s="360"/>
      <c r="S64" s="358"/>
      <c r="T64" s="359" t="s">
        <v>163</v>
      </c>
    </row>
    <row r="65" ht="34.5">
      <c r="A65" s="359" t="s">
        <v>209</v>
      </c>
      <c r="B65" s="359" t="s">
        <v>210</v>
      </c>
      <c r="C65" s="359" t="s">
        <v>208</v>
      </c>
      <c r="D65" s="359" t="s">
        <v>158</v>
      </c>
      <c r="E65" s="359" t="s">
        <v>196</v>
      </c>
      <c r="F65" s="358" t="s">
        <v>197</v>
      </c>
      <c r="G65" s="359" t="s">
        <v>161</v>
      </c>
      <c r="H65" s="358"/>
      <c r="I65" s="358"/>
      <c r="J65" s="358" t="s">
        <v>218</v>
      </c>
      <c r="K65" s="361">
        <v>57200381</v>
      </c>
      <c r="L65" s="359" t="s">
        <v>165</v>
      </c>
      <c r="M65" s="359"/>
      <c r="N65" s="358"/>
      <c r="O65" s="358"/>
      <c r="P65" s="358"/>
      <c r="Q65" s="358"/>
      <c r="R65" s="360"/>
      <c r="S65" s="358"/>
      <c r="T65" s="359" t="s">
        <v>163</v>
      </c>
    </row>
    <row r="66" ht="34.5">
      <c r="A66" s="359" t="s">
        <v>209</v>
      </c>
      <c r="B66" s="359" t="s">
        <v>210</v>
      </c>
      <c r="C66" s="359" t="s">
        <v>208</v>
      </c>
      <c r="D66" s="359" t="s">
        <v>219</v>
      </c>
      <c r="E66" s="359" t="s">
        <v>196</v>
      </c>
      <c r="F66" s="358" t="s">
        <v>197</v>
      </c>
      <c r="G66" s="359" t="s">
        <v>161</v>
      </c>
      <c r="H66" s="358"/>
      <c r="I66" s="358"/>
      <c r="J66" s="358" t="s">
        <v>220</v>
      </c>
      <c r="K66" s="361"/>
      <c r="L66" s="359"/>
      <c r="M66" s="359"/>
      <c r="N66" s="358"/>
      <c r="O66" s="358"/>
      <c r="P66" s="358"/>
      <c r="Q66" s="358"/>
      <c r="R66" s="360"/>
      <c r="S66" s="358"/>
      <c r="T66" s="359" t="s">
        <v>163</v>
      </c>
    </row>
    <row r="67" ht="34.5">
      <c r="A67" s="359" t="s">
        <v>209</v>
      </c>
      <c r="B67" s="359" t="s">
        <v>210</v>
      </c>
      <c r="C67" s="359" t="s">
        <v>208</v>
      </c>
      <c r="D67" s="359" t="s">
        <v>158</v>
      </c>
      <c r="E67" s="359" t="s">
        <v>202</v>
      </c>
      <c r="F67" s="358" t="s">
        <v>203</v>
      </c>
      <c r="G67" s="359" t="s">
        <v>204</v>
      </c>
      <c r="H67" s="358"/>
      <c r="I67" s="358"/>
      <c r="J67" s="358" t="s">
        <v>205</v>
      </c>
      <c r="K67" s="361"/>
      <c r="L67" s="359"/>
      <c r="M67" s="359"/>
      <c r="N67" s="358"/>
      <c r="O67" s="358"/>
      <c r="P67" s="358"/>
      <c r="Q67" s="358"/>
      <c r="R67" s="360"/>
      <c r="S67" s="358"/>
      <c r="T67" s="359" t="s">
        <v>163</v>
      </c>
    </row>
    <row r="68" ht="34.5">
      <c r="A68" s="359" t="s">
        <v>209</v>
      </c>
      <c r="B68" s="359" t="s">
        <v>210</v>
      </c>
      <c r="C68" s="359" t="s">
        <v>208</v>
      </c>
      <c r="D68" s="359" t="s">
        <v>158</v>
      </c>
      <c r="E68" s="359" t="s">
        <v>202</v>
      </c>
      <c r="F68" s="358" t="s">
        <v>203</v>
      </c>
      <c r="G68" s="359" t="s">
        <v>204</v>
      </c>
      <c r="H68" s="358"/>
      <c r="I68" s="358"/>
      <c r="J68" s="358" t="s">
        <v>206</v>
      </c>
      <c r="K68" s="361"/>
      <c r="L68" s="359"/>
      <c r="M68" s="359"/>
      <c r="N68" s="358"/>
      <c r="O68" s="358"/>
      <c r="P68" s="358"/>
      <c r="Q68" s="358"/>
      <c r="R68" s="360"/>
      <c r="S68" s="358"/>
      <c r="T68" s="359" t="s">
        <v>163</v>
      </c>
    </row>
    <row r="69" ht="34.5">
      <c r="A69" s="359" t="s">
        <v>209</v>
      </c>
      <c r="B69" s="359" t="s">
        <v>210</v>
      </c>
      <c r="C69" s="359" t="s">
        <v>208</v>
      </c>
      <c r="D69" s="359" t="s">
        <v>158</v>
      </c>
      <c r="E69" s="359" t="s">
        <v>202</v>
      </c>
      <c r="F69" s="358" t="s">
        <v>203</v>
      </c>
      <c r="G69" s="359" t="s">
        <v>204</v>
      </c>
      <c r="H69" s="358"/>
      <c r="I69" s="358"/>
      <c r="J69" s="358" t="s">
        <v>221</v>
      </c>
      <c r="K69" s="361"/>
      <c r="L69" s="359"/>
      <c r="M69" s="359"/>
      <c r="N69" s="358"/>
      <c r="O69" s="358"/>
      <c r="P69" s="358"/>
      <c r="Q69" s="358"/>
      <c r="R69" s="360"/>
      <c r="S69" s="358"/>
      <c r="T69" s="359" t="s">
        <v>163</v>
      </c>
    </row>
    <row r="70" ht="34.5">
      <c r="A70" s="359" t="s">
        <v>209</v>
      </c>
      <c r="B70" s="359" t="s">
        <v>210</v>
      </c>
      <c r="C70" s="359" t="s">
        <v>222</v>
      </c>
      <c r="D70" s="359" t="s">
        <v>158</v>
      </c>
      <c r="E70" s="359" t="s">
        <v>202</v>
      </c>
      <c r="F70" s="358" t="s">
        <v>203</v>
      </c>
      <c r="G70" s="359" t="s">
        <v>204</v>
      </c>
      <c r="H70" s="358"/>
      <c r="I70" s="358"/>
      <c r="J70" s="358" t="s">
        <v>223</v>
      </c>
      <c r="K70" s="361"/>
      <c r="L70" s="359"/>
      <c r="M70" s="359"/>
      <c r="N70" s="358"/>
      <c r="O70" s="358"/>
      <c r="P70" s="358"/>
      <c r="Q70" s="358"/>
      <c r="R70" s="360"/>
      <c r="S70" s="358"/>
      <c r="T70" s="359" t="s">
        <v>163</v>
      </c>
    </row>
    <row r="71" ht="34.5">
      <c r="A71" s="359" t="s">
        <v>224</v>
      </c>
      <c r="B71" s="359" t="s">
        <v>225</v>
      </c>
      <c r="C71" s="359" t="s">
        <v>226</v>
      </c>
      <c r="D71" s="359" t="s">
        <v>158</v>
      </c>
      <c r="E71" s="359" t="s">
        <v>159</v>
      </c>
      <c r="F71" s="358" t="s">
        <v>160</v>
      </c>
      <c r="G71" s="359" t="s">
        <v>161</v>
      </c>
      <c r="H71" s="358"/>
      <c r="I71" s="358"/>
      <c r="J71" s="358" t="s">
        <v>162</v>
      </c>
      <c r="K71" s="361"/>
      <c r="L71" s="359"/>
      <c r="M71" s="359"/>
      <c r="N71" s="358"/>
      <c r="O71" s="358"/>
      <c r="P71" s="358"/>
      <c r="Q71" s="358"/>
      <c r="R71" s="360"/>
      <c r="S71" s="358"/>
      <c r="T71" s="359" t="s">
        <v>163</v>
      </c>
    </row>
    <row r="72" ht="34.5">
      <c r="A72" s="359" t="s">
        <v>224</v>
      </c>
      <c r="B72" s="359" t="s">
        <v>225</v>
      </c>
      <c r="C72" s="359" t="s">
        <v>226</v>
      </c>
      <c r="D72" s="359" t="s">
        <v>158</v>
      </c>
      <c r="E72" s="359" t="s">
        <v>159</v>
      </c>
      <c r="F72" s="358" t="s">
        <v>160</v>
      </c>
      <c r="G72" s="359" t="s">
        <v>161</v>
      </c>
      <c r="H72" s="358"/>
      <c r="I72" s="358"/>
      <c r="J72" s="358" t="s">
        <v>211</v>
      </c>
      <c r="K72" s="361">
        <v>50000</v>
      </c>
      <c r="L72" s="359" t="s">
        <v>165</v>
      </c>
      <c r="M72" s="359"/>
      <c r="N72" s="358"/>
      <c r="O72" s="358"/>
      <c r="P72" s="358"/>
      <c r="Q72" s="358"/>
      <c r="R72" s="360"/>
      <c r="S72" s="358"/>
      <c r="T72" s="359" t="s">
        <v>163</v>
      </c>
    </row>
    <row r="73" ht="34.5">
      <c r="A73" s="359" t="s">
        <v>224</v>
      </c>
      <c r="B73" s="359" t="s">
        <v>225</v>
      </c>
      <c r="C73" s="359" t="s">
        <v>226</v>
      </c>
      <c r="D73" s="359" t="s">
        <v>158</v>
      </c>
      <c r="E73" s="359" t="s">
        <v>159</v>
      </c>
      <c r="F73" s="358" t="s">
        <v>160</v>
      </c>
      <c r="G73" s="359" t="s">
        <v>161</v>
      </c>
      <c r="H73" s="358"/>
      <c r="I73" s="358"/>
      <c r="J73" s="358" t="s">
        <v>166</v>
      </c>
      <c r="K73" s="361"/>
      <c r="L73" s="359"/>
      <c r="M73" s="359"/>
      <c r="N73" s="358"/>
      <c r="O73" s="358"/>
      <c r="P73" s="358"/>
      <c r="Q73" s="358"/>
      <c r="R73" s="360"/>
      <c r="S73" s="358"/>
      <c r="T73" s="359" t="s">
        <v>163</v>
      </c>
    </row>
    <row r="74" ht="34.5">
      <c r="A74" s="359" t="s">
        <v>224</v>
      </c>
      <c r="B74" s="359" t="s">
        <v>225</v>
      </c>
      <c r="C74" s="359" t="s">
        <v>226</v>
      </c>
      <c r="D74" s="359" t="s">
        <v>158</v>
      </c>
      <c r="E74" s="359" t="s">
        <v>159</v>
      </c>
      <c r="F74" s="358" t="s">
        <v>160</v>
      </c>
      <c r="G74" s="359" t="s">
        <v>161</v>
      </c>
      <c r="H74" s="358"/>
      <c r="I74" s="358"/>
      <c r="J74" s="358" t="s">
        <v>167</v>
      </c>
      <c r="K74" s="361"/>
      <c r="L74" s="359"/>
      <c r="M74" s="359"/>
      <c r="N74" s="358"/>
      <c r="O74" s="358"/>
      <c r="P74" s="358"/>
      <c r="Q74" s="358"/>
      <c r="R74" s="360"/>
      <c r="S74" s="358"/>
      <c r="T74" s="359" t="s">
        <v>163</v>
      </c>
    </row>
    <row r="75" ht="34.5">
      <c r="A75" s="359" t="s">
        <v>224</v>
      </c>
      <c r="B75" s="359" t="s">
        <v>225</v>
      </c>
      <c r="C75" s="359" t="s">
        <v>226</v>
      </c>
      <c r="D75" s="359" t="s">
        <v>158</v>
      </c>
      <c r="E75" s="359" t="s">
        <v>159</v>
      </c>
      <c r="F75" s="358" t="s">
        <v>160</v>
      </c>
      <c r="G75" s="359" t="s">
        <v>161</v>
      </c>
      <c r="H75" s="358"/>
      <c r="I75" s="358"/>
      <c r="J75" s="358" t="s">
        <v>168</v>
      </c>
      <c r="K75" s="361"/>
      <c r="L75" s="359"/>
      <c r="M75" s="359"/>
      <c r="N75" s="358"/>
      <c r="O75" s="358"/>
      <c r="P75" s="358"/>
      <c r="Q75" s="358"/>
      <c r="R75" s="360"/>
      <c r="S75" s="358"/>
      <c r="T75" s="359" t="s">
        <v>163</v>
      </c>
    </row>
    <row r="76" ht="34.5">
      <c r="A76" s="359" t="s">
        <v>224</v>
      </c>
      <c r="B76" s="359" t="s">
        <v>225</v>
      </c>
      <c r="C76" s="359" t="s">
        <v>226</v>
      </c>
      <c r="D76" s="359" t="s">
        <v>158</v>
      </c>
      <c r="E76" s="359" t="s">
        <v>159</v>
      </c>
      <c r="F76" s="358" t="s">
        <v>160</v>
      </c>
      <c r="G76" s="359" t="s">
        <v>161</v>
      </c>
      <c r="H76" s="358"/>
      <c r="I76" s="358"/>
      <c r="J76" s="358" t="s">
        <v>169</v>
      </c>
      <c r="K76" s="361"/>
      <c r="L76" s="359"/>
      <c r="M76" s="359"/>
      <c r="N76" s="358"/>
      <c r="O76" s="358"/>
      <c r="P76" s="358"/>
      <c r="Q76" s="358"/>
      <c r="R76" s="360"/>
      <c r="S76" s="358"/>
      <c r="T76" s="359" t="s">
        <v>163</v>
      </c>
    </row>
    <row r="77" ht="34.5">
      <c r="A77" s="359" t="s">
        <v>224</v>
      </c>
      <c r="B77" s="359" t="s">
        <v>225</v>
      </c>
      <c r="C77" s="359" t="s">
        <v>226</v>
      </c>
      <c r="D77" s="359" t="s">
        <v>158</v>
      </c>
      <c r="E77" s="359" t="s">
        <v>159</v>
      </c>
      <c r="F77" s="358" t="s">
        <v>160</v>
      </c>
      <c r="G77" s="359" t="s">
        <v>161</v>
      </c>
      <c r="H77" s="358"/>
      <c r="I77" s="358"/>
      <c r="J77" s="358" t="s">
        <v>170</v>
      </c>
      <c r="K77" s="361"/>
      <c r="L77" s="359"/>
      <c r="M77" s="359"/>
      <c r="N77" s="358"/>
      <c r="O77" s="358"/>
      <c r="P77" s="358"/>
      <c r="Q77" s="358"/>
      <c r="R77" s="360"/>
      <c r="S77" s="358"/>
      <c r="T77" s="359" t="s">
        <v>163</v>
      </c>
    </row>
    <row r="78" ht="34.5">
      <c r="A78" s="359" t="s">
        <v>224</v>
      </c>
      <c r="B78" s="359" t="s">
        <v>225</v>
      </c>
      <c r="C78" s="359" t="s">
        <v>226</v>
      </c>
      <c r="D78" s="359" t="s">
        <v>158</v>
      </c>
      <c r="E78" s="359" t="s">
        <v>159</v>
      </c>
      <c r="F78" s="358" t="s">
        <v>160</v>
      </c>
      <c r="G78" s="359" t="s">
        <v>161</v>
      </c>
      <c r="H78" s="358"/>
      <c r="I78" s="358"/>
      <c r="J78" s="358" t="s">
        <v>227</v>
      </c>
      <c r="K78" s="361">
        <v>66274750</v>
      </c>
      <c r="L78" s="359" t="s">
        <v>165</v>
      </c>
      <c r="M78" s="359"/>
      <c r="N78" s="358"/>
      <c r="O78" s="358"/>
      <c r="P78" s="358"/>
      <c r="Q78" s="358"/>
      <c r="R78" s="360"/>
      <c r="S78" s="358"/>
      <c r="T78" s="359" t="s">
        <v>163</v>
      </c>
    </row>
    <row r="79" ht="34.5">
      <c r="A79" s="359" t="s">
        <v>224</v>
      </c>
      <c r="B79" s="359" t="s">
        <v>225</v>
      </c>
      <c r="C79" s="359" t="s">
        <v>226</v>
      </c>
      <c r="D79" s="359" t="s">
        <v>158</v>
      </c>
      <c r="E79" s="359" t="s">
        <v>159</v>
      </c>
      <c r="F79" s="358" t="s">
        <v>160</v>
      </c>
      <c r="G79" s="359" t="s">
        <v>161</v>
      </c>
      <c r="H79" s="358"/>
      <c r="I79" s="358"/>
      <c r="J79" s="358" t="s">
        <v>228</v>
      </c>
      <c r="K79" s="361"/>
      <c r="L79" s="359"/>
      <c r="M79" s="359"/>
      <c r="N79" s="358"/>
      <c r="O79" s="358"/>
      <c r="P79" s="358"/>
      <c r="Q79" s="358"/>
      <c r="R79" s="360"/>
      <c r="S79" s="358"/>
      <c r="T79" s="359" t="s">
        <v>163</v>
      </c>
    </row>
    <row r="80" ht="34.5">
      <c r="A80" s="359" t="s">
        <v>224</v>
      </c>
      <c r="B80" s="359" t="s">
        <v>225</v>
      </c>
      <c r="C80" s="359" t="s">
        <v>226</v>
      </c>
      <c r="D80" s="359" t="s">
        <v>158</v>
      </c>
      <c r="E80" s="359" t="s">
        <v>159</v>
      </c>
      <c r="F80" s="358" t="s">
        <v>160</v>
      </c>
      <c r="G80" s="359" t="s">
        <v>161</v>
      </c>
      <c r="H80" s="358"/>
      <c r="I80" s="358"/>
      <c r="J80" s="358" t="s">
        <v>173</v>
      </c>
      <c r="K80" s="361"/>
      <c r="L80" s="359"/>
      <c r="M80" s="359"/>
      <c r="N80" s="358"/>
      <c r="O80" s="358"/>
      <c r="P80" s="358"/>
      <c r="Q80" s="358"/>
      <c r="R80" s="360"/>
      <c r="S80" s="358"/>
      <c r="T80" s="359" t="s">
        <v>163</v>
      </c>
    </row>
    <row r="81" ht="34.5">
      <c r="A81" s="359" t="s">
        <v>224</v>
      </c>
      <c r="B81" s="359" t="s">
        <v>225</v>
      </c>
      <c r="C81" s="359" t="s">
        <v>226</v>
      </c>
      <c r="D81" s="359" t="s">
        <v>158</v>
      </c>
      <c r="E81" s="359" t="s">
        <v>159</v>
      </c>
      <c r="F81" s="358" t="s">
        <v>160</v>
      </c>
      <c r="G81" s="359" t="s">
        <v>161</v>
      </c>
      <c r="H81" s="358"/>
      <c r="I81" s="358"/>
      <c r="J81" s="358" t="s">
        <v>174</v>
      </c>
      <c r="K81" s="361"/>
      <c r="L81" s="359"/>
      <c r="M81" s="359"/>
      <c r="N81" s="358"/>
      <c r="O81" s="358"/>
      <c r="P81" s="358"/>
      <c r="Q81" s="358"/>
      <c r="R81" s="360"/>
      <c r="S81" s="358"/>
      <c r="T81" s="359" t="s">
        <v>163</v>
      </c>
    </row>
    <row r="82" ht="34.5">
      <c r="A82" s="359" t="s">
        <v>224</v>
      </c>
      <c r="B82" s="359" t="s">
        <v>225</v>
      </c>
      <c r="C82" s="359" t="s">
        <v>229</v>
      </c>
      <c r="D82" s="359" t="s">
        <v>158</v>
      </c>
      <c r="E82" s="359" t="s">
        <v>177</v>
      </c>
      <c r="F82" s="358" t="s">
        <v>178</v>
      </c>
      <c r="G82" s="359" t="s">
        <v>161</v>
      </c>
      <c r="H82" s="358"/>
      <c r="I82" s="358"/>
      <c r="J82" s="358" t="s">
        <v>179</v>
      </c>
      <c r="K82" s="361"/>
      <c r="L82" s="359"/>
      <c r="M82" s="359"/>
      <c r="N82" s="358"/>
      <c r="O82" s="358"/>
      <c r="P82" s="358"/>
      <c r="Q82" s="358"/>
      <c r="R82" s="360"/>
      <c r="S82" s="358"/>
      <c r="T82" s="359" t="s">
        <v>163</v>
      </c>
    </row>
    <row r="83" ht="34.5">
      <c r="A83" s="359" t="s">
        <v>224</v>
      </c>
      <c r="B83" s="359" t="s">
        <v>225</v>
      </c>
      <c r="C83" s="359" t="s">
        <v>229</v>
      </c>
      <c r="D83" s="359" t="s">
        <v>158</v>
      </c>
      <c r="E83" s="359" t="s">
        <v>177</v>
      </c>
      <c r="F83" s="358" t="s">
        <v>178</v>
      </c>
      <c r="G83" s="359" t="s">
        <v>161</v>
      </c>
      <c r="H83" s="358"/>
      <c r="I83" s="358"/>
      <c r="J83" s="358" t="s">
        <v>230</v>
      </c>
      <c r="K83" s="361"/>
      <c r="L83" s="359"/>
      <c r="M83" s="359"/>
      <c r="N83" s="358"/>
      <c r="O83" s="358"/>
      <c r="P83" s="358"/>
      <c r="Q83" s="358"/>
      <c r="R83" s="360"/>
      <c r="S83" s="358"/>
      <c r="T83" s="359" t="s">
        <v>163</v>
      </c>
    </row>
    <row r="84" ht="34.5">
      <c r="A84" s="359" t="s">
        <v>224</v>
      </c>
      <c r="B84" s="359" t="s">
        <v>225</v>
      </c>
      <c r="C84" s="359" t="s">
        <v>229</v>
      </c>
      <c r="D84" s="359" t="s">
        <v>158</v>
      </c>
      <c r="E84" s="359" t="s">
        <v>177</v>
      </c>
      <c r="F84" s="358" t="s">
        <v>178</v>
      </c>
      <c r="G84" s="359" t="s">
        <v>161</v>
      </c>
      <c r="H84" s="358"/>
      <c r="I84" s="358"/>
      <c r="J84" s="358" t="s">
        <v>181</v>
      </c>
      <c r="K84" s="361"/>
      <c r="L84" s="359"/>
      <c r="M84" s="359"/>
      <c r="N84" s="358"/>
      <c r="O84" s="358"/>
      <c r="P84" s="358"/>
      <c r="Q84" s="358"/>
      <c r="R84" s="360"/>
      <c r="S84" s="358"/>
      <c r="T84" s="359" t="s">
        <v>163</v>
      </c>
    </row>
    <row r="85" ht="34.5">
      <c r="A85" s="359" t="s">
        <v>224</v>
      </c>
      <c r="B85" s="359" t="s">
        <v>225</v>
      </c>
      <c r="C85" s="359" t="s">
        <v>229</v>
      </c>
      <c r="D85" s="359" t="s">
        <v>158</v>
      </c>
      <c r="E85" s="359" t="s">
        <v>177</v>
      </c>
      <c r="F85" s="358" t="s">
        <v>178</v>
      </c>
      <c r="G85" s="359" t="s">
        <v>161</v>
      </c>
      <c r="H85" s="358"/>
      <c r="I85" s="358"/>
      <c r="J85" s="358" t="s">
        <v>182</v>
      </c>
      <c r="K85" s="361"/>
      <c r="L85" s="359"/>
      <c r="M85" s="359"/>
      <c r="N85" s="358"/>
      <c r="O85" s="358"/>
      <c r="P85" s="358"/>
      <c r="Q85" s="358"/>
      <c r="R85" s="360"/>
      <c r="S85" s="358"/>
      <c r="T85" s="359" t="s">
        <v>163</v>
      </c>
    </row>
    <row r="86" ht="34.5">
      <c r="A86" s="359" t="s">
        <v>224</v>
      </c>
      <c r="B86" s="359" t="s">
        <v>225</v>
      </c>
      <c r="C86" s="359" t="s">
        <v>229</v>
      </c>
      <c r="D86" s="359" t="s">
        <v>158</v>
      </c>
      <c r="E86" s="359" t="s">
        <v>183</v>
      </c>
      <c r="F86" s="358" t="s">
        <v>184</v>
      </c>
      <c r="G86" s="359" t="s">
        <v>185</v>
      </c>
      <c r="H86" s="358"/>
      <c r="I86" s="358"/>
      <c r="J86" s="358" t="s">
        <v>186</v>
      </c>
      <c r="K86" s="361"/>
      <c r="L86" s="359"/>
      <c r="M86" s="359"/>
      <c r="N86" s="358"/>
      <c r="O86" s="358"/>
      <c r="P86" s="358"/>
      <c r="Q86" s="358"/>
      <c r="R86" s="360"/>
      <c r="S86" s="358"/>
      <c r="T86" s="359" t="s">
        <v>163</v>
      </c>
    </row>
    <row r="87" ht="34.5">
      <c r="A87" s="359" t="s">
        <v>224</v>
      </c>
      <c r="B87" s="359" t="s">
        <v>225</v>
      </c>
      <c r="C87" s="359" t="s">
        <v>229</v>
      </c>
      <c r="D87" s="359" t="s">
        <v>158</v>
      </c>
      <c r="E87" s="359" t="s">
        <v>183</v>
      </c>
      <c r="F87" s="358" t="s">
        <v>184</v>
      </c>
      <c r="G87" s="359" t="s">
        <v>185</v>
      </c>
      <c r="H87" s="358"/>
      <c r="I87" s="358"/>
      <c r="J87" s="358" t="s">
        <v>187</v>
      </c>
      <c r="K87" s="361"/>
      <c r="L87" s="359"/>
      <c r="M87" s="359"/>
      <c r="N87" s="358"/>
      <c r="O87" s="358"/>
      <c r="P87" s="358"/>
      <c r="Q87" s="358"/>
      <c r="R87" s="360"/>
      <c r="S87" s="358"/>
      <c r="T87" s="359" t="s">
        <v>163</v>
      </c>
    </row>
    <row r="88" ht="34.5">
      <c r="A88" s="359" t="s">
        <v>224</v>
      </c>
      <c r="B88" s="359" t="s">
        <v>225</v>
      </c>
      <c r="C88" s="359" t="s">
        <v>229</v>
      </c>
      <c r="D88" s="359" t="s">
        <v>158</v>
      </c>
      <c r="E88" s="359" t="s">
        <v>183</v>
      </c>
      <c r="F88" s="358" t="s">
        <v>184</v>
      </c>
      <c r="G88" s="359" t="s">
        <v>185</v>
      </c>
      <c r="H88" s="358"/>
      <c r="I88" s="358"/>
      <c r="J88" s="358" t="s">
        <v>231</v>
      </c>
      <c r="K88" s="361"/>
      <c r="L88" s="359"/>
      <c r="M88" s="359"/>
      <c r="N88" s="358"/>
      <c r="O88" s="358"/>
      <c r="P88" s="358"/>
      <c r="Q88" s="358"/>
      <c r="R88" s="360"/>
      <c r="S88" s="358"/>
      <c r="T88" s="359" t="s">
        <v>163</v>
      </c>
    </row>
    <row r="89" ht="34.5">
      <c r="A89" s="359" t="s">
        <v>224</v>
      </c>
      <c r="B89" s="359" t="s">
        <v>225</v>
      </c>
      <c r="C89" s="359" t="s">
        <v>229</v>
      </c>
      <c r="D89" s="359" t="s">
        <v>158</v>
      </c>
      <c r="E89" s="359" t="s">
        <v>183</v>
      </c>
      <c r="F89" s="358" t="s">
        <v>184</v>
      </c>
      <c r="G89" s="359" t="s">
        <v>185</v>
      </c>
      <c r="H89" s="358"/>
      <c r="I89" s="358"/>
      <c r="J89" s="358" t="s">
        <v>189</v>
      </c>
      <c r="K89" s="361"/>
      <c r="L89" s="359"/>
      <c r="M89" s="359"/>
      <c r="N89" s="358"/>
      <c r="O89" s="358"/>
      <c r="P89" s="358"/>
      <c r="Q89" s="358"/>
      <c r="R89" s="360"/>
      <c r="S89" s="358"/>
      <c r="T89" s="359" t="s">
        <v>163</v>
      </c>
    </row>
    <row r="90" ht="34.5">
      <c r="A90" s="359" t="s">
        <v>224</v>
      </c>
      <c r="B90" s="359" t="s">
        <v>225</v>
      </c>
      <c r="C90" s="359" t="s">
        <v>229</v>
      </c>
      <c r="D90" s="359" t="s">
        <v>158</v>
      </c>
      <c r="E90" s="359" t="s">
        <v>183</v>
      </c>
      <c r="F90" s="358" t="s">
        <v>184</v>
      </c>
      <c r="G90" s="359" t="s">
        <v>185</v>
      </c>
      <c r="H90" s="358"/>
      <c r="I90" s="358"/>
      <c r="J90" s="358" t="s">
        <v>190</v>
      </c>
      <c r="K90" s="361"/>
      <c r="L90" s="359"/>
      <c r="M90" s="359"/>
      <c r="N90" s="358"/>
      <c r="O90" s="358"/>
      <c r="P90" s="358"/>
      <c r="Q90" s="358"/>
      <c r="R90" s="360"/>
      <c r="S90" s="358"/>
      <c r="T90" s="359" t="s">
        <v>163</v>
      </c>
    </row>
    <row r="91" ht="34.5">
      <c r="A91" s="359" t="s">
        <v>224</v>
      </c>
      <c r="B91" s="359" t="s">
        <v>225</v>
      </c>
      <c r="C91" s="359" t="s">
        <v>229</v>
      </c>
      <c r="D91" s="359" t="s">
        <v>158</v>
      </c>
      <c r="E91" s="359" t="s">
        <v>183</v>
      </c>
      <c r="F91" s="358" t="s">
        <v>184</v>
      </c>
      <c r="G91" s="359" t="s">
        <v>185</v>
      </c>
      <c r="H91" s="358"/>
      <c r="I91" s="358"/>
      <c r="J91" s="358" t="s">
        <v>191</v>
      </c>
      <c r="K91" s="361"/>
      <c r="L91" s="359"/>
      <c r="M91" s="359"/>
      <c r="N91" s="358"/>
      <c r="O91" s="358"/>
      <c r="P91" s="358"/>
      <c r="Q91" s="358"/>
      <c r="R91" s="360"/>
      <c r="S91" s="358"/>
      <c r="T91" s="359" t="s">
        <v>163</v>
      </c>
    </row>
    <row r="92" ht="34.5">
      <c r="A92" s="359" t="s">
        <v>224</v>
      </c>
      <c r="B92" s="359" t="s">
        <v>225</v>
      </c>
      <c r="C92" s="359" t="s">
        <v>229</v>
      </c>
      <c r="D92" s="359" t="s">
        <v>158</v>
      </c>
      <c r="E92" s="359" t="s">
        <v>183</v>
      </c>
      <c r="F92" s="358" t="s">
        <v>184</v>
      </c>
      <c r="G92" s="359" t="s">
        <v>185</v>
      </c>
      <c r="H92" s="358"/>
      <c r="I92" s="358"/>
      <c r="J92" s="358" t="s">
        <v>192</v>
      </c>
      <c r="K92" s="361"/>
      <c r="L92" s="359"/>
      <c r="M92" s="359"/>
      <c r="N92" s="358"/>
      <c r="O92" s="358"/>
      <c r="P92" s="358"/>
      <c r="Q92" s="358"/>
      <c r="R92" s="360"/>
      <c r="S92" s="358"/>
      <c r="T92" s="359" t="s">
        <v>163</v>
      </c>
    </row>
    <row r="93" ht="34.5">
      <c r="A93" s="359" t="s">
        <v>224</v>
      </c>
      <c r="B93" s="359" t="s">
        <v>225</v>
      </c>
      <c r="C93" s="359" t="s">
        <v>157</v>
      </c>
      <c r="D93" s="359" t="s">
        <v>158</v>
      </c>
      <c r="E93" s="359" t="s">
        <v>183</v>
      </c>
      <c r="F93" s="358" t="s">
        <v>184</v>
      </c>
      <c r="G93" s="359" t="s">
        <v>185</v>
      </c>
      <c r="H93" s="358"/>
      <c r="I93" s="358"/>
      <c r="J93" s="358" t="s">
        <v>216</v>
      </c>
      <c r="K93" s="361"/>
      <c r="L93" s="359"/>
      <c r="M93" s="359"/>
      <c r="N93" s="358"/>
      <c r="O93" s="358"/>
      <c r="P93" s="358"/>
      <c r="Q93" s="358"/>
      <c r="R93" s="360"/>
      <c r="S93" s="358"/>
      <c r="T93" s="359" t="s">
        <v>163</v>
      </c>
    </row>
    <row r="94" ht="34.5">
      <c r="A94" s="359" t="s">
        <v>224</v>
      </c>
      <c r="B94" s="359" t="s">
        <v>225</v>
      </c>
      <c r="C94" s="359" t="s">
        <v>157</v>
      </c>
      <c r="D94" s="359" t="s">
        <v>158</v>
      </c>
      <c r="E94" s="359" t="s">
        <v>183</v>
      </c>
      <c r="F94" s="358" t="s">
        <v>184</v>
      </c>
      <c r="G94" s="359" t="s">
        <v>185</v>
      </c>
      <c r="H94" s="358"/>
      <c r="I94" s="358"/>
      <c r="J94" s="358" t="s">
        <v>195</v>
      </c>
      <c r="K94" s="361"/>
      <c r="L94" s="359"/>
      <c r="M94" s="359"/>
      <c r="N94" s="358"/>
      <c r="O94" s="358"/>
      <c r="P94" s="358"/>
      <c r="Q94" s="358"/>
      <c r="R94" s="360"/>
      <c r="S94" s="358"/>
      <c r="T94" s="359" t="s">
        <v>163</v>
      </c>
    </row>
    <row r="95" ht="34.5">
      <c r="A95" s="359" t="s">
        <v>224</v>
      </c>
      <c r="B95" s="359" t="s">
        <v>225</v>
      </c>
      <c r="C95" s="359" t="s">
        <v>157</v>
      </c>
      <c r="D95" s="359" t="s">
        <v>158</v>
      </c>
      <c r="E95" s="359" t="s">
        <v>196</v>
      </c>
      <c r="F95" s="358" t="s">
        <v>197</v>
      </c>
      <c r="G95" s="359" t="s">
        <v>161</v>
      </c>
      <c r="H95" s="358"/>
      <c r="I95" s="358"/>
      <c r="J95" s="358" t="s">
        <v>198</v>
      </c>
      <c r="K95" s="361">
        <v>61077310</v>
      </c>
      <c r="L95" s="359" t="s">
        <v>165</v>
      </c>
      <c r="M95" s="359"/>
      <c r="N95" s="358"/>
      <c r="O95" s="358"/>
      <c r="P95" s="358"/>
      <c r="Q95" s="358"/>
      <c r="R95" s="360"/>
      <c r="S95" s="358"/>
      <c r="T95" s="359" t="s">
        <v>163</v>
      </c>
    </row>
    <row r="96" ht="34.5">
      <c r="A96" s="359" t="s">
        <v>224</v>
      </c>
      <c r="B96" s="359" t="s">
        <v>225</v>
      </c>
      <c r="C96" s="359" t="s">
        <v>157</v>
      </c>
      <c r="D96" s="359" t="s">
        <v>158</v>
      </c>
      <c r="E96" s="359" t="s">
        <v>196</v>
      </c>
      <c r="F96" s="358" t="s">
        <v>197</v>
      </c>
      <c r="G96" s="359" t="s">
        <v>161</v>
      </c>
      <c r="H96" s="358"/>
      <c r="I96" s="358"/>
      <c r="J96" s="358" t="s">
        <v>217</v>
      </c>
      <c r="K96" s="361"/>
      <c r="L96" s="359"/>
      <c r="M96" s="359"/>
      <c r="N96" s="358"/>
      <c r="O96" s="358"/>
      <c r="P96" s="358"/>
      <c r="Q96" s="358"/>
      <c r="R96" s="360"/>
      <c r="S96" s="358"/>
      <c r="T96" s="359" t="s">
        <v>163</v>
      </c>
    </row>
    <row r="97" ht="34.5">
      <c r="A97" s="359" t="s">
        <v>224</v>
      </c>
      <c r="B97" s="359" t="s">
        <v>225</v>
      </c>
      <c r="C97" s="359" t="s">
        <v>157</v>
      </c>
      <c r="D97" s="359" t="s">
        <v>158</v>
      </c>
      <c r="E97" s="359" t="s">
        <v>196</v>
      </c>
      <c r="F97" s="358" t="s">
        <v>197</v>
      </c>
      <c r="G97" s="359" t="s">
        <v>161</v>
      </c>
      <c r="H97" s="358"/>
      <c r="I97" s="358"/>
      <c r="J97" s="358" t="s">
        <v>232</v>
      </c>
      <c r="K97" s="361">
        <v>66274750</v>
      </c>
      <c r="L97" s="359" t="s">
        <v>165</v>
      </c>
      <c r="M97" s="359"/>
      <c r="N97" s="358"/>
      <c r="O97" s="358"/>
      <c r="P97" s="358"/>
      <c r="Q97" s="358"/>
      <c r="R97" s="360"/>
      <c r="S97" s="358"/>
      <c r="T97" s="359" t="s">
        <v>163</v>
      </c>
    </row>
    <row r="98" ht="34.5">
      <c r="A98" s="359" t="s">
        <v>224</v>
      </c>
      <c r="B98" s="359" t="s">
        <v>225</v>
      </c>
      <c r="C98" s="359" t="s">
        <v>157</v>
      </c>
      <c r="D98" s="359" t="s">
        <v>233</v>
      </c>
      <c r="E98" s="359" t="s">
        <v>196</v>
      </c>
      <c r="F98" s="358" t="s">
        <v>197</v>
      </c>
      <c r="G98" s="359" t="s">
        <v>161</v>
      </c>
      <c r="H98" s="358"/>
      <c r="I98" s="358"/>
      <c r="J98" s="358" t="s">
        <v>234</v>
      </c>
      <c r="K98" s="361"/>
      <c r="L98" s="359"/>
      <c r="M98" s="359"/>
      <c r="N98" s="358"/>
      <c r="O98" s="358"/>
      <c r="P98" s="358"/>
      <c r="Q98" s="358"/>
      <c r="R98" s="360"/>
      <c r="S98" s="358"/>
      <c r="T98" s="359" t="s">
        <v>163</v>
      </c>
    </row>
    <row r="99" ht="34.5">
      <c r="A99" s="359" t="s">
        <v>224</v>
      </c>
      <c r="B99" s="359" t="s">
        <v>225</v>
      </c>
      <c r="C99" s="359" t="s">
        <v>157</v>
      </c>
      <c r="D99" s="359" t="s">
        <v>158</v>
      </c>
      <c r="E99" s="359" t="s">
        <v>202</v>
      </c>
      <c r="F99" s="358" t="s">
        <v>203</v>
      </c>
      <c r="G99" s="359" t="s">
        <v>204</v>
      </c>
      <c r="H99" s="358"/>
      <c r="I99" s="358"/>
      <c r="J99" s="358" t="s">
        <v>235</v>
      </c>
      <c r="K99" s="361"/>
      <c r="L99" s="359"/>
      <c r="M99" s="359"/>
      <c r="N99" s="358"/>
      <c r="O99" s="358"/>
      <c r="P99" s="358"/>
      <c r="Q99" s="358"/>
      <c r="R99" s="360"/>
      <c r="S99" s="358"/>
      <c r="T99" s="359" t="s">
        <v>163</v>
      </c>
    </row>
    <row r="100" ht="34.5">
      <c r="A100" s="359" t="s">
        <v>224</v>
      </c>
      <c r="B100" s="359" t="s">
        <v>225</v>
      </c>
      <c r="C100" s="359" t="s">
        <v>175</v>
      </c>
      <c r="D100" s="359" t="s">
        <v>158</v>
      </c>
      <c r="E100" s="359" t="s">
        <v>202</v>
      </c>
      <c r="F100" s="358" t="s">
        <v>203</v>
      </c>
      <c r="G100" s="359" t="s">
        <v>204</v>
      </c>
      <c r="H100" s="358"/>
      <c r="I100" s="358"/>
      <c r="J100" s="358" t="s">
        <v>236</v>
      </c>
      <c r="K100" s="361"/>
      <c r="L100" s="359"/>
      <c r="M100" s="359"/>
      <c r="N100" s="358"/>
      <c r="O100" s="358"/>
      <c r="P100" s="358"/>
      <c r="Q100" s="358"/>
      <c r="R100" s="360"/>
      <c r="S100" s="358"/>
      <c r="T100" s="359" t="s">
        <v>163</v>
      </c>
    </row>
    <row r="101" ht="34.5">
      <c r="A101" s="359" t="s">
        <v>237</v>
      </c>
      <c r="B101" s="359" t="s">
        <v>238</v>
      </c>
      <c r="C101" s="359" t="s">
        <v>239</v>
      </c>
      <c r="D101" s="359" t="s">
        <v>158</v>
      </c>
      <c r="E101" s="359" t="s">
        <v>159</v>
      </c>
      <c r="F101" s="358" t="s">
        <v>160</v>
      </c>
      <c r="G101" s="359" t="s">
        <v>161</v>
      </c>
      <c r="H101" s="358"/>
      <c r="I101" s="358"/>
      <c r="J101" s="358" t="s">
        <v>162</v>
      </c>
      <c r="K101" s="361"/>
      <c r="L101" s="359"/>
      <c r="M101" s="359"/>
      <c r="N101" s="358"/>
      <c r="O101" s="358"/>
      <c r="P101" s="358"/>
      <c r="Q101" s="358"/>
      <c r="R101" s="360"/>
      <c r="S101" s="358"/>
      <c r="T101" s="359" t="s">
        <v>163</v>
      </c>
    </row>
    <row r="102" ht="34.5">
      <c r="A102" s="359" t="s">
        <v>237</v>
      </c>
      <c r="B102" s="359" t="s">
        <v>238</v>
      </c>
      <c r="C102" s="359" t="s">
        <v>239</v>
      </c>
      <c r="D102" s="359" t="s">
        <v>158</v>
      </c>
      <c r="E102" s="359" t="s">
        <v>159</v>
      </c>
      <c r="F102" s="358" t="s">
        <v>160</v>
      </c>
      <c r="G102" s="359" t="s">
        <v>161</v>
      </c>
      <c r="H102" s="358"/>
      <c r="I102" s="358"/>
      <c r="J102" s="358" t="s">
        <v>240</v>
      </c>
      <c r="K102" s="361">
        <v>50000</v>
      </c>
      <c r="L102" s="359" t="s">
        <v>165</v>
      </c>
      <c r="M102" s="359"/>
      <c r="N102" s="358"/>
      <c r="O102" s="358"/>
      <c r="P102" s="358"/>
      <c r="Q102" s="358"/>
      <c r="R102" s="360"/>
      <c r="S102" s="358"/>
      <c r="T102" s="359" t="s">
        <v>163</v>
      </c>
    </row>
    <row r="103" ht="34.5">
      <c r="A103" s="359" t="s">
        <v>237</v>
      </c>
      <c r="B103" s="359" t="s">
        <v>238</v>
      </c>
      <c r="C103" s="359" t="s">
        <v>239</v>
      </c>
      <c r="D103" s="359" t="s">
        <v>158</v>
      </c>
      <c r="E103" s="359" t="s">
        <v>159</v>
      </c>
      <c r="F103" s="358" t="s">
        <v>160</v>
      </c>
      <c r="G103" s="359" t="s">
        <v>161</v>
      </c>
      <c r="H103" s="358"/>
      <c r="I103" s="358"/>
      <c r="J103" s="358" t="s">
        <v>166</v>
      </c>
      <c r="K103" s="361"/>
      <c r="L103" s="359"/>
      <c r="M103" s="359"/>
      <c r="N103" s="358"/>
      <c r="O103" s="358"/>
      <c r="P103" s="358"/>
      <c r="Q103" s="358"/>
      <c r="R103" s="360"/>
      <c r="S103" s="358"/>
      <c r="T103" s="359" t="s">
        <v>163</v>
      </c>
    </row>
    <row r="104" ht="34.5">
      <c r="A104" s="359" t="s">
        <v>237</v>
      </c>
      <c r="B104" s="359" t="s">
        <v>238</v>
      </c>
      <c r="C104" s="359" t="s">
        <v>239</v>
      </c>
      <c r="D104" s="359" t="s">
        <v>158</v>
      </c>
      <c r="E104" s="359" t="s">
        <v>159</v>
      </c>
      <c r="F104" s="358" t="s">
        <v>160</v>
      </c>
      <c r="G104" s="359" t="s">
        <v>161</v>
      </c>
      <c r="H104" s="358"/>
      <c r="I104" s="358"/>
      <c r="J104" s="358" t="s">
        <v>167</v>
      </c>
      <c r="K104" s="361"/>
      <c r="L104" s="359"/>
      <c r="M104" s="359"/>
      <c r="N104" s="358"/>
      <c r="O104" s="358"/>
      <c r="P104" s="358"/>
      <c r="Q104" s="358"/>
      <c r="R104" s="360"/>
      <c r="S104" s="358"/>
      <c r="T104" s="359" t="s">
        <v>163</v>
      </c>
    </row>
    <row r="105" ht="34.5">
      <c r="A105" s="359" t="s">
        <v>237</v>
      </c>
      <c r="B105" s="359" t="s">
        <v>238</v>
      </c>
      <c r="C105" s="359" t="s">
        <v>239</v>
      </c>
      <c r="D105" s="359" t="s">
        <v>158</v>
      </c>
      <c r="E105" s="359" t="s">
        <v>159</v>
      </c>
      <c r="F105" s="358" t="s">
        <v>160</v>
      </c>
      <c r="G105" s="359" t="s">
        <v>161</v>
      </c>
      <c r="H105" s="358"/>
      <c r="I105" s="358"/>
      <c r="J105" s="358" t="s">
        <v>168</v>
      </c>
      <c r="K105" s="361"/>
      <c r="L105" s="359"/>
      <c r="M105" s="359"/>
      <c r="N105" s="358"/>
      <c r="O105" s="358"/>
      <c r="P105" s="358"/>
      <c r="Q105" s="358"/>
      <c r="R105" s="360"/>
      <c r="S105" s="358"/>
      <c r="T105" s="359" t="s">
        <v>163</v>
      </c>
    </row>
    <row r="106" ht="34.5">
      <c r="A106" s="359" t="s">
        <v>237</v>
      </c>
      <c r="B106" s="359" t="s">
        <v>238</v>
      </c>
      <c r="C106" s="359" t="s">
        <v>239</v>
      </c>
      <c r="D106" s="359" t="s">
        <v>158</v>
      </c>
      <c r="E106" s="359" t="s">
        <v>159</v>
      </c>
      <c r="F106" s="358" t="s">
        <v>160</v>
      </c>
      <c r="G106" s="359" t="s">
        <v>161</v>
      </c>
      <c r="H106" s="358"/>
      <c r="I106" s="358"/>
      <c r="J106" s="358" t="s">
        <v>169</v>
      </c>
      <c r="K106" s="361"/>
      <c r="L106" s="359"/>
      <c r="M106" s="359"/>
      <c r="N106" s="358"/>
      <c r="O106" s="358"/>
      <c r="P106" s="358"/>
      <c r="Q106" s="358"/>
      <c r="R106" s="360"/>
      <c r="S106" s="358"/>
      <c r="T106" s="359" t="s">
        <v>163</v>
      </c>
    </row>
    <row r="107" ht="34.5">
      <c r="A107" s="359" t="s">
        <v>237</v>
      </c>
      <c r="B107" s="359" t="s">
        <v>238</v>
      </c>
      <c r="C107" s="359" t="s">
        <v>239</v>
      </c>
      <c r="D107" s="359" t="s">
        <v>158</v>
      </c>
      <c r="E107" s="359" t="s">
        <v>159</v>
      </c>
      <c r="F107" s="358" t="s">
        <v>160</v>
      </c>
      <c r="G107" s="359" t="s">
        <v>161</v>
      </c>
      <c r="H107" s="358"/>
      <c r="I107" s="358"/>
      <c r="J107" s="358" t="s">
        <v>170</v>
      </c>
      <c r="K107" s="361"/>
      <c r="L107" s="359"/>
      <c r="M107" s="359"/>
      <c r="N107" s="358"/>
      <c r="O107" s="358"/>
      <c r="P107" s="358"/>
      <c r="Q107" s="358"/>
      <c r="R107" s="360"/>
      <c r="S107" s="358"/>
      <c r="T107" s="359" t="s">
        <v>163</v>
      </c>
    </row>
    <row r="108" ht="34.5">
      <c r="A108" s="359" t="s">
        <v>237</v>
      </c>
      <c r="B108" s="359" t="s">
        <v>238</v>
      </c>
      <c r="C108" s="359" t="s">
        <v>239</v>
      </c>
      <c r="D108" s="359" t="s">
        <v>158</v>
      </c>
      <c r="E108" s="359" t="s">
        <v>159</v>
      </c>
      <c r="F108" s="358" t="s">
        <v>160</v>
      </c>
      <c r="G108" s="359" t="s">
        <v>161</v>
      </c>
      <c r="H108" s="358"/>
      <c r="I108" s="358"/>
      <c r="J108" s="358" t="s">
        <v>241</v>
      </c>
      <c r="K108" s="361">
        <v>66274750</v>
      </c>
      <c r="L108" s="359" t="s">
        <v>165</v>
      </c>
      <c r="M108" s="359"/>
      <c r="N108" s="358"/>
      <c r="O108" s="358"/>
      <c r="P108" s="358"/>
      <c r="Q108" s="358"/>
      <c r="R108" s="360"/>
      <c r="S108" s="358"/>
      <c r="T108" s="359" t="s">
        <v>163</v>
      </c>
    </row>
    <row r="109" ht="34.5">
      <c r="A109" s="359" t="s">
        <v>237</v>
      </c>
      <c r="B109" s="359" t="s">
        <v>238</v>
      </c>
      <c r="C109" s="359" t="s">
        <v>239</v>
      </c>
      <c r="D109" s="359" t="s">
        <v>158</v>
      </c>
      <c r="E109" s="359" t="s">
        <v>159</v>
      </c>
      <c r="F109" s="358" t="s">
        <v>160</v>
      </c>
      <c r="G109" s="359" t="s">
        <v>161</v>
      </c>
      <c r="H109" s="358"/>
      <c r="I109" s="358"/>
      <c r="J109" s="358" t="s">
        <v>242</v>
      </c>
      <c r="K109" s="361"/>
      <c r="L109" s="359"/>
      <c r="M109" s="359"/>
      <c r="N109" s="358"/>
      <c r="O109" s="358"/>
      <c r="P109" s="358"/>
      <c r="Q109" s="358"/>
      <c r="R109" s="360"/>
      <c r="S109" s="358"/>
      <c r="T109" s="359" t="s">
        <v>163</v>
      </c>
    </row>
    <row r="110" ht="34.5">
      <c r="A110" s="359" t="s">
        <v>237</v>
      </c>
      <c r="B110" s="359" t="s">
        <v>238</v>
      </c>
      <c r="C110" s="359" t="s">
        <v>239</v>
      </c>
      <c r="D110" s="359" t="s">
        <v>158</v>
      </c>
      <c r="E110" s="359" t="s">
        <v>159</v>
      </c>
      <c r="F110" s="358" t="s">
        <v>160</v>
      </c>
      <c r="G110" s="359" t="s">
        <v>161</v>
      </c>
      <c r="H110" s="358"/>
      <c r="I110" s="358"/>
      <c r="J110" s="358" t="s">
        <v>173</v>
      </c>
      <c r="K110" s="361"/>
      <c r="L110" s="359"/>
      <c r="M110" s="359"/>
      <c r="N110" s="358"/>
      <c r="O110" s="358"/>
      <c r="P110" s="358"/>
      <c r="Q110" s="358"/>
      <c r="R110" s="360"/>
      <c r="S110" s="358"/>
      <c r="T110" s="359" t="s">
        <v>163</v>
      </c>
    </row>
    <row r="111" ht="34.5">
      <c r="A111" s="359" t="s">
        <v>237</v>
      </c>
      <c r="B111" s="359" t="s">
        <v>238</v>
      </c>
      <c r="C111" s="359" t="s">
        <v>239</v>
      </c>
      <c r="D111" s="359" t="s">
        <v>158</v>
      </c>
      <c r="E111" s="359" t="s">
        <v>159</v>
      </c>
      <c r="F111" s="358" t="s">
        <v>160</v>
      </c>
      <c r="G111" s="359" t="s">
        <v>161</v>
      </c>
      <c r="H111" s="358"/>
      <c r="I111" s="358"/>
      <c r="J111" s="358" t="s">
        <v>243</v>
      </c>
      <c r="K111" s="361"/>
      <c r="L111" s="359"/>
      <c r="M111" s="359"/>
      <c r="N111" s="358"/>
      <c r="O111" s="358"/>
      <c r="P111" s="358"/>
      <c r="Q111" s="358"/>
      <c r="R111" s="360"/>
      <c r="S111" s="358"/>
      <c r="T111" s="359" t="s">
        <v>163</v>
      </c>
    </row>
    <row r="112" ht="34.5">
      <c r="A112" s="359" t="s">
        <v>237</v>
      </c>
      <c r="B112" s="359" t="s">
        <v>238</v>
      </c>
      <c r="C112" s="359" t="s">
        <v>244</v>
      </c>
      <c r="D112" s="359" t="s">
        <v>158</v>
      </c>
      <c r="E112" s="359" t="s">
        <v>177</v>
      </c>
      <c r="F112" s="358" t="s">
        <v>178</v>
      </c>
      <c r="G112" s="359" t="s">
        <v>161</v>
      </c>
      <c r="H112" s="358"/>
      <c r="I112" s="358"/>
      <c r="J112" s="358" t="s">
        <v>179</v>
      </c>
      <c r="K112" s="361"/>
      <c r="L112" s="359"/>
      <c r="M112" s="359"/>
      <c r="N112" s="358"/>
      <c r="O112" s="358"/>
      <c r="P112" s="358"/>
      <c r="Q112" s="358"/>
      <c r="R112" s="360"/>
      <c r="S112" s="358"/>
      <c r="T112" s="359" t="s">
        <v>163</v>
      </c>
    </row>
    <row r="113" ht="34.5">
      <c r="A113" s="359" t="s">
        <v>237</v>
      </c>
      <c r="B113" s="359" t="s">
        <v>238</v>
      </c>
      <c r="C113" s="359" t="s">
        <v>244</v>
      </c>
      <c r="D113" s="359" t="s">
        <v>158</v>
      </c>
      <c r="E113" s="359" t="s">
        <v>177</v>
      </c>
      <c r="F113" s="358" t="s">
        <v>178</v>
      </c>
      <c r="G113" s="359" t="s">
        <v>161</v>
      </c>
      <c r="H113" s="358"/>
      <c r="I113" s="358"/>
      <c r="J113" s="358" t="s">
        <v>245</v>
      </c>
      <c r="K113" s="361"/>
      <c r="L113" s="359"/>
      <c r="M113" s="359"/>
      <c r="N113" s="358"/>
      <c r="O113" s="358"/>
      <c r="P113" s="358"/>
      <c r="Q113" s="358"/>
      <c r="R113" s="360"/>
      <c r="S113" s="358"/>
      <c r="T113" s="359" t="s">
        <v>163</v>
      </c>
    </row>
    <row r="114" ht="34.5">
      <c r="A114" s="359" t="s">
        <v>237</v>
      </c>
      <c r="B114" s="359" t="s">
        <v>238</v>
      </c>
      <c r="C114" s="359" t="s">
        <v>244</v>
      </c>
      <c r="D114" s="359" t="s">
        <v>158</v>
      </c>
      <c r="E114" s="359" t="s">
        <v>177</v>
      </c>
      <c r="F114" s="358" t="s">
        <v>178</v>
      </c>
      <c r="G114" s="359" t="s">
        <v>161</v>
      </c>
      <c r="H114" s="358"/>
      <c r="I114" s="358"/>
      <c r="J114" s="358" t="s">
        <v>181</v>
      </c>
      <c r="K114" s="361"/>
      <c r="L114" s="359"/>
      <c r="M114" s="359"/>
      <c r="N114" s="358"/>
      <c r="O114" s="358"/>
      <c r="P114" s="358"/>
      <c r="Q114" s="358"/>
      <c r="R114" s="360"/>
      <c r="S114" s="358"/>
      <c r="T114" s="359" t="s">
        <v>163</v>
      </c>
    </row>
    <row r="115" ht="34.5">
      <c r="A115" s="359" t="s">
        <v>237</v>
      </c>
      <c r="B115" s="359" t="s">
        <v>238</v>
      </c>
      <c r="C115" s="359" t="s">
        <v>244</v>
      </c>
      <c r="D115" s="359" t="s">
        <v>158</v>
      </c>
      <c r="E115" s="359" t="s">
        <v>177</v>
      </c>
      <c r="F115" s="358" t="s">
        <v>178</v>
      </c>
      <c r="G115" s="359" t="s">
        <v>161</v>
      </c>
      <c r="H115" s="358"/>
      <c r="I115" s="358"/>
      <c r="J115" s="358" t="s">
        <v>182</v>
      </c>
      <c r="K115" s="361"/>
      <c r="L115" s="359"/>
      <c r="M115" s="359"/>
      <c r="N115" s="358"/>
      <c r="O115" s="358"/>
      <c r="P115" s="358"/>
      <c r="Q115" s="358"/>
      <c r="R115" s="360"/>
      <c r="S115" s="358"/>
      <c r="T115" s="359" t="s">
        <v>163</v>
      </c>
    </row>
    <row r="116" ht="34.5">
      <c r="A116" s="359" t="s">
        <v>237</v>
      </c>
      <c r="B116" s="359" t="s">
        <v>238</v>
      </c>
      <c r="C116" s="359" t="s">
        <v>244</v>
      </c>
      <c r="D116" s="359" t="s">
        <v>158</v>
      </c>
      <c r="E116" s="359" t="s">
        <v>183</v>
      </c>
      <c r="F116" s="358" t="s">
        <v>184</v>
      </c>
      <c r="G116" s="359" t="s">
        <v>185</v>
      </c>
      <c r="H116" s="358"/>
      <c r="I116" s="358"/>
      <c r="J116" s="358" t="s">
        <v>186</v>
      </c>
      <c r="K116" s="361"/>
      <c r="L116" s="359"/>
      <c r="M116" s="359"/>
      <c r="N116" s="358"/>
      <c r="O116" s="358"/>
      <c r="P116" s="358"/>
      <c r="Q116" s="358"/>
      <c r="R116" s="360"/>
      <c r="S116" s="358"/>
      <c r="T116" s="359" t="s">
        <v>163</v>
      </c>
    </row>
    <row r="117" ht="34.5">
      <c r="A117" s="359" t="s">
        <v>237</v>
      </c>
      <c r="B117" s="359" t="s">
        <v>238</v>
      </c>
      <c r="C117" s="359" t="s">
        <v>244</v>
      </c>
      <c r="D117" s="359" t="s">
        <v>158</v>
      </c>
      <c r="E117" s="359" t="s">
        <v>183</v>
      </c>
      <c r="F117" s="358" t="s">
        <v>184</v>
      </c>
      <c r="G117" s="359" t="s">
        <v>185</v>
      </c>
      <c r="H117" s="358"/>
      <c r="I117" s="358"/>
      <c r="J117" s="358" t="s">
        <v>187</v>
      </c>
      <c r="K117" s="361"/>
      <c r="L117" s="359"/>
      <c r="M117" s="359"/>
      <c r="N117" s="358"/>
      <c r="O117" s="358"/>
      <c r="P117" s="358"/>
      <c r="Q117" s="358"/>
      <c r="R117" s="360"/>
      <c r="S117" s="358"/>
      <c r="T117" s="359" t="s">
        <v>163</v>
      </c>
    </row>
    <row r="118" ht="34.5">
      <c r="A118" s="359" t="s">
        <v>237</v>
      </c>
      <c r="B118" s="359" t="s">
        <v>238</v>
      </c>
      <c r="C118" s="359" t="s">
        <v>244</v>
      </c>
      <c r="D118" s="359" t="s">
        <v>158</v>
      </c>
      <c r="E118" s="359" t="s">
        <v>183</v>
      </c>
      <c r="F118" s="358" t="s">
        <v>184</v>
      </c>
      <c r="G118" s="359" t="s">
        <v>185</v>
      </c>
      <c r="H118" s="358"/>
      <c r="I118" s="358"/>
      <c r="J118" s="358" t="s">
        <v>246</v>
      </c>
      <c r="K118" s="361"/>
      <c r="L118" s="359"/>
      <c r="M118" s="359"/>
      <c r="N118" s="358"/>
      <c r="O118" s="358"/>
      <c r="P118" s="358"/>
      <c r="Q118" s="358"/>
      <c r="R118" s="360"/>
      <c r="S118" s="358"/>
      <c r="T118" s="359" t="s">
        <v>163</v>
      </c>
    </row>
    <row r="119" ht="34.5">
      <c r="A119" s="359" t="s">
        <v>237</v>
      </c>
      <c r="B119" s="359" t="s">
        <v>238</v>
      </c>
      <c r="C119" s="359" t="s">
        <v>244</v>
      </c>
      <c r="D119" s="359" t="s">
        <v>158</v>
      </c>
      <c r="E119" s="359" t="s">
        <v>183</v>
      </c>
      <c r="F119" s="358" t="s">
        <v>184</v>
      </c>
      <c r="G119" s="359" t="s">
        <v>185</v>
      </c>
      <c r="H119" s="358"/>
      <c r="I119" s="358"/>
      <c r="J119" s="358" t="s">
        <v>189</v>
      </c>
      <c r="K119" s="361"/>
      <c r="L119" s="359"/>
      <c r="M119" s="359"/>
      <c r="N119" s="358"/>
      <c r="O119" s="358"/>
      <c r="P119" s="358"/>
      <c r="Q119" s="358"/>
      <c r="R119" s="360"/>
      <c r="S119" s="358"/>
      <c r="T119" s="359" t="s">
        <v>163</v>
      </c>
    </row>
    <row r="120" ht="34.5">
      <c r="A120" s="359" t="s">
        <v>237</v>
      </c>
      <c r="B120" s="359" t="s">
        <v>238</v>
      </c>
      <c r="C120" s="359" t="s">
        <v>244</v>
      </c>
      <c r="D120" s="359" t="s">
        <v>158</v>
      </c>
      <c r="E120" s="359" t="s">
        <v>183</v>
      </c>
      <c r="F120" s="358" t="s">
        <v>184</v>
      </c>
      <c r="G120" s="359" t="s">
        <v>185</v>
      </c>
      <c r="H120" s="358"/>
      <c r="I120" s="358"/>
      <c r="J120" s="358" t="s">
        <v>190</v>
      </c>
      <c r="K120" s="361"/>
      <c r="L120" s="359"/>
      <c r="M120" s="359"/>
      <c r="N120" s="358"/>
      <c r="O120" s="358"/>
      <c r="P120" s="358"/>
      <c r="Q120" s="358"/>
      <c r="R120" s="360"/>
      <c r="S120" s="358"/>
      <c r="T120" s="359" t="s">
        <v>163</v>
      </c>
    </row>
    <row r="121" ht="34.5">
      <c r="A121" s="359" t="s">
        <v>237</v>
      </c>
      <c r="B121" s="359" t="s">
        <v>238</v>
      </c>
      <c r="C121" s="359" t="s">
        <v>244</v>
      </c>
      <c r="D121" s="359" t="s">
        <v>158</v>
      </c>
      <c r="E121" s="359" t="s">
        <v>183</v>
      </c>
      <c r="F121" s="358" t="s">
        <v>184</v>
      </c>
      <c r="G121" s="359" t="s">
        <v>185</v>
      </c>
      <c r="H121" s="358"/>
      <c r="I121" s="358"/>
      <c r="J121" s="358" t="s">
        <v>191</v>
      </c>
      <c r="K121" s="361"/>
      <c r="L121" s="359"/>
      <c r="M121" s="359"/>
      <c r="N121" s="358"/>
      <c r="O121" s="358"/>
      <c r="P121" s="358"/>
      <c r="Q121" s="358"/>
      <c r="R121" s="360"/>
      <c r="S121" s="358"/>
      <c r="T121" s="359" t="s">
        <v>163</v>
      </c>
    </row>
    <row r="122" ht="34.5">
      <c r="A122" s="359" t="s">
        <v>237</v>
      </c>
      <c r="B122" s="359" t="s">
        <v>238</v>
      </c>
      <c r="C122" s="359" t="s">
        <v>244</v>
      </c>
      <c r="D122" s="359" t="s">
        <v>158</v>
      </c>
      <c r="E122" s="359" t="s">
        <v>183</v>
      </c>
      <c r="F122" s="358" t="s">
        <v>184</v>
      </c>
      <c r="G122" s="359" t="s">
        <v>185</v>
      </c>
      <c r="H122" s="358"/>
      <c r="I122" s="358"/>
      <c r="J122" s="358" t="s">
        <v>192</v>
      </c>
      <c r="K122" s="361"/>
      <c r="L122" s="359"/>
      <c r="M122" s="359"/>
      <c r="N122" s="358"/>
      <c r="O122" s="358"/>
      <c r="P122" s="358"/>
      <c r="Q122" s="358"/>
      <c r="R122" s="360"/>
      <c r="S122" s="358"/>
      <c r="T122" s="359" t="s">
        <v>163</v>
      </c>
    </row>
    <row r="123" ht="34.5">
      <c r="A123" s="359" t="s">
        <v>237</v>
      </c>
      <c r="B123" s="359" t="s">
        <v>238</v>
      </c>
      <c r="C123" s="359" t="s">
        <v>247</v>
      </c>
      <c r="D123" s="359" t="s">
        <v>158</v>
      </c>
      <c r="E123" s="359" t="s">
        <v>183</v>
      </c>
      <c r="F123" s="358" t="s">
        <v>184</v>
      </c>
      <c r="G123" s="359" t="s">
        <v>185</v>
      </c>
      <c r="H123" s="358"/>
      <c r="I123" s="358"/>
      <c r="J123" s="358" t="s">
        <v>248</v>
      </c>
      <c r="K123" s="361"/>
      <c r="L123" s="359"/>
      <c r="M123" s="359"/>
      <c r="N123" s="358"/>
      <c r="O123" s="358"/>
      <c r="P123" s="358"/>
      <c r="Q123" s="358"/>
      <c r="R123" s="360"/>
      <c r="S123" s="358"/>
      <c r="T123" s="359" t="s">
        <v>163</v>
      </c>
    </row>
    <row r="124" ht="34.5">
      <c r="A124" s="359" t="s">
        <v>237</v>
      </c>
      <c r="B124" s="359" t="s">
        <v>238</v>
      </c>
      <c r="C124" s="359" t="s">
        <v>247</v>
      </c>
      <c r="D124" s="359" t="s">
        <v>158</v>
      </c>
      <c r="E124" s="359" t="s">
        <v>183</v>
      </c>
      <c r="F124" s="358" t="s">
        <v>184</v>
      </c>
      <c r="G124" s="359" t="s">
        <v>185</v>
      </c>
      <c r="H124" s="358"/>
      <c r="I124" s="358"/>
      <c r="J124" s="358" t="s">
        <v>195</v>
      </c>
      <c r="K124" s="361"/>
      <c r="L124" s="359"/>
      <c r="M124" s="359"/>
      <c r="N124" s="358"/>
      <c r="O124" s="358"/>
      <c r="P124" s="358"/>
      <c r="Q124" s="358"/>
      <c r="R124" s="360"/>
      <c r="S124" s="358"/>
      <c r="T124" s="359" t="s">
        <v>163</v>
      </c>
    </row>
    <row r="125" ht="34.5">
      <c r="A125" s="359" t="s">
        <v>237</v>
      </c>
      <c r="B125" s="359" t="s">
        <v>238</v>
      </c>
      <c r="C125" s="359" t="s">
        <v>247</v>
      </c>
      <c r="D125" s="359" t="s">
        <v>158</v>
      </c>
      <c r="E125" s="359" t="s">
        <v>196</v>
      </c>
      <c r="F125" s="358" t="s">
        <v>197</v>
      </c>
      <c r="G125" s="359" t="s">
        <v>161</v>
      </c>
      <c r="H125" s="358"/>
      <c r="I125" s="358"/>
      <c r="J125" s="358" t="s">
        <v>249</v>
      </c>
      <c r="K125" s="361">
        <v>61077310</v>
      </c>
      <c r="L125" s="359" t="s">
        <v>165</v>
      </c>
      <c r="M125" s="359"/>
      <c r="N125" s="358"/>
      <c r="O125" s="358"/>
      <c r="P125" s="358"/>
      <c r="Q125" s="358"/>
      <c r="R125" s="360"/>
      <c r="S125" s="358"/>
      <c r="T125" s="359" t="s">
        <v>163</v>
      </c>
    </row>
    <row r="126" ht="34.5">
      <c r="A126" s="359" t="s">
        <v>237</v>
      </c>
      <c r="B126" s="359" t="s">
        <v>238</v>
      </c>
      <c r="C126" s="359" t="s">
        <v>247</v>
      </c>
      <c r="D126" s="359" t="s">
        <v>158</v>
      </c>
      <c r="E126" s="359" t="s">
        <v>196</v>
      </c>
      <c r="F126" s="358" t="s">
        <v>197</v>
      </c>
      <c r="G126" s="359" t="s">
        <v>161</v>
      </c>
      <c r="H126" s="358"/>
      <c r="I126" s="358"/>
      <c r="J126" s="358" t="s">
        <v>217</v>
      </c>
      <c r="K126" s="361"/>
      <c r="L126" s="359"/>
      <c r="M126" s="359"/>
      <c r="N126" s="358"/>
      <c r="O126" s="358"/>
      <c r="P126" s="358"/>
      <c r="Q126" s="358"/>
      <c r="R126" s="360"/>
      <c r="S126" s="358"/>
      <c r="T126" s="359" t="s">
        <v>163</v>
      </c>
    </row>
    <row r="127" ht="34.5">
      <c r="A127" s="359" t="s">
        <v>237</v>
      </c>
      <c r="B127" s="359" t="s">
        <v>238</v>
      </c>
      <c r="C127" s="359" t="s">
        <v>247</v>
      </c>
      <c r="D127" s="359" t="s">
        <v>158</v>
      </c>
      <c r="E127" s="359" t="s">
        <v>196</v>
      </c>
      <c r="F127" s="358" t="s">
        <v>197</v>
      </c>
      <c r="G127" s="359" t="s">
        <v>161</v>
      </c>
      <c r="H127" s="358"/>
      <c r="I127" s="358"/>
      <c r="J127" s="358" t="s">
        <v>250</v>
      </c>
      <c r="K127" s="361">
        <v>66274750</v>
      </c>
      <c r="L127" s="359" t="s">
        <v>165</v>
      </c>
      <c r="M127" s="359"/>
      <c r="N127" s="358"/>
      <c r="O127" s="358"/>
      <c r="P127" s="358"/>
      <c r="Q127" s="358"/>
      <c r="R127" s="360"/>
      <c r="S127" s="358"/>
      <c r="T127" s="359" t="s">
        <v>163</v>
      </c>
    </row>
    <row r="128" ht="34.5">
      <c r="A128" s="359" t="s">
        <v>237</v>
      </c>
      <c r="B128" s="359" t="s">
        <v>238</v>
      </c>
      <c r="C128" s="359" t="s">
        <v>247</v>
      </c>
      <c r="D128" s="359" t="s">
        <v>251</v>
      </c>
      <c r="E128" s="359" t="s">
        <v>196</v>
      </c>
      <c r="F128" s="358" t="s">
        <v>197</v>
      </c>
      <c r="G128" s="359" t="s">
        <v>161</v>
      </c>
      <c r="H128" s="358"/>
      <c r="I128" s="358"/>
      <c r="J128" s="358" t="s">
        <v>252</v>
      </c>
      <c r="K128" s="361"/>
      <c r="L128" s="359"/>
      <c r="M128" s="359"/>
      <c r="N128" s="358"/>
      <c r="O128" s="358"/>
      <c r="P128" s="358"/>
      <c r="Q128" s="358"/>
      <c r="R128" s="360"/>
      <c r="S128" s="358"/>
      <c r="T128" s="359" t="s">
        <v>163</v>
      </c>
    </row>
    <row r="129" ht="34.5">
      <c r="A129" s="359" t="s">
        <v>237</v>
      </c>
      <c r="B129" s="359" t="s">
        <v>238</v>
      </c>
      <c r="C129" s="359" t="s">
        <v>247</v>
      </c>
      <c r="D129" s="359" t="s">
        <v>158</v>
      </c>
      <c r="E129" s="359" t="s">
        <v>202</v>
      </c>
      <c r="F129" s="358" t="s">
        <v>203</v>
      </c>
      <c r="G129" s="359" t="s">
        <v>204</v>
      </c>
      <c r="H129" s="358"/>
      <c r="I129" s="358"/>
      <c r="J129" s="358" t="s">
        <v>253</v>
      </c>
      <c r="K129" s="361"/>
      <c r="L129" s="359"/>
      <c r="M129" s="359"/>
      <c r="N129" s="358"/>
      <c r="O129" s="358"/>
      <c r="P129" s="358"/>
      <c r="Q129" s="358"/>
      <c r="R129" s="360"/>
      <c r="S129" s="358"/>
      <c r="T129" s="359" t="s">
        <v>163</v>
      </c>
    </row>
    <row r="130" ht="34.5">
      <c r="A130" s="359" t="s">
        <v>237</v>
      </c>
      <c r="B130" s="359" t="s">
        <v>238</v>
      </c>
      <c r="C130" s="359" t="s">
        <v>254</v>
      </c>
      <c r="D130" s="359" t="s">
        <v>158</v>
      </c>
      <c r="E130" s="359" t="s">
        <v>202</v>
      </c>
      <c r="F130" s="358" t="s">
        <v>203</v>
      </c>
      <c r="G130" s="359" t="s">
        <v>204</v>
      </c>
      <c r="H130" s="358"/>
      <c r="I130" s="358"/>
      <c r="J130" s="358" t="s">
        <v>255</v>
      </c>
      <c r="K130" s="361"/>
      <c r="L130" s="359"/>
      <c r="M130" s="359"/>
      <c r="N130" s="358"/>
      <c r="O130" s="358"/>
      <c r="P130" s="358"/>
      <c r="Q130" s="358"/>
      <c r="R130" s="360"/>
      <c r="S130" s="358"/>
      <c r="T130" s="359" t="s">
        <v>163</v>
      </c>
    </row>
    <row r="131" ht="34.5">
      <c r="A131" s="359" t="s">
        <v>237</v>
      </c>
      <c r="B131" s="359" t="s">
        <v>238</v>
      </c>
      <c r="C131" s="359" t="s">
        <v>254</v>
      </c>
      <c r="D131" s="359" t="s">
        <v>158</v>
      </c>
      <c r="E131" s="359" t="s">
        <v>202</v>
      </c>
      <c r="F131" s="358" t="s">
        <v>203</v>
      </c>
      <c r="G131" s="359" t="s">
        <v>204</v>
      </c>
      <c r="H131" s="358"/>
      <c r="I131" s="358"/>
      <c r="J131" s="358" t="s">
        <v>133</v>
      </c>
      <c r="K131" s="361"/>
      <c r="L131" s="359"/>
      <c r="M131" s="359"/>
      <c r="N131" s="358"/>
      <c r="O131" s="358"/>
      <c r="P131" s="358"/>
      <c r="Q131" s="358"/>
      <c r="R131" s="360"/>
      <c r="S131" s="358"/>
      <c r="T131" s="359" t="s">
        <v>163</v>
      </c>
    </row>
    <row r="132" ht="34.5">
      <c r="A132" s="359" t="s">
        <v>237</v>
      </c>
      <c r="B132" s="359" t="s">
        <v>238</v>
      </c>
      <c r="C132" s="359" t="s">
        <v>254</v>
      </c>
      <c r="D132" s="359" t="s">
        <v>158</v>
      </c>
      <c r="E132" s="359" t="s">
        <v>202</v>
      </c>
      <c r="F132" s="358" t="s">
        <v>203</v>
      </c>
      <c r="G132" s="359" t="s">
        <v>204</v>
      </c>
      <c r="H132" s="358"/>
      <c r="I132" s="358"/>
      <c r="J132" s="358" t="s">
        <v>256</v>
      </c>
      <c r="K132" s="361"/>
      <c r="L132" s="359"/>
      <c r="M132" s="359"/>
      <c r="N132" s="358"/>
      <c r="O132" s="358"/>
      <c r="P132" s="358"/>
      <c r="Q132" s="358"/>
      <c r="R132" s="360"/>
      <c r="S132" s="358"/>
      <c r="T132" s="359" t="s">
        <v>163</v>
      </c>
    </row>
    <row r="133" ht="34.5"/>
  </sheetData>
  <autoFilter ref="A5:T132"/>
</worksheet>
</file>

<file path=xl/worksheets/sheet3.xml><?xml version="1.0" encoding="utf-8"?>
<worksheet xmlns="http://schemas.openxmlformats.org/spreadsheetml/2006/main" xmlns:r="http://schemas.openxmlformats.org/officeDocument/2006/relationships">
  <dimension ref="A1:Q68"/>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530" t="s">
        <v>0</v>
      </c>
      <c r="B1" s="487"/>
      <c r="C1" s="487"/>
      <c r="D1" s="487"/>
      <c r="E1" s="487"/>
      <c r="F1" s="487"/>
      <c r="G1" s="482"/>
      <c r="H1" s="489"/>
      <c r="I1" s="489"/>
      <c r="J1" s="489"/>
      <c r="K1" s="489"/>
      <c r="L1" s="475"/>
      <c r="M1" s="475"/>
      <c r="N1" s="477"/>
      <c r="O1" s="475"/>
      <c r="P1" s="475"/>
      <c r="Q1" s="477"/>
    </row>
    <row r="2">
      <c r="A2" s="476"/>
      <c r="B2" s="476"/>
      <c r="C2" s="476"/>
      <c r="D2" s="476"/>
      <c r="E2" s="476"/>
      <c r="F2" s="476"/>
      <c r="G2" s="485"/>
      <c r="H2" s="476"/>
      <c r="I2" s="476"/>
      <c r="J2" s="476"/>
      <c r="K2" s="476"/>
      <c r="L2" s="475"/>
      <c r="M2" s="475"/>
      <c r="N2" s="477"/>
      <c r="O2" s="475"/>
      <c r="P2" s="475"/>
      <c r="Q2" s="477"/>
    </row>
    <row r="3">
      <c r="A3" s="526" t="s">
        <v>257</v>
      </c>
      <c r="G3" s="485"/>
      <c r="L3" s="475"/>
      <c r="M3" s="475"/>
      <c r="N3" s="477"/>
      <c r="O3" s="475"/>
      <c r="P3" s="475"/>
      <c r="Q3" s="477"/>
    </row>
    <row r="4">
      <c r="A4" s="526" t="s">
        <v>258</v>
      </c>
      <c r="G4" s="485"/>
      <c r="L4" s="475"/>
      <c r="M4" s="475"/>
      <c r="N4" s="477"/>
      <c r="O4" s="475"/>
      <c r="P4" s="475"/>
      <c r="Q4" s="477"/>
    </row>
    <row r="5">
      <c r="A5" s="526" t="s">
        <v>259</v>
      </c>
      <c r="B5" s="478"/>
      <c r="C5" s="474">
        <v>1</v>
      </c>
      <c r="D5" s="478"/>
      <c r="E5" s="478"/>
      <c r="F5" s="478"/>
      <c r="G5" s="483"/>
      <c r="H5" s="478"/>
      <c r="I5" s="478"/>
      <c r="J5" s="478"/>
      <c r="K5" s="478"/>
      <c r="L5" s="475"/>
      <c r="M5" s="526" t="s">
        <v>260</v>
      </c>
      <c r="N5" s="477" t="s">
        <v>261</v>
      </c>
      <c r="O5" s="475"/>
      <c r="P5" s="475"/>
      <c r="Q5" s="477" t="s">
        <v>262</v>
      </c>
    </row>
    <row r="6">
      <c r="A6" s="526" t="s">
        <v>263</v>
      </c>
      <c r="B6" s="478"/>
      <c r="C6" s="509" t="str">
        <f>CHOOSE($C$5,"Base","Bull","Bear")</f>
        <v>Base</v>
      </c>
      <c r="D6" s="478"/>
      <c r="E6" s="478"/>
      <c r="F6" s="478"/>
      <c r="G6" s="483"/>
      <c r="H6" s="478"/>
      <c r="I6" s="478"/>
      <c r="J6" s="478"/>
      <c r="K6" s="478"/>
      <c r="L6" s="475"/>
      <c r="M6" s="526" t="s">
        <v>264</v>
      </c>
      <c r="N6" s="477" t="s">
        <v>261</v>
      </c>
      <c r="O6" s="475"/>
      <c r="P6" s="475"/>
      <c r="Q6" s="477" t="s">
        <v>265</v>
      </c>
    </row>
    <row r="7">
      <c r="A7" s="476"/>
      <c r="B7" s="476"/>
      <c r="C7" s="476"/>
      <c r="D7" s="476"/>
      <c r="E7" s="476"/>
      <c r="F7" s="476"/>
      <c r="G7" s="485"/>
      <c r="H7" s="476"/>
      <c r="I7" s="476"/>
      <c r="J7" s="476"/>
      <c r="K7" s="476"/>
      <c r="L7" s="475"/>
      <c r="M7" s="475"/>
      <c r="N7" s="477"/>
      <c r="O7" s="475"/>
      <c r="P7" s="475"/>
      <c r="Q7" s="477"/>
    </row>
    <row r="8">
      <c r="A8" s="530" t="s">
        <v>3</v>
      </c>
      <c r="B8" s="531" t="s">
        <v>4</v>
      </c>
      <c r="C8" s="531" t="s">
        <v>5</v>
      </c>
      <c r="D8" s="531" t="s">
        <v>6</v>
      </c>
      <c r="E8" s="531" t="s">
        <v>7</v>
      </c>
      <c r="F8" s="531" t="s">
        <v>8</v>
      </c>
      <c r="G8" s="533" t="s">
        <v>9</v>
      </c>
      <c r="H8" s="532" t="s">
        <v>10</v>
      </c>
      <c r="I8" s="532" t="s">
        <v>11</v>
      </c>
      <c r="J8" s="532" t="s">
        <v>12</v>
      </c>
      <c r="K8" s="532" t="s">
        <v>13</v>
      </c>
      <c r="L8" s="475"/>
      <c r="M8" s="520" t="s">
        <v>266</v>
      </c>
      <c r="N8" s="520" t="s">
        <v>267</v>
      </c>
      <c r="O8" s="475"/>
      <c r="P8" s="475"/>
      <c r="Q8" s="520" t="s">
        <v>268</v>
      </c>
    </row>
    <row r="9">
      <c r="A9" s="476"/>
      <c r="B9" s="476"/>
      <c r="C9" s="476"/>
      <c r="D9" s="476"/>
      <c r="E9" s="476"/>
      <c r="F9" s="476"/>
      <c r="G9" s="485"/>
      <c r="H9" s="476"/>
      <c r="I9" s="476"/>
      <c r="J9" s="476"/>
      <c r="K9" s="476"/>
      <c r="L9" s="475"/>
      <c r="M9" s="475"/>
      <c r="N9" s="477"/>
      <c r="O9" s="475"/>
      <c r="P9" s="475"/>
      <c r="Q9" s="477"/>
    </row>
    <row r="10">
      <c r="A10" s="530" t="s">
        <v>269</v>
      </c>
      <c r="B10" s="488"/>
      <c r="C10" s="488"/>
      <c r="D10" s="488"/>
      <c r="E10" s="488"/>
      <c r="F10" s="488"/>
      <c r="G10" s="484"/>
      <c r="H10" s="481"/>
      <c r="I10" s="481"/>
      <c r="J10" s="481"/>
      <c r="K10" s="481"/>
      <c r="L10" s="475"/>
      <c r="M10" s="475"/>
      <c r="N10" s="475"/>
      <c r="O10" s="475"/>
      <c r="P10" s="475"/>
      <c r="Q10" s="475"/>
    </row>
    <row r="11">
      <c r="A11" s="526" t="s">
        <v>270</v>
      </c>
      <c r="B11" s="480"/>
      <c r="C11" s="480"/>
      <c r="D11" s="480"/>
      <c r="E11" s="480"/>
      <c r="F11" s="480"/>
      <c r="G11" s="414">
        <f>CHOOSE($C$5,G13,G14,G12)</f>
        <v>0.007</v>
      </c>
      <c r="H11" s="480">
        <f>CHOOSE($C$5,H13,H14,H12)</f>
        <v>0.007</v>
      </c>
      <c r="I11" s="480">
        <f>CHOOSE($C$5,I13,I14,I12)</f>
        <v>0.007</v>
      </c>
      <c r="J11" s="480">
        <f>CHOOSE($C$5,J13,J14,J12)</f>
        <v>0.007</v>
      </c>
      <c r="K11" s="480">
        <f>CHOOSE($C$5,K13,K14,K12)</f>
        <v>0.007</v>
      </c>
      <c r="L11" s="475"/>
      <c r="M11" s="526" t="s">
        <v>271</v>
      </c>
      <c r="N11" s="477" t="s">
        <v>261</v>
      </c>
      <c r="O11" s="475"/>
      <c r="P11" s="475"/>
      <c r="Q11" s="477" t="s">
        <v>265</v>
      </c>
    </row>
    <row r="12">
      <c r="A12" s="526" t="s">
        <v>272</v>
      </c>
      <c r="B12" s="478"/>
      <c r="C12" s="478"/>
      <c r="D12" s="478"/>
      <c r="E12" s="478"/>
      <c r="F12" s="478"/>
      <c r="G12" s="479">
        <v>-0.013</v>
      </c>
      <c r="H12" s="474">
        <v>-0.013</v>
      </c>
      <c r="I12" s="474">
        <v>-0.013</v>
      </c>
      <c r="J12" s="474">
        <v>-0.013</v>
      </c>
      <c r="K12" s="474">
        <v>-0.013</v>
      </c>
      <c r="L12" s="475"/>
      <c r="M12" s="526" t="s">
        <v>264</v>
      </c>
      <c r="N12" s="477" t="s">
        <v>261</v>
      </c>
      <c r="O12" s="475"/>
      <c r="P12" s="475"/>
      <c r="Q12" s="477" t="s">
        <v>273</v>
      </c>
    </row>
    <row r="13">
      <c r="A13" s="526" t="s">
        <v>274</v>
      </c>
      <c r="B13" s="478"/>
      <c r="C13" s="478"/>
      <c r="D13" s="478"/>
      <c r="E13" s="478"/>
      <c r="F13" s="478"/>
      <c r="G13" s="479">
        <v>0.007</v>
      </c>
      <c r="H13" s="474">
        <v>0.007</v>
      </c>
      <c r="I13" s="474">
        <v>0.007</v>
      </c>
      <c r="J13" s="474">
        <v>0.007</v>
      </c>
      <c r="K13" s="474">
        <v>0.007</v>
      </c>
      <c r="L13" s="475"/>
      <c r="M13" s="526" t="s">
        <v>264</v>
      </c>
      <c r="N13" s="477" t="s">
        <v>261</v>
      </c>
      <c r="O13" s="475"/>
      <c r="P13" s="475"/>
      <c r="Q13" s="477" t="s">
        <v>273</v>
      </c>
    </row>
    <row r="14">
      <c r="A14" s="526" t="s">
        <v>275</v>
      </c>
      <c r="B14" s="478"/>
      <c r="C14" s="478"/>
      <c r="D14" s="478"/>
      <c r="E14" s="478"/>
      <c r="F14" s="478"/>
      <c r="G14" s="479">
        <v>0.027</v>
      </c>
      <c r="H14" s="474">
        <v>0.027</v>
      </c>
      <c r="I14" s="474">
        <v>0.027</v>
      </c>
      <c r="J14" s="474">
        <v>0.027</v>
      </c>
      <c r="K14" s="474">
        <v>0.027</v>
      </c>
      <c r="L14" s="475"/>
      <c r="M14" s="526" t="s">
        <v>264</v>
      </c>
      <c r="N14" s="477" t="s">
        <v>261</v>
      </c>
      <c r="O14" s="475"/>
      <c r="P14" s="475"/>
      <c r="Q14" s="477" t="s">
        <v>273</v>
      </c>
    </row>
    <row r="15">
      <c r="A15" s="526" t="s">
        <v>276</v>
      </c>
      <c r="B15" s="410">
        <v>173093792</v>
      </c>
      <c r="C15" s="410">
        <v>187726127</v>
      </c>
      <c r="D15" s="410">
        <v>187720897</v>
      </c>
      <c r="E15" s="410">
        <v>179519684</v>
      </c>
      <c r="F15" s="410">
        <v>180784387</v>
      </c>
      <c r="G15" s="516">
        <f>F15*(1+G11)</f>
        <v>182049877.709</v>
      </c>
      <c r="H15" s="509">
        <f>G15*(1+H11)</f>
        <v>183324226.85296297</v>
      </c>
      <c r="I15" s="509">
        <f>H15*(1+I11)</f>
        <v>184607496.4409337</v>
      </c>
      <c r="J15" s="509">
        <f>I15*(1+J11)</f>
        <v>185899748.9160202</v>
      </c>
      <c r="K15" s="509">
        <f>J15*(1+K11)</f>
        <v>187201047.15843233</v>
      </c>
      <c r="L15" s="475"/>
      <c r="M15" s="526" t="s">
        <v>264</v>
      </c>
      <c r="N15" s="477" t="s">
        <v>261</v>
      </c>
      <c r="O15" s="475"/>
      <c r="P15" s="475"/>
      <c r="Q15" s="477" t="s">
        <v>277</v>
      </c>
    </row>
    <row r="16">
      <c r="A16" s="526" t="s">
        <v>278</v>
      </c>
      <c r="B16" s="480"/>
      <c r="C16" s="480"/>
      <c r="D16" s="480"/>
      <c r="E16" s="480"/>
      <c r="F16" s="480"/>
      <c r="G16" s="414">
        <f>CHOOSE($C$5,G18,G19,G17)</f>
        <v>0.009</v>
      </c>
      <c r="H16" s="480">
        <f>CHOOSE($C$5,H18,H19,H17)</f>
        <v>0.009</v>
      </c>
      <c r="I16" s="480">
        <f>CHOOSE($C$5,I18,I19,I17)</f>
        <v>0.009</v>
      </c>
      <c r="J16" s="480">
        <f>CHOOSE($C$5,J18,J19,J17)</f>
        <v>0.009</v>
      </c>
      <c r="K16" s="480">
        <f>CHOOSE($C$5,K18,K19,K17)</f>
        <v>0.009</v>
      </c>
      <c r="L16" s="475"/>
      <c r="M16" s="526" t="s">
        <v>271</v>
      </c>
      <c r="N16" s="477" t="s">
        <v>261</v>
      </c>
      <c r="O16" s="475"/>
      <c r="P16" s="475"/>
      <c r="Q16" s="477" t="s">
        <v>265</v>
      </c>
    </row>
    <row r="17">
      <c r="A17" s="526" t="s">
        <v>272</v>
      </c>
      <c r="B17" s="478"/>
      <c r="C17" s="478"/>
      <c r="D17" s="478"/>
      <c r="E17" s="478"/>
      <c r="F17" s="478"/>
      <c r="G17" s="479">
        <v>-0.011</v>
      </c>
      <c r="H17" s="474">
        <v>-0.011</v>
      </c>
      <c r="I17" s="474">
        <v>-0.011</v>
      </c>
      <c r="J17" s="474">
        <v>-0.011</v>
      </c>
      <c r="K17" s="474">
        <v>-0.011</v>
      </c>
      <c r="L17" s="475"/>
      <c r="M17" s="526" t="s">
        <v>264</v>
      </c>
      <c r="N17" s="477" t="s">
        <v>261</v>
      </c>
      <c r="O17" s="475"/>
      <c r="P17" s="475"/>
      <c r="Q17" s="477" t="s">
        <v>273</v>
      </c>
    </row>
    <row r="18">
      <c r="A18" s="526" t="s">
        <v>274</v>
      </c>
      <c r="B18" s="478"/>
      <c r="C18" s="478"/>
      <c r="D18" s="478"/>
      <c r="E18" s="478"/>
      <c r="F18" s="478"/>
      <c r="G18" s="479">
        <v>0.009</v>
      </c>
      <c r="H18" s="474">
        <v>0.009</v>
      </c>
      <c r="I18" s="474">
        <v>0.009</v>
      </c>
      <c r="J18" s="474">
        <v>0.009</v>
      </c>
      <c r="K18" s="474">
        <v>0.009</v>
      </c>
      <c r="L18" s="475"/>
      <c r="M18" s="526" t="s">
        <v>264</v>
      </c>
      <c r="N18" s="477" t="s">
        <v>261</v>
      </c>
      <c r="O18" s="475"/>
      <c r="P18" s="475"/>
      <c r="Q18" s="477" t="s">
        <v>273</v>
      </c>
    </row>
    <row r="19">
      <c r="A19" s="526" t="s">
        <v>275</v>
      </c>
      <c r="B19" s="478"/>
      <c r="C19" s="478"/>
      <c r="D19" s="478"/>
      <c r="E19" s="478"/>
      <c r="F19" s="478"/>
      <c r="G19" s="479">
        <v>0.029</v>
      </c>
      <c r="H19" s="474">
        <v>0.029</v>
      </c>
      <c r="I19" s="474">
        <v>0.029</v>
      </c>
      <c r="J19" s="474">
        <v>0.029</v>
      </c>
      <c r="K19" s="474">
        <v>0.029</v>
      </c>
      <c r="L19" s="475"/>
      <c r="M19" s="526" t="s">
        <v>264</v>
      </c>
      <c r="N19" s="477" t="s">
        <v>261</v>
      </c>
      <c r="O19" s="475"/>
      <c r="P19" s="475"/>
      <c r="Q19" s="477" t="s">
        <v>273</v>
      </c>
    </row>
    <row r="20">
      <c r="A20" s="526" t="s">
        <v>279</v>
      </c>
      <c r="B20" s="410">
        <v>175999106</v>
      </c>
      <c r="C20" s="410">
        <v>167727756</v>
      </c>
      <c r="D20" s="410">
        <v>146014874</v>
      </c>
      <c r="E20" s="410">
        <v>143014423</v>
      </c>
      <c r="F20" s="410">
        <v>144232867</v>
      </c>
      <c r="G20" s="516">
        <f>F20*(1+G16)</f>
        <v>145530962.80299997</v>
      </c>
      <c r="H20" s="509">
        <f>G20*(1+H16)</f>
        <v>146840741.46822697</v>
      </c>
      <c r="I20" s="509">
        <f>H20*(1+I16)</f>
        <v>148162308.141441</v>
      </c>
      <c r="J20" s="509">
        <f>I20*(1+J16)</f>
        <v>149495768.91471395</v>
      </c>
      <c r="K20" s="509">
        <f>J20*(1+K16)</f>
        <v>150841230.83494636</v>
      </c>
      <c r="L20" s="475"/>
      <c r="M20" s="526" t="s">
        <v>264</v>
      </c>
      <c r="N20" s="477" t="s">
        <v>261</v>
      </c>
      <c r="O20" s="475"/>
      <c r="P20" s="475"/>
      <c r="Q20" s="477" t="s">
        <v>277</v>
      </c>
    </row>
    <row r="21">
      <c r="A21" s="526" t="s">
        <v>280</v>
      </c>
      <c r="B21" s="480"/>
      <c r="C21" s="480"/>
      <c r="D21" s="480"/>
      <c r="E21" s="480"/>
      <c r="F21" s="480"/>
      <c r="G21" s="414">
        <f>CHOOSE($C$5,G23,G24,G22)</f>
        <v>0.056</v>
      </c>
      <c r="H21" s="480">
        <f>CHOOSE($C$5,H23,H24,H22)</f>
        <v>0.056</v>
      </c>
      <c r="I21" s="480">
        <f>CHOOSE($C$5,I23,I24,I22)</f>
        <v>0.056</v>
      </c>
      <c r="J21" s="480">
        <f>CHOOSE($C$5,J23,J24,J22)</f>
        <v>0.056</v>
      </c>
      <c r="K21" s="480">
        <f>CHOOSE($C$5,K23,K24,K22)</f>
        <v>0.056</v>
      </c>
      <c r="L21" s="475"/>
      <c r="M21" s="526" t="s">
        <v>271</v>
      </c>
      <c r="N21" s="477" t="s">
        <v>261</v>
      </c>
      <c r="O21" s="475"/>
      <c r="P21" s="475"/>
      <c r="Q21" s="477" t="s">
        <v>265</v>
      </c>
    </row>
    <row r="22">
      <c r="A22" s="526" t="s">
        <v>272</v>
      </c>
      <c r="B22" s="478"/>
      <c r="C22" s="478"/>
      <c r="D22" s="478"/>
      <c r="E22" s="478"/>
      <c r="F22" s="478"/>
      <c r="G22" s="479">
        <v>0.036</v>
      </c>
      <c r="H22" s="474">
        <v>0.036</v>
      </c>
      <c r="I22" s="474">
        <v>0.036</v>
      </c>
      <c r="J22" s="474">
        <v>0.036</v>
      </c>
      <c r="K22" s="474">
        <v>0.036</v>
      </c>
      <c r="L22" s="475"/>
      <c r="M22" s="526" t="s">
        <v>264</v>
      </c>
      <c r="N22" s="477" t="s">
        <v>261</v>
      </c>
      <c r="O22" s="475"/>
      <c r="P22" s="475"/>
      <c r="Q22" s="477" t="s">
        <v>273</v>
      </c>
    </row>
    <row r="23">
      <c r="A23" s="526" t="s">
        <v>274</v>
      </c>
      <c r="B23" s="478"/>
      <c r="C23" s="478"/>
      <c r="D23" s="478"/>
      <c r="E23" s="478"/>
      <c r="F23" s="478"/>
      <c r="G23" s="479">
        <v>0.056</v>
      </c>
      <c r="H23" s="474">
        <v>0.056</v>
      </c>
      <c r="I23" s="474">
        <v>0.056</v>
      </c>
      <c r="J23" s="474">
        <v>0.056</v>
      </c>
      <c r="K23" s="474">
        <v>0.056</v>
      </c>
      <c r="L23" s="475"/>
      <c r="M23" s="526" t="s">
        <v>264</v>
      </c>
      <c r="N23" s="477" t="s">
        <v>261</v>
      </c>
      <c r="O23" s="475"/>
      <c r="P23" s="475"/>
      <c r="Q23" s="477" t="s">
        <v>273</v>
      </c>
    </row>
    <row r="24">
      <c r="A24" s="526" t="s">
        <v>275</v>
      </c>
      <c r="B24" s="478"/>
      <c r="C24" s="478"/>
      <c r="D24" s="478"/>
      <c r="E24" s="478"/>
      <c r="F24" s="478"/>
      <c r="G24" s="479">
        <v>0.076</v>
      </c>
      <c r="H24" s="474">
        <v>0.076</v>
      </c>
      <c r="I24" s="474">
        <v>0.076</v>
      </c>
      <c r="J24" s="474">
        <v>0.076</v>
      </c>
      <c r="K24" s="474">
        <v>0.076</v>
      </c>
      <c r="L24" s="475"/>
      <c r="M24" s="526" t="s">
        <v>264</v>
      </c>
      <c r="N24" s="477" t="s">
        <v>261</v>
      </c>
      <c r="O24" s="475"/>
      <c r="P24" s="475"/>
      <c r="Q24" s="477" t="s">
        <v>273</v>
      </c>
    </row>
    <row r="25">
      <c r="A25" s="526" t="s">
        <v>281</v>
      </c>
      <c r="B25" s="410">
        <v>61483016</v>
      </c>
      <c r="C25" s="410">
        <v>76982373</v>
      </c>
      <c r="D25" s="410">
        <v>76432292</v>
      </c>
      <c r="E25" s="410">
        <v>90672130</v>
      </c>
      <c r="F25" s="410">
        <v>95723653</v>
      </c>
      <c r="G25" s="516">
        <f>F25*(1+G21)</f>
        <v>101084177.568</v>
      </c>
      <c r="H25" s="509">
        <f>G25*(1+H21)</f>
        <v>106744891.51180801</v>
      </c>
      <c r="I25" s="509">
        <f>H25*(1+I21)</f>
        <v>112722605.43646926</v>
      </c>
      <c r="J25" s="509">
        <f>I25*(1+J21)</f>
        <v>119035071.34091154</v>
      </c>
      <c r="K25" s="509">
        <f>J25*(1+K21)</f>
        <v>125701035.33600259</v>
      </c>
      <c r="L25" s="475"/>
      <c r="M25" s="526" t="s">
        <v>264</v>
      </c>
      <c r="N25" s="477" t="s">
        <v>261</v>
      </c>
      <c r="O25" s="475"/>
      <c r="P25" s="475"/>
      <c r="Q25" s="477" t="s">
        <v>277</v>
      </c>
    </row>
    <row r="26">
      <c r="A26" s="526" t="s">
        <v>282</v>
      </c>
      <c r="B26" s="480"/>
      <c r="C26" s="480"/>
      <c r="D26" s="480"/>
      <c r="E26" s="480"/>
      <c r="F26" s="480"/>
      <c r="G26" s="414">
        <f>CHOOSE($C$5,G28,G29,G27)</f>
        <v>0.019</v>
      </c>
      <c r="H26" s="480">
        <f>CHOOSE($C$5,H28,H29,H27)</f>
        <v>0.019</v>
      </c>
      <c r="I26" s="480">
        <f>CHOOSE($C$5,I28,I29,I27)</f>
        <v>0.019</v>
      </c>
      <c r="J26" s="480">
        <f>CHOOSE($C$5,J28,J29,J27)</f>
        <v>0.019</v>
      </c>
      <c r="K26" s="480">
        <f>CHOOSE($C$5,K28,K29,K27)</f>
        <v>0.019</v>
      </c>
      <c r="L26" s="475"/>
      <c r="M26" s="526" t="s">
        <v>271</v>
      </c>
      <c r="N26" s="477" t="s">
        <v>261</v>
      </c>
      <c r="O26" s="475"/>
      <c r="P26" s="475"/>
      <c r="Q26" s="477" t="s">
        <v>265</v>
      </c>
    </row>
    <row r="27">
      <c r="A27" s="526" t="s">
        <v>272</v>
      </c>
      <c r="B27" s="478"/>
      <c r="C27" s="478"/>
      <c r="D27" s="478"/>
      <c r="E27" s="478"/>
      <c r="F27" s="478"/>
      <c r="G27" s="479">
        <v>-0.001</v>
      </c>
      <c r="H27" s="474">
        <v>-0.001</v>
      </c>
      <c r="I27" s="474">
        <v>-0.001</v>
      </c>
      <c r="J27" s="474">
        <v>-0.001</v>
      </c>
      <c r="K27" s="474">
        <v>-0.001</v>
      </c>
      <c r="L27" s="475"/>
      <c r="M27" s="526" t="s">
        <v>264</v>
      </c>
      <c r="N27" s="477" t="s">
        <v>261</v>
      </c>
      <c r="O27" s="475"/>
      <c r="P27" s="475"/>
      <c r="Q27" s="477" t="s">
        <v>273</v>
      </c>
    </row>
    <row r="28">
      <c r="A28" s="526" t="s">
        <v>274</v>
      </c>
      <c r="B28" s="478"/>
      <c r="C28" s="478"/>
      <c r="D28" s="478"/>
      <c r="E28" s="478"/>
      <c r="F28" s="478"/>
      <c r="G28" s="479">
        <v>0.019</v>
      </c>
      <c r="H28" s="474">
        <v>0.019</v>
      </c>
      <c r="I28" s="474">
        <v>0.019</v>
      </c>
      <c r="J28" s="474">
        <v>0.019</v>
      </c>
      <c r="K28" s="474">
        <v>0.019</v>
      </c>
      <c r="L28" s="475"/>
      <c r="M28" s="526" t="s">
        <v>264</v>
      </c>
      <c r="N28" s="477" t="s">
        <v>261</v>
      </c>
      <c r="O28" s="475"/>
      <c r="P28" s="475"/>
      <c r="Q28" s="477" t="s">
        <v>273</v>
      </c>
    </row>
    <row r="29">
      <c r="A29" s="526" t="s">
        <v>275</v>
      </c>
      <c r="B29" s="478"/>
      <c r="C29" s="478"/>
      <c r="D29" s="478"/>
      <c r="E29" s="478"/>
      <c r="F29" s="478"/>
      <c r="G29" s="479">
        <v>0.039</v>
      </c>
      <c r="H29" s="474">
        <v>0.039</v>
      </c>
      <c r="I29" s="474">
        <v>0.039</v>
      </c>
      <c r="J29" s="474">
        <v>0.039</v>
      </c>
      <c r="K29" s="474">
        <v>0.039</v>
      </c>
      <c r="L29" s="475"/>
      <c r="M29" s="526" t="s">
        <v>264</v>
      </c>
      <c r="N29" s="477" t="s">
        <v>261</v>
      </c>
      <c r="O29" s="475"/>
      <c r="P29" s="475"/>
      <c r="Q29" s="477" t="s">
        <v>273</v>
      </c>
    </row>
    <row r="30">
      <c r="A30" s="526" t="s">
        <v>283</v>
      </c>
      <c r="B30" s="410">
        <v>29184102</v>
      </c>
      <c r="C30" s="410">
        <v>36401877</v>
      </c>
      <c r="D30" s="410">
        <v>43117879</v>
      </c>
      <c r="E30" s="410">
        <v>50683919</v>
      </c>
      <c r="F30" s="410">
        <v>51627691</v>
      </c>
      <c r="G30" s="516">
        <f>F30*(1+G26)</f>
        <v>52608617.12899999</v>
      </c>
      <c r="H30" s="509">
        <f>G30*(1+H26)</f>
        <v>53608180.854450986</v>
      </c>
      <c r="I30" s="509">
        <f>H30*(1+I26)</f>
        <v>54626736.29068555</v>
      </c>
      <c r="J30" s="509">
        <f>I30*(1+J26)</f>
        <v>55664644.28020857</v>
      </c>
      <c r="K30" s="509">
        <f>J30*(1+K26)</f>
        <v>56722272.52153253</v>
      </c>
      <c r="L30" s="475"/>
      <c r="M30" s="526" t="s">
        <v>264</v>
      </c>
      <c r="N30" s="477" t="s">
        <v>261</v>
      </c>
      <c r="O30" s="475"/>
      <c r="P30" s="475"/>
      <c r="Q30" s="477" t="s">
        <v>277</v>
      </c>
    </row>
    <row r="31">
      <c r="A31" s="526" t="s">
        <v>284</v>
      </c>
      <c r="B31" s="480"/>
      <c r="C31" s="480"/>
      <c r="D31" s="480"/>
      <c r="E31" s="480"/>
      <c r="F31" s="480"/>
      <c r="G31" s="414">
        <f>CHOOSE($C$5,G33,G34,G32)</f>
        <v>-0.265</v>
      </c>
      <c r="H31" s="480">
        <f>CHOOSE($C$5,H33,H34,H32)</f>
        <v>-0.265</v>
      </c>
      <c r="I31" s="480">
        <f>CHOOSE($C$5,I33,I34,I32)</f>
        <v>-0.265</v>
      </c>
      <c r="J31" s="480">
        <f>CHOOSE($C$5,J33,J34,J32)</f>
        <v>-0.265</v>
      </c>
      <c r="K31" s="480">
        <f>CHOOSE($C$5,K33,K34,K32)</f>
        <v>-0.265</v>
      </c>
      <c r="L31" s="475"/>
      <c r="M31" s="526" t="s">
        <v>271</v>
      </c>
      <c r="N31" s="477" t="s">
        <v>261</v>
      </c>
      <c r="O31" s="475"/>
      <c r="P31" s="475"/>
      <c r="Q31" s="477" t="s">
        <v>265</v>
      </c>
    </row>
    <row r="32">
      <c r="A32" s="526" t="s">
        <v>272</v>
      </c>
      <c r="B32" s="478"/>
      <c r="C32" s="478"/>
      <c r="D32" s="478"/>
      <c r="E32" s="478"/>
      <c r="F32" s="478"/>
      <c r="G32" s="479">
        <v>-0.285</v>
      </c>
      <c r="H32" s="474">
        <v>-0.285</v>
      </c>
      <c r="I32" s="474">
        <v>-0.285</v>
      </c>
      <c r="J32" s="474">
        <v>-0.285</v>
      </c>
      <c r="K32" s="474">
        <v>-0.285</v>
      </c>
      <c r="L32" s="475"/>
      <c r="M32" s="526" t="s">
        <v>264</v>
      </c>
      <c r="N32" s="477" t="s">
        <v>261</v>
      </c>
      <c r="O32" s="475"/>
      <c r="P32" s="475"/>
      <c r="Q32" s="477" t="s">
        <v>273</v>
      </c>
    </row>
    <row r="33">
      <c r="A33" s="526" t="s">
        <v>274</v>
      </c>
      <c r="B33" s="478"/>
      <c r="C33" s="478"/>
      <c r="D33" s="478"/>
      <c r="E33" s="478"/>
      <c r="F33" s="478"/>
      <c r="G33" s="479">
        <v>-0.265</v>
      </c>
      <c r="H33" s="474">
        <v>-0.265</v>
      </c>
      <c r="I33" s="474">
        <v>-0.265</v>
      </c>
      <c r="J33" s="474">
        <v>-0.265</v>
      </c>
      <c r="K33" s="474">
        <v>-0.265</v>
      </c>
      <c r="L33" s="475"/>
      <c r="M33" s="526" t="s">
        <v>264</v>
      </c>
      <c r="N33" s="477" t="s">
        <v>261</v>
      </c>
      <c r="O33" s="475"/>
      <c r="P33" s="475"/>
      <c r="Q33" s="477" t="s">
        <v>273</v>
      </c>
    </row>
    <row r="34">
      <c r="A34" s="526" t="s">
        <v>275</v>
      </c>
      <c r="B34" s="478"/>
      <c r="C34" s="478"/>
      <c r="D34" s="478"/>
      <c r="E34" s="478"/>
      <c r="F34" s="478"/>
      <c r="G34" s="479">
        <v>-0.245</v>
      </c>
      <c r="H34" s="474">
        <v>-0.245</v>
      </c>
      <c r="I34" s="474">
        <v>-0.245</v>
      </c>
      <c r="J34" s="474">
        <v>-0.245</v>
      </c>
      <c r="K34" s="474">
        <v>-0.245</v>
      </c>
      <c r="L34" s="475"/>
      <c r="M34" s="526" t="s">
        <v>264</v>
      </c>
      <c r="N34" s="477" t="s">
        <v>261</v>
      </c>
      <c r="O34" s="475"/>
      <c r="P34" s="475"/>
      <c r="Q34" s="477" t="s">
        <v>273</v>
      </c>
    </row>
    <row r="35">
      <c r="A35" s="526" t="s">
        <v>285</v>
      </c>
      <c r="B35" s="410">
        <v>6269641</v>
      </c>
      <c r="C35" s="410">
        <v>6102917</v>
      </c>
      <c r="D35" s="410">
        <v>6708500</v>
      </c>
      <c r="E35" s="410">
        <v>7126152</v>
      </c>
      <c r="F35" s="410">
        <v>5238261</v>
      </c>
      <c r="G35" s="516">
        <f>F35*(1+G31)</f>
        <v>3850121.835</v>
      </c>
      <c r="H35" s="509">
        <f>G35*(1+H31)</f>
        <v>2829839.548725</v>
      </c>
      <c r="I35" s="509">
        <f>H35*(1+I31)</f>
        <v>2079932.068312875</v>
      </c>
      <c r="J35" s="509">
        <f>I35*(1+J31)</f>
        <v>1528750.070209963</v>
      </c>
      <c r="K35" s="509">
        <f>J35*(1+K31)</f>
        <v>1123631.3016043229</v>
      </c>
      <c r="L35" s="475"/>
      <c r="M35" s="526" t="s">
        <v>264</v>
      </c>
      <c r="N35" s="477" t="s">
        <v>261</v>
      </c>
      <c r="O35" s="475"/>
      <c r="P35" s="475"/>
      <c r="Q35" s="477" t="s">
        <v>277</v>
      </c>
    </row>
    <row r="36">
      <c r="A36" s="526" t="s">
        <v>286</v>
      </c>
      <c r="B36" s="410">
        <v>497251</v>
      </c>
      <c r="C36" s="410">
        <v>535327</v>
      </c>
      <c r="D36" s="410">
        <v>442319</v>
      </c>
      <c r="E36" s="410">
        <v>270457</v>
      </c>
      <c r="F36" s="410">
        <v>0</v>
      </c>
      <c r="G36" s="423">
        <v>0</v>
      </c>
      <c r="H36" s="410">
        <v>0</v>
      </c>
      <c r="I36" s="410">
        <v>0</v>
      </c>
      <c r="J36" s="410">
        <v>0</v>
      </c>
      <c r="K36" s="410">
        <v>0</v>
      </c>
      <c r="L36" s="475"/>
      <c r="M36" s="526" t="s">
        <v>264</v>
      </c>
      <c r="N36" s="477" t="s">
        <v>261</v>
      </c>
      <c r="O36" s="475"/>
      <c r="P36" s="475"/>
      <c r="Q36" s="477" t="s">
        <v>262</v>
      </c>
    </row>
    <row r="37">
      <c r="A37" s="502" t="s">
        <v>287</v>
      </c>
      <c r="B37" s="496">
        <f>B15+B20+B25+B30+B35+B36</f>
        <v>446526908</v>
      </c>
      <c r="C37" s="496">
        <f>C15+C20+C25+C30+C35+C36</f>
        <v>475476377</v>
      </c>
      <c r="D37" s="496">
        <f>D15+D20+D25+D30+D35+D36</f>
        <v>460436761</v>
      </c>
      <c r="E37" s="496">
        <f>E15+E20+E25+E30+E35+E36</f>
        <v>471286765</v>
      </c>
      <c r="F37" s="496">
        <f>F15+F20+F25+F30+F35+F36</f>
        <v>477606859</v>
      </c>
      <c r="G37" s="506">
        <f>G15+G20+G25+G30+G35+G36</f>
        <v>485123757.04399997</v>
      </c>
      <c r="H37" s="496">
        <f>H15+H20+H25+H30+H35+H36</f>
        <v>493347880.2361739</v>
      </c>
      <c r="I37" s="496">
        <f>I15+I20+I25+I30+I35+I36</f>
        <v>502199078.37784237</v>
      </c>
      <c r="J37" s="496">
        <f>J15+J20+J25+J30+J35+J36</f>
        <v>511623983.5220642</v>
      </c>
      <c r="K37" s="496">
        <f>K15+K20+K25+K30+K35+K36</f>
        <v>521589217.15251815</v>
      </c>
      <c r="L37" s="475"/>
      <c r="M37" s="526" t="s">
        <v>264</v>
      </c>
      <c r="N37" s="477" t="s">
        <v>261</v>
      </c>
      <c r="O37" s="475"/>
      <c r="P37" s="475"/>
      <c r="Q37" s="477" t="s">
        <v>288</v>
      </c>
    </row>
    <row r="38">
      <c r="A38" s="476"/>
      <c r="B38" s="476"/>
      <c r="C38" s="476"/>
      <c r="D38" s="476"/>
      <c r="E38" s="476"/>
      <c r="F38" s="476"/>
      <c r="G38" s="485"/>
      <c r="H38" s="476"/>
      <c r="I38" s="476"/>
      <c r="J38" s="476"/>
      <c r="K38" s="476"/>
      <c r="L38" s="475"/>
      <c r="M38" s="475"/>
      <c r="N38" s="477"/>
      <c r="O38" s="475"/>
      <c r="P38" s="475"/>
      <c r="Q38" s="477"/>
    </row>
    <row r="39">
      <c r="A39" s="530" t="s">
        <v>289</v>
      </c>
      <c r="B39" s="488"/>
      <c r="C39" s="488"/>
      <c r="D39" s="488"/>
      <c r="E39" s="488"/>
      <c r="F39" s="488"/>
      <c r="G39" s="484"/>
      <c r="H39" s="481"/>
      <c r="I39" s="481"/>
      <c r="J39" s="481"/>
      <c r="K39" s="481"/>
      <c r="L39" s="475"/>
      <c r="M39" s="475"/>
      <c r="N39" s="475"/>
      <c r="O39" s="475"/>
      <c r="P39" s="475"/>
      <c r="Q39" s="475"/>
    </row>
    <row r="40">
      <c r="A40" s="526" t="s">
        <v>290</v>
      </c>
      <c r="B40" s="478"/>
      <c r="C40" s="478"/>
      <c r="D40" s="478"/>
      <c r="E40" s="478"/>
      <c r="F40" s="478"/>
      <c r="G40" s="516">
        <f>CHOOSE($C$5,G42,G43,G41)</f>
        <v>-0.3865</v>
      </c>
      <c r="H40" s="509">
        <f>CHOOSE($C$5,H42,H43,H41)</f>
        <v>-0.3865</v>
      </c>
      <c r="I40" s="509">
        <f>CHOOSE($C$5,I42,I43,I41)</f>
        <v>-0.3865</v>
      </c>
      <c r="J40" s="509">
        <f>CHOOSE($C$5,J42,J43,J41)</f>
        <v>-0.3865</v>
      </c>
      <c r="K40" s="509">
        <f>CHOOSE($C$5,K42,K43,K41)</f>
        <v>-0.3865</v>
      </c>
      <c r="L40" s="475"/>
      <c r="M40" s="526" t="s">
        <v>264</v>
      </c>
      <c r="N40" s="477" t="s">
        <v>261</v>
      </c>
      <c r="O40" s="475"/>
      <c r="P40" s="475"/>
      <c r="Q40" s="477" t="s">
        <v>265</v>
      </c>
    </row>
    <row r="41">
      <c r="A41" s="526" t="s">
        <v>272</v>
      </c>
      <c r="B41" s="478"/>
      <c r="C41" s="478"/>
      <c r="D41" s="478"/>
      <c r="E41" s="478"/>
      <c r="F41" s="478"/>
      <c r="G41" s="479">
        <v>-0.3965</v>
      </c>
      <c r="H41" s="474">
        <v>-0.3965</v>
      </c>
      <c r="I41" s="474">
        <v>-0.3965</v>
      </c>
      <c r="J41" s="474">
        <v>-0.3965</v>
      </c>
      <c r="K41" s="474">
        <v>-0.3965</v>
      </c>
      <c r="L41" s="475"/>
      <c r="M41" s="526" t="s">
        <v>264</v>
      </c>
      <c r="N41" s="477" t="s">
        <v>261</v>
      </c>
      <c r="O41" s="475"/>
      <c r="P41" s="475"/>
      <c r="Q41" s="477" t="s">
        <v>273</v>
      </c>
    </row>
    <row r="42">
      <c r="A42" s="526" t="s">
        <v>274</v>
      </c>
      <c r="B42" s="478"/>
      <c r="C42" s="478"/>
      <c r="D42" s="478"/>
      <c r="E42" s="478"/>
      <c r="F42" s="478"/>
      <c r="G42" s="479">
        <v>-0.3865</v>
      </c>
      <c r="H42" s="474">
        <v>-0.3865</v>
      </c>
      <c r="I42" s="474">
        <v>-0.3865</v>
      </c>
      <c r="J42" s="474">
        <v>-0.3865</v>
      </c>
      <c r="K42" s="474">
        <v>-0.3865</v>
      </c>
      <c r="L42" s="475"/>
      <c r="M42" s="526" t="s">
        <v>264</v>
      </c>
      <c r="N42" s="477" t="s">
        <v>261</v>
      </c>
      <c r="O42" s="475"/>
      <c r="P42" s="475"/>
      <c r="Q42" s="477" t="s">
        <v>273</v>
      </c>
    </row>
    <row r="43">
      <c r="A43" s="526" t="s">
        <v>275</v>
      </c>
      <c r="B43" s="478"/>
      <c r="C43" s="478"/>
      <c r="D43" s="478"/>
      <c r="E43" s="478"/>
      <c r="F43" s="478"/>
      <c r="G43" s="479">
        <v>-0.3765</v>
      </c>
      <c r="H43" s="474">
        <v>-0.3765</v>
      </c>
      <c r="I43" s="474">
        <v>-0.3765</v>
      </c>
      <c r="J43" s="474">
        <v>-0.3765</v>
      </c>
      <c r="K43" s="474">
        <v>-0.3765</v>
      </c>
      <c r="L43" s="475"/>
      <c r="M43" s="526" t="s">
        <v>264</v>
      </c>
      <c r="N43" s="477" t="s">
        <v>261</v>
      </c>
      <c r="O43" s="475"/>
      <c r="P43" s="475"/>
      <c r="Q43" s="477" t="s">
        <v>273</v>
      </c>
    </row>
    <row r="44">
      <c r="A44" s="526" t="s">
        <v>291</v>
      </c>
      <c r="B44" s="478"/>
      <c r="C44" s="478"/>
      <c r="D44" s="478"/>
      <c r="E44" s="478"/>
      <c r="F44" s="478"/>
      <c r="G44" s="516">
        <f>CHOOSE($C$5,G46,G47,G45)</f>
        <v>-0.1635</v>
      </c>
      <c r="H44" s="509">
        <f>CHOOSE($C$5,H46,H47,H45)</f>
        <v>-0.1635</v>
      </c>
      <c r="I44" s="509">
        <f>CHOOSE($C$5,I46,I47,I45)</f>
        <v>-0.1635</v>
      </c>
      <c r="J44" s="509">
        <f>CHOOSE($C$5,J46,J47,J45)</f>
        <v>-0.1635</v>
      </c>
      <c r="K44" s="509">
        <f>CHOOSE($C$5,K46,K47,K45)</f>
        <v>-0.1635</v>
      </c>
      <c r="L44" s="475"/>
      <c r="M44" s="526" t="s">
        <v>264</v>
      </c>
      <c r="N44" s="477" t="s">
        <v>261</v>
      </c>
      <c r="O44" s="475"/>
      <c r="P44" s="475"/>
      <c r="Q44" s="477" t="s">
        <v>265</v>
      </c>
    </row>
    <row r="45">
      <c r="A45" s="526" t="s">
        <v>272</v>
      </c>
      <c r="B45" s="478"/>
      <c r="C45" s="478"/>
      <c r="D45" s="478"/>
      <c r="E45" s="478"/>
      <c r="F45" s="478"/>
      <c r="G45" s="479">
        <v>-0.1735</v>
      </c>
      <c r="H45" s="474">
        <v>-0.1735</v>
      </c>
      <c r="I45" s="474">
        <v>-0.1735</v>
      </c>
      <c r="J45" s="474">
        <v>-0.1735</v>
      </c>
      <c r="K45" s="474">
        <v>-0.1735</v>
      </c>
      <c r="L45" s="475"/>
      <c r="M45" s="526" t="s">
        <v>264</v>
      </c>
      <c r="N45" s="477" t="s">
        <v>261</v>
      </c>
      <c r="O45" s="475"/>
      <c r="P45" s="475"/>
      <c r="Q45" s="477" t="s">
        <v>273</v>
      </c>
    </row>
    <row r="46">
      <c r="A46" s="526" t="s">
        <v>274</v>
      </c>
      <c r="B46" s="478"/>
      <c r="C46" s="478"/>
      <c r="D46" s="478"/>
      <c r="E46" s="478"/>
      <c r="F46" s="478"/>
      <c r="G46" s="479">
        <v>-0.1635</v>
      </c>
      <c r="H46" s="474">
        <v>-0.1635</v>
      </c>
      <c r="I46" s="474">
        <v>-0.1635</v>
      </c>
      <c r="J46" s="474">
        <v>-0.1635</v>
      </c>
      <c r="K46" s="474">
        <v>-0.1635</v>
      </c>
      <c r="L46" s="475"/>
      <c r="M46" s="526" t="s">
        <v>264</v>
      </c>
      <c r="N46" s="477" t="s">
        <v>261</v>
      </c>
      <c r="O46" s="475"/>
      <c r="P46" s="475"/>
      <c r="Q46" s="477" t="s">
        <v>273</v>
      </c>
    </row>
    <row r="47">
      <c r="A47" s="526" t="s">
        <v>275</v>
      </c>
      <c r="B47" s="478"/>
      <c r="C47" s="478"/>
      <c r="D47" s="478"/>
      <c r="E47" s="478"/>
      <c r="F47" s="478"/>
      <c r="G47" s="479">
        <v>-0.1535</v>
      </c>
      <c r="H47" s="474">
        <v>-0.1535</v>
      </c>
      <c r="I47" s="474">
        <v>-0.1535</v>
      </c>
      <c r="J47" s="474">
        <v>-0.1535</v>
      </c>
      <c r="K47" s="474">
        <v>-0.1535</v>
      </c>
      <c r="L47" s="475"/>
      <c r="M47" s="526" t="s">
        <v>264</v>
      </c>
      <c r="N47" s="477" t="s">
        <v>261</v>
      </c>
      <c r="O47" s="475"/>
      <c r="P47" s="475"/>
      <c r="Q47" s="477" t="s">
        <v>273</v>
      </c>
    </row>
    <row r="48">
      <c r="A48" s="526" t="s">
        <v>292</v>
      </c>
      <c r="B48" s="478"/>
      <c r="C48" s="478"/>
      <c r="D48" s="478"/>
      <c r="E48" s="478"/>
      <c r="F48" s="478"/>
      <c r="G48" s="516">
        <f>CHOOSE($C$5,G50,G51,G49)</f>
        <v>-0.1937</v>
      </c>
      <c r="H48" s="509">
        <f>CHOOSE($C$5,H50,H51,H49)</f>
        <v>-0.1937</v>
      </c>
      <c r="I48" s="509">
        <f>CHOOSE($C$5,I50,I51,I49)</f>
        <v>-0.1937</v>
      </c>
      <c r="J48" s="509">
        <f>CHOOSE($C$5,J50,J51,J49)</f>
        <v>-0.1937</v>
      </c>
      <c r="K48" s="509">
        <f>CHOOSE($C$5,K50,K51,K49)</f>
        <v>-0.1937</v>
      </c>
      <c r="L48" s="475"/>
      <c r="M48" s="526" t="s">
        <v>264</v>
      </c>
      <c r="N48" s="477" t="s">
        <v>261</v>
      </c>
      <c r="O48" s="475"/>
      <c r="P48" s="475"/>
      <c r="Q48" s="477" t="s">
        <v>265</v>
      </c>
    </row>
    <row r="49">
      <c r="A49" s="526" t="s">
        <v>272</v>
      </c>
      <c r="B49" s="478"/>
      <c r="C49" s="478"/>
      <c r="D49" s="478"/>
      <c r="E49" s="478"/>
      <c r="F49" s="478"/>
      <c r="G49" s="479">
        <v>-0.2037</v>
      </c>
      <c r="H49" s="474">
        <v>-0.2037</v>
      </c>
      <c r="I49" s="474">
        <v>-0.2037</v>
      </c>
      <c r="J49" s="474">
        <v>-0.2037</v>
      </c>
      <c r="K49" s="474">
        <v>-0.2037</v>
      </c>
      <c r="L49" s="475"/>
      <c r="M49" s="526" t="s">
        <v>264</v>
      </c>
      <c r="N49" s="477" t="s">
        <v>261</v>
      </c>
      <c r="O49" s="475"/>
      <c r="P49" s="475"/>
      <c r="Q49" s="477" t="s">
        <v>273</v>
      </c>
    </row>
    <row r="50">
      <c r="A50" s="526" t="s">
        <v>274</v>
      </c>
      <c r="B50" s="478"/>
      <c r="C50" s="478"/>
      <c r="D50" s="478"/>
      <c r="E50" s="478"/>
      <c r="F50" s="478"/>
      <c r="G50" s="479">
        <v>-0.1937</v>
      </c>
      <c r="H50" s="474">
        <v>-0.1937</v>
      </c>
      <c r="I50" s="474">
        <v>-0.1937</v>
      </c>
      <c r="J50" s="474">
        <v>-0.1937</v>
      </c>
      <c r="K50" s="474">
        <v>-0.1937</v>
      </c>
      <c r="L50" s="475"/>
      <c r="M50" s="526" t="s">
        <v>264</v>
      </c>
      <c r="N50" s="477" t="s">
        <v>261</v>
      </c>
      <c r="O50" s="475"/>
      <c r="P50" s="475"/>
      <c r="Q50" s="477" t="s">
        <v>273</v>
      </c>
    </row>
    <row r="51">
      <c r="A51" s="526" t="s">
        <v>275</v>
      </c>
      <c r="B51" s="478"/>
      <c r="C51" s="478"/>
      <c r="D51" s="478"/>
      <c r="E51" s="478"/>
      <c r="F51" s="478"/>
      <c r="G51" s="479">
        <v>-0.1837</v>
      </c>
      <c r="H51" s="474">
        <v>-0.1837</v>
      </c>
      <c r="I51" s="474">
        <v>-0.1837</v>
      </c>
      <c r="J51" s="474">
        <v>-0.1837</v>
      </c>
      <c r="K51" s="474">
        <v>-0.1837</v>
      </c>
      <c r="L51" s="475"/>
      <c r="M51" s="526" t="s">
        <v>264</v>
      </c>
      <c r="N51" s="477" t="s">
        <v>261</v>
      </c>
      <c r="O51" s="475"/>
      <c r="P51" s="475"/>
      <c r="Q51" s="477" t="s">
        <v>273</v>
      </c>
    </row>
    <row r="52">
      <c r="A52" s="526" t="s">
        <v>293</v>
      </c>
      <c r="B52" s="478"/>
      <c r="C52" s="478"/>
      <c r="D52" s="478"/>
      <c r="E52" s="478"/>
      <c r="F52" s="478"/>
      <c r="G52" s="516">
        <f>CHOOSE($C$5,G54,G55,G53)</f>
        <v>-0.0334</v>
      </c>
      <c r="H52" s="509">
        <f>CHOOSE($C$5,H54,H55,H53)</f>
        <v>-0.0334</v>
      </c>
      <c r="I52" s="509">
        <f>CHOOSE($C$5,I54,I55,I53)</f>
        <v>-0.0334</v>
      </c>
      <c r="J52" s="509">
        <f>CHOOSE($C$5,J54,J55,J53)</f>
        <v>-0.0334</v>
      </c>
      <c r="K52" s="509">
        <f>CHOOSE($C$5,K54,K55,K53)</f>
        <v>-0.0334</v>
      </c>
      <c r="L52" s="475"/>
      <c r="M52" s="526" t="s">
        <v>264</v>
      </c>
      <c r="N52" s="477" t="s">
        <v>261</v>
      </c>
      <c r="O52" s="475"/>
      <c r="P52" s="475"/>
      <c r="Q52" s="477" t="s">
        <v>265</v>
      </c>
    </row>
    <row r="53">
      <c r="A53" s="526" t="s">
        <v>272</v>
      </c>
      <c r="B53" s="478"/>
      <c r="C53" s="478"/>
      <c r="D53" s="478"/>
      <c r="E53" s="478"/>
      <c r="F53" s="478"/>
      <c r="G53" s="479">
        <v>-0.0434</v>
      </c>
      <c r="H53" s="474">
        <v>-0.0434</v>
      </c>
      <c r="I53" s="474">
        <v>-0.0434</v>
      </c>
      <c r="J53" s="474">
        <v>-0.0434</v>
      </c>
      <c r="K53" s="474">
        <v>-0.0434</v>
      </c>
      <c r="L53" s="475"/>
      <c r="M53" s="526" t="s">
        <v>264</v>
      </c>
      <c r="N53" s="477" t="s">
        <v>261</v>
      </c>
      <c r="O53" s="475"/>
      <c r="P53" s="475"/>
      <c r="Q53" s="477" t="s">
        <v>273</v>
      </c>
    </row>
    <row r="54">
      <c r="A54" s="526" t="s">
        <v>274</v>
      </c>
      <c r="B54" s="478"/>
      <c r="C54" s="478"/>
      <c r="D54" s="478"/>
      <c r="E54" s="478"/>
      <c r="F54" s="478"/>
      <c r="G54" s="479">
        <v>-0.0334</v>
      </c>
      <c r="H54" s="474">
        <v>-0.0334</v>
      </c>
      <c r="I54" s="474">
        <v>-0.0334</v>
      </c>
      <c r="J54" s="474">
        <v>-0.0334</v>
      </c>
      <c r="K54" s="474">
        <v>-0.0334</v>
      </c>
      <c r="L54" s="475"/>
      <c r="M54" s="526" t="s">
        <v>264</v>
      </c>
      <c r="N54" s="477" t="s">
        <v>261</v>
      </c>
      <c r="O54" s="475"/>
      <c r="P54" s="475"/>
      <c r="Q54" s="477" t="s">
        <v>273</v>
      </c>
    </row>
    <row r="55">
      <c r="A55" s="526" t="s">
        <v>275</v>
      </c>
      <c r="B55" s="478"/>
      <c r="C55" s="478"/>
      <c r="D55" s="478"/>
      <c r="E55" s="478"/>
      <c r="F55" s="478"/>
      <c r="G55" s="479">
        <v>-0.0234</v>
      </c>
      <c r="H55" s="474">
        <v>-0.0234</v>
      </c>
      <c r="I55" s="474">
        <v>-0.0234</v>
      </c>
      <c r="J55" s="474">
        <v>-0.0234</v>
      </c>
      <c r="K55" s="474">
        <v>-0.0234</v>
      </c>
      <c r="L55" s="475"/>
      <c r="M55" s="526" t="s">
        <v>264</v>
      </c>
      <c r="N55" s="477" t="s">
        <v>261</v>
      </c>
      <c r="O55" s="475"/>
      <c r="P55" s="475"/>
      <c r="Q55" s="477" t="s">
        <v>273</v>
      </c>
    </row>
    <row r="56">
      <c r="A56" s="526" t="s">
        <v>294</v>
      </c>
      <c r="B56" s="478"/>
      <c r="C56" s="478"/>
      <c r="D56" s="478"/>
      <c r="E56" s="478"/>
      <c r="F56" s="478"/>
      <c r="G56" s="516">
        <f>CHOOSE($C$5,G58,G59,G57)</f>
        <v>-0.0117</v>
      </c>
      <c r="H56" s="509">
        <f>CHOOSE($C$5,H58,H59,H57)</f>
        <v>-0.0117</v>
      </c>
      <c r="I56" s="509">
        <f>CHOOSE($C$5,I58,I59,I57)</f>
        <v>-0.0117</v>
      </c>
      <c r="J56" s="509">
        <f>CHOOSE($C$5,J58,J59,J57)</f>
        <v>-0.0117</v>
      </c>
      <c r="K56" s="509">
        <f>CHOOSE($C$5,K58,K59,K57)</f>
        <v>-0.0117</v>
      </c>
      <c r="L56" s="475"/>
      <c r="M56" s="526" t="s">
        <v>264</v>
      </c>
      <c r="N56" s="477" t="s">
        <v>261</v>
      </c>
      <c r="O56" s="475"/>
      <c r="P56" s="475"/>
      <c r="Q56" s="477" t="s">
        <v>265</v>
      </c>
    </row>
    <row r="57">
      <c r="A57" s="526" t="s">
        <v>272</v>
      </c>
      <c r="B57" s="478"/>
      <c r="C57" s="478"/>
      <c r="D57" s="478"/>
      <c r="E57" s="478"/>
      <c r="F57" s="478"/>
      <c r="G57" s="479">
        <v>-0.0217</v>
      </c>
      <c r="H57" s="474">
        <v>-0.0217</v>
      </c>
      <c r="I57" s="474">
        <v>-0.0217</v>
      </c>
      <c r="J57" s="474">
        <v>-0.0217</v>
      </c>
      <c r="K57" s="474">
        <v>-0.0217</v>
      </c>
      <c r="L57" s="475"/>
      <c r="M57" s="526" t="s">
        <v>264</v>
      </c>
      <c r="N57" s="477" t="s">
        <v>261</v>
      </c>
      <c r="O57" s="475"/>
      <c r="P57" s="475"/>
      <c r="Q57" s="477" t="s">
        <v>273</v>
      </c>
    </row>
    <row r="58">
      <c r="A58" s="526" t="s">
        <v>274</v>
      </c>
      <c r="B58" s="478"/>
      <c r="C58" s="478"/>
      <c r="D58" s="478"/>
      <c r="E58" s="478"/>
      <c r="F58" s="478"/>
      <c r="G58" s="479">
        <v>-0.0117</v>
      </c>
      <c r="H58" s="474">
        <v>-0.0117</v>
      </c>
      <c r="I58" s="474">
        <v>-0.0117</v>
      </c>
      <c r="J58" s="474">
        <v>-0.0117</v>
      </c>
      <c r="K58" s="474">
        <v>-0.0117</v>
      </c>
      <c r="L58" s="475"/>
      <c r="M58" s="526" t="s">
        <v>264</v>
      </c>
      <c r="N58" s="477" t="s">
        <v>261</v>
      </c>
      <c r="O58" s="475"/>
      <c r="P58" s="475"/>
      <c r="Q58" s="477" t="s">
        <v>273</v>
      </c>
    </row>
    <row r="59">
      <c r="A59" s="526" t="s">
        <v>275</v>
      </c>
      <c r="B59" s="478"/>
      <c r="C59" s="478"/>
      <c r="D59" s="478"/>
      <c r="E59" s="478"/>
      <c r="F59" s="478"/>
      <c r="G59" s="479">
        <v>-0.0017</v>
      </c>
      <c r="H59" s="474">
        <v>-0.0017</v>
      </c>
      <c r="I59" s="474">
        <v>-0.0017</v>
      </c>
      <c r="J59" s="474">
        <v>-0.0017</v>
      </c>
      <c r="K59" s="474">
        <v>-0.0017</v>
      </c>
      <c r="L59" s="475"/>
      <c r="M59" s="526" t="s">
        <v>264</v>
      </c>
      <c r="N59" s="477" t="s">
        <v>261</v>
      </c>
      <c r="O59" s="475"/>
      <c r="P59" s="475"/>
      <c r="Q59" s="477" t="s">
        <v>273</v>
      </c>
    </row>
    <row r="60">
      <c r="A60" s="526" t="s">
        <v>295</v>
      </c>
      <c r="B60" s="478"/>
      <c r="C60" s="478"/>
      <c r="D60" s="478"/>
      <c r="E60" s="478"/>
      <c r="F60" s="478"/>
      <c r="G60" s="516">
        <f>CHOOSE($C$5,G62,G63,G61)</f>
        <v>-0.1688</v>
      </c>
      <c r="H60" s="509">
        <f>CHOOSE($C$5,H62,H63,H61)</f>
        <v>-0.1688</v>
      </c>
      <c r="I60" s="509">
        <f>CHOOSE($C$5,I62,I63,I61)</f>
        <v>-0.1688</v>
      </c>
      <c r="J60" s="509">
        <f>CHOOSE($C$5,J62,J63,J61)</f>
        <v>-0.1688</v>
      </c>
      <c r="K60" s="509">
        <f>CHOOSE($C$5,K62,K63,K61)</f>
        <v>-0.1688</v>
      </c>
      <c r="L60" s="475"/>
      <c r="M60" s="526" t="s">
        <v>264</v>
      </c>
      <c r="N60" s="477" t="s">
        <v>261</v>
      </c>
      <c r="O60" s="475"/>
      <c r="P60" s="475"/>
      <c r="Q60" s="477" t="s">
        <v>265</v>
      </c>
    </row>
    <row r="61">
      <c r="A61" s="526" t="s">
        <v>272</v>
      </c>
      <c r="B61" s="478"/>
      <c r="C61" s="478"/>
      <c r="D61" s="478"/>
      <c r="E61" s="478"/>
      <c r="F61" s="478"/>
      <c r="G61" s="479">
        <v>-0.1788</v>
      </c>
      <c r="H61" s="474">
        <v>-0.1788</v>
      </c>
      <c r="I61" s="474">
        <v>-0.1788</v>
      </c>
      <c r="J61" s="474">
        <v>-0.1788</v>
      </c>
      <c r="K61" s="474">
        <v>-0.1788</v>
      </c>
      <c r="L61" s="475"/>
      <c r="M61" s="526" t="s">
        <v>264</v>
      </c>
      <c r="N61" s="477" t="s">
        <v>261</v>
      </c>
      <c r="O61" s="475"/>
      <c r="P61" s="475"/>
      <c r="Q61" s="477" t="s">
        <v>273</v>
      </c>
    </row>
    <row r="62">
      <c r="A62" s="526" t="s">
        <v>274</v>
      </c>
      <c r="B62" s="478"/>
      <c r="C62" s="478"/>
      <c r="D62" s="478"/>
      <c r="E62" s="478"/>
      <c r="F62" s="478"/>
      <c r="G62" s="479">
        <v>-0.1688</v>
      </c>
      <c r="H62" s="474">
        <v>-0.1688</v>
      </c>
      <c r="I62" s="474">
        <v>-0.1688</v>
      </c>
      <c r="J62" s="474">
        <v>-0.1688</v>
      </c>
      <c r="K62" s="474">
        <v>-0.1688</v>
      </c>
      <c r="L62" s="475"/>
      <c r="M62" s="526" t="s">
        <v>264</v>
      </c>
      <c r="N62" s="477" t="s">
        <v>261</v>
      </c>
      <c r="O62" s="475"/>
      <c r="P62" s="475"/>
      <c r="Q62" s="477" t="s">
        <v>273</v>
      </c>
    </row>
    <row r="63">
      <c r="A63" s="526" t="s">
        <v>275</v>
      </c>
      <c r="B63" s="478"/>
      <c r="C63" s="478"/>
      <c r="D63" s="478"/>
      <c r="E63" s="478"/>
      <c r="F63" s="478"/>
      <c r="G63" s="479">
        <v>-0.1588</v>
      </c>
      <c r="H63" s="474">
        <v>-0.1588</v>
      </c>
      <c r="I63" s="474">
        <v>-0.1588</v>
      </c>
      <c r="J63" s="474">
        <v>-0.1588</v>
      </c>
      <c r="K63" s="474">
        <v>-0.1588</v>
      </c>
      <c r="L63" s="475"/>
      <c r="M63" s="526" t="s">
        <v>264</v>
      </c>
      <c r="N63" s="477" t="s">
        <v>261</v>
      </c>
      <c r="O63" s="475"/>
      <c r="P63" s="475"/>
      <c r="Q63" s="477" t="s">
        <v>273</v>
      </c>
    </row>
    <row r="64">
      <c r="A64" s="526" t="s">
        <v>296</v>
      </c>
      <c r="B64" s="480"/>
      <c r="C64" s="480"/>
      <c r="D64" s="480"/>
      <c r="E64" s="480"/>
      <c r="F64" s="480"/>
      <c r="G64" s="414">
        <f>CHOOSE($C$5,G66,G67,G65)</f>
        <v>-0.2438</v>
      </c>
      <c r="H64" s="480">
        <f>CHOOSE($C$5,H66,H67,H65)</f>
        <v>-0.2438</v>
      </c>
      <c r="I64" s="480">
        <f>CHOOSE($C$5,I66,I67,I65)</f>
        <v>-0.2438</v>
      </c>
      <c r="J64" s="480">
        <f>CHOOSE($C$5,J66,J67,J65)</f>
        <v>-0.2438</v>
      </c>
      <c r="K64" s="480">
        <f>CHOOSE($C$5,K66,K67,K65)</f>
        <v>-0.2438</v>
      </c>
      <c r="L64" s="475"/>
      <c r="M64" s="526" t="s">
        <v>271</v>
      </c>
      <c r="N64" s="477" t="s">
        <v>261</v>
      </c>
      <c r="O64" s="475"/>
      <c r="P64" s="475"/>
      <c r="Q64" s="477" t="s">
        <v>265</v>
      </c>
    </row>
    <row r="65">
      <c r="A65" s="526" t="s">
        <v>272</v>
      </c>
      <c r="B65" s="478"/>
      <c r="C65" s="478"/>
      <c r="D65" s="478"/>
      <c r="E65" s="478"/>
      <c r="F65" s="478"/>
      <c r="G65" s="479">
        <v>-0.2538</v>
      </c>
      <c r="H65" s="474">
        <v>-0.2538</v>
      </c>
      <c r="I65" s="474">
        <v>-0.2538</v>
      </c>
      <c r="J65" s="474">
        <v>-0.2538</v>
      </c>
      <c r="K65" s="474">
        <v>-0.2538</v>
      </c>
      <c r="L65" s="475"/>
      <c r="M65" s="526" t="s">
        <v>264</v>
      </c>
      <c r="N65" s="477" t="s">
        <v>261</v>
      </c>
      <c r="O65" s="475"/>
      <c r="P65" s="475"/>
      <c r="Q65" s="477" t="s">
        <v>273</v>
      </c>
    </row>
    <row r="66">
      <c r="A66" s="526" t="s">
        <v>274</v>
      </c>
      <c r="B66" s="478"/>
      <c r="C66" s="478"/>
      <c r="D66" s="478"/>
      <c r="E66" s="478"/>
      <c r="F66" s="478"/>
      <c r="G66" s="479">
        <v>-0.2438</v>
      </c>
      <c r="H66" s="474">
        <v>-0.2438</v>
      </c>
      <c r="I66" s="474">
        <v>-0.2438</v>
      </c>
      <c r="J66" s="474">
        <v>-0.2438</v>
      </c>
      <c r="K66" s="474">
        <v>-0.2438</v>
      </c>
      <c r="L66" s="475"/>
      <c r="M66" s="526" t="s">
        <v>264</v>
      </c>
      <c r="N66" s="477" t="s">
        <v>261</v>
      </c>
      <c r="O66" s="475"/>
      <c r="P66" s="475"/>
      <c r="Q66" s="477" t="s">
        <v>273</v>
      </c>
    </row>
    <row r="67">
      <c r="A67" s="526" t="s">
        <v>275</v>
      </c>
      <c r="B67" s="478"/>
      <c r="C67" s="478"/>
      <c r="D67" s="478"/>
      <c r="E67" s="478"/>
      <c r="F67" s="478"/>
      <c r="G67" s="479">
        <v>-0.2338</v>
      </c>
      <c r="H67" s="474">
        <v>-0.2338</v>
      </c>
      <c r="I67" s="474">
        <v>-0.2338</v>
      </c>
      <c r="J67" s="474">
        <v>-0.2338</v>
      </c>
      <c r="K67" s="474">
        <v>-0.2338</v>
      </c>
      <c r="L67" s="475"/>
      <c r="M67" s="526" t="s">
        <v>264</v>
      </c>
      <c r="N67" s="477" t="s">
        <v>261</v>
      </c>
      <c r="O67" s="475"/>
      <c r="P67" s="475"/>
      <c r="Q67" s="477" t="s">
        <v>273</v>
      </c>
    </row>
    <row r="68">
      <c r="A68" s="413"/>
      <c r="B68" s="413"/>
      <c r="C68" s="413"/>
      <c r="D68" s="413"/>
      <c r="E68" s="413"/>
      <c r="F68" s="413"/>
      <c r="G68" s="416"/>
      <c r="H68" s="413"/>
      <c r="I68" s="413"/>
      <c r="J68" s="413"/>
      <c r="K68" s="413"/>
    </row>
  </sheetData>
</worksheet>
</file>

<file path=xl/worksheets/sheet4.xml><?xml version="1.0" encoding="utf-8"?>
<worksheet xmlns="http://schemas.openxmlformats.org/spreadsheetml/2006/main" xmlns:r="http://schemas.openxmlformats.org/officeDocument/2006/relationships">
  <dimension ref="A1:K144"/>
  <sheetViews>
    <sheetView showGridLines="0" workbookViewId="0"/>
  </sheetViews>
  <sheetFormatPr defaultColWidth="8.375" defaultRowHeight="15"/>
  <cols>
    <col min="1" max="1" width="43.125" customWidth="1"/>
    <col min="2" max="11" width="15.625" customWidth="1"/>
  </cols>
  <sheetData>
    <row r="1">
      <c r="A1" s="530" t="s">
        <v>0</v>
      </c>
      <c r="B1" s="500"/>
      <c r="C1" s="500"/>
      <c r="D1" s="500"/>
      <c r="E1" s="500"/>
      <c r="F1" s="500"/>
      <c r="G1" s="504"/>
      <c r="H1" s="499"/>
      <c r="I1" s="499"/>
      <c r="J1" s="499"/>
      <c r="K1" s="499"/>
    </row>
    <row r="2">
      <c r="A2" s="526" t="s">
        <v>1</v>
      </c>
      <c r="G2" s="507"/>
    </row>
    <row r="3">
      <c r="A3" s="526" t="s">
        <v>2</v>
      </c>
      <c r="G3" s="507"/>
    </row>
    <row r="4">
      <c r="A4" s="497"/>
      <c r="B4" s="497"/>
      <c r="C4" s="497"/>
      <c r="D4" s="497"/>
      <c r="E4" s="497"/>
      <c r="F4" s="497"/>
      <c r="G4" s="507"/>
      <c r="H4" s="497"/>
      <c r="I4" s="497"/>
      <c r="J4" s="497"/>
      <c r="K4" s="497"/>
    </row>
    <row r="5">
      <c r="A5" s="530" t="s">
        <v>3</v>
      </c>
      <c r="B5" s="531" t="s">
        <v>4</v>
      </c>
      <c r="C5" s="531" t="s">
        <v>5</v>
      </c>
      <c r="D5" s="531" t="s">
        <v>6</v>
      </c>
      <c r="E5" s="531" t="s">
        <v>7</v>
      </c>
      <c r="F5" s="531" t="s">
        <v>8</v>
      </c>
      <c r="G5" s="533" t="s">
        <v>9</v>
      </c>
      <c r="H5" s="532" t="s">
        <v>10</v>
      </c>
      <c r="I5" s="532" t="s">
        <v>11</v>
      </c>
      <c r="J5" s="532" t="s">
        <v>12</v>
      </c>
      <c r="K5" s="532" t="s">
        <v>13</v>
      </c>
    </row>
    <row r="6">
      <c r="A6" s="530" t="s">
        <v>14</v>
      </c>
      <c r="B6" s="501"/>
      <c r="C6" s="501"/>
      <c r="D6" s="501"/>
      <c r="E6" s="501"/>
      <c r="F6" s="501"/>
      <c r="G6" s="503"/>
      <c r="H6" s="494"/>
      <c r="I6" s="494"/>
      <c r="J6" s="494"/>
      <c r="K6" s="494"/>
    </row>
    <row r="7">
      <c r="A7" s="526" t="s">
        <v>15</v>
      </c>
      <c r="B7" s="511">
        <f>EEFF!B7</f>
        <v>446526908</v>
      </c>
      <c r="C7" s="511">
        <f>EEFF!C7</f>
        <v>475476377</v>
      </c>
      <c r="D7" s="511">
        <f>EEFF!D7</f>
        <v>460436761</v>
      </c>
      <c r="E7" s="511">
        <f>EEFF!E7</f>
        <v>471286765</v>
      </c>
      <c r="F7" s="511">
        <f>EEFF!F7</f>
        <v>477606859</v>
      </c>
      <c r="G7" s="515">
        <f>Supuestos!G37</f>
        <v>485123757.04399997</v>
      </c>
      <c r="H7" s="511">
        <f>Supuestos!H37</f>
        <v>493347880.2361739</v>
      </c>
      <c r="I7" s="511">
        <f>Supuestos!I37</f>
        <v>502199078.37784237</v>
      </c>
      <c r="J7" s="511">
        <f>Supuestos!J37</f>
        <v>511623983.5220642</v>
      </c>
      <c r="K7" s="511">
        <f>Supuestos!K37</f>
        <v>521589217.15251815</v>
      </c>
    </row>
    <row r="8">
      <c r="A8" s="526" t="s">
        <v>16</v>
      </c>
      <c r="B8" s="511">
        <f>EEFF!B8</f>
        <v>4324870</v>
      </c>
      <c r="C8" s="511">
        <f>EEFF!C8</f>
        <v>3967649</v>
      </c>
      <c r="D8" s="511">
        <f>EEFF!D8</f>
        <v>10430308</v>
      </c>
      <c r="E8" s="511">
        <f>EEFF!E8</f>
        <v>3049990</v>
      </c>
      <c r="F8" s="511">
        <f>EEFF!F8</f>
        <v>3273534</v>
      </c>
      <c r="G8" s="516">
        <f>F8</f>
        <v>3273534</v>
      </c>
      <c r="H8" s="509">
        <f>G8</f>
        <v>3273534</v>
      </c>
      <c r="I8" s="509">
        <f>H8</f>
        <v>3273534</v>
      </c>
      <c r="J8" s="509">
        <f>I8</f>
        <v>3273534</v>
      </c>
      <c r="K8" s="509">
        <f>J8</f>
        <v>3273534</v>
      </c>
    </row>
    <row r="9">
      <c r="A9" s="526" t="s">
        <v>17</v>
      </c>
      <c r="B9" s="511">
        <f>EEFF!B9</f>
        <v>-151521675</v>
      </c>
      <c r="C9" s="511">
        <f>EEFF!C9</f>
        <v>-187725448</v>
      </c>
      <c r="D9" s="511">
        <f>EEFF!D9</f>
        <v>-172601924</v>
      </c>
      <c r="E9" s="511">
        <f>EEFF!E9</f>
        <v>-172621803</v>
      </c>
      <c r="F9" s="511">
        <f>EEFF!F9</f>
        <v>-184583589</v>
      </c>
      <c r="G9" s="515">
        <f>G7*Supuestos!G40</f>
        <v>-187500332.097506</v>
      </c>
      <c r="H9" s="511">
        <f>H7*Supuestos!H40</f>
        <v>-190678955.71128124</v>
      </c>
      <c r="I9" s="511">
        <f>I7*Supuestos!I40</f>
        <v>-194099943.79303607</v>
      </c>
      <c r="J9" s="511">
        <f>J7*Supuestos!J40</f>
        <v>-197742669.63127783</v>
      </c>
      <c r="K9" s="511">
        <f>K7*Supuestos!K40</f>
        <v>-201594232.42944828</v>
      </c>
    </row>
    <row r="10">
      <c r="A10" s="526" t="s">
        <v>18</v>
      </c>
      <c r="B10" s="511">
        <f>EEFF!B10</f>
        <v>-101910296</v>
      </c>
      <c r="C10" s="511">
        <f>EEFF!C10</f>
        <v>-91798432</v>
      </c>
      <c r="D10" s="511">
        <f>EEFF!D10</f>
        <v>-85551297</v>
      </c>
      <c r="E10" s="511">
        <f>EEFF!E10</f>
        <v>-86117863</v>
      </c>
      <c r="F10" s="511">
        <f>EEFF!F10</f>
        <v>-78107263</v>
      </c>
      <c r="G10" s="515">
        <f>G7*Supuestos!G44</f>
        <v>-79317734.276694</v>
      </c>
      <c r="H10" s="511">
        <f>H7*Supuestos!H44</f>
        <v>-80662378.41861445</v>
      </c>
      <c r="I10" s="511">
        <f>I7*Supuestos!I44</f>
        <v>-82109549.31477723</v>
      </c>
      <c r="J10" s="511">
        <f>J7*Supuestos!J44</f>
        <v>-83650521.3058575</v>
      </c>
      <c r="K10" s="511">
        <f>K7*Supuestos!K44</f>
        <v>-85279837.00443672</v>
      </c>
    </row>
    <row r="11">
      <c r="A11" s="526" t="s">
        <v>19</v>
      </c>
      <c r="B11" s="511">
        <f>EEFF!B11</f>
        <v>-78191068</v>
      </c>
      <c r="C11" s="511">
        <f>EEFF!C11</f>
        <v>-82630079</v>
      </c>
      <c r="D11" s="511">
        <f>EEFF!D11</f>
        <v>-84367143</v>
      </c>
      <c r="E11" s="511">
        <f>EEFF!E11</f>
        <v>-90003575</v>
      </c>
      <c r="F11" s="511">
        <f>EEFF!F11</f>
        <v>-92534638</v>
      </c>
      <c r="G11" s="515">
        <f>G7*Supuestos!G48</f>
        <v>-93968471.7394228</v>
      </c>
      <c r="H11" s="511">
        <f>H7*Supuestos!H48</f>
        <v>-95561484.4017469</v>
      </c>
      <c r="I11" s="511">
        <f>I7*Supuestos!I48</f>
        <v>-97275961.48178807</v>
      </c>
      <c r="J11" s="511">
        <f>J7*Supuestos!J48</f>
        <v>-99101565.60822384</v>
      </c>
      <c r="K11" s="511">
        <f>K7*Supuestos!K48</f>
        <v>-101031831.36244278</v>
      </c>
    </row>
    <row r="12">
      <c r="A12" s="526" t="s">
        <v>20</v>
      </c>
      <c r="B12" s="511">
        <f>EEFF!B12</f>
        <v>-14499892</v>
      </c>
      <c r="C12" s="511">
        <f>EEFF!C12</f>
        <v>-13788592</v>
      </c>
      <c r="D12" s="511">
        <f>EEFF!D12</f>
        <v>-14598107</v>
      </c>
      <c r="E12" s="511">
        <f>EEFF!E12</f>
        <v>-15421420</v>
      </c>
      <c r="F12" s="511">
        <f>EEFF!F12</f>
        <v>-15968601</v>
      </c>
      <c r="G12" s="515">
        <f>G7*Supuestos!G52</f>
        <v>-16203133.485269599</v>
      </c>
      <c r="H12" s="511">
        <f>H7*Supuestos!H52</f>
        <v>-16477819.199888209</v>
      </c>
      <c r="I12" s="511">
        <f>I7*Supuestos!I52</f>
        <v>-16773449.217819935</v>
      </c>
      <c r="J12" s="511">
        <f>J7*Supuestos!J52</f>
        <v>-17088241.049636945</v>
      </c>
      <c r="K12" s="511">
        <f>K7*Supuestos!K52</f>
        <v>-17421079.852894105</v>
      </c>
    </row>
    <row r="13">
      <c r="A13" s="526" t="s">
        <v>21</v>
      </c>
      <c r="B13" s="511">
        <f>EEFF!B13</f>
        <v>-4281088</v>
      </c>
      <c r="C13" s="511">
        <f>EEFF!C13</f>
        <v>-4141096</v>
      </c>
      <c r="D13" s="511">
        <f>EEFF!D13</f>
        <v>-3853656</v>
      </c>
      <c r="E13" s="511">
        <f>EEFF!E13</f>
        <v>-4881754</v>
      </c>
      <c r="F13" s="511">
        <f>EEFF!F13</f>
        <v>-5584457</v>
      </c>
      <c r="G13" s="515">
        <f>G7*Supuestos!G56</f>
        <v>-5675947.957414799</v>
      </c>
      <c r="H13" s="511">
        <f>H7*Supuestos!H56</f>
        <v>-5772170.1987632355</v>
      </c>
      <c r="I13" s="511">
        <f>I7*Supuestos!I56</f>
        <v>-5875729.217020756</v>
      </c>
      <c r="J13" s="511">
        <f>J7*Supuestos!J56</f>
        <v>-5986000.607208151</v>
      </c>
      <c r="K13" s="511">
        <f>K7*Supuestos!K56</f>
        <v>-6102593.840684462</v>
      </c>
    </row>
    <row r="14">
      <c r="A14" s="526" t="s">
        <v>22</v>
      </c>
      <c r="B14" s="511">
        <f>EEFF!B14</f>
        <v>-926879</v>
      </c>
      <c r="C14" s="511">
        <f>EEFF!C14</f>
        <v>-767688</v>
      </c>
      <c r="D14" s="511">
        <f>EEFF!D14</f>
        <v>-1432537</v>
      </c>
      <c r="E14" s="511">
        <f>EEFF!E14</f>
        <v>-1418031</v>
      </c>
      <c r="F14" s="511">
        <f>EEFF!F14</f>
        <v>-455297</v>
      </c>
      <c r="G14" s="516">
        <f>F14</f>
        <v>-455297</v>
      </c>
      <c r="H14" s="509">
        <f>G14</f>
        <v>-455297</v>
      </c>
      <c r="I14" s="509">
        <f>H14</f>
        <v>-455297</v>
      </c>
      <c r="J14" s="509">
        <f>I14</f>
        <v>-455297</v>
      </c>
      <c r="K14" s="509">
        <f>J14</f>
        <v>-455297</v>
      </c>
    </row>
    <row r="15">
      <c r="A15" s="526" t="s">
        <v>23</v>
      </c>
      <c r="B15" s="511">
        <f>EEFF!B15</f>
        <v>-67772425</v>
      </c>
      <c r="C15" s="511">
        <f>EEFF!C15</f>
        <v>-73044128</v>
      </c>
      <c r="D15" s="511">
        <f>EEFF!D15</f>
        <v>-84424966</v>
      </c>
      <c r="E15" s="511">
        <f>EEFF!E15</f>
        <v>-81815270</v>
      </c>
      <c r="F15" s="511">
        <f>EEFF!F15</f>
        <v>-80604183</v>
      </c>
      <c r="G15" s="515">
        <f>G7*Supuestos!G60</f>
        <v>-81888890.18902719</v>
      </c>
      <c r="H15" s="511">
        <f>H7*Supuestos!H60</f>
        <v>-83277122.18386616</v>
      </c>
      <c r="I15" s="511">
        <f>I7*Supuestos!I60</f>
        <v>-84771204.43017979</v>
      </c>
      <c r="J15" s="511">
        <f>J7*Supuestos!J60</f>
        <v>-86362128.41852444</v>
      </c>
      <c r="K15" s="511">
        <f>K7*Supuestos!K60</f>
        <v>-88044259.85534507</v>
      </c>
    </row>
    <row r="16">
      <c r="A16" s="502" t="s">
        <v>24</v>
      </c>
      <c r="B16" s="495">
        <f>EEFF!B16</f>
        <v>31748455</v>
      </c>
      <c r="C16" s="495">
        <f>EEFF!C16</f>
        <v>25548563</v>
      </c>
      <c r="D16" s="495">
        <f>EEFF!D16</f>
        <v>24037439</v>
      </c>
      <c r="E16" s="495">
        <f>EEFF!E16</f>
        <v>22057039</v>
      </c>
      <c r="F16" s="495">
        <f>EEFF!F16</f>
        <v>23042365</v>
      </c>
      <c r="G16" s="506">
        <f>G7+G8+G9+G10+G11+G12+G13+G14+G15</f>
        <v>23387484.298665583</v>
      </c>
      <c r="H16" s="496">
        <f>H7+H8+H9+H10+H11+H12+H13+H14+H15</f>
        <v>23736187.122013733</v>
      </c>
      <c r="I16" s="496">
        <f>I7+I8+I9+I10+I11+I12+I13+I14+I15</f>
        <v>24111477.92322056</v>
      </c>
      <c r="J16" s="496">
        <f>J7+J8+J9+J10+J11+J12+J13+J14+J15</f>
        <v>24511093.901335537</v>
      </c>
      <c r="K16" s="496">
        <f>K7+K8+K9+K10+K11+K12+K13+K14+K15</f>
        <v>24933619.807266757</v>
      </c>
    </row>
    <row r="17">
      <c r="A17" s="526" t="s">
        <v>25</v>
      </c>
      <c r="B17" s="511">
        <f>EEFF!B17</f>
        <v>1827169</v>
      </c>
      <c r="C17" s="511">
        <f>EEFF!C17</f>
        <v>2203898</v>
      </c>
      <c r="D17" s="511">
        <f>EEFF!D17</f>
        <v>1911252</v>
      </c>
      <c r="E17" s="511">
        <f>EEFF!E17</f>
        <v>2201801</v>
      </c>
      <c r="F17" s="511">
        <f>EEFF!F17</f>
        <v>2520005</v>
      </c>
      <c r="G17" s="516">
        <f>F17</f>
        <v>2520005</v>
      </c>
      <c r="H17" s="509">
        <f>G17</f>
        <v>2520005</v>
      </c>
      <c r="I17" s="509">
        <f>H17</f>
        <v>2520005</v>
      </c>
      <c r="J17" s="509">
        <f>I17</f>
        <v>2520005</v>
      </c>
      <c r="K17" s="509">
        <f>J17</f>
        <v>2520005</v>
      </c>
    </row>
    <row r="18">
      <c r="A18" s="526" t="s">
        <v>26</v>
      </c>
      <c r="B18" s="511">
        <f>EEFF!B18</f>
        <v>-1003513</v>
      </c>
      <c r="C18" s="511">
        <f>EEFF!C18</f>
        <v>-925031</v>
      </c>
      <c r="D18" s="511">
        <f>EEFF!D18</f>
        <v>-830555</v>
      </c>
      <c r="E18" s="511">
        <f>EEFF!E18</f>
        <v>-1006351</v>
      </c>
      <c r="F18" s="511">
        <f>EEFF!F18</f>
        <v>-1199370</v>
      </c>
      <c r="G18" s="516">
        <f>F18</f>
        <v>-1199370</v>
      </c>
      <c r="H18" s="509">
        <f>G18</f>
        <v>-1199370</v>
      </c>
      <c r="I18" s="509">
        <f>H18</f>
        <v>-1199370</v>
      </c>
      <c r="J18" s="509">
        <f>I18</f>
        <v>-1199370</v>
      </c>
      <c r="K18" s="509">
        <f>J18</f>
        <v>-1199370</v>
      </c>
    </row>
    <row r="19">
      <c r="A19" s="526" t="s">
        <v>27</v>
      </c>
      <c r="B19" s="511">
        <f>EEFF!B19</f>
        <v>-5077114</v>
      </c>
      <c r="C19" s="511">
        <f>EEFF!C19</f>
        <v>-3585083</v>
      </c>
      <c r="D19" s="511">
        <f>EEFF!D19</f>
        <v>-4658040</v>
      </c>
      <c r="E19" s="511">
        <f>EEFF!E19</f>
        <v>-4941802</v>
      </c>
      <c r="F19" s="511">
        <f>EEFF!F19</f>
        <v>-4478120</v>
      </c>
      <c r="G19" s="516">
        <f>F19</f>
        <v>-4478120</v>
      </c>
      <c r="H19" s="509">
        <f>G19</f>
        <v>-4478120</v>
      </c>
      <c r="I19" s="509">
        <f>H19</f>
        <v>-4478120</v>
      </c>
      <c r="J19" s="509">
        <f>I19</f>
        <v>-4478120</v>
      </c>
      <c r="K19" s="509">
        <f>J19</f>
        <v>-4478120</v>
      </c>
    </row>
    <row r="20">
      <c r="A20" s="502" t="s">
        <v>28</v>
      </c>
      <c r="B20" s="495">
        <f>EEFF!B20</f>
        <v>-4253458</v>
      </c>
      <c r="C20" s="495">
        <f>EEFF!C20</f>
        <v>-2306216</v>
      </c>
      <c r="D20" s="495">
        <f>EEFF!D20</f>
        <v>-3577343</v>
      </c>
      <c r="E20" s="495">
        <f>EEFF!E20</f>
        <v>-3746352</v>
      </c>
      <c r="F20" s="495">
        <f>EEFF!F20</f>
        <v>-3157485</v>
      </c>
      <c r="G20" s="506">
        <f>G17+G18+G19</f>
        <v>-3157485</v>
      </c>
      <c r="H20" s="496">
        <f>H17+H18+H19</f>
        <v>-3157485</v>
      </c>
      <c r="I20" s="496">
        <f>I17+I18+I19</f>
        <v>-3157485</v>
      </c>
      <c r="J20" s="496">
        <f>J17+J18+J19</f>
        <v>-3157485</v>
      </c>
      <c r="K20" s="496">
        <f>K17+K18+K19</f>
        <v>-3157485</v>
      </c>
    </row>
    <row r="21">
      <c r="A21" s="526" t="s">
        <v>29</v>
      </c>
      <c r="B21" s="511">
        <f>EEFF!B21</f>
        <v>1026225</v>
      </c>
      <c r="C21" s="511">
        <f>EEFF!C21</f>
        <v>1366177</v>
      </c>
      <c r="D21" s="511">
        <f>EEFF!D21</f>
        <v>1650460</v>
      </c>
      <c r="E21" s="511">
        <f>EEFF!E21</f>
        <v>1225747</v>
      </c>
      <c r="F21" s="511">
        <f>EEFF!F21</f>
        <v>1203147</v>
      </c>
      <c r="G21" s="516">
        <f>F21</f>
        <v>1203147</v>
      </c>
      <c r="H21" s="509">
        <f>G21</f>
        <v>1203147</v>
      </c>
      <c r="I21" s="509">
        <f>H21</f>
        <v>1203147</v>
      </c>
      <c r="J21" s="509">
        <f>I21</f>
        <v>1203147</v>
      </c>
      <c r="K21" s="509">
        <f>J21</f>
        <v>1203147</v>
      </c>
    </row>
    <row r="22">
      <c r="A22" s="502" t="s">
        <v>30</v>
      </c>
      <c r="B22" s="495">
        <f>EEFF!B22</f>
        <v>28521222</v>
      </c>
      <c r="C22" s="495">
        <f>EEFF!C22</f>
        <v>24608524</v>
      </c>
      <c r="D22" s="495">
        <f>EEFF!D22</f>
        <v>22110556</v>
      </c>
      <c r="E22" s="495">
        <f>EEFF!E22</f>
        <v>19536434</v>
      </c>
      <c r="F22" s="495">
        <f>EEFF!F22</f>
        <v>21088027</v>
      </c>
      <c r="G22" s="506">
        <f>G16+G20+G21</f>
        <v>21433146.298665583</v>
      </c>
      <c r="H22" s="496">
        <f>H16+H20+H21</f>
        <v>21781849.122013733</v>
      </c>
      <c r="I22" s="496">
        <f>I16+I20+I21</f>
        <v>22157139.92322056</v>
      </c>
      <c r="J22" s="496">
        <f>J16+J20+J21</f>
        <v>22556755.901335537</v>
      </c>
      <c r="K22" s="496">
        <f>K16+K20+K21</f>
        <v>22979281.807266757</v>
      </c>
    </row>
    <row r="23">
      <c r="A23" s="526" t="s">
        <v>31</v>
      </c>
      <c r="B23" s="511">
        <f>EEFF!B23</f>
        <v>-7315922</v>
      </c>
      <c r="C23" s="511">
        <f>EEFF!C23</f>
        <v>-6603590</v>
      </c>
      <c r="D23" s="511">
        <f>EEFF!D23</f>
        <v>-4017612</v>
      </c>
      <c r="E23" s="511">
        <f>EEFF!E23</f>
        <v>-5061963</v>
      </c>
      <c r="F23" s="511">
        <f>EEFF!F23</f>
        <v>-5141262</v>
      </c>
      <c r="G23" s="515">
        <f>G22*Supuestos!G64</f>
        <v>-5225401.067614669</v>
      </c>
      <c r="H23" s="511">
        <f>H22*Supuestos!H64</f>
        <v>-5310414.815946948</v>
      </c>
      <c r="I23" s="511">
        <f>I22*Supuestos!I64</f>
        <v>-5401910.713281172</v>
      </c>
      <c r="J23" s="511">
        <f>J22*Supuestos!J64</f>
        <v>-5499337.088745603</v>
      </c>
      <c r="K23" s="511">
        <f>K22*Supuestos!K64</f>
        <v>-5602348.904611635</v>
      </c>
    </row>
    <row r="24">
      <c r="A24" s="502" t="s">
        <v>32</v>
      </c>
      <c r="B24" s="495">
        <f>EEFF!B24</f>
        <v>21205300</v>
      </c>
      <c r="C24" s="495">
        <f>EEFF!C24</f>
        <v>18004934</v>
      </c>
      <c r="D24" s="495">
        <f>EEFF!D24</f>
        <v>18092944</v>
      </c>
      <c r="E24" s="495">
        <f>EEFF!E24</f>
        <v>14474471</v>
      </c>
      <c r="F24" s="495">
        <f>EEFF!F24</f>
        <v>15946765</v>
      </c>
      <c r="G24" s="506">
        <f>G22+G23</f>
        <v>16207745.231050914</v>
      </c>
      <c r="H24" s="496">
        <f>H22+H23</f>
        <v>16471434.306066785</v>
      </c>
      <c r="I24" s="496">
        <f>I22+I23</f>
        <v>16755229.209939387</v>
      </c>
      <c r="J24" s="496">
        <f>J22+J23</f>
        <v>17057418.812589936</v>
      </c>
      <c r="K24" s="496">
        <f>K22+K23</f>
        <v>17376932.90265512</v>
      </c>
    </row>
    <row r="25">
      <c r="A25" s="526" t="s">
        <v>33</v>
      </c>
      <c r="B25" s="511">
        <f>EEFF!B25</f>
        <v>-84705</v>
      </c>
      <c r="C25" s="511">
        <f>EEFF!C25</f>
        <v>107709</v>
      </c>
      <c r="D25" s="511">
        <f>EEFF!D25</f>
        <v>321093</v>
      </c>
      <c r="E25" s="511">
        <f>EEFF!E25</f>
        <v>79637</v>
      </c>
      <c r="F25" s="511">
        <f>EEFF!F25</f>
        <v>14817</v>
      </c>
      <c r="G25" s="516">
        <f>F25</f>
        <v>14817</v>
      </c>
      <c r="H25" s="509">
        <f>G25</f>
        <v>14817</v>
      </c>
      <c r="I25" s="509">
        <f>H25</f>
        <v>14817</v>
      </c>
      <c r="J25" s="509">
        <f>I25</f>
        <v>14817</v>
      </c>
      <c r="K25" s="509">
        <f>J25</f>
        <v>14817</v>
      </c>
    </row>
    <row r="26">
      <c r="A26" s="502" t="s">
        <v>34</v>
      </c>
      <c r="B26" s="495">
        <f>EEFF!B26</f>
        <v>-84705</v>
      </c>
      <c r="C26" s="495">
        <f>EEFF!C26</f>
        <v>107709</v>
      </c>
      <c r="D26" s="495">
        <f>EEFF!D26</f>
        <v>321093</v>
      </c>
      <c r="E26" s="495">
        <f>EEFF!E26</f>
        <v>79637</v>
      </c>
      <c r="F26" s="495">
        <f>EEFF!F26</f>
        <v>14817</v>
      </c>
      <c r="G26" s="506">
        <f>G25</f>
        <v>14817</v>
      </c>
      <c r="H26" s="496">
        <f>H25</f>
        <v>14817</v>
      </c>
      <c r="I26" s="496">
        <f>I25</f>
        <v>14817</v>
      </c>
      <c r="J26" s="496">
        <f>J25</f>
        <v>14817</v>
      </c>
      <c r="K26" s="496">
        <f>K25</f>
        <v>14817</v>
      </c>
    </row>
    <row r="27">
      <c r="A27" s="502" t="s">
        <v>35</v>
      </c>
      <c r="B27" s="495">
        <f>EEFF!B27</f>
        <v>21120595</v>
      </c>
      <c r="C27" s="495">
        <f>EEFF!C27</f>
        <v>18112643</v>
      </c>
      <c r="D27" s="495">
        <f>EEFF!D27</f>
        <v>18414037</v>
      </c>
      <c r="E27" s="495">
        <f>EEFF!E27</f>
        <v>14554108</v>
      </c>
      <c r="F27" s="495">
        <f>EEFF!F27</f>
        <v>15961582</v>
      </c>
      <c r="G27" s="506">
        <f>G24+G26</f>
        <v>16222562.231050914</v>
      </c>
      <c r="H27" s="496">
        <f>H24+H26</f>
        <v>16486251.306066785</v>
      </c>
      <c r="I27" s="496">
        <f>I24+I26</f>
        <v>16770046.209939387</v>
      </c>
      <c r="J27" s="496">
        <f>J24+J26</f>
        <v>17072235.812589936</v>
      </c>
      <c r="K27" s="496">
        <f>K24+K26</f>
        <v>17391749.90265512</v>
      </c>
    </row>
    <row r="28">
      <c r="A28" s="497"/>
      <c r="B28" s="497"/>
      <c r="C28" s="497"/>
      <c r="D28" s="497"/>
      <c r="E28" s="497"/>
      <c r="F28" s="497"/>
      <c r="G28" s="507"/>
      <c r="H28" s="497"/>
      <c r="I28" s="497"/>
      <c r="J28" s="497"/>
      <c r="K28" s="497"/>
    </row>
    <row r="29">
      <c r="A29" s="530" t="s">
        <v>3</v>
      </c>
      <c r="B29" s="531" t="s">
        <v>4</v>
      </c>
      <c r="C29" s="531" t="s">
        <v>5</v>
      </c>
      <c r="D29" s="531" t="s">
        <v>6</v>
      </c>
      <c r="E29" s="531" t="s">
        <v>7</v>
      </c>
      <c r="F29" s="531" t="s">
        <v>8</v>
      </c>
      <c r="G29" s="533" t="s">
        <v>9</v>
      </c>
      <c r="H29" s="532" t="s">
        <v>10</v>
      </c>
      <c r="I29" s="532" t="s">
        <v>11</v>
      </c>
      <c r="J29" s="532" t="s">
        <v>12</v>
      </c>
      <c r="K29" s="532" t="s">
        <v>13</v>
      </c>
    </row>
    <row r="30">
      <c r="A30" s="530" t="s">
        <v>36</v>
      </c>
      <c r="B30" s="501"/>
      <c r="C30" s="501"/>
      <c r="D30" s="501"/>
      <c r="E30" s="501"/>
      <c r="F30" s="501"/>
      <c r="G30" s="503"/>
      <c r="H30" s="494"/>
      <c r="I30" s="494"/>
      <c r="J30" s="494"/>
      <c r="K30" s="494"/>
    </row>
    <row r="31">
      <c r="A31" s="526" t="s">
        <v>297</v>
      </c>
      <c r="B31" s="509">
        <f>B33</f>
        <v>14137059</v>
      </c>
      <c r="C31" s="509">
        <f>C33</f>
        <v>10248083</v>
      </c>
      <c r="D31" s="509">
        <f>D33</f>
        <v>13933186</v>
      </c>
      <c r="E31" s="509">
        <f>E33-E32</f>
        <v>12627619</v>
      </c>
      <c r="F31" s="509">
        <f>F33-F32</f>
        <v>13421098</v>
      </c>
      <c r="G31" s="516">
        <f>G33-G32</f>
        <v>13421098</v>
      </c>
      <c r="H31" s="509">
        <f>H33-H32</f>
        <v>13421098</v>
      </c>
      <c r="I31" s="509">
        <f>I33-I32</f>
        <v>13421098</v>
      </c>
      <c r="J31" s="509">
        <f>J33-J32</f>
        <v>13421098</v>
      </c>
      <c r="K31" s="509">
        <f>K33-K32</f>
        <v>13421098</v>
      </c>
    </row>
    <row r="32">
      <c r="A32" s="526" t="s">
        <v>298</v>
      </c>
      <c r="B32" s="490"/>
      <c r="C32" s="490"/>
      <c r="D32" s="490"/>
      <c r="E32" s="509">
        <f>2000000</f>
        <v>2000000</v>
      </c>
      <c r="F32" s="509">
        <f>8000000</f>
        <v>8000000</v>
      </c>
      <c r="G32" s="516">
        <f>F32</f>
        <v>8000000</v>
      </c>
      <c r="H32" s="509">
        <f>G32</f>
        <v>8000000</v>
      </c>
      <c r="I32" s="509">
        <f>H32</f>
        <v>8000000</v>
      </c>
      <c r="J32" s="509">
        <f>I32</f>
        <v>8000000</v>
      </c>
      <c r="K32" s="509">
        <f>J32</f>
        <v>8000000</v>
      </c>
    </row>
    <row r="33">
      <c r="A33" s="526" t="s">
        <v>37</v>
      </c>
      <c r="B33" s="511">
        <f>EEFF!B31</f>
        <v>14137059</v>
      </c>
      <c r="C33" s="511">
        <f>EEFF!C31</f>
        <v>10248083</v>
      </c>
      <c r="D33" s="511">
        <f>EEFF!D31</f>
        <v>13933186</v>
      </c>
      <c r="E33" s="511">
        <f>EEFF!E31</f>
        <v>14627619</v>
      </c>
      <c r="F33" s="511">
        <f>EEFF!F31</f>
        <v>21421098</v>
      </c>
      <c r="G33" s="516">
        <f>F33</f>
        <v>21421098</v>
      </c>
      <c r="H33" s="509">
        <f>G33</f>
        <v>21421098</v>
      </c>
      <c r="I33" s="509">
        <f>H33</f>
        <v>21421098</v>
      </c>
      <c r="J33" s="509">
        <f>I33</f>
        <v>21421098</v>
      </c>
      <c r="K33" s="509">
        <f>J33</f>
        <v>21421098</v>
      </c>
    </row>
    <row r="34">
      <c r="A34" s="526" t="s">
        <v>38</v>
      </c>
      <c r="B34" s="511">
        <f>EEFF!B32</f>
        <v>55987713</v>
      </c>
      <c r="C34" s="511">
        <f>EEFF!C32</f>
        <v>55396562</v>
      </c>
      <c r="D34" s="511">
        <f>EEFF!D32</f>
        <v>50598758</v>
      </c>
      <c r="E34" s="511">
        <f>EEFF!E32</f>
        <v>48881564</v>
      </c>
      <c r="F34" s="511">
        <f>EEFF!F32</f>
        <v>47635856</v>
      </c>
      <c r="G34" s="516">
        <f>F34</f>
        <v>47635856</v>
      </c>
      <c r="H34" s="509">
        <f>G34</f>
        <v>47635856</v>
      </c>
      <c r="I34" s="509">
        <f>H34</f>
        <v>47635856</v>
      </c>
      <c r="J34" s="509">
        <f>I34</f>
        <v>47635856</v>
      </c>
      <c r="K34" s="509">
        <f>J34</f>
        <v>47635856</v>
      </c>
    </row>
    <row r="35">
      <c r="A35" s="526" t="s">
        <v>39</v>
      </c>
      <c r="B35" s="511">
        <f>EEFF!B33</f>
        <v>88215721</v>
      </c>
      <c r="C35" s="511">
        <f>EEFF!C33</f>
        <v>105854774</v>
      </c>
      <c r="D35" s="511">
        <f>EEFF!D33</f>
        <v>106547752</v>
      </c>
      <c r="E35" s="511">
        <f>EEFF!E33</f>
        <v>98584841</v>
      </c>
      <c r="F35" s="511">
        <f>EEFF!F33</f>
        <v>86537964</v>
      </c>
      <c r="G35" s="516">
        <f>F35</f>
        <v>86537964</v>
      </c>
      <c r="H35" s="509">
        <f>G35</f>
        <v>86537964</v>
      </c>
      <c r="I35" s="509">
        <f>H35</f>
        <v>86537964</v>
      </c>
      <c r="J35" s="509">
        <f>I35</f>
        <v>86537964</v>
      </c>
      <c r="K35" s="509">
        <f>J35</f>
        <v>86537964</v>
      </c>
    </row>
    <row r="36">
      <c r="A36" s="526" t="s">
        <v>40</v>
      </c>
      <c r="B36" s="511">
        <f>EEFF!B34</f>
        <v>4368953</v>
      </c>
      <c r="C36" s="511">
        <f>EEFF!C34</f>
        <v>5522228</v>
      </c>
      <c r="D36" s="511">
        <f>EEFF!D34</f>
        <v>5650193</v>
      </c>
      <c r="E36" s="511">
        <f>EEFF!E34</f>
        <v>7019946</v>
      </c>
      <c r="F36" s="511">
        <f>EEFF!F34</f>
        <v>7379445</v>
      </c>
      <c r="G36" s="516">
        <f>F36</f>
        <v>7379445</v>
      </c>
      <c r="H36" s="509">
        <f>G36</f>
        <v>7379445</v>
      </c>
      <c r="I36" s="509">
        <f>H36</f>
        <v>7379445</v>
      </c>
      <c r="J36" s="509">
        <f>I36</f>
        <v>7379445</v>
      </c>
      <c r="K36" s="509">
        <f>J36</f>
        <v>7379445</v>
      </c>
    </row>
    <row r="37">
      <c r="A37" s="526" t="s">
        <v>41</v>
      </c>
      <c r="B37" s="511">
        <f>EEFF!B35</f>
        <v>7437127</v>
      </c>
      <c r="C37" s="511">
        <f>EEFF!C35</f>
        <v>6714577</v>
      </c>
      <c r="D37" s="511">
        <f>EEFF!D35</f>
        <v>8088976</v>
      </c>
      <c r="E37" s="511">
        <f>EEFF!E35</f>
        <v>6759518</v>
      </c>
      <c r="F37" s="511">
        <f>EEFF!F35</f>
        <v>5876049</v>
      </c>
      <c r="G37" s="516">
        <f>F37</f>
        <v>5876049</v>
      </c>
      <c r="H37" s="509">
        <f>G37</f>
        <v>5876049</v>
      </c>
      <c r="I37" s="509">
        <f>H37</f>
        <v>5876049</v>
      </c>
      <c r="J37" s="509">
        <f>I37</f>
        <v>5876049</v>
      </c>
      <c r="K37" s="509">
        <f>J37</f>
        <v>5876049</v>
      </c>
    </row>
    <row r="38">
      <c r="A38" s="526" t="s">
        <v>42</v>
      </c>
      <c r="B38" s="511">
        <f>EEFF!B36</f>
        <v>9533860</v>
      </c>
      <c r="C38" s="511">
        <f>EEFF!C36</f>
        <v>10662082</v>
      </c>
      <c r="D38" s="511">
        <f>EEFF!D36</f>
        <v>9971872</v>
      </c>
      <c r="E38" s="511">
        <f>EEFF!E36</f>
        <v>7465217</v>
      </c>
      <c r="F38" s="511">
        <f>EEFF!F36</f>
        <v>8437671</v>
      </c>
      <c r="G38" s="516">
        <f>F38</f>
        <v>8437671</v>
      </c>
      <c r="H38" s="509">
        <f>G38</f>
        <v>8437671</v>
      </c>
      <c r="I38" s="509">
        <f>H38</f>
        <v>8437671</v>
      </c>
      <c r="J38" s="509">
        <f>I38</f>
        <v>8437671</v>
      </c>
      <c r="K38" s="509">
        <f>J38</f>
        <v>8437671</v>
      </c>
    </row>
    <row r="39">
      <c r="A39" s="526" t="s">
        <v>43</v>
      </c>
      <c r="B39" s="511">
        <f>EEFF!B37</f>
        <v>6253970</v>
      </c>
      <c r="C39" s="511">
        <f>EEFF!C37</f>
        <v>4940077</v>
      </c>
      <c r="D39" s="511">
        <f>EEFF!D37</f>
        <v>11953319</v>
      </c>
      <c r="E39" s="511">
        <f>EEFF!E37</f>
        <v>15363019</v>
      </c>
      <c r="F39" s="511">
        <f>EEFF!F37</f>
        <v>20196108</v>
      </c>
      <c r="G39" s="516">
        <f>F39</f>
        <v>20196108</v>
      </c>
      <c r="H39" s="509">
        <f>G39</f>
        <v>20196108</v>
      </c>
      <c r="I39" s="509">
        <f>H39</f>
        <v>20196108</v>
      </c>
      <c r="J39" s="509">
        <f>I39</f>
        <v>20196108</v>
      </c>
      <c r="K39" s="509">
        <f>J39</f>
        <v>20196108</v>
      </c>
    </row>
    <row r="40">
      <c r="A40" s="526" t="s">
        <v>44</v>
      </c>
      <c r="B40" s="511">
        <f>EEFF!B38</f>
        <v>3881243</v>
      </c>
      <c r="C40" s="511">
        <f>EEFF!C38</f>
        <v>9409729</v>
      </c>
      <c r="D40" s="511">
        <f>EEFF!D38</f>
        <v>2059074</v>
      </c>
      <c r="E40" s="511">
        <f>EEFF!E38</f>
        <v>1651119</v>
      </c>
      <c r="F40" s="511">
        <f>EEFF!F38</f>
        <v>1545541</v>
      </c>
      <c r="G40" s="516">
        <f>F40</f>
        <v>1545541</v>
      </c>
      <c r="H40" s="509">
        <f>G40</f>
        <v>1545541</v>
      </c>
      <c r="I40" s="509">
        <f>H40</f>
        <v>1545541</v>
      </c>
      <c r="J40" s="509">
        <f>I40</f>
        <v>1545541</v>
      </c>
      <c r="K40" s="509">
        <f>J40</f>
        <v>1545541</v>
      </c>
    </row>
    <row r="41">
      <c r="A41" s="526" t="s">
        <v>45</v>
      </c>
      <c r="B41" s="511">
        <f>EEFF!B39</f>
        <v>683093</v>
      </c>
      <c r="C41" s="511">
        <f>EEFF!C39</f>
        <v>2940162</v>
      </c>
      <c r="D41" s="511">
        <f>EEFF!D39</f>
        <v>3768331</v>
      </c>
      <c r="E41" s="511">
        <f>EEFF!E39</f>
        <v>828999</v>
      </c>
      <c r="F41" s="511">
        <f>EEFF!F39</f>
        <v>1992042</v>
      </c>
      <c r="G41" s="516">
        <f>F41</f>
        <v>1992042</v>
      </c>
      <c r="H41" s="509">
        <f>G41</f>
        <v>1992042</v>
      </c>
      <c r="I41" s="509">
        <f>H41</f>
        <v>1992042</v>
      </c>
      <c r="J41" s="509">
        <f>I41</f>
        <v>1992042</v>
      </c>
      <c r="K41" s="509">
        <f>J41</f>
        <v>1992042</v>
      </c>
    </row>
    <row r="42">
      <c r="A42" s="526" t="s">
        <v>46</v>
      </c>
      <c r="B42" s="511">
        <f>EEFF!B40</f>
        <v>339020</v>
      </c>
      <c r="C42" s="511">
        <f>EEFF!C40</f>
        <v>312728</v>
      </c>
      <c r="D42" s="511">
        <f>EEFF!D40</f>
        <v>123508</v>
      </c>
      <c r="E42" s="511">
        <f>EEFF!E40</f>
        <v>228031</v>
      </c>
      <c r="F42" s="511">
        <f>EEFF!F40</f>
        <v>239863</v>
      </c>
      <c r="G42" s="516">
        <f>F42</f>
        <v>239863</v>
      </c>
      <c r="H42" s="509">
        <f>G42</f>
        <v>239863</v>
      </c>
      <c r="I42" s="509">
        <f>H42</f>
        <v>239863</v>
      </c>
      <c r="J42" s="509">
        <f>I42</f>
        <v>239863</v>
      </c>
      <c r="K42" s="509">
        <f>J42</f>
        <v>239863</v>
      </c>
    </row>
    <row r="43">
      <c r="A43" s="502" t="s">
        <v>47</v>
      </c>
      <c r="B43" s="495">
        <f>EEFF!B41</f>
        <v>190837759</v>
      </c>
      <c r="C43" s="495">
        <f>EEFF!C41</f>
        <v>212001002</v>
      </c>
      <c r="D43" s="495">
        <f>EEFF!D41</f>
        <v>212694969</v>
      </c>
      <c r="E43" s="495">
        <f>EEFF!E41</f>
        <v>201409873</v>
      </c>
      <c r="F43" s="495">
        <f>EEFF!F41</f>
        <v>201261637</v>
      </c>
      <c r="G43" s="506">
        <f>F43</f>
        <v>201261637</v>
      </c>
      <c r="H43" s="496">
        <f>G43</f>
        <v>201261637</v>
      </c>
      <c r="I43" s="496">
        <f>H43</f>
        <v>201261637</v>
      </c>
      <c r="J43" s="496">
        <f>I43</f>
        <v>201261637</v>
      </c>
      <c r="K43" s="496">
        <f>J43</f>
        <v>201261637</v>
      </c>
    </row>
    <row r="44">
      <c r="A44" s="526" t="s">
        <v>48</v>
      </c>
      <c r="B44" s="511">
        <f>EEFF!B42</f>
        <v>0</v>
      </c>
      <c r="C44" s="511">
        <f>EEFF!C42</f>
        <v>0</v>
      </c>
      <c r="D44" s="511">
        <f>EEFF!D42</f>
        <v>0</v>
      </c>
      <c r="E44" s="511">
        <f>EEFF!E42</f>
        <v>1400000</v>
      </c>
      <c r="F44" s="511">
        <f>EEFF!F42</f>
        <v>0</v>
      </c>
      <c r="G44" s="516">
        <f>F44</f>
        <v>0</v>
      </c>
      <c r="H44" s="509">
        <f>G44</f>
        <v>0</v>
      </c>
      <c r="I44" s="509">
        <f>H44</f>
        <v>0</v>
      </c>
      <c r="J44" s="509">
        <f>I44</f>
        <v>0</v>
      </c>
      <c r="K44" s="509">
        <f>J44</f>
        <v>0</v>
      </c>
    </row>
    <row r="45">
      <c r="A45" s="526" t="s">
        <v>49</v>
      </c>
      <c r="B45" s="511">
        <f>EEFF!B43</f>
        <v>12370463</v>
      </c>
      <c r="C45" s="511">
        <f>EEFF!C43</f>
        <v>11827693</v>
      </c>
      <c r="D45" s="511">
        <f>EEFF!D43</f>
        <v>11670843</v>
      </c>
      <c r="E45" s="511">
        <f>EEFF!E43</f>
        <v>11965641</v>
      </c>
      <c r="F45" s="511">
        <f>EEFF!F43</f>
        <v>11635096</v>
      </c>
      <c r="G45" s="516">
        <f>F45</f>
        <v>11635096</v>
      </c>
      <c r="H45" s="509">
        <f>G45</f>
        <v>11635096</v>
      </c>
      <c r="I45" s="509">
        <f>H45</f>
        <v>11635096</v>
      </c>
      <c r="J45" s="509">
        <f>I45</f>
        <v>11635096</v>
      </c>
      <c r="K45" s="509">
        <f>J45</f>
        <v>11635096</v>
      </c>
    </row>
    <row r="46">
      <c r="A46" s="526" t="s">
        <v>50</v>
      </c>
      <c r="B46" s="511">
        <f>EEFF!B44</f>
        <v>394833</v>
      </c>
      <c r="C46" s="511">
        <f>EEFF!C44</f>
        <v>435601</v>
      </c>
      <c r="D46" s="511">
        <f>EEFF!D44</f>
        <v>364529</v>
      </c>
      <c r="E46" s="511">
        <f>EEFF!E44</f>
        <v>958317</v>
      </c>
      <c r="F46" s="511">
        <f>EEFF!F44</f>
        <v>936271</v>
      </c>
      <c r="G46" s="516">
        <f>F46</f>
        <v>936271</v>
      </c>
      <c r="H46" s="509">
        <f>G46</f>
        <v>936271</v>
      </c>
      <c r="I46" s="509">
        <f>H46</f>
        <v>936271</v>
      </c>
      <c r="J46" s="509">
        <f>I46</f>
        <v>936271</v>
      </c>
      <c r="K46" s="509">
        <f>J46</f>
        <v>936271</v>
      </c>
    </row>
    <row r="47">
      <c r="A47" s="526" t="s">
        <v>51</v>
      </c>
      <c r="B47" s="511">
        <f>EEFF!B45</f>
        <v>122024120</v>
      </c>
      <c r="C47" s="511">
        <f>EEFF!C45</f>
        <v>121738941</v>
      </c>
      <c r="D47" s="511">
        <f>EEFF!D45</f>
        <v>123764215</v>
      </c>
      <c r="E47" s="511">
        <f>EEFF!E45</f>
        <v>117719141</v>
      </c>
      <c r="F47" s="511">
        <f>EEFF!F45</f>
        <v>119820020</v>
      </c>
      <c r="G47" s="516">
        <f>F47</f>
        <v>119820020</v>
      </c>
      <c r="H47" s="509">
        <f>G47</f>
        <v>119820020</v>
      </c>
      <c r="I47" s="509">
        <f>H47</f>
        <v>119820020</v>
      </c>
      <c r="J47" s="509">
        <f>I47</f>
        <v>119820020</v>
      </c>
      <c r="K47" s="509">
        <f>J47</f>
        <v>119820020</v>
      </c>
    </row>
    <row r="48">
      <c r="A48" s="526" t="s">
        <v>52</v>
      </c>
      <c r="B48" s="511">
        <f>EEFF!B46</f>
        <v>0</v>
      </c>
      <c r="C48" s="511">
        <f>EEFF!C46</f>
        <v>0</v>
      </c>
      <c r="D48" s="511">
        <f>EEFF!D46</f>
        <v>0</v>
      </c>
      <c r="E48" s="511">
        <f>EEFF!E46</f>
        <v>7437220</v>
      </c>
      <c r="F48" s="511">
        <f>EEFF!F46</f>
        <v>6646648</v>
      </c>
      <c r="G48" s="516">
        <f>F48</f>
        <v>6646648</v>
      </c>
      <c r="H48" s="509">
        <f>G48</f>
        <v>6646648</v>
      </c>
      <c r="I48" s="509">
        <f>H48</f>
        <v>6646648</v>
      </c>
      <c r="J48" s="509">
        <f>I48</f>
        <v>6646648</v>
      </c>
      <c r="K48" s="509">
        <f>J48</f>
        <v>6646648</v>
      </c>
    </row>
    <row r="49">
      <c r="A49" s="526" t="s">
        <v>53</v>
      </c>
      <c r="B49" s="511">
        <f>EEFF!B47</f>
        <v>2092260</v>
      </c>
      <c r="C49" s="511">
        <f>EEFF!C47</f>
        <v>2003420</v>
      </c>
      <c r="D49" s="511">
        <f>EEFF!D47</f>
        <v>3633937</v>
      </c>
      <c r="E49" s="511">
        <f>EEFF!E47</f>
        <v>3477575</v>
      </c>
      <c r="F49" s="511">
        <f>EEFF!F47</f>
        <v>2378222</v>
      </c>
      <c r="G49" s="516">
        <f>F49</f>
        <v>2378222</v>
      </c>
      <c r="H49" s="509">
        <f>G49</f>
        <v>2378222</v>
      </c>
      <c r="I49" s="509">
        <f>H49</f>
        <v>2378222</v>
      </c>
      <c r="J49" s="509">
        <f>I49</f>
        <v>2378222</v>
      </c>
      <c r="K49" s="509">
        <f>J49</f>
        <v>2378222</v>
      </c>
    </row>
    <row r="50">
      <c r="A50" s="526" t="s">
        <v>54</v>
      </c>
      <c r="B50" s="511">
        <f>EEFF!B48</f>
        <v>16299265</v>
      </c>
      <c r="C50" s="511">
        <f>EEFF!C48</f>
        <v>15847890</v>
      </c>
      <c r="D50" s="511">
        <f>EEFF!D48</f>
        <v>14989169</v>
      </c>
      <c r="E50" s="511">
        <f>EEFF!E48</f>
        <v>17883482</v>
      </c>
      <c r="F50" s="511">
        <f>EEFF!F48</f>
        <v>18860730</v>
      </c>
      <c r="G50" s="516">
        <f>F50</f>
        <v>18860730</v>
      </c>
      <c r="H50" s="509">
        <f>G50</f>
        <v>18860730</v>
      </c>
      <c r="I50" s="509">
        <f>H50</f>
        <v>18860730</v>
      </c>
      <c r="J50" s="509">
        <f>I50</f>
        <v>18860730</v>
      </c>
      <c r="K50" s="509">
        <f>J50</f>
        <v>18860730</v>
      </c>
    </row>
    <row r="51">
      <c r="A51" s="526" t="s">
        <v>55</v>
      </c>
      <c r="B51" s="511">
        <f>EEFF!B49</f>
        <v>9805509</v>
      </c>
      <c r="C51" s="511">
        <f>EEFF!C49</f>
        <v>9967013</v>
      </c>
      <c r="D51" s="511">
        <f>EEFF!D49</f>
        <v>7548656</v>
      </c>
      <c r="E51" s="511">
        <f>EEFF!E49</f>
        <v>7555934</v>
      </c>
      <c r="F51" s="511">
        <f>EEFF!F49</f>
        <v>7439753</v>
      </c>
      <c r="G51" s="516">
        <f>F51</f>
        <v>7439753</v>
      </c>
      <c r="H51" s="509">
        <f>G51</f>
        <v>7439753</v>
      </c>
      <c r="I51" s="509">
        <f>H51</f>
        <v>7439753</v>
      </c>
      <c r="J51" s="509">
        <f>I51</f>
        <v>7439753</v>
      </c>
      <c r="K51" s="509">
        <f>J51</f>
        <v>7439753</v>
      </c>
    </row>
    <row r="52">
      <c r="A52" s="526" t="s">
        <v>56</v>
      </c>
      <c r="B52" s="511">
        <f>EEFF!B50</f>
        <v>615566</v>
      </c>
      <c r="C52" s="511">
        <f>EEFF!C50</f>
        <v>615566</v>
      </c>
      <c r="D52" s="511">
        <f>EEFF!D50</f>
        <v>615566</v>
      </c>
      <c r="E52" s="511">
        <f>EEFF!E50</f>
        <v>615566</v>
      </c>
      <c r="F52" s="511">
        <f>EEFF!F50</f>
        <v>615566</v>
      </c>
      <c r="G52" s="516">
        <f>F52</f>
        <v>615566</v>
      </c>
      <c r="H52" s="509">
        <f>G52</f>
        <v>615566</v>
      </c>
      <c r="I52" s="509">
        <f>H52</f>
        <v>615566</v>
      </c>
      <c r="J52" s="509">
        <f>I52</f>
        <v>615566</v>
      </c>
      <c r="K52" s="509">
        <f>J52</f>
        <v>615566</v>
      </c>
    </row>
    <row r="53">
      <c r="A53" s="526" t="s">
        <v>57</v>
      </c>
      <c r="B53" s="511">
        <f>EEFF!B51</f>
        <v>4864483</v>
      </c>
      <c r="C53" s="511">
        <f>EEFF!C51</f>
        <v>5436683</v>
      </c>
      <c r="D53" s="511">
        <f>EEFF!D51</f>
        <v>6419403</v>
      </c>
      <c r="E53" s="511">
        <f>EEFF!E51</f>
        <v>6760369</v>
      </c>
      <c r="F53" s="511">
        <f>EEFF!F51</f>
        <v>7176666</v>
      </c>
      <c r="G53" s="516">
        <f>F53</f>
        <v>7176666</v>
      </c>
      <c r="H53" s="509">
        <f>G53</f>
        <v>7176666</v>
      </c>
      <c r="I53" s="509">
        <f>H53</f>
        <v>7176666</v>
      </c>
      <c r="J53" s="509">
        <f>I53</f>
        <v>7176666</v>
      </c>
      <c r="K53" s="509">
        <f>J53</f>
        <v>7176666</v>
      </c>
    </row>
    <row r="54">
      <c r="A54" s="526" t="s">
        <v>58</v>
      </c>
      <c r="B54" s="511">
        <f>EEFF!B52</f>
        <v>8125114</v>
      </c>
      <c r="C54" s="511">
        <f>EEFF!C52</f>
        <v>7741648</v>
      </c>
      <c r="D54" s="511">
        <f>EEFF!D52</f>
        <v>9201413</v>
      </c>
      <c r="E54" s="511">
        <f>EEFF!E52</f>
        <v>9128819</v>
      </c>
      <c r="F54" s="511">
        <f>EEFF!F52</f>
        <v>9133839</v>
      </c>
      <c r="G54" s="516">
        <f>F54</f>
        <v>9133839</v>
      </c>
      <c r="H54" s="509">
        <f>G54</f>
        <v>9133839</v>
      </c>
      <c r="I54" s="509">
        <f>H54</f>
        <v>9133839</v>
      </c>
      <c r="J54" s="509">
        <f>I54</f>
        <v>9133839</v>
      </c>
      <c r="K54" s="509">
        <f>J54</f>
        <v>9133839</v>
      </c>
    </row>
    <row r="55">
      <c r="A55" s="526" t="s">
        <v>59</v>
      </c>
      <c r="B55" s="511">
        <f>EEFF!B53</f>
        <v>9075419</v>
      </c>
      <c r="C55" s="511">
        <f>EEFF!C53</f>
        <v>10207260</v>
      </c>
      <c r="D55" s="511">
        <f>EEFF!D53</f>
        <v>10640387</v>
      </c>
      <c r="E55" s="511">
        <f>EEFF!E53</f>
        <v>11667330</v>
      </c>
      <c r="F55" s="511">
        <f>EEFF!F53</f>
        <v>12349530</v>
      </c>
      <c r="G55" s="516">
        <f>F55</f>
        <v>12349530</v>
      </c>
      <c r="H55" s="509">
        <f>G55</f>
        <v>12349530</v>
      </c>
      <c r="I55" s="509">
        <f>H55</f>
        <v>12349530</v>
      </c>
      <c r="J55" s="509">
        <f>I55</f>
        <v>12349530</v>
      </c>
      <c r="K55" s="509">
        <f>J55</f>
        <v>12349530</v>
      </c>
    </row>
    <row r="56">
      <c r="A56" s="526" t="s">
        <v>60</v>
      </c>
      <c r="B56" s="511">
        <f>EEFF!B54</f>
        <v>1084512</v>
      </c>
      <c r="C56" s="511">
        <f>EEFF!C54</f>
        <v>1088903</v>
      </c>
      <c r="D56" s="511">
        <f>EEFF!D54</f>
        <v>1094422</v>
      </c>
      <c r="E56" s="511">
        <f>EEFF!E54</f>
        <v>421341</v>
      </c>
      <c r="F56" s="511">
        <f>EEFF!F54</f>
        <v>420911</v>
      </c>
      <c r="G56" s="516">
        <f>F56</f>
        <v>420911</v>
      </c>
      <c r="H56" s="509">
        <f>G56</f>
        <v>420911</v>
      </c>
      <c r="I56" s="509">
        <f>H56</f>
        <v>420911</v>
      </c>
      <c r="J56" s="509">
        <f>I56</f>
        <v>420911</v>
      </c>
      <c r="K56" s="509">
        <f>J56</f>
        <v>420911</v>
      </c>
    </row>
    <row r="57">
      <c r="A57" s="526" t="s">
        <v>61</v>
      </c>
      <c r="B57" s="511">
        <f>EEFF!B55</f>
        <v>578136</v>
      </c>
      <c r="C57" s="511">
        <f>EEFF!C55</f>
        <v>600216</v>
      </c>
      <c r="D57" s="511">
        <f>EEFF!D55</f>
        <v>643053</v>
      </c>
      <c r="E57" s="511">
        <f>EEFF!E55</f>
        <v>663877</v>
      </c>
      <c r="F57" s="511">
        <f>EEFF!F55</f>
        <v>676023</v>
      </c>
      <c r="G57" s="516">
        <f>F57</f>
        <v>676023</v>
      </c>
      <c r="H57" s="509">
        <f>G57</f>
        <v>676023</v>
      </c>
      <c r="I57" s="509">
        <f>H57</f>
        <v>676023</v>
      </c>
      <c r="J57" s="509">
        <f>I57</f>
        <v>676023</v>
      </c>
      <c r="K57" s="509">
        <f>J57</f>
        <v>676023</v>
      </c>
    </row>
    <row r="58">
      <c r="A58" s="502" t="s">
        <v>62</v>
      </c>
      <c r="B58" s="495">
        <f>EEFF!B56</f>
        <v>187329680</v>
      </c>
      <c r="C58" s="495">
        <f>EEFF!C56</f>
        <v>187510834</v>
      </c>
      <c r="D58" s="495">
        <f>EEFF!D56</f>
        <v>190585593</v>
      </c>
      <c r="E58" s="495">
        <f>EEFF!E56</f>
        <v>197654612</v>
      </c>
      <c r="F58" s="495">
        <f>EEFF!F56</f>
        <v>198089275</v>
      </c>
      <c r="G58" s="506">
        <f>F58</f>
        <v>198089275</v>
      </c>
      <c r="H58" s="496">
        <f>G58</f>
        <v>198089275</v>
      </c>
      <c r="I58" s="496">
        <f>H58</f>
        <v>198089275</v>
      </c>
      <c r="J58" s="496">
        <f>I58</f>
        <v>198089275</v>
      </c>
      <c r="K58" s="496">
        <f>J58</f>
        <v>198089275</v>
      </c>
    </row>
    <row r="59">
      <c r="A59" s="502" t="s">
        <v>63</v>
      </c>
      <c r="B59" s="495">
        <f>EEFF!B57</f>
        <v>378167439</v>
      </c>
      <c r="C59" s="495">
        <f>EEFF!C57</f>
        <v>399511836</v>
      </c>
      <c r="D59" s="495">
        <f>EEFF!D57</f>
        <v>403280562</v>
      </c>
      <c r="E59" s="495">
        <f>EEFF!E57</f>
        <v>399064485</v>
      </c>
      <c r="F59" s="495">
        <f>EEFF!F57</f>
        <v>399350912</v>
      </c>
      <c r="G59" s="506">
        <f>F59</f>
        <v>399350912</v>
      </c>
      <c r="H59" s="496">
        <f>G59</f>
        <v>399350912</v>
      </c>
      <c r="I59" s="496">
        <f>H59</f>
        <v>399350912</v>
      </c>
      <c r="J59" s="496">
        <f>I59</f>
        <v>399350912</v>
      </c>
      <c r="K59" s="496">
        <f>J59</f>
        <v>399350912</v>
      </c>
    </row>
    <row r="60">
      <c r="A60" s="526" t="s">
        <v>64</v>
      </c>
      <c r="B60" s="511">
        <f>EEFF!B58</f>
        <v>12760000</v>
      </c>
      <c r="C60" s="511">
        <f>EEFF!C58</f>
        <v>14000000</v>
      </c>
      <c r="D60" s="511">
        <f>EEFF!D58</f>
        <v>13819186</v>
      </c>
      <c r="E60" s="511">
        <f>EEFF!E58</f>
        <v>8000000</v>
      </c>
      <c r="F60" s="511">
        <f>EEFF!F58</f>
        <v>6900000</v>
      </c>
      <c r="G60" s="516">
        <f>F60</f>
        <v>6900000</v>
      </c>
      <c r="H60" s="509">
        <f>G60</f>
        <v>6900000</v>
      </c>
      <c r="I60" s="509">
        <f>H60</f>
        <v>6900000</v>
      </c>
      <c r="J60" s="509">
        <f>I60</f>
        <v>6900000</v>
      </c>
      <c r="K60" s="509">
        <f>J60</f>
        <v>6900000</v>
      </c>
    </row>
    <row r="61">
      <c r="A61" s="526" t="s">
        <v>65</v>
      </c>
      <c r="B61" s="511">
        <f>EEFF!B59</f>
        <v>20160000</v>
      </c>
      <c r="C61" s="511">
        <f>EEFF!C59</f>
        <v>15500000</v>
      </c>
      <c r="D61" s="511">
        <f>EEFF!D59</f>
        <v>16029000</v>
      </c>
      <c r="E61" s="511">
        <f>EEFF!E59</f>
        <v>13091000</v>
      </c>
      <c r="F61" s="511">
        <f>EEFF!F59</f>
        <v>16247000</v>
      </c>
      <c r="G61" s="516">
        <f>F61</f>
        <v>16247000</v>
      </c>
      <c r="H61" s="509">
        <f>G61</f>
        <v>16247000</v>
      </c>
      <c r="I61" s="509">
        <f>H61</f>
        <v>16247000</v>
      </c>
      <c r="J61" s="509">
        <f>I61</f>
        <v>16247000</v>
      </c>
      <c r="K61" s="509">
        <f>J61</f>
        <v>16247000</v>
      </c>
    </row>
    <row r="62">
      <c r="A62" s="526" t="s">
        <v>66</v>
      </c>
      <c r="B62" s="511">
        <f>EEFF!B60</f>
        <v>4352542</v>
      </c>
      <c r="C62" s="511">
        <f>EEFF!C60</f>
        <v>3943713</v>
      </c>
      <c r="D62" s="511">
        <f>EEFF!D60</f>
        <v>3740937</v>
      </c>
      <c r="E62" s="511">
        <f>EEFF!E60</f>
        <v>4392972</v>
      </c>
      <c r="F62" s="511">
        <f>EEFF!F60</f>
        <v>5334463</v>
      </c>
      <c r="G62" s="516">
        <f>F62</f>
        <v>5334463</v>
      </c>
      <c r="H62" s="509">
        <f>G62</f>
        <v>5334463</v>
      </c>
      <c r="I62" s="509">
        <f>H62</f>
        <v>5334463</v>
      </c>
      <c r="J62" s="509">
        <f>I62</f>
        <v>5334463</v>
      </c>
      <c r="K62" s="509">
        <f>J62</f>
        <v>5334463</v>
      </c>
    </row>
    <row r="63">
      <c r="A63" s="526" t="s">
        <v>67</v>
      </c>
      <c r="B63" s="511">
        <f>EEFF!B61</f>
        <v>38430913</v>
      </c>
      <c r="C63" s="511">
        <f>EEFF!C61</f>
        <v>43375293</v>
      </c>
      <c r="D63" s="511">
        <f>EEFF!D61</f>
        <v>36875789</v>
      </c>
      <c r="E63" s="511">
        <f>EEFF!E61</f>
        <v>32911493</v>
      </c>
      <c r="F63" s="511">
        <f>EEFF!F61</f>
        <v>29555752</v>
      </c>
      <c r="G63" s="516">
        <f>F63</f>
        <v>29555752</v>
      </c>
      <c r="H63" s="509">
        <f>G63</f>
        <v>29555752</v>
      </c>
      <c r="I63" s="509">
        <f>H63</f>
        <v>29555752</v>
      </c>
      <c r="J63" s="509">
        <f>I63</f>
        <v>29555752</v>
      </c>
      <c r="K63" s="509">
        <f>J63</f>
        <v>29555752</v>
      </c>
    </row>
    <row r="64">
      <c r="A64" s="526" t="s">
        <v>68</v>
      </c>
      <c r="B64" s="511">
        <f>EEFF!B62</f>
        <v>4659947</v>
      </c>
      <c r="C64" s="511">
        <f>EEFF!C62</f>
        <v>2358023</v>
      </c>
      <c r="D64" s="511">
        <f>EEFF!D62</f>
        <v>4246512</v>
      </c>
      <c r="E64" s="511">
        <f>EEFF!E62</f>
        <v>4892938</v>
      </c>
      <c r="F64" s="511">
        <f>EEFF!F62</f>
        <v>5212186</v>
      </c>
      <c r="G64" s="516">
        <f>F64</f>
        <v>5212186</v>
      </c>
      <c r="H64" s="509">
        <f>G64</f>
        <v>5212186</v>
      </c>
      <c r="I64" s="509">
        <f>H64</f>
        <v>5212186</v>
      </c>
      <c r="J64" s="509">
        <f>I64</f>
        <v>5212186</v>
      </c>
      <c r="K64" s="509">
        <f>J64</f>
        <v>5212186</v>
      </c>
    </row>
    <row r="65">
      <c r="A65" s="526" t="s">
        <v>69</v>
      </c>
      <c r="B65" s="511">
        <f>EEFF!B63</f>
        <v>15200</v>
      </c>
      <c r="C65" s="511">
        <f>EEFF!C63</f>
        <v>248703</v>
      </c>
      <c r="D65" s="511">
        <f>EEFF!D63</f>
        <v>68927</v>
      </c>
      <c r="E65" s="511">
        <f>EEFF!E63</f>
        <v>0</v>
      </c>
      <c r="F65" s="511">
        <f>EEFF!F63</f>
        <v>42296</v>
      </c>
      <c r="G65" s="516">
        <f>F65</f>
        <v>42296</v>
      </c>
      <c r="H65" s="509">
        <f>G65</f>
        <v>42296</v>
      </c>
      <c r="I65" s="509">
        <f>H65</f>
        <v>42296</v>
      </c>
      <c r="J65" s="509">
        <f>I65</f>
        <v>42296</v>
      </c>
      <c r="K65" s="509">
        <f>J65</f>
        <v>42296</v>
      </c>
    </row>
    <row r="66">
      <c r="A66" s="526" t="s">
        <v>70</v>
      </c>
      <c r="B66" s="511">
        <f>EEFF!B64</f>
        <v>2908783</v>
      </c>
      <c r="C66" s="511">
        <f>EEFF!C64</f>
        <v>0</v>
      </c>
      <c r="D66" s="511">
        <f>EEFF!D64</f>
        <v>0</v>
      </c>
      <c r="E66" s="511">
        <f>EEFF!E64</f>
        <v>0</v>
      </c>
      <c r="F66" s="511">
        <f>EEFF!F64</f>
        <v>0</v>
      </c>
      <c r="G66" s="493"/>
      <c r="H66" s="490"/>
      <c r="I66" s="490"/>
      <c r="J66" s="490"/>
      <c r="K66" s="490"/>
    </row>
    <row r="67">
      <c r="A67" s="526" t="s">
        <v>71</v>
      </c>
      <c r="B67" s="511">
        <f>EEFF!B65</f>
        <v>7121789</v>
      </c>
      <c r="C67" s="511">
        <f>EEFF!C65</f>
        <v>7040115</v>
      </c>
      <c r="D67" s="511">
        <f>EEFF!D65</f>
        <v>7090627</v>
      </c>
      <c r="E67" s="511">
        <f>EEFF!E65</f>
        <v>7903342</v>
      </c>
      <c r="F67" s="511">
        <f>EEFF!F65</f>
        <v>7308891</v>
      </c>
      <c r="G67" s="516">
        <f>F67</f>
        <v>7308891</v>
      </c>
      <c r="H67" s="509">
        <f>G67</f>
        <v>7308891</v>
      </c>
      <c r="I67" s="509">
        <f>H67</f>
        <v>7308891</v>
      </c>
      <c r="J67" s="509">
        <f>I67</f>
        <v>7308891</v>
      </c>
      <c r="K67" s="509">
        <f>J67</f>
        <v>7308891</v>
      </c>
    </row>
    <row r="68">
      <c r="A68" s="502" t="s">
        <v>72</v>
      </c>
      <c r="B68" s="495">
        <f>EEFF!B66</f>
        <v>90409174</v>
      </c>
      <c r="C68" s="495">
        <f>EEFF!C66</f>
        <v>86465847</v>
      </c>
      <c r="D68" s="495">
        <f>EEFF!D66</f>
        <v>81870978</v>
      </c>
      <c r="E68" s="495">
        <f>EEFF!E66</f>
        <v>71191745</v>
      </c>
      <c r="F68" s="495">
        <f>EEFF!F66</f>
        <v>70600588</v>
      </c>
      <c r="G68" s="506">
        <f>F68</f>
        <v>70600588</v>
      </c>
      <c r="H68" s="496">
        <f>G68</f>
        <v>70600588</v>
      </c>
      <c r="I68" s="496">
        <f>H68</f>
        <v>70600588</v>
      </c>
      <c r="J68" s="496">
        <f>I68</f>
        <v>70600588</v>
      </c>
      <c r="K68" s="496">
        <f>J68</f>
        <v>70600588</v>
      </c>
    </row>
    <row r="69">
      <c r="A69" s="526" t="s">
        <v>73</v>
      </c>
      <c r="B69" s="511">
        <f>EEFF!B67</f>
        <v>0</v>
      </c>
      <c r="C69" s="511">
        <f>EEFF!C67</f>
        <v>0</v>
      </c>
      <c r="D69" s="511">
        <f>EEFF!D67</f>
        <v>0</v>
      </c>
      <c r="E69" s="511">
        <f>EEFF!E67</f>
        <v>2124600</v>
      </c>
      <c r="F69" s="511">
        <f>EEFF!F67</f>
        <v>2124600</v>
      </c>
      <c r="G69" s="516">
        <f>F69</f>
        <v>2124600</v>
      </c>
      <c r="H69" s="509">
        <f>G69</f>
        <v>2124600</v>
      </c>
      <c r="I69" s="509">
        <f>H69</f>
        <v>2124600</v>
      </c>
      <c r="J69" s="509">
        <f>I69</f>
        <v>2124600</v>
      </c>
      <c r="K69" s="509">
        <f>J69</f>
        <v>2124600</v>
      </c>
    </row>
    <row r="70">
      <c r="A70" s="526" t="s">
        <v>74</v>
      </c>
      <c r="B70" s="511">
        <f>EEFF!B68</f>
        <v>52466986</v>
      </c>
      <c r="C70" s="511">
        <f>EEFF!C68</f>
        <v>67427589</v>
      </c>
      <c r="D70" s="511">
        <f>EEFF!D68</f>
        <v>67388899</v>
      </c>
      <c r="E70" s="511">
        <f>EEFF!E68</f>
        <v>62350209</v>
      </c>
      <c r="F70" s="511">
        <f>EEFF!F68</f>
        <v>52311519</v>
      </c>
      <c r="G70" s="516">
        <f>F70</f>
        <v>52311519</v>
      </c>
      <c r="H70" s="509">
        <f>G70</f>
        <v>52311519</v>
      </c>
      <c r="I70" s="509">
        <f>H70</f>
        <v>52311519</v>
      </c>
      <c r="J70" s="509">
        <f>I70</f>
        <v>52311519</v>
      </c>
      <c r="K70" s="509">
        <f>J70</f>
        <v>52311519</v>
      </c>
    </row>
    <row r="71">
      <c r="A71" s="526" t="s">
        <v>75</v>
      </c>
      <c r="B71" s="511">
        <f>EEFF!B69</f>
        <v>14331670</v>
      </c>
      <c r="C71" s="511">
        <f>EEFF!C69</f>
        <v>14277496</v>
      </c>
      <c r="D71" s="511">
        <f>EEFF!D69</f>
        <v>13594963</v>
      </c>
      <c r="E71" s="511">
        <f>EEFF!E69</f>
        <v>15912188</v>
      </c>
      <c r="F71" s="511">
        <f>EEFF!F69</f>
        <v>15961760</v>
      </c>
      <c r="G71" s="516">
        <f>F71</f>
        <v>15961760</v>
      </c>
      <c r="H71" s="509">
        <f>G71</f>
        <v>15961760</v>
      </c>
      <c r="I71" s="509">
        <f>H71</f>
        <v>15961760</v>
      </c>
      <c r="J71" s="509">
        <f>I71</f>
        <v>15961760</v>
      </c>
      <c r="K71" s="509">
        <f>J71</f>
        <v>15961760</v>
      </c>
    </row>
    <row r="72">
      <c r="A72" s="526" t="s">
        <v>76</v>
      </c>
      <c r="B72" s="511">
        <f>EEFF!B70</f>
        <v>9477255</v>
      </c>
      <c r="C72" s="511">
        <f>EEFF!C70</f>
        <v>10127829</v>
      </c>
      <c r="D72" s="511">
        <f>EEFF!D70</f>
        <v>10407453</v>
      </c>
      <c r="E72" s="511">
        <f>EEFF!E70</f>
        <v>10739857</v>
      </c>
      <c r="F72" s="511">
        <f>EEFF!F70</f>
        <v>10998227</v>
      </c>
      <c r="G72" s="516">
        <f>F72</f>
        <v>10998227</v>
      </c>
      <c r="H72" s="509">
        <f>G72</f>
        <v>10998227</v>
      </c>
      <c r="I72" s="509">
        <f>H72</f>
        <v>10998227</v>
      </c>
      <c r="J72" s="509">
        <f>I72</f>
        <v>10998227</v>
      </c>
      <c r="K72" s="509">
        <f>J72</f>
        <v>10998227</v>
      </c>
    </row>
    <row r="73">
      <c r="A73" s="502" t="s">
        <v>77</v>
      </c>
      <c r="B73" s="495">
        <f>EEFF!B71</f>
        <v>76275911</v>
      </c>
      <c r="C73" s="495">
        <f>EEFF!C71</f>
        <v>91832914</v>
      </c>
      <c r="D73" s="495">
        <f>EEFF!D71</f>
        <v>91391315</v>
      </c>
      <c r="E73" s="495">
        <f>EEFF!E71</f>
        <v>91126854</v>
      </c>
      <c r="F73" s="495">
        <f>EEFF!F71</f>
        <v>81396106</v>
      </c>
      <c r="G73" s="506">
        <f>F73</f>
        <v>81396106</v>
      </c>
      <c r="H73" s="496">
        <f>G73</f>
        <v>81396106</v>
      </c>
      <c r="I73" s="496">
        <f>H73</f>
        <v>81396106</v>
      </c>
      <c r="J73" s="496">
        <f>I73</f>
        <v>81396106</v>
      </c>
      <c r="K73" s="496">
        <f>J73</f>
        <v>81396106</v>
      </c>
    </row>
    <row r="74">
      <c r="A74" s="502" t="s">
        <v>78</v>
      </c>
      <c r="B74" s="495">
        <f>EEFF!B72</f>
        <v>166685085</v>
      </c>
      <c r="C74" s="495">
        <f>EEFF!C72</f>
        <v>178298761</v>
      </c>
      <c r="D74" s="495">
        <f>EEFF!D72</f>
        <v>173262293</v>
      </c>
      <c r="E74" s="495">
        <f>EEFF!E72</f>
        <v>162318599</v>
      </c>
      <c r="F74" s="495">
        <f>EEFF!F72</f>
        <v>151996694</v>
      </c>
      <c r="G74" s="506">
        <f>F74</f>
        <v>151996694</v>
      </c>
      <c r="H74" s="496">
        <f>G74</f>
        <v>151996694</v>
      </c>
      <c r="I74" s="496">
        <f>H74</f>
        <v>151996694</v>
      </c>
      <c r="J74" s="496">
        <f>I74</f>
        <v>151996694</v>
      </c>
      <c r="K74" s="496">
        <f>J74</f>
        <v>151996694</v>
      </c>
    </row>
    <row r="75">
      <c r="A75" s="526" t="s">
        <v>79</v>
      </c>
      <c r="B75" s="511">
        <f>EEFF!B73</f>
        <v>45813813</v>
      </c>
      <c r="C75" s="511">
        <f>EEFF!C73</f>
        <v>45813813</v>
      </c>
      <c r="D75" s="511">
        <f>EEFF!D73</f>
        <v>45077843</v>
      </c>
      <c r="E75" s="511">
        <f>EEFF!E73</f>
        <v>44725993</v>
      </c>
      <c r="F75" s="511">
        <f>EEFF!F73</f>
        <v>44553868</v>
      </c>
      <c r="G75" s="516">
        <f>F75</f>
        <v>44553868</v>
      </c>
      <c r="H75" s="509">
        <f>G75</f>
        <v>44553868</v>
      </c>
      <c r="I75" s="509">
        <f>H75</f>
        <v>44553868</v>
      </c>
      <c r="J75" s="509">
        <f>I75</f>
        <v>44553868</v>
      </c>
      <c r="K75" s="509">
        <f>J75</f>
        <v>44553868</v>
      </c>
    </row>
    <row r="76">
      <c r="A76" s="526" t="s">
        <v>80</v>
      </c>
      <c r="B76" s="511">
        <f>EEFF!B74</f>
        <v>165176872</v>
      </c>
      <c r="C76" s="511">
        <f>EEFF!C74</f>
        <v>174803519</v>
      </c>
      <c r="D76" s="511">
        <f>EEFF!D74</f>
        <v>183969668</v>
      </c>
      <c r="E76" s="511">
        <f>EEFF!E74</f>
        <v>190907552</v>
      </c>
      <c r="F76" s="511">
        <f>EEFF!F74</f>
        <v>201717520</v>
      </c>
      <c r="G76" s="516">
        <f>F76</f>
        <v>201717520</v>
      </c>
      <c r="H76" s="509">
        <f>G76</f>
        <v>201717520</v>
      </c>
      <c r="I76" s="509">
        <f>H76</f>
        <v>201717520</v>
      </c>
      <c r="J76" s="509">
        <f>I76</f>
        <v>201717520</v>
      </c>
      <c r="K76" s="509">
        <f>J76</f>
        <v>201717520</v>
      </c>
    </row>
    <row r="77">
      <c r="A77" s="526" t="s">
        <v>81</v>
      </c>
      <c r="B77" s="511">
        <f>EEFF!B75</f>
        <v>216328</v>
      </c>
      <c r="C77" s="511">
        <f>EEFF!C75</f>
        <v>324037</v>
      </c>
      <c r="D77" s="511">
        <f>EEFF!D75</f>
        <v>645130</v>
      </c>
      <c r="E77" s="511">
        <f>EEFF!E75</f>
        <v>724767</v>
      </c>
      <c r="F77" s="511">
        <f>EEFF!F75</f>
        <v>739584</v>
      </c>
      <c r="G77" s="516">
        <f>F77</f>
        <v>739584</v>
      </c>
      <c r="H77" s="509">
        <f>G77</f>
        <v>739584</v>
      </c>
      <c r="I77" s="509">
        <f>H77</f>
        <v>739584</v>
      </c>
      <c r="J77" s="509">
        <f>I77</f>
        <v>739584</v>
      </c>
      <c r="K77" s="509">
        <f>J77</f>
        <v>739584</v>
      </c>
    </row>
    <row r="78">
      <c r="A78" s="502" t="s">
        <v>82</v>
      </c>
      <c r="B78" s="495">
        <f>EEFF!B76</f>
        <v>211207013</v>
      </c>
      <c r="C78" s="495">
        <f>EEFF!C76</f>
        <v>220941369</v>
      </c>
      <c r="D78" s="495">
        <f>EEFF!D76</f>
        <v>229692641</v>
      </c>
      <c r="E78" s="495">
        <f>EEFF!E76</f>
        <v>236358312</v>
      </c>
      <c r="F78" s="495">
        <f>EEFF!F76</f>
        <v>247010972</v>
      </c>
      <c r="G78" s="506">
        <f>F78</f>
        <v>247010972</v>
      </c>
      <c r="H78" s="496">
        <f>G78</f>
        <v>247010972</v>
      </c>
      <c r="I78" s="496">
        <f>H78</f>
        <v>247010972</v>
      </c>
      <c r="J78" s="496">
        <f>I78</f>
        <v>247010972</v>
      </c>
      <c r="K78" s="496">
        <f>J78</f>
        <v>247010972</v>
      </c>
    </row>
    <row r="79">
      <c r="A79" s="526" t="s">
        <v>83</v>
      </c>
      <c r="B79" s="511">
        <f>EEFF!B77</f>
        <v>275341</v>
      </c>
      <c r="C79" s="511">
        <f>EEFF!C77</f>
        <v>271706</v>
      </c>
      <c r="D79" s="511">
        <f>EEFF!D77</f>
        <v>325628</v>
      </c>
      <c r="E79" s="511">
        <f>EEFF!E77</f>
        <v>387574</v>
      </c>
      <c r="F79" s="511">
        <f>EEFF!F77</f>
        <v>343246</v>
      </c>
      <c r="G79" s="516">
        <f>F79</f>
        <v>343246</v>
      </c>
      <c r="H79" s="509">
        <f>G79</f>
        <v>343246</v>
      </c>
      <c r="I79" s="509">
        <f>H79</f>
        <v>343246</v>
      </c>
      <c r="J79" s="509">
        <f>I79</f>
        <v>343246</v>
      </c>
      <c r="K79" s="509">
        <f>J79</f>
        <v>343246</v>
      </c>
    </row>
    <row r="80">
      <c r="A80" s="502" t="s">
        <v>84</v>
      </c>
      <c r="B80" s="495">
        <f>EEFF!B78</f>
        <v>211482354</v>
      </c>
      <c r="C80" s="495">
        <f>EEFF!C78</f>
        <v>221213075</v>
      </c>
      <c r="D80" s="495">
        <f>EEFF!D78</f>
        <v>230018269</v>
      </c>
      <c r="E80" s="495">
        <f>EEFF!E78</f>
        <v>236745886</v>
      </c>
      <c r="F80" s="495">
        <f>EEFF!F78</f>
        <v>247354218</v>
      </c>
      <c r="G80" s="506">
        <f>F80</f>
        <v>247354218</v>
      </c>
      <c r="H80" s="496">
        <f>G80</f>
        <v>247354218</v>
      </c>
      <c r="I80" s="496">
        <f>H80</f>
        <v>247354218</v>
      </c>
      <c r="J80" s="496">
        <f>I80</f>
        <v>247354218</v>
      </c>
      <c r="K80" s="496">
        <f>J80</f>
        <v>247354218</v>
      </c>
    </row>
    <row r="81">
      <c r="A81" s="502" t="s">
        <v>85</v>
      </c>
      <c r="B81" s="495">
        <f>EEFF!B79</f>
        <v>378167439</v>
      </c>
      <c r="C81" s="495">
        <f>EEFF!C79</f>
        <v>399511836</v>
      </c>
      <c r="D81" s="495">
        <f>EEFF!D79</f>
        <v>403280562</v>
      </c>
      <c r="E81" s="495">
        <f>EEFF!E79</f>
        <v>399064485</v>
      </c>
      <c r="F81" s="495">
        <f>EEFF!F79</f>
        <v>399350912</v>
      </c>
      <c r="G81" s="506">
        <f>F81</f>
        <v>399350912</v>
      </c>
      <c r="H81" s="496">
        <f>G81</f>
        <v>399350912</v>
      </c>
      <c r="I81" s="496">
        <f>H81</f>
        <v>399350912</v>
      </c>
      <c r="J81" s="496">
        <f>I81</f>
        <v>399350912</v>
      </c>
      <c r="K81" s="496">
        <f>J81</f>
        <v>399350912</v>
      </c>
    </row>
    <row r="82">
      <c r="A82" s="497"/>
      <c r="B82" s="497"/>
      <c r="C82" s="497"/>
      <c r="D82" s="497"/>
      <c r="E82" s="497"/>
      <c r="F82" s="497"/>
      <c r="G82" s="507"/>
      <c r="H82" s="497"/>
      <c r="I82" s="497"/>
      <c r="J82" s="497"/>
      <c r="K82" s="497"/>
    </row>
    <row r="83">
      <c r="A83" s="530" t="s">
        <v>3</v>
      </c>
      <c r="B83" s="531" t="s">
        <v>4</v>
      </c>
      <c r="C83" s="531" t="s">
        <v>5</v>
      </c>
      <c r="D83" s="531" t="s">
        <v>6</v>
      </c>
      <c r="E83" s="531" t="s">
        <v>7</v>
      </c>
      <c r="F83" s="531" t="s">
        <v>8</v>
      </c>
      <c r="G83" s="533" t="s">
        <v>9</v>
      </c>
      <c r="H83" s="532" t="s">
        <v>10</v>
      </c>
      <c r="I83" s="532" t="s">
        <v>11</v>
      </c>
      <c r="J83" s="532" t="s">
        <v>12</v>
      </c>
      <c r="K83" s="532" t="s">
        <v>13</v>
      </c>
    </row>
    <row r="84">
      <c r="A84" s="530" t="s">
        <v>86</v>
      </c>
      <c r="B84" s="501"/>
      <c r="C84" s="501"/>
      <c r="D84" s="501"/>
      <c r="E84" s="501"/>
      <c r="F84" s="501"/>
      <c r="G84" s="503"/>
      <c r="H84" s="494"/>
      <c r="I84" s="494"/>
      <c r="J84" s="494"/>
      <c r="K84" s="494"/>
    </row>
    <row r="85">
      <c r="A85" s="502" t="s">
        <v>32</v>
      </c>
      <c r="B85" s="495">
        <f>EEFF!B83</f>
        <v>21205300</v>
      </c>
      <c r="C85" s="495">
        <f>EEFF!C83</f>
        <v>18004934</v>
      </c>
      <c r="D85" s="495">
        <f>EEFF!D83</f>
        <v>18092944</v>
      </c>
      <c r="E85" s="495">
        <f>EEFF!E83</f>
        <v>14474471</v>
      </c>
      <c r="F85" s="495">
        <f>EEFF!F83</f>
        <v>15946765</v>
      </c>
      <c r="G85" s="506">
        <f>F85</f>
        <v>15946765</v>
      </c>
      <c r="H85" s="496">
        <f>G85</f>
        <v>15946765</v>
      </c>
      <c r="I85" s="496">
        <f>H85</f>
        <v>15946765</v>
      </c>
      <c r="J85" s="496">
        <f>I85</f>
        <v>15946765</v>
      </c>
      <c r="K85" s="496">
        <f>J85</f>
        <v>15946765</v>
      </c>
    </row>
    <row r="86">
      <c r="A86" s="526" t="s">
        <v>87</v>
      </c>
      <c r="B86" s="511">
        <f>EEFF!B84</f>
        <v>-1026225</v>
      </c>
      <c r="C86" s="511">
        <f>EEFF!C84</f>
        <v>-1366177</v>
      </c>
      <c r="D86" s="511">
        <f>EEFF!D84</f>
        <v>-1650460</v>
      </c>
      <c r="E86" s="511">
        <f>EEFF!E84</f>
        <v>-1225747</v>
      </c>
      <c r="F86" s="511">
        <f>EEFF!F84</f>
        <v>-1203147</v>
      </c>
      <c r="G86" s="516">
        <f>F86</f>
        <v>-1203147</v>
      </c>
      <c r="H86" s="509">
        <f>G86</f>
        <v>-1203147</v>
      </c>
      <c r="I86" s="509">
        <f>H86</f>
        <v>-1203147</v>
      </c>
      <c r="J86" s="509">
        <f>I86</f>
        <v>-1203147</v>
      </c>
      <c r="K86" s="509">
        <f>J86</f>
        <v>-1203147</v>
      </c>
    </row>
    <row r="87">
      <c r="A87" s="526" t="s">
        <v>88</v>
      </c>
      <c r="B87" s="511">
        <f>EEFF!B85</f>
        <v>13407970</v>
      </c>
      <c r="C87" s="511">
        <f>EEFF!C85</f>
        <v>12908124</v>
      </c>
      <c r="D87" s="511">
        <f>EEFF!D85</f>
        <v>13628603</v>
      </c>
      <c r="E87" s="511">
        <f>EEFF!E85</f>
        <v>13965491</v>
      </c>
      <c r="F87" s="511">
        <f>EEFF!F85</f>
        <v>14006514</v>
      </c>
      <c r="G87" s="516">
        <f>F87</f>
        <v>14006514</v>
      </c>
      <c r="H87" s="509">
        <f>G87</f>
        <v>14006514</v>
      </c>
      <c r="I87" s="509">
        <f>H87</f>
        <v>14006514</v>
      </c>
      <c r="J87" s="509">
        <f>I87</f>
        <v>14006514</v>
      </c>
      <c r="K87" s="509">
        <f>J87</f>
        <v>14006514</v>
      </c>
    </row>
    <row r="88">
      <c r="A88" s="526" t="s">
        <v>89</v>
      </c>
      <c r="B88" s="511">
        <f>EEFF!B86</f>
        <v>0</v>
      </c>
      <c r="C88" s="511">
        <f>EEFF!C86</f>
        <v>0</v>
      </c>
      <c r="D88" s="511">
        <f>EEFF!D86</f>
        <v>0</v>
      </c>
      <c r="E88" s="511">
        <f>EEFF!E86</f>
        <v>191146</v>
      </c>
      <c r="F88" s="511">
        <f>EEFF!F86</f>
        <v>798172</v>
      </c>
      <c r="G88" s="516">
        <f>F88</f>
        <v>798172</v>
      </c>
      <c r="H88" s="509">
        <f>G88</f>
        <v>798172</v>
      </c>
      <c r="I88" s="509">
        <f>H88</f>
        <v>798172</v>
      </c>
      <c r="J88" s="509">
        <f>I88</f>
        <v>798172</v>
      </c>
      <c r="K88" s="509">
        <f>J88</f>
        <v>798172</v>
      </c>
    </row>
    <row r="89">
      <c r="A89" s="526" t="s">
        <v>90</v>
      </c>
      <c r="B89" s="511">
        <f>EEFF!B87</f>
        <v>1091922</v>
      </c>
      <c r="C89" s="511">
        <f>EEFF!C87</f>
        <v>880468</v>
      </c>
      <c r="D89" s="511">
        <f>EEFF!D87</f>
        <v>973473</v>
      </c>
      <c r="E89" s="511">
        <f>EEFF!E87</f>
        <v>1264783</v>
      </c>
      <c r="F89" s="511">
        <f>EEFF!F87</f>
        <v>1163915</v>
      </c>
      <c r="G89" s="516">
        <f>F89</f>
        <v>1163915</v>
      </c>
      <c r="H89" s="509">
        <f>G89</f>
        <v>1163915</v>
      </c>
      <c r="I89" s="509">
        <f>H89</f>
        <v>1163915</v>
      </c>
      <c r="J89" s="509">
        <f>I89</f>
        <v>1163915</v>
      </c>
      <c r="K89" s="509">
        <f>J89</f>
        <v>1163915</v>
      </c>
    </row>
    <row r="90">
      <c r="A90" s="526" t="s">
        <v>91</v>
      </c>
      <c r="B90" s="511">
        <f>EEFF!B88</f>
        <v>4281088</v>
      </c>
      <c r="C90" s="511">
        <f>EEFF!C88</f>
        <v>4141096</v>
      </c>
      <c r="D90" s="511">
        <f>EEFF!D88</f>
        <v>3853656</v>
      </c>
      <c r="E90" s="511">
        <f>EEFF!E88</f>
        <v>4881754</v>
      </c>
      <c r="F90" s="511">
        <f>EEFF!F88</f>
        <v>5084457</v>
      </c>
      <c r="G90" s="516">
        <f>F90</f>
        <v>5084457</v>
      </c>
      <c r="H90" s="509">
        <f>G90</f>
        <v>5084457</v>
      </c>
      <c r="I90" s="509">
        <f>H90</f>
        <v>5084457</v>
      </c>
      <c r="J90" s="509">
        <f>I90</f>
        <v>5084457</v>
      </c>
      <c r="K90" s="509">
        <f>J90</f>
        <v>5084457</v>
      </c>
    </row>
    <row r="91">
      <c r="A91" s="526" t="s">
        <v>92</v>
      </c>
      <c r="B91" s="511">
        <f>EEFF!B89</f>
        <v>111753</v>
      </c>
      <c r="C91" s="511">
        <f>EEFF!C89</f>
        <v>78722</v>
      </c>
      <c r="D91" s="511">
        <f>EEFF!D89</f>
        <v>-221006</v>
      </c>
      <c r="E91" s="511">
        <f>EEFF!E89</f>
        <v>7413</v>
      </c>
      <c r="F91" s="511">
        <f>EEFF!F89</f>
        <v>84328</v>
      </c>
      <c r="G91" s="516">
        <f>F91</f>
        <v>84328</v>
      </c>
      <c r="H91" s="509">
        <f>G91</f>
        <v>84328</v>
      </c>
      <c r="I91" s="509">
        <f>H91</f>
        <v>84328</v>
      </c>
      <c r="J91" s="509">
        <f>I91</f>
        <v>84328</v>
      </c>
      <c r="K91" s="509">
        <f>J91</f>
        <v>84328</v>
      </c>
    </row>
    <row r="92">
      <c r="A92" s="526" t="s">
        <v>93</v>
      </c>
      <c r="B92" s="511">
        <f>EEFF!B90</f>
        <v>-720416</v>
      </c>
      <c r="C92" s="511">
        <f>EEFF!C90</f>
        <v>-726549</v>
      </c>
      <c r="D92" s="511">
        <f>EEFF!D90</f>
        <v>-45930</v>
      </c>
      <c r="E92" s="511">
        <f>EEFF!E90</f>
        <v>-15073</v>
      </c>
      <c r="F92" s="511">
        <f>EEFF!F90</f>
        <v>0</v>
      </c>
      <c r="G92" s="493"/>
      <c r="H92" s="490"/>
      <c r="I92" s="490"/>
      <c r="J92" s="490"/>
      <c r="K92" s="490"/>
    </row>
    <row r="93">
      <c r="A93" s="526" t="s">
        <v>94</v>
      </c>
      <c r="B93" s="511">
        <f>EEFF!B91</f>
        <v>0</v>
      </c>
      <c r="C93" s="511">
        <f>EEFF!C91</f>
        <v>0</v>
      </c>
      <c r="D93" s="511">
        <f>EEFF!D91</f>
        <v>0</v>
      </c>
      <c r="E93" s="511">
        <f>EEFF!E91</f>
        <v>0</v>
      </c>
      <c r="F93" s="511">
        <f>EEFF!F91</f>
        <v>8000</v>
      </c>
      <c r="G93" s="516">
        <f>F93</f>
        <v>8000</v>
      </c>
      <c r="H93" s="509">
        <f>G93</f>
        <v>8000</v>
      </c>
      <c r="I93" s="509">
        <f>H93</f>
        <v>8000</v>
      </c>
      <c r="J93" s="509">
        <f>I93</f>
        <v>8000</v>
      </c>
      <c r="K93" s="509">
        <f>J93</f>
        <v>8000</v>
      </c>
    </row>
    <row r="94">
      <c r="A94" s="526" t="s">
        <v>95</v>
      </c>
      <c r="B94" s="511">
        <f>EEFF!B92</f>
        <v>0</v>
      </c>
      <c r="C94" s="511">
        <f>EEFF!C92</f>
        <v>0</v>
      </c>
      <c r="D94" s="511">
        <f>EEFF!D92</f>
        <v>-6443146</v>
      </c>
      <c r="E94" s="511">
        <f>EEFF!E92</f>
        <v>0</v>
      </c>
      <c r="F94" s="511">
        <f>EEFF!F92</f>
        <v>0</v>
      </c>
      <c r="G94" s="493"/>
      <c r="H94" s="490"/>
      <c r="I94" s="490"/>
      <c r="J94" s="490"/>
      <c r="K94" s="490"/>
    </row>
    <row r="95">
      <c r="A95" s="526" t="s">
        <v>76</v>
      </c>
      <c r="B95" s="511">
        <f>EEFF!B93</f>
        <v>1717272</v>
      </c>
      <c r="C95" s="511">
        <f>EEFF!C93</f>
        <v>2015167</v>
      </c>
      <c r="D95" s="511">
        <f>EEFF!D93</f>
        <v>1194818</v>
      </c>
      <c r="E95" s="511">
        <f>EEFF!E93</f>
        <v>1254843</v>
      </c>
      <c r="F95" s="511">
        <f>EEFF!F93</f>
        <v>1277252</v>
      </c>
      <c r="G95" s="516">
        <f>F95</f>
        <v>1277252</v>
      </c>
      <c r="H95" s="509">
        <f>G95</f>
        <v>1277252</v>
      </c>
      <c r="I95" s="509">
        <f>H95</f>
        <v>1277252</v>
      </c>
      <c r="J95" s="509">
        <f>I95</f>
        <v>1277252</v>
      </c>
      <c r="K95" s="509">
        <f>J95</f>
        <v>1277252</v>
      </c>
    </row>
    <row r="96">
      <c r="A96" s="526" t="s">
        <v>22</v>
      </c>
      <c r="B96" s="511">
        <f>EEFF!B94</f>
        <v>0</v>
      </c>
      <c r="C96" s="511">
        <f>EEFF!C94</f>
        <v>0</v>
      </c>
      <c r="D96" s="511">
        <f>EEFF!D94</f>
        <v>1432537</v>
      </c>
      <c r="E96" s="511">
        <f>EEFF!E94</f>
        <v>1418031</v>
      </c>
      <c r="F96" s="511">
        <f>EEFF!F94</f>
        <v>455297</v>
      </c>
      <c r="G96" s="516">
        <f>F96</f>
        <v>455297</v>
      </c>
      <c r="H96" s="509">
        <f>G96</f>
        <v>455297</v>
      </c>
      <c r="I96" s="509">
        <f>H96</f>
        <v>455297</v>
      </c>
      <c r="J96" s="509">
        <f>I96</f>
        <v>455297</v>
      </c>
      <c r="K96" s="509">
        <f>J96</f>
        <v>455297</v>
      </c>
    </row>
    <row r="97">
      <c r="A97" s="526" t="s">
        <v>28</v>
      </c>
      <c r="B97" s="511">
        <f>EEFF!B95</f>
        <v>4253458</v>
      </c>
      <c r="C97" s="511">
        <f>EEFF!C95</f>
        <v>2306216</v>
      </c>
      <c r="D97" s="511">
        <f>EEFF!D95</f>
        <v>3577343</v>
      </c>
      <c r="E97" s="511">
        <f>EEFF!E95</f>
        <v>3746352</v>
      </c>
      <c r="F97" s="511">
        <f>EEFF!F95</f>
        <v>3157485</v>
      </c>
      <c r="G97" s="516">
        <f>F97</f>
        <v>3157485</v>
      </c>
      <c r="H97" s="509">
        <f>G97</f>
        <v>3157485</v>
      </c>
      <c r="I97" s="509">
        <f>H97</f>
        <v>3157485</v>
      </c>
      <c r="J97" s="509">
        <f>I97</f>
        <v>3157485</v>
      </c>
      <c r="K97" s="509">
        <f>J97</f>
        <v>3157485</v>
      </c>
    </row>
    <row r="98">
      <c r="A98" s="526" t="s">
        <v>31</v>
      </c>
      <c r="B98" s="511">
        <f>EEFF!B96</f>
        <v>7315922</v>
      </c>
      <c r="C98" s="511">
        <f>EEFF!C96</f>
        <v>6603590</v>
      </c>
      <c r="D98" s="511">
        <f>EEFF!D96</f>
        <v>4017612</v>
      </c>
      <c r="E98" s="511">
        <f>EEFF!E96</f>
        <v>5061963</v>
      </c>
      <c r="F98" s="511">
        <f>EEFF!F96</f>
        <v>5141262</v>
      </c>
      <c r="G98" s="516">
        <f>F98</f>
        <v>5141262</v>
      </c>
      <c r="H98" s="509">
        <f>G98</f>
        <v>5141262</v>
      </c>
      <c r="I98" s="509">
        <f>H98</f>
        <v>5141262</v>
      </c>
      <c r="J98" s="509">
        <f>I98</f>
        <v>5141262</v>
      </c>
      <c r="K98" s="509">
        <f>J98</f>
        <v>5141262</v>
      </c>
    </row>
    <row r="99">
      <c r="A99" s="526" t="s">
        <v>96</v>
      </c>
      <c r="B99" s="511">
        <f>EEFF!B97</f>
        <v>-4692774</v>
      </c>
      <c r="C99" s="511">
        <f>EEFF!C97</f>
        <v>1133921</v>
      </c>
      <c r="D99" s="511">
        <f>EEFF!D97</f>
        <v>5956108</v>
      </c>
      <c r="E99" s="511">
        <f>EEFF!E97</f>
        <v>4365</v>
      </c>
      <c r="F99" s="511">
        <f>EEFF!F97</f>
        <v>1120956</v>
      </c>
      <c r="G99" s="516">
        <f>F99</f>
        <v>1120956</v>
      </c>
      <c r="H99" s="509">
        <f>G99</f>
        <v>1120956</v>
      </c>
      <c r="I99" s="509">
        <f>H99</f>
        <v>1120956</v>
      </c>
      <c r="J99" s="509">
        <f>I99</f>
        <v>1120956</v>
      </c>
      <c r="K99" s="509">
        <f>J99</f>
        <v>1120956</v>
      </c>
    </row>
    <row r="100">
      <c r="A100" s="526" t="s">
        <v>39</v>
      </c>
      <c r="B100" s="511">
        <f>EEFF!B98</f>
        <v>-12146830</v>
      </c>
      <c r="C100" s="511">
        <f>EEFF!C98</f>
        <v>-17465207</v>
      </c>
      <c r="D100" s="511">
        <f>EEFF!D98</f>
        <v>-1051273</v>
      </c>
      <c r="E100" s="511">
        <f>EEFF!E98</f>
        <v>8766185</v>
      </c>
      <c r="F100" s="511">
        <f>EEFF!F98</f>
        <v>13354407</v>
      </c>
      <c r="G100" s="516">
        <f>F100</f>
        <v>13354407</v>
      </c>
      <c r="H100" s="509">
        <f>G100</f>
        <v>13354407</v>
      </c>
      <c r="I100" s="509">
        <f>H100</f>
        <v>13354407</v>
      </c>
      <c r="J100" s="509">
        <f>I100</f>
        <v>13354407</v>
      </c>
      <c r="K100" s="509">
        <f>J100</f>
        <v>13354407</v>
      </c>
    </row>
    <row r="101">
      <c r="A101" s="526" t="s">
        <v>40</v>
      </c>
      <c r="B101" s="511">
        <f>EEFF!B99</f>
        <v>-33995</v>
      </c>
      <c r="C101" s="511">
        <f>EEFF!C99</f>
        <v>-1194043</v>
      </c>
      <c r="D101" s="511">
        <f>EEFF!D99</f>
        <v>-56893</v>
      </c>
      <c r="E101" s="511">
        <f>EEFF!E99</f>
        <v>-1963541</v>
      </c>
      <c r="F101" s="511">
        <f>EEFF!F99</f>
        <v>-337453</v>
      </c>
      <c r="G101" s="516">
        <f>F101</f>
        <v>-337453</v>
      </c>
      <c r="H101" s="509">
        <f>G101</f>
        <v>-337453</v>
      </c>
      <c r="I101" s="509">
        <f>H101</f>
        <v>-337453</v>
      </c>
      <c r="J101" s="509">
        <f>I101</f>
        <v>-337453</v>
      </c>
      <c r="K101" s="509">
        <f>J101</f>
        <v>-337453</v>
      </c>
    </row>
    <row r="102">
      <c r="A102" s="526" t="s">
        <v>41</v>
      </c>
      <c r="B102" s="511">
        <f>EEFF!B100</f>
        <v>816657</v>
      </c>
      <c r="C102" s="511">
        <f>EEFF!C100</f>
        <v>722550</v>
      </c>
      <c r="D102" s="511">
        <f>EEFF!D100</f>
        <v>1098461</v>
      </c>
      <c r="E102" s="511">
        <f>EEFF!E100</f>
        <v>1329458</v>
      </c>
      <c r="F102" s="511">
        <f>EEFF!F100</f>
        <v>883469</v>
      </c>
      <c r="G102" s="516">
        <f>F102</f>
        <v>883469</v>
      </c>
      <c r="H102" s="509">
        <f>G102</f>
        <v>883469</v>
      </c>
      <c r="I102" s="509">
        <f>H102</f>
        <v>883469</v>
      </c>
      <c r="J102" s="509">
        <f>I102</f>
        <v>883469</v>
      </c>
      <c r="K102" s="509">
        <f>J102</f>
        <v>883469</v>
      </c>
    </row>
    <row r="103">
      <c r="A103" s="526" t="s">
        <v>42</v>
      </c>
      <c r="B103" s="511">
        <f>EEFF!B101</f>
        <v>-2230832</v>
      </c>
      <c r="C103" s="511">
        <f>EEFF!C101</f>
        <v>-561778</v>
      </c>
      <c r="D103" s="511">
        <f>EEFF!D101</f>
        <v>-162083</v>
      </c>
      <c r="E103" s="511">
        <f>EEFF!E101</f>
        <v>2512854</v>
      </c>
      <c r="F103" s="511">
        <f>EEFF!F101</f>
        <v>-977474</v>
      </c>
      <c r="G103" s="516">
        <f>F103</f>
        <v>-977474</v>
      </c>
      <c r="H103" s="509">
        <f>G103</f>
        <v>-977474</v>
      </c>
      <c r="I103" s="509">
        <f>H103</f>
        <v>-977474</v>
      </c>
      <c r="J103" s="509">
        <f>I103</f>
        <v>-977474</v>
      </c>
      <c r="K103" s="509">
        <f>J103</f>
        <v>-977474</v>
      </c>
    </row>
    <row r="104">
      <c r="A104" s="526" t="s">
        <v>97</v>
      </c>
      <c r="B104" s="511">
        <f>EEFF!B102</f>
        <v>-2308440</v>
      </c>
      <c r="C104" s="511">
        <f>EEFF!C102</f>
        <v>1313893</v>
      </c>
      <c r="D104" s="511">
        <f>EEFF!D102</f>
        <v>-7013242</v>
      </c>
      <c r="E104" s="511">
        <f>EEFF!E102</f>
        <v>-3409700</v>
      </c>
      <c r="F104" s="511">
        <f>EEFF!F102</f>
        <v>-4833089</v>
      </c>
      <c r="G104" s="516">
        <f>F104</f>
        <v>-4833089</v>
      </c>
      <c r="H104" s="509">
        <f>G104</f>
        <v>-4833089</v>
      </c>
      <c r="I104" s="509">
        <f>H104</f>
        <v>-4833089</v>
      </c>
      <c r="J104" s="509">
        <f>I104</f>
        <v>-4833089</v>
      </c>
      <c r="K104" s="509">
        <f>J104</f>
        <v>-4833089</v>
      </c>
    </row>
    <row r="105">
      <c r="A105" s="526" t="s">
        <v>44</v>
      </c>
      <c r="B105" s="511">
        <f>EEFF!B103</f>
        <v>-3086910</v>
      </c>
      <c r="C105" s="511">
        <f>EEFF!C103</f>
        <v>-5528486</v>
      </c>
      <c r="D105" s="511">
        <f>EEFF!D103</f>
        <v>7350655</v>
      </c>
      <c r="E105" s="511">
        <f>EEFF!E103</f>
        <v>407955</v>
      </c>
      <c r="F105" s="511">
        <f>EEFF!F103</f>
        <v>105578</v>
      </c>
      <c r="G105" s="516">
        <f>F105</f>
        <v>105578</v>
      </c>
      <c r="H105" s="509">
        <f>G105</f>
        <v>105578</v>
      </c>
      <c r="I105" s="509">
        <f>H105</f>
        <v>105578</v>
      </c>
      <c r="J105" s="509">
        <f>I105</f>
        <v>105578</v>
      </c>
      <c r="K105" s="509">
        <f>J105</f>
        <v>105578</v>
      </c>
    </row>
    <row r="106">
      <c r="A106" s="526" t="s">
        <v>46</v>
      </c>
      <c r="B106" s="511">
        <f>EEFF!B104</f>
        <v>502522</v>
      </c>
      <c r="C106" s="511">
        <f>EEFF!C104</f>
        <v>4211</v>
      </c>
      <c r="D106" s="511">
        <f>EEFF!D104</f>
        <v>146383</v>
      </c>
      <c r="E106" s="511">
        <f>EEFF!E104</f>
        <v>-125347</v>
      </c>
      <c r="F106" s="511">
        <f>EEFF!F104</f>
        <v>-23978</v>
      </c>
      <c r="G106" s="516">
        <f>F106</f>
        <v>-23978</v>
      </c>
      <c r="H106" s="509">
        <f>G106</f>
        <v>-23978</v>
      </c>
      <c r="I106" s="509">
        <f>H106</f>
        <v>-23978</v>
      </c>
      <c r="J106" s="509">
        <f>I106</f>
        <v>-23978</v>
      </c>
      <c r="K106" s="509">
        <f>J106</f>
        <v>-23978</v>
      </c>
    </row>
    <row r="107">
      <c r="A107" s="526" t="s">
        <v>98</v>
      </c>
      <c r="B107" s="511">
        <f>EEFF!B105</f>
        <v>18812266</v>
      </c>
      <c r="C107" s="511">
        <f>EEFF!C105</f>
        <v>5177883</v>
      </c>
      <c r="D107" s="511">
        <f>EEFF!D105</f>
        <v>-6679279</v>
      </c>
      <c r="E107" s="511">
        <f>EEFF!E105</f>
        <v>-4033223</v>
      </c>
      <c r="F107" s="511">
        <f>EEFF!F105</f>
        <v>-3313445</v>
      </c>
      <c r="G107" s="516">
        <f>F107</f>
        <v>-3313445</v>
      </c>
      <c r="H107" s="509">
        <f>G107</f>
        <v>-3313445</v>
      </c>
      <c r="I107" s="509">
        <f>H107</f>
        <v>-3313445</v>
      </c>
      <c r="J107" s="509">
        <f>I107</f>
        <v>-3313445</v>
      </c>
      <c r="K107" s="509">
        <f>J107</f>
        <v>-3313445</v>
      </c>
    </row>
    <row r="108">
      <c r="A108" s="526" t="s">
        <v>68</v>
      </c>
      <c r="B108" s="511">
        <f>EEFF!B106</f>
        <v>2365978</v>
      </c>
      <c r="C108" s="511">
        <f>EEFF!C106</f>
        <v>-2301924</v>
      </c>
      <c r="D108" s="511">
        <f>EEFF!D106</f>
        <v>1888489</v>
      </c>
      <c r="E108" s="511">
        <f>EEFF!E106</f>
        <v>646426</v>
      </c>
      <c r="F108" s="511">
        <f>EEFF!F106</f>
        <v>319248</v>
      </c>
      <c r="G108" s="516">
        <f>F108</f>
        <v>319248</v>
      </c>
      <c r="H108" s="509">
        <f>G108</f>
        <v>319248</v>
      </c>
      <c r="I108" s="509">
        <f>H108</f>
        <v>319248</v>
      </c>
      <c r="J108" s="509">
        <f>I108</f>
        <v>319248</v>
      </c>
      <c r="K108" s="509">
        <f>J108</f>
        <v>319248</v>
      </c>
    </row>
    <row r="109">
      <c r="A109" s="526" t="s">
        <v>71</v>
      </c>
      <c r="B109" s="511">
        <f>EEFF!B107</f>
        <v>2289233</v>
      </c>
      <c r="C109" s="511">
        <f>EEFF!C107</f>
        <v>498044</v>
      </c>
      <c r="D109" s="511">
        <f>EEFF!D107</f>
        <v>-1840219</v>
      </c>
      <c r="E109" s="511">
        <f>EEFF!E107</f>
        <v>529290</v>
      </c>
      <c r="F109" s="511">
        <f>EEFF!F107</f>
        <v>-545079</v>
      </c>
      <c r="G109" s="516">
        <f>F109</f>
        <v>-545079</v>
      </c>
      <c r="H109" s="509">
        <f>G109</f>
        <v>-545079</v>
      </c>
      <c r="I109" s="509">
        <f>H109</f>
        <v>-545079</v>
      </c>
      <c r="J109" s="509">
        <f>I109</f>
        <v>-545079</v>
      </c>
      <c r="K109" s="509">
        <f>J109</f>
        <v>-545079</v>
      </c>
    </row>
    <row r="110">
      <c r="A110" s="502" t="s">
        <v>99</v>
      </c>
      <c r="B110" s="495">
        <f>EEFF!B108</f>
        <v>51924919</v>
      </c>
      <c r="C110" s="495">
        <f>EEFF!C108</f>
        <v>26644655</v>
      </c>
      <c r="D110" s="495">
        <f>EEFF!D108</f>
        <v>38047551</v>
      </c>
      <c r="E110" s="495">
        <f>EEFF!E108</f>
        <v>49690149</v>
      </c>
      <c r="F110" s="495">
        <f>EEFF!F108</f>
        <v>52173440</v>
      </c>
      <c r="G110" s="506">
        <f>F110</f>
        <v>52173440</v>
      </c>
      <c r="H110" s="496">
        <f>G110</f>
        <v>52173440</v>
      </c>
      <c r="I110" s="496">
        <f>H110</f>
        <v>52173440</v>
      </c>
      <c r="J110" s="496">
        <f>I110</f>
        <v>52173440</v>
      </c>
      <c r="K110" s="496">
        <f>J110</f>
        <v>52173440</v>
      </c>
    </row>
    <row r="111">
      <c r="A111" s="526" t="s">
        <v>100</v>
      </c>
      <c r="B111" s="511">
        <f>EEFF!B109</f>
        <v>-1332192</v>
      </c>
      <c r="C111" s="511">
        <f>EEFF!C109</f>
        <v>-1364593</v>
      </c>
      <c r="D111" s="511">
        <f>EEFF!D109</f>
        <v>-917438</v>
      </c>
      <c r="E111" s="511">
        <f>EEFF!E109</f>
        <v>-925047</v>
      </c>
      <c r="F111" s="511">
        <f>EEFF!F109</f>
        <v>-1018882</v>
      </c>
      <c r="G111" s="516">
        <f>F111</f>
        <v>-1018882</v>
      </c>
      <c r="H111" s="509">
        <f>G111</f>
        <v>-1018882</v>
      </c>
      <c r="I111" s="509">
        <f>H111</f>
        <v>-1018882</v>
      </c>
      <c r="J111" s="509">
        <f>I111</f>
        <v>-1018882</v>
      </c>
      <c r="K111" s="509">
        <f>J111</f>
        <v>-1018882</v>
      </c>
    </row>
    <row r="112">
      <c r="A112" s="526" t="s">
        <v>101</v>
      </c>
      <c r="B112" s="511">
        <f>EEFF!B110</f>
        <v>-6080627</v>
      </c>
      <c r="C112" s="511">
        <f>EEFF!C110</f>
        <v>-3627764</v>
      </c>
      <c r="D112" s="511">
        <f>EEFF!D110</f>
        <v>-4696730</v>
      </c>
      <c r="E112" s="511">
        <f>EEFF!E110</f>
        <v>-4980492</v>
      </c>
      <c r="F112" s="511">
        <f>EEFF!F110</f>
        <v>-4181690</v>
      </c>
      <c r="G112" s="516">
        <f>F112</f>
        <v>-4181690</v>
      </c>
      <c r="H112" s="509">
        <f>G112</f>
        <v>-4181690</v>
      </c>
      <c r="I112" s="509">
        <f>H112</f>
        <v>-4181690</v>
      </c>
      <c r="J112" s="509">
        <f>I112</f>
        <v>-4181690</v>
      </c>
      <c r="K112" s="509">
        <f>J112</f>
        <v>-4181690</v>
      </c>
    </row>
    <row r="113">
      <c r="A113" s="526" t="s">
        <v>102</v>
      </c>
      <c r="B113" s="511">
        <f>EEFF!B111</f>
        <v>-929149</v>
      </c>
      <c r="C113" s="511">
        <f>EEFF!C111</f>
        <v>-11773833</v>
      </c>
      <c r="D113" s="511">
        <f>EEFF!D111</f>
        <v>-4851299</v>
      </c>
      <c r="E113" s="511">
        <f>EEFF!E111</f>
        <v>-1449549</v>
      </c>
      <c r="F113" s="511">
        <f>EEFF!F111</f>
        <v>-6303875</v>
      </c>
      <c r="G113" s="516">
        <f>F113</f>
        <v>-6303875</v>
      </c>
      <c r="H113" s="509">
        <f>G113</f>
        <v>-6303875</v>
      </c>
      <c r="I113" s="509">
        <f>H113</f>
        <v>-6303875</v>
      </c>
      <c r="J113" s="509">
        <f>I113</f>
        <v>-6303875</v>
      </c>
      <c r="K113" s="509">
        <f>J113</f>
        <v>-6303875</v>
      </c>
    </row>
    <row r="114">
      <c r="A114" s="502" t="s">
        <v>103</v>
      </c>
      <c r="B114" s="495">
        <f>EEFF!B112</f>
        <v>43582951</v>
      </c>
      <c r="C114" s="495">
        <f>EEFF!C112</f>
        <v>9878465</v>
      </c>
      <c r="D114" s="495">
        <f>EEFF!D112</f>
        <v>27582084</v>
      </c>
      <c r="E114" s="495">
        <f>EEFF!E112</f>
        <v>42335061</v>
      </c>
      <c r="F114" s="495">
        <f>EEFF!F112</f>
        <v>40668993</v>
      </c>
      <c r="G114" s="506">
        <f>F114</f>
        <v>40668993</v>
      </c>
      <c r="H114" s="496">
        <f>G114</f>
        <v>40668993</v>
      </c>
      <c r="I114" s="496">
        <f>H114</f>
        <v>40668993</v>
      </c>
      <c r="J114" s="496">
        <f>I114</f>
        <v>40668993</v>
      </c>
      <c r="K114" s="496">
        <f>J114</f>
        <v>40668993</v>
      </c>
    </row>
    <row r="115">
      <c r="A115" s="526" t="s">
        <v>104</v>
      </c>
      <c r="B115" s="511">
        <f>EEFF!B113</f>
        <v>1627169</v>
      </c>
      <c r="C115" s="511">
        <f>EEFF!C113</f>
        <v>2203898</v>
      </c>
      <c r="D115" s="511">
        <f>EEFF!D113</f>
        <v>1911252</v>
      </c>
      <c r="E115" s="511">
        <f>EEFF!E113</f>
        <v>2201801</v>
      </c>
      <c r="F115" s="511">
        <f>EEFF!F113</f>
        <v>2520005</v>
      </c>
      <c r="G115" s="516">
        <f>F115</f>
        <v>2520005</v>
      </c>
      <c r="H115" s="509">
        <f>G115</f>
        <v>2520005</v>
      </c>
      <c r="I115" s="509">
        <f>H115</f>
        <v>2520005</v>
      </c>
      <c r="J115" s="509">
        <f>I115</f>
        <v>2520005</v>
      </c>
      <c r="K115" s="509">
        <f>J115</f>
        <v>2520005</v>
      </c>
    </row>
    <row r="116">
      <c r="A116" s="526" t="s">
        <v>105</v>
      </c>
      <c r="B116" s="511">
        <f>EEFF!B114</f>
        <v>1421</v>
      </c>
      <c r="C116" s="511">
        <f>EEFF!C114</f>
        <v>-1131841</v>
      </c>
      <c r="D116" s="511">
        <f>EEFF!D114</f>
        <v>-433127</v>
      </c>
      <c r="E116" s="511">
        <f>EEFF!E114</f>
        <v>-1026943</v>
      </c>
      <c r="F116" s="511">
        <f>EEFF!F114</f>
        <v>-682200</v>
      </c>
      <c r="G116" s="516">
        <f>F116</f>
        <v>-682200</v>
      </c>
      <c r="H116" s="509">
        <f>G116</f>
        <v>-682200</v>
      </c>
      <c r="I116" s="509">
        <f>H116</f>
        <v>-682200</v>
      </c>
      <c r="J116" s="509">
        <f>I116</f>
        <v>-682200</v>
      </c>
      <c r="K116" s="509">
        <f>J116</f>
        <v>-682200</v>
      </c>
    </row>
    <row r="117">
      <c r="A117" s="526" t="s">
        <v>106</v>
      </c>
      <c r="B117" s="511">
        <f>EEFF!B115</f>
        <v>-8796300</v>
      </c>
      <c r="C117" s="511">
        <f>EEFF!C115</f>
        <v>-12854095</v>
      </c>
      <c r="D117" s="511">
        <f>EEFF!D115</f>
        <v>-16438880</v>
      </c>
      <c r="E117" s="511">
        <f>EEFF!E115</f>
        <v>-15891935</v>
      </c>
      <c r="F117" s="511">
        <f>EEFF!F115</f>
        <v>-17109401</v>
      </c>
      <c r="G117" s="516">
        <f>F117</f>
        <v>-17109401</v>
      </c>
      <c r="H117" s="509">
        <f>G117</f>
        <v>-17109401</v>
      </c>
      <c r="I117" s="509">
        <f>H117</f>
        <v>-17109401</v>
      </c>
      <c r="J117" s="509">
        <f>I117</f>
        <v>-17109401</v>
      </c>
      <c r="K117" s="509">
        <f>J117</f>
        <v>-17109401</v>
      </c>
    </row>
    <row r="118">
      <c r="A118" s="526" t="s">
        <v>107</v>
      </c>
      <c r="B118" s="511">
        <f>EEFF!B116</f>
        <v>260483</v>
      </c>
      <c r="C118" s="511">
        <f>EEFF!C116</f>
        <v>152429</v>
      </c>
      <c r="D118" s="511">
        <f>EEFF!D116</f>
        <v>270038</v>
      </c>
      <c r="E118" s="511">
        <f>EEFF!E116</f>
        <v>4543</v>
      </c>
      <c r="F118" s="511">
        <f>EEFF!F116</f>
        <v>158160</v>
      </c>
      <c r="G118" s="516">
        <f>F118</f>
        <v>158160</v>
      </c>
      <c r="H118" s="509">
        <f>G118</f>
        <v>158160</v>
      </c>
      <c r="I118" s="509">
        <f>H118</f>
        <v>158160</v>
      </c>
      <c r="J118" s="509">
        <f>I118</f>
        <v>158160</v>
      </c>
      <c r="K118" s="509">
        <f>J118</f>
        <v>158160</v>
      </c>
    </row>
    <row r="119">
      <c r="A119" s="526" t="s">
        <v>108</v>
      </c>
      <c r="B119" s="511">
        <f>EEFF!B117</f>
        <v>-310772</v>
      </c>
      <c r="C119" s="511">
        <f>EEFF!C117</f>
        <v>-965474</v>
      </c>
      <c r="D119" s="511">
        <f>EEFF!D117</f>
        <v>-2850922</v>
      </c>
      <c r="E119" s="511">
        <f>EEFF!E117</f>
        <v>-1511496</v>
      </c>
      <c r="F119" s="511">
        <f>EEFF!F117</f>
        <v>-612571</v>
      </c>
      <c r="G119" s="516">
        <f>F119</f>
        <v>-612571</v>
      </c>
      <c r="H119" s="509">
        <f>G119</f>
        <v>-612571</v>
      </c>
      <c r="I119" s="509">
        <f>H119</f>
        <v>-612571</v>
      </c>
      <c r="J119" s="509">
        <f>I119</f>
        <v>-612571</v>
      </c>
      <c r="K119" s="509">
        <f>J119</f>
        <v>-612571</v>
      </c>
    </row>
    <row r="120">
      <c r="A120" s="526" t="s">
        <v>109</v>
      </c>
      <c r="B120" s="511">
        <f>EEFF!B118</f>
        <v>0</v>
      </c>
      <c r="C120" s="511">
        <f>EEFF!C118</f>
        <v>0</v>
      </c>
      <c r="D120" s="511">
        <f>EEFF!D118</f>
        <v>0</v>
      </c>
      <c r="E120" s="511">
        <f>EEFF!E118</f>
        <v>0</v>
      </c>
      <c r="F120" s="511">
        <f>EEFF!F118</f>
        <v>-7600</v>
      </c>
      <c r="G120" s="516">
        <f>F120</f>
        <v>-7600</v>
      </c>
      <c r="H120" s="509">
        <f>G120</f>
        <v>-7600</v>
      </c>
      <c r="I120" s="509">
        <f>H120</f>
        <v>-7600</v>
      </c>
      <c r="J120" s="509">
        <f>I120</f>
        <v>-7600</v>
      </c>
      <c r="K120" s="509">
        <f>J120</f>
        <v>-7600</v>
      </c>
    </row>
    <row r="121">
      <c r="A121" s="526" t="s">
        <v>110</v>
      </c>
      <c r="B121" s="511">
        <f>EEFF!B119</f>
        <v>0</v>
      </c>
      <c r="C121" s="511">
        <f>EEFF!C119</f>
        <v>0</v>
      </c>
      <c r="D121" s="511">
        <f>EEFF!D119</f>
        <v>0</v>
      </c>
      <c r="E121" s="511">
        <f>EEFF!E119</f>
        <v>0</v>
      </c>
      <c r="F121" s="511">
        <f>EEFF!F119</f>
        <v>105000</v>
      </c>
      <c r="G121" s="516">
        <f>F121</f>
        <v>105000</v>
      </c>
      <c r="H121" s="509">
        <f>G121</f>
        <v>105000</v>
      </c>
      <c r="I121" s="509">
        <f>H121</f>
        <v>105000</v>
      </c>
      <c r="J121" s="509">
        <f>I121</f>
        <v>105000</v>
      </c>
      <c r="K121" s="509">
        <f>J121</f>
        <v>105000</v>
      </c>
    </row>
    <row r="122">
      <c r="A122" s="526" t="s">
        <v>111</v>
      </c>
      <c r="B122" s="511">
        <f>EEFF!B120</f>
        <v>1395523</v>
      </c>
      <c r="C122" s="511">
        <f>EEFF!C120</f>
        <v>793977</v>
      </c>
      <c r="D122" s="511">
        <f>EEFF!D120</f>
        <v>667740</v>
      </c>
      <c r="E122" s="511">
        <f>EEFF!E120</f>
        <v>817297</v>
      </c>
      <c r="F122" s="511">
        <f>EEFF!F120</f>
        <v>795946</v>
      </c>
      <c r="G122" s="516">
        <f>F122</f>
        <v>795946</v>
      </c>
      <c r="H122" s="509">
        <f>G122</f>
        <v>795946</v>
      </c>
      <c r="I122" s="509">
        <f>H122</f>
        <v>795946</v>
      </c>
      <c r="J122" s="509">
        <f>I122</f>
        <v>795946</v>
      </c>
      <c r="K122" s="509">
        <f>J122</f>
        <v>795946</v>
      </c>
    </row>
    <row r="123">
      <c r="A123" s="526" t="s">
        <v>112</v>
      </c>
      <c r="B123" s="511">
        <f>EEFF!B121</f>
        <v>-165254</v>
      </c>
      <c r="C123" s="511">
        <f>EEFF!C121</f>
        <v>-182978</v>
      </c>
      <c r="D123" s="511">
        <f>EEFF!D121</f>
        <v>0</v>
      </c>
      <c r="E123" s="511">
        <f>EEFF!E121</f>
        <v>0</v>
      </c>
      <c r="F123" s="511">
        <f>EEFF!F121</f>
        <v>0</v>
      </c>
      <c r="G123" s="493"/>
      <c r="H123" s="490"/>
      <c r="I123" s="490"/>
      <c r="J123" s="490"/>
      <c r="K123" s="490"/>
    </row>
    <row r="124">
      <c r="A124" s="526" t="s">
        <v>113</v>
      </c>
      <c r="B124" s="511">
        <f>EEFF!B122</f>
        <v>0</v>
      </c>
      <c r="C124" s="511">
        <f>EEFF!C122</f>
        <v>0</v>
      </c>
      <c r="D124" s="511">
        <f>EEFF!D122</f>
        <v>4009155</v>
      </c>
      <c r="E124" s="511">
        <f>EEFF!E122</f>
        <v>0</v>
      </c>
      <c r="F124" s="511">
        <f>EEFF!F122</f>
        <v>0</v>
      </c>
      <c r="G124" s="493"/>
      <c r="H124" s="490"/>
      <c r="I124" s="490"/>
      <c r="J124" s="490"/>
      <c r="K124" s="490"/>
    </row>
    <row r="125">
      <c r="A125" s="526" t="s">
        <v>114</v>
      </c>
      <c r="B125" s="511">
        <f>EEFF!B123</f>
        <v>0</v>
      </c>
      <c r="C125" s="511">
        <f>EEFF!C123</f>
        <v>0</v>
      </c>
      <c r="D125" s="511">
        <f>EEFF!D123</f>
        <v>0</v>
      </c>
      <c r="E125" s="511">
        <f>EEFF!E123</f>
        <v>-3400000</v>
      </c>
      <c r="F125" s="511">
        <f>EEFF!F123</f>
        <v>-4606000</v>
      </c>
      <c r="G125" s="516">
        <f>F125</f>
        <v>-4606000</v>
      </c>
      <c r="H125" s="509">
        <f>G125</f>
        <v>-4606000</v>
      </c>
      <c r="I125" s="509">
        <f>H125</f>
        <v>-4606000</v>
      </c>
      <c r="J125" s="509">
        <f>I125</f>
        <v>-4606000</v>
      </c>
      <c r="K125" s="509">
        <f>J125</f>
        <v>-4606000</v>
      </c>
    </row>
    <row r="126">
      <c r="A126" s="526" t="s">
        <v>115</v>
      </c>
      <c r="B126" s="511">
        <f>EEFF!B124</f>
        <v>-14988</v>
      </c>
      <c r="C126" s="511">
        <f>EEFF!C124</f>
        <v>-161504</v>
      </c>
      <c r="D126" s="511">
        <f>EEFF!D124</f>
        <v>-54503</v>
      </c>
      <c r="E126" s="511">
        <f>EEFF!E124</f>
        <v>-7278</v>
      </c>
      <c r="F126" s="511">
        <f>EEFF!F124</f>
        <v>3181</v>
      </c>
      <c r="G126" s="516">
        <f>F126</f>
        <v>3181</v>
      </c>
      <c r="H126" s="509">
        <f>G126</f>
        <v>3181</v>
      </c>
      <c r="I126" s="509">
        <f>H126</f>
        <v>3181</v>
      </c>
      <c r="J126" s="509">
        <f>I126</f>
        <v>3181</v>
      </c>
      <c r="K126" s="509">
        <f>J126</f>
        <v>3181</v>
      </c>
    </row>
    <row r="127">
      <c r="A127" s="502" t="s">
        <v>116</v>
      </c>
      <c r="B127" s="495">
        <f>EEFF!B125</f>
        <v>-5802718</v>
      </c>
      <c r="C127" s="495">
        <f>EEFF!C125</f>
        <v>-12145588</v>
      </c>
      <c r="D127" s="495">
        <f>EEFF!D125</f>
        <v>-12919247</v>
      </c>
      <c r="E127" s="495">
        <f>EEFF!E125</f>
        <v>-18814011</v>
      </c>
      <c r="F127" s="495">
        <f>EEFF!F125</f>
        <v>-19429480</v>
      </c>
      <c r="G127" s="506">
        <f>F127</f>
        <v>-19429480</v>
      </c>
      <c r="H127" s="496">
        <f>G127</f>
        <v>-19429480</v>
      </c>
      <c r="I127" s="496">
        <f>H127</f>
        <v>-19429480</v>
      </c>
      <c r="J127" s="496">
        <f>I127</f>
        <v>-19429480</v>
      </c>
      <c r="K127" s="496">
        <f>J127</f>
        <v>-19429480</v>
      </c>
    </row>
    <row r="128">
      <c r="A128" s="526" t="s">
        <v>117</v>
      </c>
      <c r="B128" s="511">
        <f>EEFF!B126</f>
        <v>-18446530</v>
      </c>
      <c r="C128" s="511">
        <f>EEFF!C126</f>
        <v>-34808648</v>
      </c>
      <c r="D128" s="511">
        <f>EEFF!D126</f>
        <v>-33873089</v>
      </c>
      <c r="E128" s="511">
        <f>EEFF!E126</f>
        <v>-26719186</v>
      </c>
      <c r="F128" s="511">
        <f>EEFF!F126</f>
        <v>-23847912</v>
      </c>
      <c r="G128" s="516">
        <f>F128</f>
        <v>-23847912</v>
      </c>
      <c r="H128" s="509">
        <f>G128</f>
        <v>-23847912</v>
      </c>
      <c r="I128" s="509">
        <f>H128</f>
        <v>-23847912</v>
      </c>
      <c r="J128" s="509">
        <f>I128</f>
        <v>-23847912</v>
      </c>
      <c r="K128" s="509">
        <f>J128</f>
        <v>-23847912</v>
      </c>
    </row>
    <row r="129">
      <c r="A129" s="526" t="s">
        <v>118</v>
      </c>
      <c r="B129" s="511">
        <f>EEFF!B127</f>
        <v>18110000</v>
      </c>
      <c r="C129" s="511">
        <f>EEFF!C127</f>
        <v>36048648</v>
      </c>
      <c r="D129" s="511">
        <f>EEFF!D127</f>
        <v>33692275</v>
      </c>
      <c r="E129" s="511">
        <f>EEFF!E127</f>
        <v>23024600</v>
      </c>
      <c r="F129" s="511">
        <f>EEFF!F127</f>
        <v>22747912</v>
      </c>
      <c r="G129" s="516">
        <f>F129</f>
        <v>22747912</v>
      </c>
      <c r="H129" s="509">
        <f>G129</f>
        <v>22747912</v>
      </c>
      <c r="I129" s="509">
        <f>H129</f>
        <v>22747912</v>
      </c>
      <c r="J129" s="509">
        <f>I129</f>
        <v>22747912</v>
      </c>
      <c r="K129" s="509">
        <f>J129</f>
        <v>22747912</v>
      </c>
    </row>
    <row r="130">
      <c r="A130" s="526" t="s">
        <v>119</v>
      </c>
      <c r="B130" s="511">
        <f>EEFF!B128</f>
        <v>20160000</v>
      </c>
      <c r="C130" s="511">
        <f>EEFF!C128</f>
        <v>15500000</v>
      </c>
      <c r="D130" s="511">
        <f>EEFF!D128</f>
        <v>16029000</v>
      </c>
      <c r="E130" s="511">
        <f>EEFF!E128</f>
        <v>13111000</v>
      </c>
      <c r="F130" s="511">
        <f>EEFF!F128</f>
        <v>16247000</v>
      </c>
      <c r="G130" s="516">
        <f>F130</f>
        <v>16247000</v>
      </c>
      <c r="H130" s="509">
        <f>G130</f>
        <v>16247000</v>
      </c>
      <c r="I130" s="509">
        <f>H130</f>
        <v>16247000</v>
      </c>
      <c r="J130" s="509">
        <f>I130</f>
        <v>16247000</v>
      </c>
      <c r="K130" s="509">
        <f>J130</f>
        <v>16247000</v>
      </c>
    </row>
    <row r="131">
      <c r="A131" s="526" t="s">
        <v>120</v>
      </c>
      <c r="B131" s="511">
        <f>EEFF!B129</f>
        <v>-28240000</v>
      </c>
      <c r="C131" s="511">
        <f>EEFF!C129</f>
        <v>-20160000</v>
      </c>
      <c r="D131" s="511">
        <f>EEFF!D129</f>
        <v>-15500000</v>
      </c>
      <c r="E131" s="511">
        <f>EEFF!E129</f>
        <v>-16049000</v>
      </c>
      <c r="F131" s="511">
        <f>EEFF!F129</f>
        <v>-13091000</v>
      </c>
      <c r="G131" s="516">
        <f>F131</f>
        <v>-13091000</v>
      </c>
      <c r="H131" s="509">
        <f>G131</f>
        <v>-13091000</v>
      </c>
      <c r="I131" s="509">
        <f>H131</f>
        <v>-13091000</v>
      </c>
      <c r="J131" s="509">
        <f>I131</f>
        <v>-13091000</v>
      </c>
      <c r="K131" s="509">
        <f>J131</f>
        <v>-13091000</v>
      </c>
    </row>
    <row r="132">
      <c r="A132" s="526" t="s">
        <v>121</v>
      </c>
      <c r="B132" s="511">
        <f>EEFF!B130</f>
        <v>-3452694</v>
      </c>
      <c r="C132" s="511">
        <f>EEFF!C130</f>
        <v>-4927640</v>
      </c>
      <c r="D132" s="511">
        <f>EEFF!D130</f>
        <v>-4278457</v>
      </c>
      <c r="E132" s="511">
        <f>EEFF!E130</f>
        <v>-5798085</v>
      </c>
      <c r="F132" s="511">
        <f>EEFF!F130</f>
        <v>-6793745</v>
      </c>
      <c r="G132" s="516">
        <f>F132</f>
        <v>-6793745</v>
      </c>
      <c r="H132" s="509">
        <f>G132</f>
        <v>-6793745</v>
      </c>
      <c r="I132" s="509">
        <f>H132</f>
        <v>-6793745</v>
      </c>
      <c r="J132" s="509">
        <f>I132</f>
        <v>-6793745</v>
      </c>
      <c r="K132" s="509">
        <f>J132</f>
        <v>-6793745</v>
      </c>
    </row>
    <row r="133">
      <c r="A133" s="526" t="s">
        <v>122</v>
      </c>
      <c r="B133" s="511">
        <f>EEFF!B131</f>
        <v>28000000</v>
      </c>
      <c r="C133" s="511">
        <f>EEFF!C131</f>
        <v>15000000</v>
      </c>
      <c r="D133" s="511">
        <f>EEFF!D131</f>
        <v>0</v>
      </c>
      <c r="E133" s="511">
        <f>EEFF!E131</f>
        <v>0</v>
      </c>
      <c r="F133" s="511">
        <f>EEFF!F131</f>
        <v>0</v>
      </c>
      <c r="G133" s="493"/>
      <c r="H133" s="490"/>
      <c r="I133" s="490"/>
      <c r="J133" s="490"/>
      <c r="K133" s="490"/>
    </row>
    <row r="134">
      <c r="A134" s="526" t="s">
        <v>123</v>
      </c>
      <c r="B134" s="511">
        <f>EEFF!B132</f>
        <v>-57649000</v>
      </c>
      <c r="C134" s="511">
        <f>EEFF!C132</f>
        <v>0</v>
      </c>
      <c r="D134" s="511">
        <f>EEFF!D132</f>
        <v>0</v>
      </c>
      <c r="E134" s="511">
        <f>EEFF!E132</f>
        <v>-5000000</v>
      </c>
      <c r="F134" s="511">
        <f>EEFF!F132</f>
        <v>-10000000</v>
      </c>
      <c r="G134" s="516">
        <f>F134</f>
        <v>-10000000</v>
      </c>
      <c r="H134" s="509">
        <f>G134</f>
        <v>-10000000</v>
      </c>
      <c r="I134" s="509">
        <f>H134</f>
        <v>-10000000</v>
      </c>
      <c r="J134" s="509">
        <f>I134</f>
        <v>-10000000</v>
      </c>
      <c r="K134" s="509">
        <f>J134</f>
        <v>-10000000</v>
      </c>
    </row>
    <row r="135">
      <c r="A135" s="526" t="s">
        <v>124</v>
      </c>
      <c r="B135" s="511">
        <f>EEFF!B133</f>
        <v>466986</v>
      </c>
      <c r="C135" s="511">
        <f>EEFF!C133</f>
        <v>0</v>
      </c>
      <c r="D135" s="511">
        <f>EEFF!D133</f>
        <v>0</v>
      </c>
      <c r="E135" s="511">
        <f>EEFF!E133</f>
        <v>0</v>
      </c>
      <c r="F135" s="511">
        <f>EEFF!F133</f>
        <v>0</v>
      </c>
      <c r="G135" s="493"/>
      <c r="H135" s="490"/>
      <c r="I135" s="490"/>
      <c r="J135" s="490"/>
      <c r="K135" s="490"/>
    </row>
    <row r="136">
      <c r="A136" s="526" t="s">
        <v>125</v>
      </c>
      <c r="B136" s="511">
        <f>EEFF!B134</f>
        <v>-16496</v>
      </c>
      <c r="C136" s="511">
        <f>EEFF!C134</f>
        <v>0</v>
      </c>
      <c r="D136" s="511">
        <f>EEFF!D134</f>
        <v>0</v>
      </c>
      <c r="E136" s="511">
        <f>EEFF!E134</f>
        <v>-351850</v>
      </c>
      <c r="F136" s="511">
        <f>EEFF!F134</f>
        <v>-172125</v>
      </c>
      <c r="G136" s="516">
        <f>F136</f>
        <v>-172125</v>
      </c>
      <c r="H136" s="509">
        <f>G136</f>
        <v>-172125</v>
      </c>
      <c r="I136" s="509">
        <f>H136</f>
        <v>-172125</v>
      </c>
      <c r="J136" s="509">
        <f>I136</f>
        <v>-172125</v>
      </c>
      <c r="K136" s="509">
        <f>J136</f>
        <v>-172125</v>
      </c>
    </row>
    <row r="137">
      <c r="A137" s="526" t="s">
        <v>126</v>
      </c>
      <c r="B137" s="511">
        <f>EEFF!B135</f>
        <v>0</v>
      </c>
      <c r="C137" s="511">
        <f>EEFF!C135</f>
        <v>-17669</v>
      </c>
      <c r="D137" s="511">
        <f>EEFF!D135</f>
        <v>-26198</v>
      </c>
      <c r="E137" s="511">
        <f>EEFF!E135</f>
        <v>-32383</v>
      </c>
      <c r="F137" s="511">
        <f>EEFF!F135</f>
        <v>-42272</v>
      </c>
      <c r="G137" s="516">
        <f>F137</f>
        <v>-42272</v>
      </c>
      <c r="H137" s="509">
        <f>G137</f>
        <v>-42272</v>
      </c>
      <c r="I137" s="509">
        <f>H137</f>
        <v>-42272</v>
      </c>
      <c r="J137" s="509">
        <f>I137</f>
        <v>-42272</v>
      </c>
      <c r="K137" s="509">
        <f>J137</f>
        <v>-42272</v>
      </c>
    </row>
    <row r="138">
      <c r="A138" s="526" t="s">
        <v>127</v>
      </c>
      <c r="B138" s="511">
        <f>EEFF!B136</f>
        <v>-4065112</v>
      </c>
      <c r="C138" s="511">
        <f>EEFF!C136</f>
        <v>-8364253</v>
      </c>
      <c r="D138" s="511">
        <f>EEFF!D136</f>
        <v>-7342358</v>
      </c>
      <c r="E138" s="511">
        <f>EEFF!E136</f>
        <v>-7091350</v>
      </c>
      <c r="F138" s="511">
        <f>EEFF!F136</f>
        <v>-5508708</v>
      </c>
      <c r="G138" s="516">
        <f>F138</f>
        <v>-5508708</v>
      </c>
      <c r="H138" s="509">
        <f>G138</f>
        <v>-5508708</v>
      </c>
      <c r="I138" s="509">
        <f>H138</f>
        <v>-5508708</v>
      </c>
      <c r="J138" s="509">
        <f>I138</f>
        <v>-5508708</v>
      </c>
      <c r="K138" s="509">
        <f>J138</f>
        <v>-5508708</v>
      </c>
    </row>
    <row r="139">
      <c r="A139" s="502" t="s">
        <v>128</v>
      </c>
      <c r="B139" s="495">
        <f>EEFF!B137</f>
        <v>-45132846</v>
      </c>
      <c r="C139" s="495">
        <f>EEFF!C137</f>
        <v>-1729562</v>
      </c>
      <c r="D139" s="495">
        <f>EEFF!D137</f>
        <v>-11298827</v>
      </c>
      <c r="E139" s="495">
        <f>EEFF!E137</f>
        <v>-24906254</v>
      </c>
      <c r="F139" s="495">
        <f>EEFF!F137</f>
        <v>-20460850</v>
      </c>
      <c r="G139" s="506">
        <f>F139</f>
        <v>-20460850</v>
      </c>
      <c r="H139" s="496">
        <f>G139</f>
        <v>-20460850</v>
      </c>
      <c r="I139" s="496">
        <f>H139</f>
        <v>-20460850</v>
      </c>
      <c r="J139" s="496">
        <f>I139</f>
        <v>-20460850</v>
      </c>
      <c r="K139" s="496">
        <f>J139</f>
        <v>-20460850</v>
      </c>
    </row>
    <row r="140">
      <c r="A140" s="526" t="s">
        <v>129</v>
      </c>
      <c r="B140" s="511">
        <f>EEFF!B138</f>
        <v>-7352613</v>
      </c>
      <c r="C140" s="511">
        <f>EEFF!C138</f>
        <v>-3996685</v>
      </c>
      <c r="D140" s="511">
        <f>EEFF!D138</f>
        <v>3364010</v>
      </c>
      <c r="E140" s="511">
        <f>EEFF!E138</f>
        <v>-1385204</v>
      </c>
      <c r="F140" s="511">
        <f>EEFF!F138</f>
        <v>778663</v>
      </c>
      <c r="G140" s="516">
        <f>F140</f>
        <v>778663</v>
      </c>
      <c r="H140" s="509">
        <f>G140</f>
        <v>778663</v>
      </c>
      <c r="I140" s="509">
        <f>H140</f>
        <v>778663</v>
      </c>
      <c r="J140" s="509">
        <f>I140</f>
        <v>778663</v>
      </c>
      <c r="K140" s="509">
        <f>J140</f>
        <v>778663</v>
      </c>
    </row>
    <row r="141">
      <c r="A141" s="526" t="s">
        <v>130</v>
      </c>
      <c r="B141" s="511">
        <f>EEFF!B139</f>
        <v>21574377</v>
      </c>
      <c r="C141" s="511">
        <f>EEFF!C139</f>
        <v>14137059</v>
      </c>
      <c r="D141" s="511">
        <f>EEFF!D139</f>
        <v>10248083</v>
      </c>
      <c r="E141" s="511">
        <f>EEFF!E139</f>
        <v>13933186</v>
      </c>
      <c r="F141" s="511">
        <f>EEFF!F139</f>
        <v>12627619</v>
      </c>
      <c r="G141" s="516">
        <f>F141</f>
        <v>12627619</v>
      </c>
      <c r="H141" s="509">
        <f>G141</f>
        <v>12627619</v>
      </c>
      <c r="I141" s="509">
        <f>H141</f>
        <v>12627619</v>
      </c>
      <c r="J141" s="509">
        <f>I141</f>
        <v>12627619</v>
      </c>
      <c r="K141" s="509">
        <f>J141</f>
        <v>12627619</v>
      </c>
    </row>
    <row r="142">
      <c r="A142" s="526" t="s">
        <v>131</v>
      </c>
      <c r="B142" s="511">
        <f>EEFF!B140</f>
        <v>-84705</v>
      </c>
      <c r="C142" s="511">
        <f>EEFF!C140</f>
        <v>107709</v>
      </c>
      <c r="D142" s="511">
        <f>EEFF!D140</f>
        <v>321093</v>
      </c>
      <c r="E142" s="511">
        <f>EEFF!E140</f>
        <v>79637</v>
      </c>
      <c r="F142" s="511">
        <f>EEFF!F140</f>
        <v>14816</v>
      </c>
      <c r="G142" s="516">
        <f>F142</f>
        <v>14816</v>
      </c>
      <c r="H142" s="509">
        <f>G142</f>
        <v>14816</v>
      </c>
      <c r="I142" s="509">
        <f>H142</f>
        <v>14816</v>
      </c>
      <c r="J142" s="509">
        <f>I142</f>
        <v>14816</v>
      </c>
      <c r="K142" s="509">
        <f>J142</f>
        <v>14816</v>
      </c>
    </row>
    <row r="143">
      <c r="A143" s="502" t="s">
        <v>132</v>
      </c>
      <c r="B143" s="495">
        <f>EEFF!B141</f>
        <v>14137059</v>
      </c>
      <c r="C143" s="495">
        <f>EEFF!C141</f>
        <v>10248083</v>
      </c>
      <c r="D143" s="495">
        <f>EEFF!D141</f>
        <v>13933186</v>
      </c>
      <c r="E143" s="495">
        <f>EEFF!E141</f>
        <v>12627619</v>
      </c>
      <c r="F143" s="495">
        <f>EEFF!F141</f>
        <v>13421098</v>
      </c>
      <c r="G143" s="506">
        <f>F143</f>
        <v>13421098</v>
      </c>
      <c r="H143" s="496">
        <f>G143</f>
        <v>13421098</v>
      </c>
      <c r="I143" s="496">
        <f>H143</f>
        <v>13421098</v>
      </c>
      <c r="J143" s="496">
        <f>I143</f>
        <v>13421098</v>
      </c>
      <c r="K143" s="496">
        <f>J143</f>
        <v>13421098</v>
      </c>
    </row>
    <row r="144">
      <c r="A144" s="497"/>
      <c r="B144" s="497"/>
      <c r="C144" s="497"/>
      <c r="D144" s="497"/>
      <c r="E144" s="497"/>
      <c r="F144" s="497"/>
      <c r="G144" s="507"/>
      <c r="H144" s="497"/>
      <c r="I144" s="497"/>
      <c r="J144" s="497"/>
      <c r="K144" s="497"/>
    </row>
  </sheetData>
</worksheet>
</file>

<file path=xl/worksheets/sheet5.xml><?xml version="1.0" encoding="utf-8"?>
<worksheet xmlns="http://schemas.openxmlformats.org/spreadsheetml/2006/main" xmlns:r="http://schemas.openxmlformats.org/officeDocument/2006/relationships">
  <dimension ref="A1:Q29"/>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530" t="s">
        <v>0</v>
      </c>
      <c r="B1" s="513"/>
      <c r="C1" s="513"/>
      <c r="D1" s="513"/>
      <c r="E1" s="513"/>
      <c r="F1" s="513"/>
      <c r="G1" s="513"/>
      <c r="H1" s="513"/>
      <c r="I1" s="513"/>
      <c r="J1" s="513"/>
      <c r="K1" s="513"/>
      <c r="L1" s="513"/>
      <c r="M1" s="514"/>
      <c r="N1" s="514"/>
      <c r="O1" s="514"/>
      <c r="P1" s="514"/>
      <c r="Q1" s="514"/>
    </row>
    <row r="2">
      <c r="A2" s="521" t="s">
        <v>299</v>
      </c>
      <c r="B2" s="510"/>
      <c r="C2" s="510"/>
      <c r="D2" s="510"/>
      <c r="E2" s="510"/>
      <c r="F2" s="510"/>
      <c r="G2" s="510"/>
      <c r="H2" s="510"/>
      <c r="I2" s="510"/>
      <c r="J2" s="510"/>
      <c r="K2" s="510"/>
      <c r="L2" s="510"/>
      <c r="M2" s="510"/>
      <c r="N2" s="510"/>
      <c r="O2" s="510"/>
      <c r="P2" s="510"/>
      <c r="Q2" s="510"/>
    </row>
    <row r="3">
      <c r="A3" s="521" t="s">
        <v>300</v>
      </c>
      <c r="B3" s="510"/>
      <c r="C3" s="510"/>
      <c r="D3" s="510"/>
      <c r="E3" s="510"/>
      <c r="F3" s="510"/>
      <c r="G3" s="510"/>
      <c r="H3" s="510"/>
      <c r="I3" s="510"/>
      <c r="J3" s="510"/>
      <c r="K3" s="510"/>
      <c r="L3" s="510"/>
      <c r="M3" s="510"/>
      <c r="N3" s="510"/>
      <c r="O3" s="510"/>
      <c r="P3" s="510"/>
      <c r="Q3" s="510"/>
    </row>
    <row r="4">
      <c r="A4" s="520" t="s">
        <v>301</v>
      </c>
      <c r="B4" s="520" t="s">
        <v>302</v>
      </c>
      <c r="C4" s="523" t="str">
        <f>IF(COUNTIF($C$6:$C$29,"FAIL")=0,"PASS","FAIL")</f>
        <v>PASS</v>
      </c>
      <c r="D4" s="510"/>
      <c r="E4" s="510"/>
      <c r="F4" s="510"/>
      <c r="G4" s="521" t="s">
        <v>303</v>
      </c>
      <c r="H4" s="510"/>
      <c r="I4" s="510"/>
      <c r="J4" s="510"/>
      <c r="K4" s="510"/>
      <c r="L4" s="510"/>
      <c r="M4" s="510"/>
      <c r="N4" s="510"/>
      <c r="O4" s="510"/>
      <c r="P4" s="510"/>
      <c r="Q4" s="510"/>
    </row>
    <row r="5">
      <c r="A5" s="530" t="s">
        <v>304</v>
      </c>
      <c r="B5" s="530" t="s">
        <v>305</v>
      </c>
      <c r="C5" s="530" t="s">
        <v>306</v>
      </c>
      <c r="D5" s="530" t="s">
        <v>307</v>
      </c>
      <c r="E5" s="530" t="s">
        <v>308</v>
      </c>
      <c r="F5" s="530" t="s">
        <v>309</v>
      </c>
      <c r="G5" s="530" t="s">
        <v>310</v>
      </c>
      <c r="H5" s="530" t="s">
        <v>4</v>
      </c>
      <c r="I5" s="530" t="s">
        <v>5</v>
      </c>
      <c r="J5" s="530" t="s">
        <v>6</v>
      </c>
      <c r="K5" s="530" t="s">
        <v>7</v>
      </c>
      <c r="L5" s="530" t="s">
        <v>8</v>
      </c>
      <c r="M5" s="518" t="s">
        <v>9</v>
      </c>
      <c r="N5" s="518" t="s">
        <v>10</v>
      </c>
      <c r="O5" s="518" t="s">
        <v>11</v>
      </c>
      <c r="P5" s="518" t="s">
        <v>12</v>
      </c>
      <c r="Q5" s="518" t="s">
        <v>13</v>
      </c>
    </row>
    <row r="6">
      <c r="A6" s="510"/>
      <c r="B6" s="510"/>
      <c r="C6" s="510"/>
      <c r="D6" s="510"/>
      <c r="E6" s="510"/>
      <c r="F6" s="510"/>
      <c r="G6" s="510"/>
      <c r="H6" s="510"/>
      <c r="I6" s="510"/>
      <c r="J6" s="510"/>
      <c r="K6" s="510"/>
      <c r="L6" s="510"/>
      <c r="M6" s="510"/>
      <c r="N6" s="510"/>
      <c r="O6" s="510"/>
      <c r="P6" s="510"/>
      <c r="Q6" s="510"/>
    </row>
    <row r="7">
      <c r="A7" s="530" t="s">
        <v>311</v>
      </c>
      <c r="B7" s="513"/>
      <c r="C7" s="513"/>
      <c r="D7" s="513"/>
      <c r="E7" s="513"/>
      <c r="F7" s="513"/>
      <c r="G7" s="513"/>
      <c r="H7" s="513"/>
      <c r="I7" s="513"/>
      <c r="J7" s="513"/>
      <c r="K7" s="513"/>
      <c r="L7" s="513"/>
      <c r="M7" s="514"/>
      <c r="N7" s="514"/>
      <c r="O7" s="514"/>
      <c r="P7" s="514"/>
      <c r="Q7" s="514"/>
    </row>
    <row r="8">
      <c r="A8" s="526" t="s">
        <v>312</v>
      </c>
      <c r="B8" s="526" t="s">
        <v>313</v>
      </c>
      <c r="C8" s="517" t="str">
        <f>IF(SUMPRODUCT((ABS(H8:Q8)&gt;1000)*1)=0,"PASS","FAIL")</f>
        <v>PASS</v>
      </c>
      <c r="D8" s="526" t="s">
        <v>314</v>
      </c>
      <c r="E8" s="526" t="s">
        <v>315</v>
      </c>
      <c r="F8" s="526">
        <v>0</v>
      </c>
      <c r="G8" s="526" t="s">
        <v>316</v>
      </c>
      <c r="H8" s="511">
        <f>ModeloFinanciero!B59-ModeloFinanciero!B81</f>
        <v>0</v>
      </c>
      <c r="I8" s="511">
        <f>ModeloFinanciero!C59-ModeloFinanciero!C81</f>
        <v>0</v>
      </c>
      <c r="J8" s="511">
        <f>ModeloFinanciero!D59-ModeloFinanciero!D81</f>
        <v>0</v>
      </c>
      <c r="K8" s="511">
        <f>ModeloFinanciero!E59-ModeloFinanciero!E81</f>
        <v>0</v>
      </c>
      <c r="L8" s="511">
        <f>ModeloFinanciero!F59-ModeloFinanciero!F81</f>
        <v>0</v>
      </c>
      <c r="M8" s="515">
        <f>ModeloFinanciero!G59-ModeloFinanciero!G81</f>
        <v>0</v>
      </c>
      <c r="N8" s="511">
        <f>ModeloFinanciero!H59-ModeloFinanciero!H81</f>
        <v>0</v>
      </c>
      <c r="O8" s="511">
        <f>ModeloFinanciero!I59-ModeloFinanciero!I81</f>
        <v>0</v>
      </c>
      <c r="P8" s="511">
        <f>ModeloFinanciero!J59-ModeloFinanciero!J81</f>
        <v>0</v>
      </c>
      <c r="Q8" s="511">
        <f>ModeloFinanciero!K59-ModeloFinanciero!K81</f>
        <v>0</v>
      </c>
    </row>
    <row r="9">
      <c r="A9" s="526" t="s">
        <v>317</v>
      </c>
      <c r="B9" s="526" t="s">
        <v>318</v>
      </c>
      <c r="C9" s="517" t="s">
        <v>319</v>
      </c>
      <c r="D9" s="526" t="s">
        <v>314</v>
      </c>
      <c r="E9" s="526" t="s">
        <v>315</v>
      </c>
      <c r="F9" s="526">
        <v>0</v>
      </c>
      <c r="G9" s="526" t="s">
        <v>320</v>
      </c>
      <c r="H9" s="509">
        <f>0</f>
        <v>0</v>
      </c>
      <c r="I9" s="509">
        <f>0</f>
        <v>0</v>
      </c>
      <c r="J9" s="509">
        <f>0</f>
        <v>0</v>
      </c>
      <c r="K9" s="509">
        <f>0</f>
        <v>0</v>
      </c>
      <c r="L9" s="509">
        <f>0</f>
        <v>0</v>
      </c>
      <c r="M9" s="516">
        <f>0</f>
        <v>0</v>
      </c>
      <c r="N9" s="509">
        <f>0</f>
        <v>0</v>
      </c>
      <c r="O9" s="509">
        <f>0</f>
        <v>0</v>
      </c>
      <c r="P9" s="509">
        <f>0</f>
        <v>0</v>
      </c>
      <c r="Q9" s="509">
        <f>0</f>
        <v>0</v>
      </c>
    </row>
    <row r="10">
      <c r="A10" s="526" t="s">
        <v>321</v>
      </c>
      <c r="B10" s="526" t="s">
        <v>322</v>
      </c>
      <c r="C10" s="517" t="s">
        <v>319</v>
      </c>
      <c r="D10" s="526" t="s">
        <v>314</v>
      </c>
      <c r="E10" s="526" t="s">
        <v>315</v>
      </c>
      <c r="F10" s="526">
        <v>0</v>
      </c>
      <c r="G10" s="526" t="s">
        <v>323</v>
      </c>
      <c r="H10" s="509">
        <f>0</f>
        <v>0</v>
      </c>
      <c r="I10" s="509">
        <f>0</f>
        <v>0</v>
      </c>
      <c r="J10" s="509">
        <f>0</f>
        <v>0</v>
      </c>
      <c r="K10" s="509">
        <f>0</f>
        <v>0</v>
      </c>
      <c r="L10" s="509">
        <f>0</f>
        <v>0</v>
      </c>
      <c r="M10" s="516">
        <f>0</f>
        <v>0</v>
      </c>
      <c r="N10" s="509">
        <f>0</f>
        <v>0</v>
      </c>
      <c r="O10" s="509">
        <f>0</f>
        <v>0</v>
      </c>
      <c r="P10" s="509">
        <f>0</f>
        <v>0</v>
      </c>
      <c r="Q10" s="509">
        <f>0</f>
        <v>0</v>
      </c>
    </row>
    <row r="11">
      <c r="A11" s="526" t="s">
        <v>324</v>
      </c>
      <c r="B11" s="526" t="s">
        <v>325</v>
      </c>
      <c r="C11" s="517" t="str">
        <f>IF(SUMPRODUCT((ABS(H11:Q11)&gt;1000)*1)=0,"PASS","FAIL")</f>
        <v>PASS</v>
      </c>
      <c r="D11" s="526" t="s">
        <v>314</v>
      </c>
      <c r="E11" s="526" t="s">
        <v>315</v>
      </c>
      <c r="F11" s="526">
        <v>0</v>
      </c>
      <c r="G11" s="526" t="s">
        <v>326</v>
      </c>
      <c r="H11" s="511">
        <f>ModeloFinanciero!B24-ModeloFinanciero!B85</f>
        <v>0</v>
      </c>
      <c r="I11" s="511">
        <f>ModeloFinanciero!C24-ModeloFinanciero!C85</f>
        <v>0</v>
      </c>
      <c r="J11" s="511">
        <f>ModeloFinanciero!D24-ModeloFinanciero!D85</f>
        <v>0</v>
      </c>
      <c r="K11" s="511">
        <f>ModeloFinanciero!E24-ModeloFinanciero!E85</f>
        <v>0</v>
      </c>
      <c r="L11" s="511">
        <f>ModeloFinanciero!F24-ModeloFinanciero!F85</f>
        <v>0</v>
      </c>
      <c r="M11" s="516"/>
      <c r="N11" s="509"/>
      <c r="O11" s="509"/>
      <c r="P11" s="509"/>
      <c r="Q11" s="509"/>
    </row>
    <row r="12">
      <c r="A12" s="526" t="s">
        <v>327</v>
      </c>
      <c r="B12" s="526" t="s">
        <v>328</v>
      </c>
      <c r="C12" s="517" t="s">
        <v>319</v>
      </c>
      <c r="D12" s="526" t="s">
        <v>314</v>
      </c>
      <c r="E12" s="526" t="s">
        <v>315</v>
      </c>
      <c r="F12" s="526">
        <v>0</v>
      </c>
      <c r="G12" s="526" t="s">
        <v>329</v>
      </c>
      <c r="H12" s="511">
        <f>ModeloFinanciero!B24-(ModeloFinanciero!B22-ABS(ModeloFinanciero!B23))</f>
        <v>0</v>
      </c>
      <c r="I12" s="511">
        <f>ModeloFinanciero!C24-(ModeloFinanciero!C22-ABS(ModeloFinanciero!C23))</f>
        <v>0</v>
      </c>
      <c r="J12" s="511">
        <f>ModeloFinanciero!D24-(ModeloFinanciero!D22-ABS(ModeloFinanciero!D23))</f>
        <v>0</v>
      </c>
      <c r="K12" s="511">
        <f>ModeloFinanciero!E24-(ModeloFinanciero!E22-ABS(ModeloFinanciero!E23))</f>
        <v>0</v>
      </c>
      <c r="L12" s="511">
        <f>ModeloFinanciero!F24-(ModeloFinanciero!F22-ABS(ModeloFinanciero!F23))</f>
        <v>0</v>
      </c>
      <c r="M12" s="515">
        <f>ModeloFinanciero!G24-(ModeloFinanciero!G22-ABS(ModeloFinanciero!G23))</f>
        <v>0</v>
      </c>
      <c r="N12" s="511">
        <f>ModeloFinanciero!H24-(ModeloFinanciero!H22-ABS(ModeloFinanciero!H23))</f>
        <v>0</v>
      </c>
      <c r="O12" s="511">
        <f>ModeloFinanciero!I24-(ModeloFinanciero!I22-ABS(ModeloFinanciero!I23))</f>
        <v>0</v>
      </c>
      <c r="P12" s="511">
        <f>ModeloFinanciero!J24-(ModeloFinanciero!J22-ABS(ModeloFinanciero!J23))</f>
        <v>0</v>
      </c>
      <c r="Q12" s="511">
        <f>ModeloFinanciero!K24-(ModeloFinanciero!K22-ABS(ModeloFinanciero!K23))</f>
        <v>0</v>
      </c>
    </row>
    <row r="13">
      <c r="A13" s="526" t="s">
        <v>330</v>
      </c>
      <c r="B13" s="526" t="s">
        <v>331</v>
      </c>
      <c r="C13" s="517" t="s">
        <v>332</v>
      </c>
      <c r="D13" s="526" t="s">
        <v>314</v>
      </c>
      <c r="E13" s="526" t="s">
        <v>315</v>
      </c>
      <c r="F13" s="512" t="s">
        <v>333</v>
      </c>
      <c r="G13" s="526" t="s">
        <v>334</v>
      </c>
      <c r="H13" s="509"/>
      <c r="I13" s="511">
        <f>EEFF!C74-EEFF!B74-(EEFF!C24+EEFF!C136)</f>
        <v>-14034</v>
      </c>
      <c r="J13" s="511">
        <f>EEFF!D74-EEFF!C74-(EEFF!D24+EEFF!D136)</f>
        <v>-1584437</v>
      </c>
      <c r="K13" s="511">
        <f>EEFF!E74-EEFF!D74-(EEFF!E24+EEFF!E136)</f>
        <v>-445237</v>
      </c>
      <c r="L13" s="511">
        <f>EEFF!F74-EEFF!E74-(EEFF!F24+EEFF!F136)</f>
        <v>371911</v>
      </c>
      <c r="M13" s="516"/>
      <c r="N13" s="509"/>
      <c r="O13" s="509"/>
      <c r="P13" s="509"/>
      <c r="Q13" s="509"/>
    </row>
    <row r="14">
      <c r="A14" s="526" t="s">
        <v>335</v>
      </c>
      <c r="B14" s="526" t="s">
        <v>325</v>
      </c>
      <c r="C14" s="517" t="str">
        <f>IF(SUMPRODUCT((ABS(H14:Q14)&gt;1000)*1)=0,"PASS","FAIL")</f>
        <v>PASS</v>
      </c>
      <c r="D14" s="526" t="s">
        <v>314</v>
      </c>
      <c r="E14" s="526" t="s">
        <v>315</v>
      </c>
      <c r="F14" s="526">
        <v>0</v>
      </c>
      <c r="G14" s="526" t="s">
        <v>326</v>
      </c>
      <c r="H14" s="511">
        <f>SUM(ModeloFinanciero!B75,ModeloFinanciero!B76,ModeloFinanciero!B77,ModeloFinanciero!B79)-ModeloFinanciero!B80</f>
        <v>0</v>
      </c>
      <c r="I14" s="511">
        <f>SUM(ModeloFinanciero!C75,ModeloFinanciero!C76,ModeloFinanciero!C77,ModeloFinanciero!C79)-ModeloFinanciero!C80</f>
        <v>0</v>
      </c>
      <c r="J14" s="511">
        <f>SUM(ModeloFinanciero!D75,ModeloFinanciero!D76,ModeloFinanciero!D77,ModeloFinanciero!D79)-ModeloFinanciero!D80</f>
        <v>0</v>
      </c>
      <c r="K14" s="511">
        <f>SUM(ModeloFinanciero!E75,ModeloFinanciero!E76,ModeloFinanciero!E77,ModeloFinanciero!E79)-ModeloFinanciero!E80</f>
        <v>0</v>
      </c>
      <c r="L14" s="511">
        <f>SUM(ModeloFinanciero!F75,ModeloFinanciero!F76,ModeloFinanciero!F77,ModeloFinanciero!F79)-ModeloFinanciero!F80</f>
        <v>0</v>
      </c>
      <c r="M14" s="515">
        <f>SUM(ModeloFinanciero!G75,ModeloFinanciero!G76,ModeloFinanciero!G77,ModeloFinanciero!G79)-ModeloFinanciero!G80</f>
        <v>0</v>
      </c>
      <c r="N14" s="511">
        <f>SUM(ModeloFinanciero!H75,ModeloFinanciero!H76,ModeloFinanciero!H77,ModeloFinanciero!H79)-ModeloFinanciero!H80</f>
        <v>0</v>
      </c>
      <c r="O14" s="511">
        <f>SUM(ModeloFinanciero!I75,ModeloFinanciero!I76,ModeloFinanciero!I77,ModeloFinanciero!I79)-ModeloFinanciero!I80</f>
        <v>0</v>
      </c>
      <c r="P14" s="511">
        <f>SUM(ModeloFinanciero!J75,ModeloFinanciero!J76,ModeloFinanciero!J77,ModeloFinanciero!J79)-ModeloFinanciero!J80</f>
        <v>0</v>
      </c>
      <c r="Q14" s="511">
        <f>SUM(ModeloFinanciero!K75,ModeloFinanciero!K76,ModeloFinanciero!K77,ModeloFinanciero!K79)-ModeloFinanciero!K80</f>
        <v>0</v>
      </c>
    </row>
    <row r="15">
      <c r="A15" s="526" t="s">
        <v>336</v>
      </c>
      <c r="B15" s="526" t="s">
        <v>325</v>
      </c>
      <c r="C15" s="517" t="str">
        <f>IF(SUMPRODUCT((ABS(H15:Q15)&gt;1000)*1)=0,"PASS","FAIL")</f>
        <v>PASS</v>
      </c>
      <c r="D15" s="526" t="s">
        <v>314</v>
      </c>
      <c r="E15" s="526" t="s">
        <v>315</v>
      </c>
      <c r="F15" s="526">
        <v>0</v>
      </c>
      <c r="G15" s="526" t="s">
        <v>326</v>
      </c>
      <c r="H15" s="511">
        <f>SUM(ModeloFinanciero!B43,ModeloFinanciero!B58)-ModeloFinanciero!B59</f>
        <v>0</v>
      </c>
      <c r="I15" s="511">
        <f>SUM(ModeloFinanciero!C43,ModeloFinanciero!C58)-ModeloFinanciero!C59</f>
        <v>0</v>
      </c>
      <c r="J15" s="511">
        <f>SUM(ModeloFinanciero!D43,ModeloFinanciero!D58)-ModeloFinanciero!D59</f>
        <v>0</v>
      </c>
      <c r="K15" s="511">
        <f>SUM(ModeloFinanciero!E43,ModeloFinanciero!E58)-ModeloFinanciero!E59</f>
        <v>0</v>
      </c>
      <c r="L15" s="511">
        <f>SUM(ModeloFinanciero!F43,ModeloFinanciero!F58)-ModeloFinanciero!F59</f>
        <v>0</v>
      </c>
      <c r="M15" s="515">
        <f>SUM(ModeloFinanciero!G43,ModeloFinanciero!G58)-ModeloFinanciero!G59</f>
        <v>0</v>
      </c>
      <c r="N15" s="511">
        <f>SUM(ModeloFinanciero!H43,ModeloFinanciero!H58)-ModeloFinanciero!H59</f>
        <v>0</v>
      </c>
      <c r="O15" s="511">
        <f>SUM(ModeloFinanciero!I43,ModeloFinanciero!I58)-ModeloFinanciero!I59</f>
        <v>0</v>
      </c>
      <c r="P15" s="511">
        <f>SUM(ModeloFinanciero!J43,ModeloFinanciero!J58)-ModeloFinanciero!J59</f>
        <v>0</v>
      </c>
      <c r="Q15" s="511">
        <f>SUM(ModeloFinanciero!K43,ModeloFinanciero!K58)-ModeloFinanciero!K59</f>
        <v>0</v>
      </c>
    </row>
    <row r="16">
      <c r="A16" s="526" t="s">
        <v>337</v>
      </c>
      <c r="B16" s="526" t="s">
        <v>325</v>
      </c>
      <c r="C16" s="517" t="str">
        <f>IF(SUMPRODUCT((ABS(H16:Q16)&gt;1000)*1)=0,"PASS","FAIL")</f>
        <v>PASS</v>
      </c>
      <c r="D16" s="526" t="s">
        <v>314</v>
      </c>
      <c r="E16" s="526" t="s">
        <v>315</v>
      </c>
      <c r="F16" s="526">
        <v>0</v>
      </c>
      <c r="G16" s="526" t="s">
        <v>326</v>
      </c>
      <c r="H16" s="511">
        <f>ModeloFinanciero!B74+ModeloFinanciero!B80-ModeloFinanciero!B81</f>
        <v>0</v>
      </c>
      <c r="I16" s="511">
        <f>ModeloFinanciero!C74+ModeloFinanciero!C80-ModeloFinanciero!C81</f>
        <v>0</v>
      </c>
      <c r="J16" s="511">
        <f>ModeloFinanciero!D74+ModeloFinanciero!D80-ModeloFinanciero!D81</f>
        <v>0</v>
      </c>
      <c r="K16" s="511">
        <f>ModeloFinanciero!E74+ModeloFinanciero!E80-ModeloFinanciero!E81</f>
        <v>0</v>
      </c>
      <c r="L16" s="511">
        <f>ModeloFinanciero!F74+ModeloFinanciero!F80-ModeloFinanciero!F81</f>
        <v>0</v>
      </c>
      <c r="M16" s="515">
        <f>ModeloFinanciero!G74+ModeloFinanciero!G80-ModeloFinanciero!G81</f>
        <v>0</v>
      </c>
      <c r="N16" s="511">
        <f>ModeloFinanciero!H74+ModeloFinanciero!H80-ModeloFinanciero!H81</f>
        <v>0</v>
      </c>
      <c r="O16" s="511">
        <f>ModeloFinanciero!I74+ModeloFinanciero!I80-ModeloFinanciero!I81</f>
        <v>0</v>
      </c>
      <c r="P16" s="511">
        <f>ModeloFinanciero!J74+ModeloFinanciero!J80-ModeloFinanciero!J81</f>
        <v>0</v>
      </c>
      <c r="Q16" s="511">
        <f>ModeloFinanciero!K74+ModeloFinanciero!K80-ModeloFinanciero!K81</f>
        <v>0</v>
      </c>
    </row>
    <row r="17">
      <c r="A17" s="526" t="s">
        <v>338</v>
      </c>
      <c r="B17" s="526" t="s">
        <v>339</v>
      </c>
      <c r="C17" s="517" t="str">
        <f>IF(SUMPRODUCT((ABS(H17:Q17)&gt;100000)*1)=0,"PASS","FAIL")</f>
        <v>PASS</v>
      </c>
      <c r="D17" s="526" t="s">
        <v>314</v>
      </c>
      <c r="E17" s="526" t="s">
        <v>340</v>
      </c>
      <c r="F17" s="526">
        <v>0</v>
      </c>
      <c r="G17" s="526" t="s">
        <v>341</v>
      </c>
      <c r="H17" s="511">
        <f>ModeloFinanciero!B59-EEFF!B57</f>
        <v>0</v>
      </c>
      <c r="I17" s="511">
        <f>ModeloFinanciero!C59-EEFF!C57</f>
        <v>0</v>
      </c>
      <c r="J17" s="511">
        <f>ModeloFinanciero!D59-EEFF!D57</f>
        <v>0</v>
      </c>
      <c r="K17" s="511">
        <f>ModeloFinanciero!E59-EEFF!E57</f>
        <v>0</v>
      </c>
      <c r="L17" s="511">
        <f>ModeloFinanciero!F59-EEFF!F57</f>
        <v>0</v>
      </c>
      <c r="M17" s="516"/>
      <c r="N17" s="509"/>
      <c r="O17" s="509"/>
      <c r="P17" s="509"/>
      <c r="Q17" s="509"/>
    </row>
    <row r="18">
      <c r="A18" s="526" t="s">
        <v>342</v>
      </c>
      <c r="B18" s="526" t="s">
        <v>343</v>
      </c>
      <c r="C18" s="517" t="str">
        <f>IF(SUMPRODUCT((ABS(H18:Q18)&gt;0)*1)=0,"PASS","FAIL")</f>
        <v>PASS</v>
      </c>
      <c r="D18" s="526" t="s">
        <v>314</v>
      </c>
      <c r="E18" s="526" t="s">
        <v>344</v>
      </c>
      <c r="F18" s="526" t="s">
        <v>344</v>
      </c>
      <c r="G18" s="526" t="s">
        <v>345</v>
      </c>
      <c r="H18" s="509">
        <f>0</f>
        <v>0</v>
      </c>
      <c r="I18" s="509">
        <f>0</f>
        <v>0</v>
      </c>
      <c r="J18" s="509">
        <f>0</f>
        <v>0</v>
      </c>
      <c r="K18" s="509">
        <f>0</f>
        <v>0</v>
      </c>
      <c r="L18" s="509">
        <f>0</f>
        <v>0</v>
      </c>
      <c r="M18" s="516">
        <f>0</f>
        <v>0</v>
      </c>
      <c r="N18" s="509">
        <f>0</f>
        <v>0</v>
      </c>
      <c r="O18" s="509">
        <f>0</f>
        <v>0</v>
      </c>
      <c r="P18" s="509">
        <f>0</f>
        <v>0</v>
      </c>
      <c r="Q18" s="509">
        <f>0</f>
        <v>0</v>
      </c>
    </row>
    <row r="19">
      <c r="A19" s="526" t="s">
        <v>346</v>
      </c>
      <c r="B19" s="526" t="s">
        <v>347</v>
      </c>
      <c r="C19" s="517" t="str">
        <f>IF(SUMPRODUCT((ABS(H19:Q19)&gt;0)*1)=0,"PASS","FAIL")</f>
        <v>PASS</v>
      </c>
      <c r="D19" s="526" t="s">
        <v>314</v>
      </c>
      <c r="E19" s="526" t="s">
        <v>344</v>
      </c>
      <c r="F19" s="526" t="s">
        <v>344</v>
      </c>
      <c r="G19" s="526" t="s">
        <v>348</v>
      </c>
      <c r="H19" s="509">
        <f>COUNTIF($C$6:$C$18,"FAIL")+COUNTIF($C$20:$C$29,"FAIL")</f>
        <v>0</v>
      </c>
      <c r="I19" s="509">
        <f>COUNTIF($C$6:$C$18,"FAIL")+COUNTIF($C$20:$C$29,"FAIL")</f>
        <v>0</v>
      </c>
      <c r="J19" s="509">
        <f>COUNTIF($C$6:$C$18,"FAIL")+COUNTIF($C$20:$C$29,"FAIL")</f>
        <v>0</v>
      </c>
      <c r="K19" s="509">
        <f>COUNTIF($C$6:$C$18,"FAIL")+COUNTIF($C$20:$C$29,"FAIL")</f>
        <v>0</v>
      </c>
      <c r="L19" s="509">
        <f>COUNTIF($C$6:$C$18,"FAIL")+COUNTIF($C$20:$C$29,"FAIL")</f>
        <v>0</v>
      </c>
      <c r="M19" s="516">
        <f>COUNTIF($C$6:$C$18,"FAIL")+COUNTIF($C$20:$C$29,"FAIL")</f>
        <v>0</v>
      </c>
      <c r="N19" s="509">
        <f>COUNTIF($C$6:$C$18,"FAIL")+COUNTIF($C$20:$C$29,"FAIL")</f>
        <v>0</v>
      </c>
      <c r="O19" s="509">
        <f>COUNTIF($C$6:$C$18,"FAIL")+COUNTIF($C$20:$C$29,"FAIL")</f>
        <v>0</v>
      </c>
      <c r="P19" s="509">
        <f>COUNTIF($C$6:$C$18,"FAIL")+COUNTIF($C$20:$C$29,"FAIL")</f>
        <v>0</v>
      </c>
      <c r="Q19" s="509">
        <f>COUNTIF($C$6:$C$18,"FAIL")+COUNTIF($C$20:$C$29,"FAIL")</f>
        <v>0</v>
      </c>
    </row>
    <row r="20">
      <c r="A20" s="510"/>
      <c r="B20" s="510"/>
      <c r="C20" s="510"/>
      <c r="D20" s="510"/>
      <c r="E20" s="510"/>
      <c r="F20" s="510"/>
      <c r="G20" s="510"/>
      <c r="H20" s="510"/>
      <c r="I20" s="510"/>
      <c r="J20" s="510"/>
      <c r="K20" s="510"/>
      <c r="L20" s="510"/>
      <c r="M20" s="510"/>
      <c r="N20" s="510"/>
      <c r="O20" s="510"/>
      <c r="P20" s="510"/>
      <c r="Q20" s="510"/>
    </row>
    <row r="21">
      <c r="A21" s="530" t="s">
        <v>349</v>
      </c>
      <c r="B21" s="513"/>
      <c r="C21" s="513"/>
      <c r="D21" s="513"/>
      <c r="E21" s="513"/>
      <c r="F21" s="513"/>
      <c r="G21" s="513"/>
      <c r="H21" s="513"/>
      <c r="I21" s="513"/>
      <c r="J21" s="513"/>
      <c r="K21" s="513"/>
      <c r="L21" s="513"/>
      <c r="M21" s="514"/>
      <c r="N21" s="514"/>
      <c r="O21" s="514"/>
      <c r="P21" s="514"/>
      <c r="Q21" s="514"/>
    </row>
    <row r="22">
      <c r="A22" s="526" t="s">
        <v>350</v>
      </c>
      <c r="B22" s="526" t="s">
        <v>351</v>
      </c>
      <c r="C22" s="517" t="s">
        <v>319</v>
      </c>
      <c r="D22" s="526" t="s">
        <v>314</v>
      </c>
      <c r="E22" s="526" t="s">
        <v>315</v>
      </c>
      <c r="F22" s="526">
        <v>0</v>
      </c>
      <c r="G22" s="526" t="s">
        <v>352</v>
      </c>
      <c r="H22" s="509">
        <f>0</f>
        <v>0</v>
      </c>
      <c r="I22" s="509">
        <f>0</f>
        <v>0</v>
      </c>
      <c r="J22" s="509">
        <f>0</f>
        <v>0</v>
      </c>
      <c r="K22" s="509">
        <f>0</f>
        <v>0</v>
      </c>
      <c r="L22" s="509">
        <f>0</f>
        <v>0</v>
      </c>
      <c r="M22" s="516">
        <f>0</f>
        <v>0</v>
      </c>
      <c r="N22" s="509">
        <f>0</f>
        <v>0</v>
      </c>
      <c r="O22" s="509">
        <f>0</f>
        <v>0</v>
      </c>
      <c r="P22" s="509">
        <f>0</f>
        <v>0</v>
      </c>
      <c r="Q22" s="509">
        <f>0</f>
        <v>0</v>
      </c>
    </row>
    <row r="23">
      <c r="A23" s="526" t="s">
        <v>353</v>
      </c>
      <c r="B23" s="526" t="s">
        <v>354</v>
      </c>
      <c r="C23" s="517" t="s">
        <v>319</v>
      </c>
      <c r="D23" s="526" t="s">
        <v>314</v>
      </c>
      <c r="E23" s="526" t="s">
        <v>315</v>
      </c>
      <c r="F23" s="526">
        <v>0</v>
      </c>
      <c r="G23" s="526" t="s">
        <v>355</v>
      </c>
      <c r="H23" s="509">
        <f>0</f>
        <v>0</v>
      </c>
      <c r="I23" s="509">
        <f>0</f>
        <v>0</v>
      </c>
      <c r="J23" s="509">
        <f>0</f>
        <v>0</v>
      </c>
      <c r="K23" s="509">
        <f>0</f>
        <v>0</v>
      </c>
      <c r="L23" s="509">
        <f>0</f>
        <v>0</v>
      </c>
      <c r="M23" s="516">
        <f>0</f>
        <v>0</v>
      </c>
      <c r="N23" s="509">
        <f>0</f>
        <v>0</v>
      </c>
      <c r="O23" s="509">
        <f>0</f>
        <v>0</v>
      </c>
      <c r="P23" s="509">
        <f>0</f>
        <v>0</v>
      </c>
      <c r="Q23" s="509">
        <f>0</f>
        <v>0</v>
      </c>
    </row>
    <row r="24">
      <c r="A24" s="526" t="s">
        <v>356</v>
      </c>
      <c r="B24" s="526" t="s">
        <v>357</v>
      </c>
      <c r="C24" s="517" t="s">
        <v>319</v>
      </c>
      <c r="D24" s="526" t="s">
        <v>314</v>
      </c>
      <c r="E24" s="526" t="s">
        <v>315</v>
      </c>
      <c r="F24" s="526">
        <v>0</v>
      </c>
      <c r="G24" s="526" t="s">
        <v>358</v>
      </c>
      <c r="H24" s="509">
        <f>0</f>
        <v>0</v>
      </c>
      <c r="I24" s="509">
        <f>0</f>
        <v>0</v>
      </c>
      <c r="J24" s="509">
        <f>0</f>
        <v>0</v>
      </c>
      <c r="K24" s="509">
        <f>0</f>
        <v>0</v>
      </c>
      <c r="L24" s="509">
        <f>0</f>
        <v>0</v>
      </c>
      <c r="M24" s="516">
        <f>0</f>
        <v>0</v>
      </c>
      <c r="N24" s="509">
        <f>0</f>
        <v>0</v>
      </c>
      <c r="O24" s="509">
        <f>0</f>
        <v>0</v>
      </c>
      <c r="P24" s="509">
        <f>0</f>
        <v>0</v>
      </c>
      <c r="Q24" s="509">
        <f>0</f>
        <v>0</v>
      </c>
    </row>
    <row r="25">
      <c r="A25" s="510"/>
      <c r="B25" s="510"/>
      <c r="C25" s="510"/>
      <c r="D25" s="510"/>
      <c r="E25" s="510"/>
      <c r="F25" s="510"/>
      <c r="G25" s="510"/>
      <c r="H25" s="510"/>
      <c r="I25" s="510"/>
      <c r="J25" s="510"/>
      <c r="K25" s="510"/>
      <c r="L25" s="510"/>
      <c r="M25" s="510"/>
      <c r="N25" s="510"/>
      <c r="O25" s="510"/>
      <c r="P25" s="510"/>
      <c r="Q25" s="510"/>
    </row>
    <row r="26">
      <c r="A26" s="530" t="s">
        <v>359</v>
      </c>
      <c r="B26" s="513"/>
      <c r="C26" s="513"/>
      <c r="D26" s="513"/>
      <c r="E26" s="513"/>
      <c r="F26" s="513"/>
      <c r="G26" s="513"/>
      <c r="H26" s="513"/>
      <c r="I26" s="513"/>
      <c r="J26" s="513"/>
      <c r="K26" s="513"/>
      <c r="L26" s="513"/>
      <c r="M26" s="514"/>
      <c r="N26" s="514"/>
      <c r="O26" s="514"/>
      <c r="P26" s="514"/>
      <c r="Q26" s="514"/>
    </row>
    <row r="27">
      <c r="A27" s="526" t="s">
        <v>360</v>
      </c>
      <c r="B27" s="526" t="s">
        <v>361</v>
      </c>
      <c r="C27" s="517" t="s">
        <v>319</v>
      </c>
      <c r="D27" s="526" t="s">
        <v>314</v>
      </c>
      <c r="E27" s="526" t="s">
        <v>315</v>
      </c>
      <c r="F27" s="526">
        <v>0</v>
      </c>
      <c r="G27" s="526" t="s">
        <v>362</v>
      </c>
      <c r="H27" s="509">
        <f>0</f>
        <v>0</v>
      </c>
      <c r="I27" s="509">
        <f>0</f>
        <v>0</v>
      </c>
      <c r="J27" s="509">
        <f>0</f>
        <v>0</v>
      </c>
      <c r="K27" s="509">
        <f>0</f>
        <v>0</v>
      </c>
      <c r="L27" s="509">
        <f>0</f>
        <v>0</v>
      </c>
      <c r="M27" s="516">
        <f>0</f>
        <v>0</v>
      </c>
      <c r="N27" s="509">
        <f>0</f>
        <v>0</v>
      </c>
      <c r="O27" s="509">
        <f>0</f>
        <v>0</v>
      </c>
      <c r="P27" s="509">
        <f>0</f>
        <v>0</v>
      </c>
      <c r="Q27" s="509">
        <f>0</f>
        <v>0</v>
      </c>
    </row>
    <row r="28">
      <c r="A28" s="526" t="s">
        <v>363</v>
      </c>
      <c r="B28" s="526" t="s">
        <v>364</v>
      </c>
      <c r="C28" s="517" t="s">
        <v>319</v>
      </c>
      <c r="D28" s="526" t="s">
        <v>314</v>
      </c>
      <c r="E28" s="526" t="s">
        <v>315</v>
      </c>
      <c r="F28" s="526">
        <v>0</v>
      </c>
      <c r="G28" s="526" t="s">
        <v>365</v>
      </c>
      <c r="H28" s="509">
        <f>0</f>
        <v>0</v>
      </c>
      <c r="I28" s="509">
        <f>0</f>
        <v>0</v>
      </c>
      <c r="J28" s="509">
        <f>0</f>
        <v>0</v>
      </c>
      <c r="K28" s="509">
        <f>0</f>
        <v>0</v>
      </c>
      <c r="L28" s="509">
        <f>0</f>
        <v>0</v>
      </c>
      <c r="M28" s="516">
        <f>0</f>
        <v>0</v>
      </c>
      <c r="N28" s="509">
        <f>0</f>
        <v>0</v>
      </c>
      <c r="O28" s="509">
        <f>0</f>
        <v>0</v>
      </c>
      <c r="P28" s="509">
        <f>0</f>
        <v>0</v>
      </c>
      <c r="Q28" s="509">
        <f>0</f>
        <v>0</v>
      </c>
    </row>
    <row r="29">
      <c r="A29" s="526" t="s">
        <v>366</v>
      </c>
      <c r="B29" s="526" t="s">
        <v>367</v>
      </c>
      <c r="C29" s="517" t="s">
        <v>319</v>
      </c>
      <c r="D29" s="526" t="s">
        <v>314</v>
      </c>
      <c r="E29" s="526" t="s">
        <v>315</v>
      </c>
      <c r="F29" s="526">
        <v>0</v>
      </c>
      <c r="G29" s="526" t="s">
        <v>368</v>
      </c>
      <c r="H29" s="509">
        <f>0</f>
        <v>0</v>
      </c>
      <c r="I29" s="509">
        <f>0</f>
        <v>0</v>
      </c>
      <c r="J29" s="509">
        <f>0</f>
        <v>0</v>
      </c>
      <c r="K29" s="509">
        <f>0</f>
        <v>0</v>
      </c>
      <c r="L29" s="509">
        <f>0</f>
        <v>0</v>
      </c>
      <c r="M29" s="516">
        <f>0</f>
        <v>0</v>
      </c>
      <c r="N29" s="509">
        <f>0</f>
        <v>0</v>
      </c>
      <c r="O29" s="509">
        <f>0</f>
        <v>0</v>
      </c>
      <c r="P29" s="509">
        <f>0</f>
        <v>0</v>
      </c>
      <c r="Q29" s="509">
        <f>0</f>
        <v>0</v>
      </c>
    </row>
  </sheetData>
</worksheet>
</file>

<file path=xl/worksheets/sheet6.xml><?xml version="1.0" encoding="utf-8"?>
<worksheet xmlns="http://schemas.openxmlformats.org/spreadsheetml/2006/main" xmlns:r="http://schemas.openxmlformats.org/officeDocument/2006/relationships">
  <dimension ref="A1:M30"/>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524" t="s">
        <v>0</v>
      </c>
      <c r="B1" s="521"/>
      <c r="C1" s="521"/>
      <c r="D1" s="521"/>
      <c r="E1" s="521"/>
      <c r="F1" s="521"/>
      <c r="G1" s="521"/>
      <c r="H1" s="521"/>
      <c r="I1" s="521"/>
      <c r="J1" s="521"/>
      <c r="K1" s="521"/>
      <c r="L1" s="521"/>
      <c r="M1" s="521"/>
    </row>
    <row r="2">
      <c r="A2" s="521" t="s">
        <v>369</v>
      </c>
      <c r="B2" s="521"/>
      <c r="C2" s="521"/>
      <c r="D2" s="521"/>
      <c r="E2" s="521"/>
      <c r="F2" s="521"/>
      <c r="G2" s="521"/>
      <c r="H2" s="521"/>
      <c r="I2" s="521"/>
      <c r="J2" s="521"/>
      <c r="K2" s="521"/>
      <c r="L2" s="521"/>
      <c r="M2" s="521"/>
    </row>
    <row r="3">
      <c r="A3" s="521" t="s">
        <v>370</v>
      </c>
      <c r="B3" s="521"/>
      <c r="C3" s="521"/>
      <c r="D3" s="521"/>
      <c r="E3" s="521"/>
      <c r="F3" s="521"/>
      <c r="G3" s="521"/>
      <c r="H3" s="521"/>
      <c r="I3" s="521"/>
      <c r="J3" s="521"/>
      <c r="K3" s="521"/>
      <c r="L3" s="521"/>
      <c r="M3" s="521"/>
    </row>
    <row r="4">
      <c r="A4" s="523" t="s">
        <v>371</v>
      </c>
      <c r="B4" s="523" t="s">
        <v>372</v>
      </c>
      <c r="C4" s="523" t="s">
        <v>373</v>
      </c>
      <c r="D4" s="523" t="s">
        <v>374</v>
      </c>
      <c r="E4" s="523" t="s">
        <v>375</v>
      </c>
      <c r="F4" s="523" t="s">
        <v>376</v>
      </c>
      <c r="G4" s="523" t="s">
        <v>377</v>
      </c>
      <c r="H4" s="523" t="s">
        <v>378</v>
      </c>
      <c r="I4" s="523" t="s">
        <v>379</v>
      </c>
      <c r="J4" s="523" t="s">
        <v>380</v>
      </c>
      <c r="K4" s="523" t="s">
        <v>306</v>
      </c>
      <c r="L4" s="523" t="s">
        <v>381</v>
      </c>
      <c r="M4" s="523" t="s">
        <v>310</v>
      </c>
    </row>
    <row r="5">
      <c r="A5" s="521" t="s">
        <v>382</v>
      </c>
      <c r="B5" s="521" t="s">
        <v>383</v>
      </c>
      <c r="C5" s="521" t="s">
        <v>384</v>
      </c>
      <c r="D5" s="521"/>
      <c r="E5" s="521"/>
      <c r="F5" s="521"/>
      <c r="G5" s="521"/>
      <c r="H5" s="521" t="s">
        <v>385</v>
      </c>
      <c r="I5" s="521" t="s">
        <v>386</v>
      </c>
      <c r="J5" s="521" t="s">
        <v>261</v>
      </c>
      <c r="K5" s="525" t="s">
        <v>163</v>
      </c>
      <c r="L5" s="521" t="s">
        <v>159</v>
      </c>
      <c r="M5" s="521" t="s">
        <v>387</v>
      </c>
    </row>
    <row r="6">
      <c r="A6" s="521" t="s">
        <v>388</v>
      </c>
      <c r="B6" s="521" t="s">
        <v>389</v>
      </c>
      <c r="C6" s="521" t="s">
        <v>384</v>
      </c>
      <c r="D6" s="521" t="s">
        <v>156</v>
      </c>
      <c r="E6" s="521" t="s">
        <v>155</v>
      </c>
      <c r="F6" s="521"/>
      <c r="G6" s="521" t="s">
        <v>158</v>
      </c>
      <c r="H6" s="521" t="s">
        <v>390</v>
      </c>
      <c r="I6" s="521" t="s">
        <v>391</v>
      </c>
      <c r="J6" s="521" t="s">
        <v>392</v>
      </c>
      <c r="K6" s="525" t="s">
        <v>163</v>
      </c>
      <c r="L6" s="521" t="s">
        <v>393</v>
      </c>
      <c r="M6" s="521" t="s">
        <v>394</v>
      </c>
    </row>
    <row r="7">
      <c r="A7" s="521" t="s">
        <v>395</v>
      </c>
      <c r="B7" s="521" t="s">
        <v>389</v>
      </c>
      <c r="C7" s="521" t="s">
        <v>384</v>
      </c>
      <c r="D7" s="521" t="s">
        <v>210</v>
      </c>
      <c r="E7" s="521" t="s">
        <v>209</v>
      </c>
      <c r="F7" s="521"/>
      <c r="G7" s="521" t="s">
        <v>158</v>
      </c>
      <c r="H7" s="521" t="s">
        <v>390</v>
      </c>
      <c r="I7" s="521" t="s">
        <v>391</v>
      </c>
      <c r="J7" s="521" t="s">
        <v>396</v>
      </c>
      <c r="K7" s="525" t="s">
        <v>163</v>
      </c>
      <c r="L7" s="521" t="s">
        <v>397</v>
      </c>
      <c r="M7" s="521" t="s">
        <v>398</v>
      </c>
    </row>
    <row r="8">
      <c r="A8" s="521" t="s">
        <v>399</v>
      </c>
      <c r="B8" s="521" t="s">
        <v>389</v>
      </c>
      <c r="C8" s="521" t="s">
        <v>384</v>
      </c>
      <c r="D8" s="521" t="s">
        <v>225</v>
      </c>
      <c r="E8" s="521" t="s">
        <v>224</v>
      </c>
      <c r="F8" s="521"/>
      <c r="G8" s="521" t="s">
        <v>158</v>
      </c>
      <c r="H8" s="521" t="s">
        <v>390</v>
      </c>
      <c r="I8" s="521" t="s">
        <v>391</v>
      </c>
      <c r="J8" s="521" t="s">
        <v>400</v>
      </c>
      <c r="K8" s="525" t="s">
        <v>163</v>
      </c>
      <c r="L8" s="521" t="s">
        <v>393</v>
      </c>
      <c r="M8" s="521" t="s">
        <v>401</v>
      </c>
    </row>
    <row r="9">
      <c r="A9" s="521" t="s">
        <v>402</v>
      </c>
      <c r="B9" s="521" t="s">
        <v>389</v>
      </c>
      <c r="C9" s="521" t="s">
        <v>384</v>
      </c>
      <c r="D9" s="521" t="s">
        <v>238</v>
      </c>
      <c r="E9" s="521" t="s">
        <v>237</v>
      </c>
      <c r="F9" s="521"/>
      <c r="G9" s="521" t="s">
        <v>158</v>
      </c>
      <c r="H9" s="521" t="s">
        <v>390</v>
      </c>
      <c r="I9" s="521" t="s">
        <v>391</v>
      </c>
      <c r="J9" s="521" t="s">
        <v>403</v>
      </c>
      <c r="K9" s="525" t="s">
        <v>163</v>
      </c>
      <c r="L9" s="521" t="s">
        <v>397</v>
      </c>
      <c r="M9" s="521" t="s">
        <v>404</v>
      </c>
    </row>
    <row r="10">
      <c r="A10" s="521" t="s">
        <v>405</v>
      </c>
      <c r="B10" s="521" t="s">
        <v>406</v>
      </c>
      <c r="C10" s="521" t="s">
        <v>384</v>
      </c>
      <c r="D10" s="521" t="s">
        <v>156</v>
      </c>
      <c r="E10" s="521" t="s">
        <v>155</v>
      </c>
      <c r="F10" s="521" t="s">
        <v>159</v>
      </c>
      <c r="G10" s="521" t="s">
        <v>158</v>
      </c>
      <c r="H10" s="521" t="s">
        <v>407</v>
      </c>
      <c r="I10" s="521" t="s">
        <v>160</v>
      </c>
      <c r="J10" s="521" t="s">
        <v>392</v>
      </c>
      <c r="K10" s="525" t="s">
        <v>163</v>
      </c>
      <c r="L10" s="521" t="s">
        <v>408</v>
      </c>
      <c r="M10" s="521"/>
    </row>
    <row r="11">
      <c r="A11" s="521" t="s">
        <v>409</v>
      </c>
      <c r="B11" s="521" t="s">
        <v>406</v>
      </c>
      <c r="C11" s="521" t="s">
        <v>384</v>
      </c>
      <c r="D11" s="521" t="s">
        <v>156</v>
      </c>
      <c r="E11" s="521" t="s">
        <v>155</v>
      </c>
      <c r="F11" s="521" t="s">
        <v>177</v>
      </c>
      <c r="G11" s="521" t="s">
        <v>158</v>
      </c>
      <c r="H11" s="521" t="s">
        <v>407</v>
      </c>
      <c r="I11" s="521" t="s">
        <v>178</v>
      </c>
      <c r="J11" s="521" t="s">
        <v>392</v>
      </c>
      <c r="K11" s="525" t="s">
        <v>163</v>
      </c>
      <c r="L11" s="521" t="s">
        <v>196</v>
      </c>
      <c r="M11" s="521"/>
    </row>
    <row r="12">
      <c r="A12" s="521" t="s">
        <v>410</v>
      </c>
      <c r="B12" s="521" t="s">
        <v>406</v>
      </c>
      <c r="C12" s="521" t="s">
        <v>384</v>
      </c>
      <c r="D12" s="521" t="s">
        <v>156</v>
      </c>
      <c r="E12" s="521" t="s">
        <v>155</v>
      </c>
      <c r="F12" s="521" t="s">
        <v>183</v>
      </c>
      <c r="G12" s="521" t="s">
        <v>158</v>
      </c>
      <c r="H12" s="521" t="s">
        <v>407</v>
      </c>
      <c r="I12" s="521" t="s">
        <v>184</v>
      </c>
      <c r="J12" s="521" t="s">
        <v>392</v>
      </c>
      <c r="K12" s="525" t="s">
        <v>163</v>
      </c>
      <c r="L12" s="521" t="s">
        <v>411</v>
      </c>
      <c r="M12" s="521"/>
    </row>
    <row r="13">
      <c r="A13" s="521" t="s">
        <v>412</v>
      </c>
      <c r="B13" s="521" t="s">
        <v>406</v>
      </c>
      <c r="C13" s="521" t="s">
        <v>384</v>
      </c>
      <c r="D13" s="521" t="s">
        <v>156</v>
      </c>
      <c r="E13" s="521" t="s">
        <v>155</v>
      </c>
      <c r="F13" s="521" t="s">
        <v>196</v>
      </c>
      <c r="G13" s="521" t="s">
        <v>413</v>
      </c>
      <c r="H13" s="521" t="s">
        <v>407</v>
      </c>
      <c r="I13" s="521" t="s">
        <v>197</v>
      </c>
      <c r="J13" s="521" t="s">
        <v>392</v>
      </c>
      <c r="K13" s="525" t="s">
        <v>163</v>
      </c>
      <c r="L13" s="521" t="s">
        <v>183</v>
      </c>
      <c r="M13" s="521"/>
    </row>
    <row r="14">
      <c r="A14" s="521" t="s">
        <v>414</v>
      </c>
      <c r="B14" s="521" t="s">
        <v>406</v>
      </c>
      <c r="C14" s="521" t="s">
        <v>384</v>
      </c>
      <c r="D14" s="521" t="s">
        <v>156</v>
      </c>
      <c r="E14" s="521" t="s">
        <v>155</v>
      </c>
      <c r="F14" s="521" t="s">
        <v>202</v>
      </c>
      <c r="G14" s="521" t="s">
        <v>158</v>
      </c>
      <c r="H14" s="521" t="s">
        <v>407</v>
      </c>
      <c r="I14" s="521" t="s">
        <v>203</v>
      </c>
      <c r="J14" s="521" t="s">
        <v>392</v>
      </c>
      <c r="K14" s="525" t="s">
        <v>163</v>
      </c>
      <c r="L14" s="521" t="s">
        <v>196</v>
      </c>
      <c r="M14" s="521"/>
    </row>
    <row r="15">
      <c r="A15" s="521" t="s">
        <v>415</v>
      </c>
      <c r="B15" s="521" t="s">
        <v>406</v>
      </c>
      <c r="C15" s="521" t="s">
        <v>384</v>
      </c>
      <c r="D15" s="521" t="s">
        <v>210</v>
      </c>
      <c r="E15" s="521" t="s">
        <v>209</v>
      </c>
      <c r="F15" s="521" t="s">
        <v>159</v>
      </c>
      <c r="G15" s="521" t="s">
        <v>158</v>
      </c>
      <c r="H15" s="521" t="s">
        <v>407</v>
      </c>
      <c r="I15" s="521" t="s">
        <v>160</v>
      </c>
      <c r="J15" s="521" t="s">
        <v>396</v>
      </c>
      <c r="K15" s="525" t="s">
        <v>163</v>
      </c>
      <c r="L15" s="521" t="s">
        <v>416</v>
      </c>
      <c r="M15" s="521"/>
    </row>
    <row r="16">
      <c r="A16" s="521" t="s">
        <v>417</v>
      </c>
      <c r="B16" s="521" t="s">
        <v>406</v>
      </c>
      <c r="C16" s="521" t="s">
        <v>384</v>
      </c>
      <c r="D16" s="521" t="s">
        <v>210</v>
      </c>
      <c r="E16" s="521" t="s">
        <v>209</v>
      </c>
      <c r="F16" s="521" t="s">
        <v>177</v>
      </c>
      <c r="G16" s="521" t="s">
        <v>158</v>
      </c>
      <c r="H16" s="521" t="s">
        <v>407</v>
      </c>
      <c r="I16" s="521" t="s">
        <v>178</v>
      </c>
      <c r="J16" s="521" t="s">
        <v>396</v>
      </c>
      <c r="K16" s="525" t="s">
        <v>163</v>
      </c>
      <c r="L16" s="521" t="s">
        <v>196</v>
      </c>
      <c r="M16" s="521"/>
    </row>
    <row r="17">
      <c r="A17" s="521" t="s">
        <v>418</v>
      </c>
      <c r="B17" s="521" t="s">
        <v>406</v>
      </c>
      <c r="C17" s="521" t="s">
        <v>384</v>
      </c>
      <c r="D17" s="521" t="s">
        <v>210</v>
      </c>
      <c r="E17" s="521" t="s">
        <v>209</v>
      </c>
      <c r="F17" s="521" t="s">
        <v>183</v>
      </c>
      <c r="G17" s="521" t="s">
        <v>158</v>
      </c>
      <c r="H17" s="521" t="s">
        <v>407</v>
      </c>
      <c r="I17" s="521" t="s">
        <v>184</v>
      </c>
      <c r="J17" s="521" t="s">
        <v>396</v>
      </c>
      <c r="K17" s="525" t="s">
        <v>163</v>
      </c>
      <c r="L17" s="521" t="s">
        <v>419</v>
      </c>
      <c r="M17" s="521"/>
    </row>
    <row r="18">
      <c r="A18" s="521" t="s">
        <v>420</v>
      </c>
      <c r="B18" s="521" t="s">
        <v>406</v>
      </c>
      <c r="C18" s="521" t="s">
        <v>384</v>
      </c>
      <c r="D18" s="521" t="s">
        <v>210</v>
      </c>
      <c r="E18" s="521" t="s">
        <v>209</v>
      </c>
      <c r="F18" s="521" t="s">
        <v>196</v>
      </c>
      <c r="G18" s="521" t="s">
        <v>421</v>
      </c>
      <c r="H18" s="521" t="s">
        <v>407</v>
      </c>
      <c r="I18" s="521" t="s">
        <v>197</v>
      </c>
      <c r="J18" s="521" t="s">
        <v>396</v>
      </c>
      <c r="K18" s="525" t="s">
        <v>163</v>
      </c>
      <c r="L18" s="521" t="s">
        <v>196</v>
      </c>
      <c r="M18" s="521"/>
    </row>
    <row r="19">
      <c r="A19" s="521" t="s">
        <v>422</v>
      </c>
      <c r="B19" s="521" t="s">
        <v>406</v>
      </c>
      <c r="C19" s="521" t="s">
        <v>384</v>
      </c>
      <c r="D19" s="521" t="s">
        <v>210</v>
      </c>
      <c r="E19" s="521" t="s">
        <v>209</v>
      </c>
      <c r="F19" s="521" t="s">
        <v>202</v>
      </c>
      <c r="G19" s="521" t="s">
        <v>158</v>
      </c>
      <c r="H19" s="521" t="s">
        <v>407</v>
      </c>
      <c r="I19" s="521" t="s">
        <v>203</v>
      </c>
      <c r="J19" s="521" t="s">
        <v>396</v>
      </c>
      <c r="K19" s="525" t="s">
        <v>163</v>
      </c>
      <c r="L19" s="521" t="s">
        <v>196</v>
      </c>
      <c r="M19" s="521"/>
    </row>
    <row r="20">
      <c r="A20" s="521" t="s">
        <v>423</v>
      </c>
      <c r="B20" s="521" t="s">
        <v>406</v>
      </c>
      <c r="C20" s="521" t="s">
        <v>384</v>
      </c>
      <c r="D20" s="521" t="s">
        <v>225</v>
      </c>
      <c r="E20" s="521" t="s">
        <v>224</v>
      </c>
      <c r="F20" s="521" t="s">
        <v>159</v>
      </c>
      <c r="G20" s="521" t="s">
        <v>158</v>
      </c>
      <c r="H20" s="521" t="s">
        <v>407</v>
      </c>
      <c r="I20" s="521" t="s">
        <v>160</v>
      </c>
      <c r="J20" s="521" t="s">
        <v>400</v>
      </c>
      <c r="K20" s="525" t="s">
        <v>163</v>
      </c>
      <c r="L20" s="521" t="s">
        <v>416</v>
      </c>
      <c r="M20" s="521"/>
    </row>
    <row r="21">
      <c r="A21" s="521" t="s">
        <v>424</v>
      </c>
      <c r="B21" s="521" t="s">
        <v>406</v>
      </c>
      <c r="C21" s="521" t="s">
        <v>384</v>
      </c>
      <c r="D21" s="521" t="s">
        <v>225</v>
      </c>
      <c r="E21" s="521" t="s">
        <v>224</v>
      </c>
      <c r="F21" s="521" t="s">
        <v>177</v>
      </c>
      <c r="G21" s="521" t="s">
        <v>158</v>
      </c>
      <c r="H21" s="521" t="s">
        <v>407</v>
      </c>
      <c r="I21" s="521" t="s">
        <v>178</v>
      </c>
      <c r="J21" s="521" t="s">
        <v>400</v>
      </c>
      <c r="K21" s="525" t="s">
        <v>163</v>
      </c>
      <c r="L21" s="521" t="s">
        <v>196</v>
      </c>
      <c r="M21" s="521"/>
    </row>
    <row r="22">
      <c r="A22" s="521" t="s">
        <v>425</v>
      </c>
      <c r="B22" s="521" t="s">
        <v>406</v>
      </c>
      <c r="C22" s="521" t="s">
        <v>384</v>
      </c>
      <c r="D22" s="521" t="s">
        <v>225</v>
      </c>
      <c r="E22" s="521" t="s">
        <v>224</v>
      </c>
      <c r="F22" s="521" t="s">
        <v>183</v>
      </c>
      <c r="G22" s="521" t="s">
        <v>158</v>
      </c>
      <c r="H22" s="521" t="s">
        <v>407</v>
      </c>
      <c r="I22" s="521" t="s">
        <v>184</v>
      </c>
      <c r="J22" s="521" t="s">
        <v>400</v>
      </c>
      <c r="K22" s="525" t="s">
        <v>163</v>
      </c>
      <c r="L22" s="521" t="s">
        <v>419</v>
      </c>
      <c r="M22" s="521"/>
    </row>
    <row r="23">
      <c r="A23" s="521" t="s">
        <v>426</v>
      </c>
      <c r="B23" s="521" t="s">
        <v>406</v>
      </c>
      <c r="C23" s="521" t="s">
        <v>384</v>
      </c>
      <c r="D23" s="521" t="s">
        <v>225</v>
      </c>
      <c r="E23" s="521" t="s">
        <v>224</v>
      </c>
      <c r="F23" s="521" t="s">
        <v>196</v>
      </c>
      <c r="G23" s="521" t="s">
        <v>427</v>
      </c>
      <c r="H23" s="521" t="s">
        <v>407</v>
      </c>
      <c r="I23" s="521" t="s">
        <v>197</v>
      </c>
      <c r="J23" s="521" t="s">
        <v>400</v>
      </c>
      <c r="K23" s="525" t="s">
        <v>163</v>
      </c>
      <c r="L23" s="521" t="s">
        <v>196</v>
      </c>
      <c r="M23" s="521"/>
    </row>
    <row r="24">
      <c r="A24" s="521" t="s">
        <v>428</v>
      </c>
      <c r="B24" s="521" t="s">
        <v>406</v>
      </c>
      <c r="C24" s="521" t="s">
        <v>384</v>
      </c>
      <c r="D24" s="521" t="s">
        <v>225</v>
      </c>
      <c r="E24" s="521" t="s">
        <v>224</v>
      </c>
      <c r="F24" s="521" t="s">
        <v>202</v>
      </c>
      <c r="G24" s="521" t="s">
        <v>158</v>
      </c>
      <c r="H24" s="521" t="s">
        <v>407</v>
      </c>
      <c r="I24" s="521" t="s">
        <v>203</v>
      </c>
      <c r="J24" s="521" t="s">
        <v>400</v>
      </c>
      <c r="K24" s="525" t="s">
        <v>163</v>
      </c>
      <c r="L24" s="521" t="s">
        <v>177</v>
      </c>
      <c r="M24" s="521"/>
    </row>
    <row r="25">
      <c r="A25" s="521" t="s">
        <v>429</v>
      </c>
      <c r="B25" s="521" t="s">
        <v>406</v>
      </c>
      <c r="C25" s="521" t="s">
        <v>384</v>
      </c>
      <c r="D25" s="521" t="s">
        <v>238</v>
      </c>
      <c r="E25" s="521" t="s">
        <v>237</v>
      </c>
      <c r="F25" s="521" t="s">
        <v>159</v>
      </c>
      <c r="G25" s="521" t="s">
        <v>158</v>
      </c>
      <c r="H25" s="521" t="s">
        <v>407</v>
      </c>
      <c r="I25" s="521" t="s">
        <v>160</v>
      </c>
      <c r="J25" s="521" t="s">
        <v>403</v>
      </c>
      <c r="K25" s="525" t="s">
        <v>163</v>
      </c>
      <c r="L25" s="521" t="s">
        <v>416</v>
      </c>
      <c r="M25" s="521"/>
    </row>
    <row r="26">
      <c r="A26" s="521" t="s">
        <v>430</v>
      </c>
      <c r="B26" s="521" t="s">
        <v>406</v>
      </c>
      <c r="C26" s="521" t="s">
        <v>384</v>
      </c>
      <c r="D26" s="521" t="s">
        <v>238</v>
      </c>
      <c r="E26" s="521" t="s">
        <v>237</v>
      </c>
      <c r="F26" s="521" t="s">
        <v>177</v>
      </c>
      <c r="G26" s="521" t="s">
        <v>158</v>
      </c>
      <c r="H26" s="521" t="s">
        <v>407</v>
      </c>
      <c r="I26" s="521" t="s">
        <v>178</v>
      </c>
      <c r="J26" s="521" t="s">
        <v>403</v>
      </c>
      <c r="K26" s="525" t="s">
        <v>163</v>
      </c>
      <c r="L26" s="521" t="s">
        <v>196</v>
      </c>
      <c r="M26" s="521"/>
    </row>
    <row r="27">
      <c r="A27" s="521" t="s">
        <v>431</v>
      </c>
      <c r="B27" s="521" t="s">
        <v>406</v>
      </c>
      <c r="C27" s="521" t="s">
        <v>384</v>
      </c>
      <c r="D27" s="521" t="s">
        <v>238</v>
      </c>
      <c r="E27" s="521" t="s">
        <v>237</v>
      </c>
      <c r="F27" s="521" t="s">
        <v>183</v>
      </c>
      <c r="G27" s="521" t="s">
        <v>158</v>
      </c>
      <c r="H27" s="521" t="s">
        <v>407</v>
      </c>
      <c r="I27" s="521" t="s">
        <v>184</v>
      </c>
      <c r="J27" s="521" t="s">
        <v>403</v>
      </c>
      <c r="K27" s="525" t="s">
        <v>163</v>
      </c>
      <c r="L27" s="521" t="s">
        <v>419</v>
      </c>
      <c r="M27" s="521"/>
    </row>
    <row r="28">
      <c r="A28" s="521" t="s">
        <v>432</v>
      </c>
      <c r="B28" s="521" t="s">
        <v>406</v>
      </c>
      <c r="C28" s="521" t="s">
        <v>384</v>
      </c>
      <c r="D28" s="521" t="s">
        <v>238</v>
      </c>
      <c r="E28" s="521" t="s">
        <v>237</v>
      </c>
      <c r="F28" s="521" t="s">
        <v>196</v>
      </c>
      <c r="G28" s="521" t="s">
        <v>433</v>
      </c>
      <c r="H28" s="521" t="s">
        <v>407</v>
      </c>
      <c r="I28" s="521" t="s">
        <v>197</v>
      </c>
      <c r="J28" s="521" t="s">
        <v>403</v>
      </c>
      <c r="K28" s="525" t="s">
        <v>163</v>
      </c>
      <c r="L28" s="521" t="s">
        <v>196</v>
      </c>
      <c r="M28" s="521"/>
    </row>
    <row r="29">
      <c r="A29" s="521" t="s">
        <v>434</v>
      </c>
      <c r="B29" s="521" t="s">
        <v>406</v>
      </c>
      <c r="C29" s="521" t="s">
        <v>384</v>
      </c>
      <c r="D29" s="521" t="s">
        <v>238</v>
      </c>
      <c r="E29" s="521" t="s">
        <v>237</v>
      </c>
      <c r="F29" s="521" t="s">
        <v>202</v>
      </c>
      <c r="G29" s="521" t="s">
        <v>158</v>
      </c>
      <c r="H29" s="521" t="s">
        <v>407</v>
      </c>
      <c r="I29" s="521" t="s">
        <v>203</v>
      </c>
      <c r="J29" s="521" t="s">
        <v>403</v>
      </c>
      <c r="K29" s="525" t="s">
        <v>163</v>
      </c>
      <c r="L29" s="521" t="s">
        <v>196</v>
      </c>
      <c r="M29" s="521"/>
    </row>
    <row r="30">
      <c r="A30" s="521" t="s">
        <v>435</v>
      </c>
      <c r="B30" s="521" t="s">
        <v>436</v>
      </c>
      <c r="C30" s="521" t="s">
        <v>384</v>
      </c>
      <c r="D30" s="521"/>
      <c r="E30" s="521"/>
      <c r="F30" s="521"/>
      <c r="G30" s="521"/>
      <c r="H30" s="521" t="s">
        <v>437</v>
      </c>
      <c r="I30" s="521" t="s">
        <v>438</v>
      </c>
      <c r="J30" s="521" t="s">
        <v>261</v>
      </c>
      <c r="K30" s="523" t="s">
        <v>319</v>
      </c>
      <c r="L30" s="521" t="s">
        <v>439</v>
      </c>
      <c r="M30" s="521" t="s">
        <v>440</v>
      </c>
    </row>
  </sheetData>
</worksheet>
</file>

<file path=xl/worksheets/sheet7.xml><?xml version="1.0" encoding="utf-8"?>
<worksheet xmlns="http://schemas.openxmlformats.org/spreadsheetml/2006/main" xmlns:r="http://schemas.openxmlformats.org/officeDocument/2006/relationships">
  <dimension ref="A1:H33"/>
  <sheetViews>
    <sheetView showGridLines="0" workbookViewId="0"/>
  </sheetViews>
  <sheetFormatPr defaultColWidth="8.375" defaultRowHeight="15"/>
  <cols>
    <col min="1" max="4" width="16.875" customWidth="1"/>
    <col min="5" max="5" width="59.375" customWidth="1"/>
    <col min="6" max="8" width="16.875" customWidth="1"/>
  </cols>
  <sheetData>
    <row r="1">
      <c r="A1" s="524" t="s">
        <v>0</v>
      </c>
      <c r="B1" s="521"/>
      <c r="C1" s="521"/>
      <c r="D1" s="521"/>
      <c r="E1" s="521"/>
      <c r="F1" s="521"/>
      <c r="G1" s="521"/>
      <c r="H1" s="521"/>
    </row>
    <row r="2">
      <c r="A2" s="521" t="s">
        <v>441</v>
      </c>
      <c r="B2" s="521"/>
      <c r="C2" s="521"/>
      <c r="D2" s="521"/>
      <c r="E2" s="521"/>
      <c r="F2" s="521"/>
      <c r="G2" s="521"/>
      <c r="H2" s="521"/>
    </row>
    <row r="3">
      <c r="A3" s="523" t="s">
        <v>442</v>
      </c>
      <c r="B3" s="523"/>
      <c r="C3" s="523"/>
      <c r="D3" s="523"/>
      <c r="E3" s="523"/>
      <c r="F3" s="523"/>
      <c r="G3" s="523"/>
      <c r="H3" s="523"/>
    </row>
    <row r="4">
      <c r="A4" s="521"/>
      <c r="B4" s="521"/>
      <c r="C4" s="521"/>
      <c r="D4" s="521"/>
      <c r="E4" s="521"/>
      <c r="F4" s="521"/>
      <c r="G4" s="521"/>
      <c r="H4" s="521"/>
    </row>
    <row r="5">
      <c r="A5" s="521"/>
      <c r="B5" s="521"/>
      <c r="C5" s="521"/>
      <c r="D5" s="521"/>
      <c r="E5" s="521"/>
      <c r="F5" s="521"/>
      <c r="G5" s="521"/>
      <c r="H5" s="521"/>
    </row>
    <row r="6">
      <c r="A6" s="521"/>
      <c r="B6" s="521"/>
      <c r="C6" s="521"/>
      <c r="D6" s="521"/>
      <c r="E6" s="521"/>
      <c r="F6" s="521"/>
      <c r="G6" s="521"/>
      <c r="H6" s="521"/>
    </row>
    <row r="7">
      <c r="A7" s="521"/>
      <c r="B7" s="521"/>
      <c r="C7" s="521"/>
      <c r="D7" s="521"/>
      <c r="E7" s="521"/>
      <c r="F7" s="521"/>
      <c r="G7" s="521"/>
      <c r="H7" s="521"/>
    </row>
    <row r="8">
      <c r="A8" s="521"/>
      <c r="B8" s="521"/>
      <c r="C8" s="521"/>
      <c r="D8" s="521"/>
      <c r="E8" s="521"/>
      <c r="F8" s="521"/>
      <c r="G8" s="521"/>
      <c r="H8" s="521"/>
    </row>
    <row r="9">
      <c r="A9" s="521"/>
      <c r="B9" s="521"/>
      <c r="C9" s="521"/>
      <c r="D9" s="521"/>
      <c r="E9" s="521"/>
      <c r="F9" s="521"/>
      <c r="G9" s="521"/>
      <c r="H9" s="521"/>
    </row>
    <row r="10">
      <c r="A10" s="521"/>
      <c r="B10" s="521"/>
      <c r="C10" s="521"/>
      <c r="D10" s="521"/>
      <c r="E10" s="521"/>
      <c r="F10" s="521"/>
      <c r="G10" s="521"/>
      <c r="H10" s="521"/>
    </row>
    <row r="11">
      <c r="A11" s="521"/>
      <c r="B11" s="521"/>
      <c r="C11" s="521"/>
      <c r="D11" s="521"/>
      <c r="E11" s="521"/>
      <c r="F11" s="521"/>
      <c r="G11" s="521"/>
      <c r="H11" s="521"/>
    </row>
    <row r="12">
      <c r="A12" s="521"/>
      <c r="B12" s="521"/>
      <c r="C12" s="521"/>
      <c r="D12" s="521"/>
      <c r="E12" s="521"/>
      <c r="F12" s="521"/>
      <c r="G12" s="521"/>
      <c r="H12" s="521"/>
    </row>
    <row r="13">
      <c r="A13" s="521"/>
      <c r="B13" s="521"/>
      <c r="C13" s="521"/>
      <c r="D13" s="521"/>
      <c r="E13" s="521"/>
      <c r="F13" s="521"/>
      <c r="G13" s="521"/>
      <c r="H13" s="521"/>
    </row>
    <row r="14">
      <c r="A14" s="521"/>
      <c r="B14" s="521"/>
      <c r="C14" s="521"/>
      <c r="D14" s="521"/>
      <c r="E14" s="521"/>
      <c r="F14" s="521"/>
      <c r="G14" s="521"/>
      <c r="H14" s="521"/>
    </row>
    <row r="15">
      <c r="A15" s="521"/>
      <c r="B15" s="521"/>
      <c r="C15" s="521"/>
      <c r="D15" s="521"/>
      <c r="E15" s="521"/>
      <c r="F15" s="521"/>
      <c r="G15" s="521"/>
      <c r="H15" s="521"/>
    </row>
    <row r="16">
      <c r="A16" s="521"/>
      <c r="B16" s="521"/>
      <c r="C16" s="521"/>
      <c r="D16" s="521"/>
      <c r="E16" s="521"/>
      <c r="F16" s="521"/>
      <c r="G16" s="521"/>
      <c r="H16" s="521"/>
    </row>
    <row r="17">
      <c r="A17" s="521"/>
      <c r="B17" s="521"/>
      <c r="C17" s="521"/>
      <c r="D17" s="521"/>
      <c r="E17" s="521"/>
      <c r="F17" s="521"/>
      <c r="G17" s="521"/>
      <c r="H17" s="521"/>
    </row>
    <row r="18">
      <c r="A18" s="521"/>
      <c r="B18" s="522"/>
      <c r="C18" s="521"/>
      <c r="D18" s="521"/>
      <c r="E18" s="521"/>
      <c r="F18" s="521"/>
      <c r="G18" s="521"/>
      <c r="H18" s="521"/>
    </row>
    <row r="19">
      <c r="A19" s="521"/>
      <c r="B19" s="522"/>
      <c r="C19" s="521"/>
      <c r="D19" s="521"/>
      <c r="E19" s="521"/>
      <c r="F19" s="521"/>
      <c r="G19" s="521"/>
      <c r="H19" s="521"/>
    </row>
    <row r="20">
      <c r="A20" s="521"/>
      <c r="B20" s="522"/>
      <c r="C20" s="521"/>
      <c r="D20" s="521"/>
      <c r="E20" s="521"/>
      <c r="F20" s="521"/>
      <c r="G20" s="521"/>
      <c r="H20" s="521"/>
    </row>
    <row r="21">
      <c r="A21" s="521"/>
      <c r="B21" s="522"/>
      <c r="C21" s="521"/>
      <c r="D21" s="521"/>
      <c r="E21" s="521"/>
      <c r="F21" s="521"/>
      <c r="G21" s="521"/>
      <c r="H21" s="521"/>
    </row>
    <row r="22">
      <c r="A22" s="521"/>
      <c r="B22" s="522"/>
      <c r="C22" s="521"/>
      <c r="D22" s="521"/>
      <c r="E22" s="521"/>
      <c r="F22" s="521"/>
      <c r="G22" s="521"/>
      <c r="H22" s="521"/>
    </row>
    <row r="23">
      <c r="A23" s="521"/>
      <c r="B23" s="522"/>
      <c r="C23" s="521"/>
      <c r="D23" s="521"/>
      <c r="E23" s="521"/>
      <c r="F23" s="521"/>
      <c r="G23" s="521"/>
      <c r="H23" s="521"/>
    </row>
    <row r="24">
      <c r="A24" s="521"/>
      <c r="B24" s="522"/>
      <c r="C24" s="521"/>
      <c r="D24" s="521"/>
      <c r="E24" s="521"/>
      <c r="F24" s="521"/>
      <c r="G24" s="521"/>
      <c r="H24" s="521"/>
    </row>
    <row r="25">
      <c r="A25" s="521"/>
      <c r="B25" s="522"/>
      <c r="C25" s="521"/>
      <c r="D25" s="521"/>
      <c r="E25" s="521"/>
      <c r="F25" s="521"/>
      <c r="G25" s="521"/>
      <c r="H25" s="521"/>
    </row>
    <row r="26">
      <c r="A26" s="521"/>
      <c r="B26" s="522"/>
      <c r="C26" s="521"/>
      <c r="D26" s="521"/>
      <c r="E26" s="521"/>
      <c r="F26" s="521"/>
      <c r="G26" s="521"/>
      <c r="H26" s="521"/>
    </row>
    <row r="27">
      <c r="A27" s="521"/>
      <c r="B27" s="522"/>
      <c r="C27" s="521"/>
      <c r="D27" s="521"/>
      <c r="E27" s="521"/>
      <c r="F27" s="521"/>
      <c r="G27" s="521"/>
      <c r="H27" s="521"/>
    </row>
    <row r="28">
      <c r="A28" s="521"/>
      <c r="B28" s="522"/>
      <c r="C28" s="521"/>
      <c r="D28" s="521"/>
      <c r="E28" s="521"/>
      <c r="F28" s="521"/>
      <c r="G28" s="521"/>
      <c r="H28" s="521"/>
    </row>
    <row r="29">
      <c r="A29" s="521"/>
      <c r="B29" s="522"/>
      <c r="C29" s="521"/>
      <c r="D29" s="521"/>
      <c r="E29" s="521"/>
      <c r="F29" s="521"/>
      <c r="G29" s="521"/>
      <c r="H29" s="521"/>
    </row>
    <row r="30">
      <c r="A30" s="521"/>
      <c r="B30" s="522"/>
      <c r="C30" s="521"/>
      <c r="D30" s="521"/>
      <c r="E30" s="521"/>
      <c r="F30" s="521"/>
      <c r="G30" s="521"/>
      <c r="H30" s="521"/>
    </row>
    <row r="31">
      <c r="A31" s="521"/>
      <c r="B31" s="522"/>
      <c r="C31" s="521"/>
      <c r="D31" s="521"/>
      <c r="E31" s="521"/>
      <c r="F31" s="521"/>
      <c r="G31" s="521"/>
      <c r="H31" s="521"/>
    </row>
    <row r="32">
      <c r="A32" s="521"/>
      <c r="B32" s="522"/>
      <c r="C32" s="521"/>
      <c r="D32" s="521"/>
      <c r="E32" s="521"/>
      <c r="F32" s="521"/>
      <c r="G32" s="521"/>
      <c r="H32" s="521"/>
    </row>
    <row r="33">
      <c r="A33" s="521"/>
      <c r="B33" s="521"/>
      <c r="C33" s="521"/>
      <c r="D33" s="521"/>
      <c r="E33" s="521"/>
      <c r="F33" s="521"/>
      <c r="G33" s="521"/>
      <c r="H33" s="521"/>
    </row>
  </sheetData>
</worksheet>
</file>

<file path=xl/worksheets/sheet8.xml><?xml version="1.0" encoding="utf-8"?>
<worksheet xmlns="http://schemas.openxmlformats.org/spreadsheetml/2006/main" xmlns:r="http://schemas.openxmlformats.org/officeDocument/2006/relationships">
  <dimension ref="A1:H67"/>
  <sheetViews>
    <sheetView showGridLines="0" workbookViewId="0"/>
  </sheetViews>
  <sheetFormatPr defaultColWidth="8.375" defaultRowHeight="15"/>
  <cols>
    <col min="1" max="1" width="56.875" customWidth="1"/>
    <col min="2" max="8" width="15.625" customWidth="1"/>
  </cols>
  <sheetData>
    <row r="1">
      <c r="A1" s="530" t="s">
        <v>0</v>
      </c>
      <c r="B1" s="529"/>
      <c r="C1" s="529"/>
      <c r="D1" s="529"/>
      <c r="E1" s="529"/>
      <c r="F1" s="529"/>
      <c r="G1" s="529"/>
      <c r="H1" s="529"/>
    </row>
    <row r="2">
      <c r="A2" s="526" t="s">
        <v>443</v>
      </c>
    </row>
    <row r="3">
      <c r="A3" s="526" t="s">
        <v>444</v>
      </c>
    </row>
    <row r="4">
      <c r="A4" s="528"/>
      <c r="B4" s="528"/>
      <c r="C4" s="528"/>
      <c r="D4" s="528"/>
      <c r="E4" s="528"/>
      <c r="F4" s="528"/>
      <c r="G4" s="528"/>
      <c r="H4" s="528"/>
    </row>
    <row r="5">
      <c r="A5" s="530" t="s">
        <v>445</v>
      </c>
      <c r="B5" s="527"/>
      <c r="C5" s="527"/>
      <c r="D5" s="527"/>
      <c r="E5" s="527"/>
      <c r="F5" s="527"/>
      <c r="G5" s="527"/>
      <c r="H5" s="527"/>
    </row>
    <row r="6">
      <c r="A6" s="526" t="s">
        <v>446</v>
      </c>
    </row>
    <row r="7">
      <c r="A7" s="526" t="s">
        <v>447</v>
      </c>
    </row>
    <row r="8">
      <c r="A8" s="526" t="s">
        <v>448</v>
      </c>
    </row>
    <row r="9">
      <c r="A9" s="526" t="s">
        <v>449</v>
      </c>
    </row>
    <row r="10">
      <c r="A10" s="526" t="s">
        <v>450</v>
      </c>
    </row>
    <row r="11">
      <c r="A11" s="526" t="s">
        <v>451</v>
      </c>
    </row>
    <row r="12">
      <c r="A12" s="526" t="s">
        <v>452</v>
      </c>
    </row>
    <row r="13">
      <c r="A13" s="526" t="s">
        <v>453</v>
      </c>
    </row>
    <row r="14">
      <c r="A14" s="526" t="s">
        <v>454</v>
      </c>
    </row>
    <row r="15">
      <c r="A15" s="526" t="s">
        <v>455</v>
      </c>
    </row>
    <row r="16">
      <c r="A16" s="526" t="s">
        <v>456</v>
      </c>
    </row>
    <row r="17">
      <c r="A17" s="526" t="s">
        <v>457</v>
      </c>
    </row>
    <row r="18">
      <c r="A18" s="526" t="s">
        <v>458</v>
      </c>
    </row>
    <row r="19">
      <c r="A19" s="526" t="s">
        <v>459</v>
      </c>
    </row>
    <row r="20">
      <c r="A20" s="526" t="s">
        <v>460</v>
      </c>
    </row>
    <row r="21">
      <c r="A21" s="526" t="s">
        <v>461</v>
      </c>
    </row>
    <row r="22">
      <c r="A22" s="526" t="s">
        <v>462</v>
      </c>
    </row>
    <row r="23">
      <c r="A23" s="526" t="s">
        <v>463</v>
      </c>
    </row>
    <row r="24">
      <c r="A24" s="526" t="s">
        <v>464</v>
      </c>
    </row>
    <row r="25">
      <c r="A25" s="526" t="s">
        <v>465</v>
      </c>
    </row>
    <row r="26">
      <c r="A26" s="526" t="s">
        <v>466</v>
      </c>
    </row>
    <row r="27">
      <c r="A27" s="526" t="s">
        <v>467</v>
      </c>
    </row>
    <row r="28">
      <c r="A28" s="526" t="s">
        <v>468</v>
      </c>
    </row>
    <row r="29">
      <c r="A29" s="526" t="s">
        <v>469</v>
      </c>
    </row>
    <row r="30">
      <c r="A30" s="526" t="s">
        <v>470</v>
      </c>
    </row>
    <row r="31">
      <c r="A31" s="526" t="s">
        <v>471</v>
      </c>
    </row>
    <row r="32">
      <c r="A32" s="526" t="s">
        <v>472</v>
      </c>
    </row>
    <row r="33">
      <c r="A33" s="526" t="s">
        <v>473</v>
      </c>
    </row>
    <row r="34">
      <c r="A34" s="526" t="s">
        <v>474</v>
      </c>
    </row>
    <row r="35">
      <c r="A35" s="526" t="s">
        <v>475</v>
      </c>
    </row>
    <row r="36">
      <c r="A36" s="526" t="s">
        <v>476</v>
      </c>
    </row>
    <row r="37">
      <c r="A37" s="526" t="s">
        <v>477</v>
      </c>
    </row>
    <row r="38">
      <c r="A38" s="526" t="s">
        <v>478</v>
      </c>
    </row>
    <row r="39">
      <c r="A39" s="526" t="s">
        <v>479</v>
      </c>
    </row>
    <row r="40">
      <c r="A40" s="526" t="s">
        <v>480</v>
      </c>
    </row>
    <row r="41">
      <c r="A41" s="526" t="s">
        <v>481</v>
      </c>
    </row>
    <row r="42">
      <c r="A42" s="526" t="s">
        <v>482</v>
      </c>
    </row>
    <row r="43">
      <c r="A43" s="526" t="s">
        <v>483</v>
      </c>
    </row>
    <row r="44">
      <c r="A44" s="526" t="s">
        <v>484</v>
      </c>
    </row>
    <row r="45">
      <c r="A45" s="526" t="s">
        <v>485</v>
      </c>
    </row>
    <row r="46">
      <c r="A46" s="526" t="s">
        <v>486</v>
      </c>
    </row>
    <row r="47">
      <c r="A47" s="526" t="s">
        <v>487</v>
      </c>
    </row>
    <row r="48">
      <c r="A48" s="526" t="s">
        <v>488</v>
      </c>
    </row>
    <row r="49">
      <c r="A49" s="526" t="s">
        <v>489</v>
      </c>
    </row>
    <row r="50">
      <c r="A50" s="526" t="s">
        <v>490</v>
      </c>
    </row>
    <row r="51">
      <c r="A51" s="526" t="s">
        <v>491</v>
      </c>
    </row>
    <row r="52">
      <c r="A52" s="526" t="s">
        <v>492</v>
      </c>
    </row>
    <row r="53">
      <c r="A53" s="526" t="s">
        <v>493</v>
      </c>
    </row>
    <row r="54">
      <c r="A54" s="526" t="s">
        <v>494</v>
      </c>
    </row>
    <row r="55">
      <c r="A55" s="526" t="s">
        <v>495</v>
      </c>
    </row>
    <row r="56">
      <c r="A56" s="526" t="s">
        <v>496</v>
      </c>
    </row>
    <row r="57">
      <c r="A57" s="526" t="s">
        <v>497</v>
      </c>
    </row>
    <row r="58">
      <c r="A58" s="526" t="s">
        <v>498</v>
      </c>
    </row>
    <row r="59">
      <c r="A59" s="526" t="s">
        <v>499</v>
      </c>
    </row>
    <row r="60">
      <c r="A60" s="526" t="s">
        <v>500</v>
      </c>
    </row>
    <row r="61">
      <c r="A61" s="526" t="s">
        <v>501</v>
      </c>
    </row>
    <row r="62">
      <c r="A62" s="526" t="s">
        <v>502</v>
      </c>
    </row>
    <row r="63">
      <c r="A63" s="526" t="s">
        <v>503</v>
      </c>
    </row>
    <row r="64">
      <c r="A64" s="526" t="s">
        <v>504</v>
      </c>
    </row>
    <row r="65">
      <c r="A65" s="526" t="s">
        <v>505</v>
      </c>
    </row>
    <row r="66">
      <c r="A66" s="528"/>
      <c r="B66" s="528"/>
      <c r="C66" s="528"/>
      <c r="D66" s="528"/>
      <c r="E66" s="528"/>
      <c r="F66" s="528"/>
      <c r="G66" s="528"/>
      <c r="H66" s="528"/>
    </row>
    <row r="67">
      <c r="A67" s="526" t="s">
        <v>506</v>
      </c>
    </row>
  </sheetData>
</worksheet>
</file>

<file path=xl/worksheets/sheet9.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535" t="s">
        <v>507</v>
      </c>
      <c r="B1" s="535" t="s">
        <v>508</v>
      </c>
      <c r="C1" s="535" t="s">
        <v>509</v>
      </c>
      <c r="D1" s="535" t="s">
        <v>510</v>
      </c>
      <c r="E1" s="535" t="s">
        <v>511</v>
      </c>
      <c r="F1" s="535" t="s">
        <v>512</v>
      </c>
    </row>
    <row r="2">
      <c r="A2" s="534">
        <v>1</v>
      </c>
      <c r="B2" s="536">
        <v>46324.35933078703</v>
      </c>
      <c r="C2" s="534" t="s">
        <v>513</v>
      </c>
      <c r="D2" s="534" t="s">
        <v>514</v>
      </c>
      <c r="E2" s="534" t="s">
        <v>515</v>
      </c>
      <c r="F2" s="534" t="s">
        <v>516</v>
      </c>
    </row>
  </sheetData>
</worksheet>
</file>