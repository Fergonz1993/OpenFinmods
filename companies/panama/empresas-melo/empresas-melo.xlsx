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EEFF" sheetId="1" r:id="rId1"/>
    <sheet name="Notas_EEFF" sheetId="2" r:id="rId5"/>
    <sheet name="Supuestos" sheetId="3" r:id="rId6"/>
    <sheet name="ModeloFinanciero" sheetId="4" r:id="rId7"/>
    <sheet name="_CHECKS" sheetId="5" r:id="rId8"/>
    <sheet name="Source_Register" sheetId="6" r:id="rId9"/>
    <sheet name="_CHANGELOG" sheetId="7" r:id="rId10"/>
    <sheet name="MD&amp;A" sheetId="8" r:id="rId11"/>
    <sheet name="Claude Code Log" sheetId="9" r:id="rId12"/>
  </sheets>
  <calcPr calcId="0"/>
</workbook>
</file>

<file path=xl/sharedStrings.xml><?xml version="1.0" encoding="utf-8"?>
<sst xmlns="http://schemas.openxmlformats.org/spreadsheetml/2006/main" count="3556" uniqueCount="874">
  <si>
    <t>Empresas Melo, S.A. y Subsidiarias</t>
  </si>
  <si>
    <t>Estados Financieros Auditados FY21-FY25</t>
  </si>
  <si>
    <t>en B/. sin escala</t>
  </si>
  <si>
    <t>Años</t>
  </si>
  <si>
    <t>FY21A</t>
  </si>
  <si>
    <t>FY22A</t>
  </si>
  <si>
    <t>FY23A</t>
  </si>
  <si>
    <t>FY24A</t>
  </si>
  <si>
    <t>FY25A</t>
  </si>
  <si>
    <t>FY26E</t>
  </si>
  <si>
    <t>FY27E</t>
  </si>
  <si>
    <t>FY28E</t>
  </si>
  <si>
    <t>FY29E</t>
  </si>
  <si>
    <t>FY30E</t>
  </si>
  <si>
    <t>Estado de Resultados</t>
  </si>
  <si>
    <t>Ingresos de actividades ordinarias</t>
  </si>
  <si>
    <t>Otros ingresos</t>
  </si>
  <si>
    <t>Cambios en el inventario de mercancía, productos terminados, en proceso y otros</t>
  </si>
  <si>
    <t>Consumo de materia prima y materiales usados</t>
  </si>
  <si>
    <t>Gastos de personal</t>
  </si>
  <si>
    <t>Depreciación y amortización</t>
  </si>
  <si>
    <t>Depreciación activos por derecho de uso</t>
  </si>
  <si>
    <t>Pérdida crediticia esperada</t>
  </si>
  <si>
    <t>Otros gastos</t>
  </si>
  <si>
    <t>Ganancia operativa</t>
  </si>
  <si>
    <t>Costos financieros, netos</t>
  </si>
  <si>
    <t>Intereses y dividendos ganados</t>
  </si>
  <si>
    <t>Intereses por arrendamiento - derecho de uso</t>
  </si>
  <si>
    <t>Intereses financieros</t>
  </si>
  <si>
    <t>Costos financieros, neto</t>
  </si>
  <si>
    <t>Participación en resultados integrales de asociadas</t>
  </si>
  <si>
    <t>Utilidad antes del impuesto sobre la renta</t>
  </si>
  <si>
    <t>Impuesto sobre la renta</t>
  </si>
  <si>
    <t>Utilidad neta</t>
  </si>
  <si>
    <t>Otros resultados integrales:</t>
  </si>
  <si>
    <t>Partidas que no se reclasificarán posteriormente</t>
  </si>
  <si>
    <t>Reserva para conversión de moneda extranjera</t>
  </si>
  <si>
    <t>Total de otros resultados integrales</t>
  </si>
  <si>
    <t>Total de resultados integrales</t>
  </si>
  <si>
    <t>Balance General</t>
  </si>
  <si>
    <t>Activos corrientes</t>
  </si>
  <si>
    <t>Efectivo y equivalentes de efectivo</t>
  </si>
  <si>
    <t>Documentos y cuentas por cobrar, neto</t>
  </si>
  <si>
    <t>Inventarios</t>
  </si>
  <si>
    <t>Inventario de materiales, piezas y repuestos</t>
  </si>
  <si>
    <t>Activos biológicos</t>
  </si>
  <si>
    <t>Adelantos para compra de inventarios y granos</t>
  </si>
  <si>
    <t>Gastos pagados por adelantado</t>
  </si>
  <si>
    <t>Impuesto sobre la renta pagado por adelantado</t>
  </si>
  <si>
    <t>Otros activos</t>
  </si>
  <si>
    <t>Total de activos corrientes</t>
  </si>
  <si>
    <t>Activos no corrientes</t>
  </si>
  <si>
    <t>Inmuebles, mobiliarios, equipos y mejoras, neto</t>
  </si>
  <si>
    <t>Activo intangible, neto</t>
  </si>
  <si>
    <t>Equipo para arrendamiento, neto</t>
  </si>
  <si>
    <t>Activos por derecho de uso, neto</t>
  </si>
  <si>
    <t>Propiedades de inversión</t>
  </si>
  <si>
    <t>Otras inversiones</t>
  </si>
  <si>
    <t>Inversión en asociadas</t>
  </si>
  <si>
    <t>Fondo de cesantía</t>
  </si>
  <si>
    <t>Impuesto sobre la renta diferido</t>
  </si>
  <si>
    <t>Total de activos no corrientes</t>
  </si>
  <si>
    <t>Total de activos</t>
  </si>
  <si>
    <t>Pasivos corrientes</t>
  </si>
  <si>
    <t>Préstamos por pagar</t>
  </si>
  <si>
    <t>Valores comerciales negociables</t>
  </si>
  <si>
    <t>Pasivos por arrendamiento</t>
  </si>
  <si>
    <t>Cuentas por pagar proveedores</t>
  </si>
  <si>
    <t>Adelantos recibidos de clientes</t>
  </si>
  <si>
    <t>Cuentas por pagar compañías relacionadas</t>
  </si>
  <si>
    <t>Impuesto sobre la renta por pagar</t>
  </si>
  <si>
    <t>Gastos acumulados y otros pasivos</t>
  </si>
  <si>
    <t>Total de pasivos corrientes</t>
  </si>
  <si>
    <t>Pasivos no corrientes</t>
  </si>
  <si>
    <t>Bonos por pagar</t>
  </si>
  <si>
    <t>Provisión para prima de antigüedad</t>
  </si>
  <si>
    <t>Total de pasivos no corrientes</t>
  </si>
  <si>
    <t>Total de pasivos</t>
  </si>
  <si>
    <t>Patrimonio</t>
  </si>
  <si>
    <t>Capital emitido: acciones comunes, sin valor nominal; y en circulación: 205</t>
  </si>
  <si>
    <t>Utilidades no distribuidas</t>
  </si>
  <si>
    <t>Reserva de conversión</t>
  </si>
  <si>
    <t>Total de patrimonio</t>
  </si>
  <si>
    <t>Total de pasivos y patrimonio</t>
  </si>
  <si>
    <t>Estado de Flujos de Efectivo</t>
  </si>
  <si>
    <t>Flujos de efectivo por las actividades de operación:</t>
  </si>
  <si>
    <t>Ajustes por:</t>
  </si>
  <si>
    <t>Participación en resultados de asociadas</t>
  </si>
  <si>
    <t>Depreciación y amortización de inmuebles, mobiliarios, equipo y mejoras</t>
  </si>
  <si>
    <t>Amortización activo intangible</t>
  </si>
  <si>
    <t>Depreciación de equipo para arrendamiento</t>
  </si>
  <si>
    <t>Depreciación de activos por derecho de uso</t>
  </si>
  <si>
    <t>Pérdida en venta de activo fijo</t>
  </si>
  <si>
    <t>Ganancia en venta de valores</t>
  </si>
  <si>
    <t>Ingreso en cancelación y arreglos de derecho de uso</t>
  </si>
  <si>
    <t>Pérdida en venta de propiedad de inversión</t>
  </si>
  <si>
    <t>Cambios en:</t>
  </si>
  <si>
    <t>Documentos y cuentas por cobrar</t>
  </si>
  <si>
    <t>Adelanto a compra de inventarios y granos</t>
  </si>
  <si>
    <t>Cuentas por pagar proveedores y compañías relacionadas</t>
  </si>
  <si>
    <t>Flujos netos procedentes en las actividades de operación</t>
  </si>
  <si>
    <t>Prima de antigüedad pagada</t>
  </si>
  <si>
    <t>Intereses pagados</t>
  </si>
  <si>
    <t>Impuesto sobre la renta pagado</t>
  </si>
  <si>
    <t>Efectivo neto provisto por las actividades de operación</t>
  </si>
  <si>
    <t>Flujos de efectivo de las actividades de inversión:</t>
  </si>
  <si>
    <t>Intereses recibidos</t>
  </si>
  <si>
    <t>Aportes al fondo de cesantía</t>
  </si>
  <si>
    <t>Adquisición de inmuebles, mobiliarios, equipos y mejoras</t>
  </si>
  <si>
    <t>Producto de la venta de inmuebles, mobiliarios, equipos y mejoras</t>
  </si>
  <si>
    <t>Adquisición de equipo de arrendamiento</t>
  </si>
  <si>
    <t>Adquisición de activos intangibles</t>
  </si>
  <si>
    <t>Dividendos recibidos de inversión en asociadas</t>
  </si>
  <si>
    <t>Costos incurridos en activo biológico - plantación forestal</t>
  </si>
  <si>
    <t>Producto de la venta de propiedad de inversión</t>
  </si>
  <si>
    <t>Adquisición de propiedad de inversión</t>
  </si>
  <si>
    <t>Producto de la venta de subsidiaria</t>
  </si>
  <si>
    <t>Plazo fijo</t>
  </si>
  <si>
    <t>Efectivo neto usado en las actividades de inversión</t>
  </si>
  <si>
    <t>Flujos de efectivo de las actividades de financiamiento:</t>
  </si>
  <si>
    <t>Pagos de préstamos generadores de interés y deuda</t>
  </si>
  <si>
    <t>Productos de préstamos generadores de interés y deuda</t>
  </si>
  <si>
    <t>Emisión de valores comerciales negociables</t>
  </si>
  <si>
    <t>Pagos de valores comerciales negociables</t>
  </si>
  <si>
    <t>Pagos de arrendamientos</t>
  </si>
  <si>
    <t>Producto de la emisión de bonos</t>
  </si>
  <si>
    <t>Pagos de bonos</t>
  </si>
  <si>
    <t>Producto de prima en emisión de bonos</t>
  </si>
  <si>
    <t>Disminución del patrimonio por escisión</t>
  </si>
  <si>
    <t>Aporte a capital</t>
  </si>
  <si>
    <t>Dividendos pagados</t>
  </si>
  <si>
    <t>Efectivo neto usado en las actividades de financiamiento</t>
  </si>
  <si>
    <t>Disminución neta en el efectivo</t>
  </si>
  <si>
    <t>Efectivo al inicio del año</t>
  </si>
  <si>
    <t>Efecto de las variaciones en las tasas de cambio sobre el efectivo mantenido</t>
  </si>
  <si>
    <t>Efectivo neto al final del año</t>
  </si>
  <si>
    <t>Notas a los Estados Financieros</t>
  </si>
  <si>
    <t>Fuente: informes auditados vía OCR Mistral (verbatim).</t>
  </si>
  <si>
    <t>Año</t>
  </si>
  <si>
    <t>Documento fuente</t>
  </si>
  <si>
    <t>Página OCR</t>
  </si>
  <si>
    <t>Tabla OCR / sección</t>
  </si>
  <si>
    <t>Nota #</t>
  </si>
  <si>
    <t>Título original de la nota</t>
  </si>
  <si>
    <t>Categoría modelable</t>
  </si>
  <si>
    <t>Line item EEFF</t>
  </si>
  <si>
    <t>Sub-line item / detalle</t>
  </si>
  <si>
    <t>Texto original / disclosure</t>
  </si>
  <si>
    <t>Monto reportado</t>
  </si>
  <si>
    <t>Moneda</t>
  </si>
  <si>
    <t>Unidad / escala</t>
  </si>
  <si>
    <t>Fecha / venc. / tasa / plazo</t>
  </si>
  <si>
    <t>Contraparte / contrato / instrumento</t>
  </si>
  <si>
    <t>Impacto en Supuestos</t>
  </si>
  <si>
    <t>Impacto en ModeloFinanciero</t>
  </si>
  <si>
    <t>Link a celda EEFF</t>
  </si>
  <si>
    <t>Comentario de extracción</t>
  </si>
  <si>
    <t>Status</t>
  </si>
  <si>
    <t>2022</t>
  </si>
  <si>
    <t>INA_EMMELO_2022_0.pdf</t>
  </si>
  <si>
    <t>page-35</t>
  </si>
  <si>
    <t>markdown.md</t>
  </si>
  <si>
    <t>1</t>
  </si>
  <si>
    <t>1. Información general</t>
  </si>
  <si>
    <t>Otros</t>
  </si>
  <si>
    <t>Empresas Melo, S.A., (en adelante, el "Fideicomitente Emisor") y MMG Bank Corporation como Agente Fiduciario (FIDBI-006), constituyeron el Fideicomiso de Garantía mediante Escritura Pública No.19,704 del 17 de diciembre de 2009, de la Notaría Cuarta del Circuito de Panamá.</t>
  </si>
  <si>
    <t>OK</t>
  </si>
  <si>
    <t>El objetivo general del Fideicomiso es garantizar con los bienes que mantienen, el cumplimiento de las obligaciones adquiridas por parte del Fideicomitente. Las obligaciones por parte del Fideicomitente son derivadas de: a) la emisión de bonos corporativos rotativos de hasta B/.50,000.000, cuyo registro y oferta pública fue autorizada por la Superintendencia de Mercado de Valores de Panamá mediante Resolución CNV No.358-09 de 20 de noviembre de 2009, modificada mediante Resolución SMV-552-14 del 13 de noviembre de 2014.</t>
  </si>
  <si>
    <t>B/.</t>
  </si>
  <si>
    <t>El Fiduciario es MMG Bank Corporation ("Agente Fiduciario") es una sociedad anónima organizada y de conformidad con las leyes de la República de Panamá, autorizada para ejercer el negocio Fiduciario en o desde la República de Panamá mediante Resolución Fiduciaria No.SBP-FID.0009-2013 de 14 de junio de 2013.</t>
  </si>
  <si>
    <t>El negocio de Fideicomiso en Panamá está regulado mediante la ley No.1 del 5 de enero de 1984, y la Ley No.21 del 10 de mayo de 2017, así como resoluciones y acuerdos de la Superintendencia de Bancos de Panamá.</t>
  </si>
  <si>
    <t>Los bienes del Fideicomiso de garantía están compuestos por:</t>
  </si>
  <si>
    <t>- Los derechos reales derivados de la Primera Hipoteca y Anticresis que se constituye a favor del Fiduciario, sobre ciertos bienes inmuebles propiedad del Fideicomitente y/o el Garante Hipotecario y cuyo valor de mercado, según avalúo por un evaluador aceptable al Fiduciario deberá cubrir al menos un 120% del saldo insoluto a capital de los Bonos emitidos y en circulación (Ver Nota No.4).</t>
  </si>
  <si>
    <t>- Cesión de las pólizas de seguro contra incendios de las fincas hipotecadas a favor del Fiduciario.</t>
  </si>
  <si>
    <t>El total del Patrimonio del Fideicomiso es de B/.66,200,381 (2021: B/.67,125,350) de los cuales la suma de B/.66,200,381 (2021: B/.67,125,350) están conformados por el derecho real de hipoteca a favor del Fiduciario detallados en la Nota No.4.</t>
  </si>
  <si>
    <t>Al 31 de diciembre de 2022, la Cobertura de Garantía representa el 195%, la cual resulta de dividir el valor de mercado de los bienes inmuebles hipotecados entre el saldo insoluto a capital de los Bonos emitidos y en circulación.</t>
  </si>
  <si>
    <t>El Fideicomiso estará vigente hasta la fecha en que todas las obligaciones garantizadas se extingan.</t>
  </si>
  <si>
    <t>La oficina principal de la Fiduciaria está localizada en Costa del Este, Avenida Paseo del Mar, Edificio MMG Tower, Piso 22, Ciudad de Panamá República de Panamá.</t>
  </si>
  <si>
    <t>page-36</t>
  </si>
  <si>
    <t>2</t>
  </si>
  <si>
    <t>2. Bases para la preparación de los estados financieros</t>
  </si>
  <si>
    <t>### 2.1. Base de medición</t>
  </si>
  <si>
    <t>Los estados financieros del Fideicomiso de Garantía Empresas Melo S.A. (FIDBI-006) (MMG Bank Corporation como Agente Fiduciario al 31 de diciembre de 2022, fueron preparados sobre la base de costo o costo amortizado.</t>
  </si>
  <si>
    <t>### 2.2. Moneda funcional y de presentación</t>
  </si>
  <si>
    <t>Los estados financieros están expresados en balboas (B/.), que es la moneda funcional del Fideicomiso y la unidad monetaria de la República de Panamá, la cual está a la par y es de libre cambio con el dólar (US$) de los Estados Unidos de América. La República de Panamá no emite papel moneda propio y en su lugar, el dólar (US$) de los Estados Unidos de América es utilizado como moneda de curso legal.</t>
  </si>
  <si>
    <t>3</t>
  </si>
  <si>
    <t>3. Resumen de las principales políticas contables</t>
  </si>
  <si>
    <t>Políticas contables</t>
  </si>
  <si>
    <t>### 3.1. Estimaciones y juicios realizados</t>
  </si>
  <si>
    <t>La preparación de los estados financieros del Fideicomiso requiere que se realicen estimaciones y juicios contables que son evaluados de manera continua y se basan en experiencia pasadas y ciertos factores aplicables al sector, mismos que son razonables bajo las circunstancias actuales y las expectativas de sucesos futuros.</t>
  </si>
  <si>
    <t>Al 31 de diciembre de 2022, el Fideicomiso no ha requerido estimaciones contables significativas.</t>
  </si>
  <si>
    <t>### 3.2. Derecho real de hipoteca</t>
  </si>
  <si>
    <t>El derecho real de hipoteca sobre bienes inmuebles se reconoce como activos dentro del estado de situación financiera de acuerdo con las políticas contables de la Fiduciaria, por el monto o valor de mercado de las hipotecas constituidas a favor del Fiduciario según indica en la Escritura Pública donde consta la primera hipoteca y anticresis.</t>
  </si>
  <si>
    <t>### 3.3. Aportes al Fideicomiso</t>
  </si>
  <si>
    <t>Todos los derechos cedidos, los cuales incluyen depósito en banco, derecho real de hipoteca y los contratos de servicios conexos, son reconocidos como aportes al patrimonio del Fideicomiso conforme se reciben.</t>
  </si>
  <si>
    <t>page-37</t>
  </si>
  <si>
    <t>Notas a los Estados Financieros Por el año terminado el 31 de diciembre de 2022 (Cifras en balboas)</t>
  </si>
  <si>
    <t>### 3.4. Retiros de aportes al Fideicomiso</t>
  </si>
  <si>
    <t>Corresponden a desembolsos o retiros de derecho real de hipoteca que debe efectuar la administradora del Fideicomiso de conformidad y en cumplimiento con el Contrato de Fideicomiso, los cuales se reconocen como retiros al Patrimonio del Fideicomiso.</t>
  </si>
  <si>
    <t>4</t>
  </si>
  <si>
    <t>4. Derecho real de hipoteca</t>
  </si>
  <si>
    <t>Los derechos hipotecarios y anticréticos corresponden a la primera hipoteca constituida a favor del Fiduciario MMG Bank Corporation, sobre bienes inmuebles del Fideicomitente y/o del Garante Hipotecario Inmobiliaria los Libertadores, S.A., por un valor de B/.61,077,310.</t>
  </si>
  <si>
    <t>Los bienes inmuebles en garantía tienen un valor de mercado de B/.66,200,381 (2021: B/.67,125,350) según informe del Avaluador Panamericana de Avalúos, S.A. de fecha 30 de diciembre 2022, (2021: según informe del Avaluador Panamericana de Avalúos, S.A. de fecha diciembre 2021).</t>
  </si>
  <si>
    <t>tbl-32.html</t>
  </si>
  <si>
    <t>[tbl-32.html](tbl-32.html)</t>
  </si>
  <si>
    <t>5</t>
  </si>
  <si>
    <t>5. Impuesto sobre la renta</t>
  </si>
  <si>
    <t>Impuestos</t>
  </si>
  <si>
    <t>- El Decreto Ejecutivo No.170 del 27 de octubre de 1993, establece en el artículo 81 que se consideran contribuyentes el Fideicomiso constituido conforme a la Ley que generan rentas gravables. El Fideicomiso constituido de acuerdo con la Ley No.1 del 5 de enero de 1984, se considera contribuyente al Fiduciario, quien determinará el impuesto de acuerdo con las reglas generales aplicables a las personas jurídicas o naturales según sea su naturaleza.</t>
  </si>
  <si>
    <t>- De acuerdo con la legislación fiscal vigente, la renta proveniente de los intereses ganados sobre depósitos en bancos locales, están exentos del pago del impuesto sobre la renta.</t>
  </si>
  <si>
    <t>- Al 31 de diciembre de 2022, el Fideicomiso no generó renta gravable.</t>
  </si>
  <si>
    <t>page-38</t>
  </si>
  <si>
    <t>2023</t>
  </si>
  <si>
    <t>INA_EMMELO_2023_0.pdf</t>
  </si>
  <si>
    <t>page-34</t>
  </si>
  <si>
    <t>El objetivo general del Fideicomiso es garantizar con los bienes que mantienen, el cumplimiento de las obligaciones adquiridas por parte del Fideicomitente. Las obligaciones por parte del Fideicomitente son derivadas de: a) la emisión de bonos corporativos rotativos de hasta B/.50,000.000, cuyo registro y oferta pública fue autorizada por la Superintendencia de Mercado de Valores de Panamá mediante Resolución CNV No.358-09 de 20 de noviembre de 2009.</t>
  </si>
  <si>
    <t>- Los derechos reales derivados de la Primera Hipoteca y Anticresis que se constituye a favor del Fiduciario, sobre ciertos bienes inmuebles propiedad del Fideicomitente y/o el Garante Hipotecario y cuyo valor de mercado, según avalúo por un avaluador aceptable al Fiduciario deberá cubrir al menos un 120% del saldo insoluto a capital de los Bonos emitidos y en circulación (Ver Nota No.4).</t>
  </si>
  <si>
    <t>El total del Patrimonio del Fideicomiso es de B/.57,200,381 (2022: B/.66,200,381) de los cuales la suma de B/.57,200,381 (2022: B/.66,200,381) están conformados por el derecho real de hipoteca a favor del Fiduciario detallados en la Nota No.4.</t>
  </si>
  <si>
    <t>Al 31 de diciembre de 2023, la Cobertura de Garantía representa el 168% (2022: 195%), la cual resulta de dividir el valor de mercado de los bienes inmuebles hipotecados entre el saldo insoluto a capital de los Bonos emitidos y en circulación.</t>
  </si>
  <si>
    <t>Los estados financieros del Fideicomiso de Garantía Empresas Melo S.A. (FIDBI-006) (MMG Bank Corporation como Agente Fiduciario al 31 de diciembre de 2023, fueron preparados sobre la base de costo o costo amortizado.</t>
  </si>
  <si>
    <t>Al 31 de diciembre de 2023 y 2022, el Fideicomiso no ha requerido estimaciones contables significativas.</t>
  </si>
  <si>
    <t>Notas a los Estados Financieros Por el año terminado el 31 de diciembre de 2023 (Cifras en balboas)</t>
  </si>
  <si>
    <t>## 3.4. Retiros de aportes al Fideicomiso</t>
  </si>
  <si>
    <t>Mediante Escritura Pública No.2,620 de 15 de marzo de 2023, el Fiduciario otorga consentimiento para cancelar parcialmente gravámenes hipotecarios y anticréticos que pesaban sobre 8 fincas de propiedad de Empresas Melo.</t>
  </si>
  <si>
    <t>Los bienes inmuebles en garantía tienen un valor de mercado de B/.57,200,381 (2022: B/.66,200,381) según informe del Avaluador Panamericana de Avalúos, S.A. de fecha 28 de septiembre 2023 (2022: según informe del Avaluador Panamericana de Avalúos, S.A. de fecha 30 de diciembre 2022).</t>
  </si>
  <si>
    <t>tbl-20.html</t>
  </si>
  <si>
    <t>[tbl-20.html](tbl-20.html)</t>
  </si>
  <si>
    <t>- Al 31 de diciembre de 2023 y 2022, el Fideicomiso no generó renta gravable.</t>
  </si>
  <si>
    <t>2024</t>
  </si>
  <si>
    <t>INA_EMMELO_2024_0.pdf</t>
  </si>
  <si>
    <t>page-30</t>
  </si>
  <si>
    <t>El total del Patrimonio del Fideicomiso es de B/.66,274,750 (2023: B/.57,200,381) de los cuales la suma de B/.66,274,750 (2023: B/.57,200,381) están conformados por el derecho real de hipoteca a favor del Fiduciario detallados en la Nota No.4.</t>
  </si>
  <si>
    <t>Al 31 de diciembre de 2024, la Cobertura de Garantía representa el 195% (2023: 168%), la cual resulta de dividir el valor de mercado de los bienes inmuebles hipotecados entre el saldo insoluto a capital de los Bonos emitidos y en circulación.</t>
  </si>
  <si>
    <t>page-31</t>
  </si>
  <si>
    <t>Los estados financieros del Fideicomiso de Garantía Empresas Melo S.A. (FIDBI-006) (MMG Bank Corporation como Agente Fiduciario al 31 de diciembre de 2024, fueron preparados sobre la base de costo o costo amortizado.</t>
  </si>
  <si>
    <t>Al 31 de diciembre de 2024 y 2023, el Fideicomiso no ha requerido estimaciones contables significativas.</t>
  </si>
  <si>
    <t>page-32</t>
  </si>
  <si>
    <t>Los bienes inmuebles en garantía tienen un valor de mercado de B/.66,274,750 (2023: B/.57,200,381) según informe del Avaluador Panamericana de Avalúos, S.A., de fecha de diciembre 2024 (2023: según informe del Avaluador Panamericana de Avalúos, S.A. de fecha 28 de septiembre 2023).</t>
  </si>
  <si>
    <t>tbl-23.html</t>
  </si>
  <si>
    <t>[tbl-23.html](tbl-23.html)</t>
  </si>
  <si>
    <t>- Al 31 de diciembre de 2024 y 2023, el Fideicomiso no generó renta gravable.</t>
  </si>
  <si>
    <t>2025</t>
  </si>
  <si>
    <t>INA_EMMELO_2025_0.pdf</t>
  </si>
  <si>
    <t>page-40</t>
  </si>
  <si>
    <t>El objetivo general del Fideicomiso es garantizar con los bienes que mantienen, el cumplimiento de las obligaciones adquiridas por parte del Fideicomitente. Las obligaciones por parte del Fideicomitente son derivadas de la emisión de bonos corporativos rotativos de hasta B/.50,000.000, cuyo registro y oferta pública fue autorizada por la Superintendencia de Mercado de Valores de Panamá mediante Resolución CNV No.358-09 de 20 de noviembre de 2009.</t>
  </si>
  <si>
    <t>El total del Patrimonio del Fideicomiso es de B/.66,274,750 (2024: B/.66,274,750) de los cuales la suma de B/.66,274,750 (2024: B/.66,274,750) están conformados por el derecho real de hipoteca a favor del Fiduciario detallados en la Nota No.4.</t>
  </si>
  <si>
    <t>Al 31 de diciembre de 2025, la Cobertura de Garantía representa el 195% (2024: 195%), la cual resulta de dividir el valor de mercado de los bienes inmuebles hipotecados entre el saldo insoluto a capital de los Bonos emitidos y en circulación.</t>
  </si>
  <si>
    <t>La oficina principal de la Fiduciaria está localizada en Costa del Este, Avenida Paseo del Mar, PH MMG Tower, Piso 22, Ciudad de Panamá República de Panamá.</t>
  </si>
  <si>
    <t>page-41</t>
  </si>
  <si>
    <t>Los estados financieros del Fideicomiso MMG BANK CORPORATION FIDBI-006 (MMG Bank Corporation como Agente Fiduciario), fueron preparados sobre la base de costo o costo amortizado.</t>
  </si>
  <si>
    <t>Al 31 de diciembre de 2025 y 2024, el Fideicomiso no ha requerido estimaciones contables significativas.</t>
  </si>
  <si>
    <t>page-42</t>
  </si>
  <si>
    <t>## 3.4. Retiros al Fideicomiso</t>
  </si>
  <si>
    <t>Los derechos hipotecarios y anticréticos corresponden a la primera hipoteca constituida a favor del Fiduciario MMG Bank Corporation, sobre bienes inmuebles del Fideicomitente y/o del Garante Hipotecario Inmobiliaria Los Libertadores, S.A., por un valor de B/.61,077,310.</t>
  </si>
  <si>
    <t>Los bienes inmuebles en garantía tienen un valor de mercado de B/.66,274,750 (2024: B/.66,274,750) según informe del Avaluador Panamericana de Avalúos, S.A., de fecha de diciembre 2024.</t>
  </si>
  <si>
    <t>tbl-31.html</t>
  </si>
  <si>
    <t>[tbl-31.html](tbl-31.html)</t>
  </si>
  <si>
    <t>- El Decreto Ejecutivo No.170 del 27 de octubre de 1993, establece en el artículo 81 que se consideran contribuyentes el Fideicomiso constituido conforme a la Ley que generan rentas gravables. El Fideicomiso constituido de acuerdo con la Ley No.1 del 5 de enero de 1984, se considera contribuyente al Fiduciario, quien determinará el impuesto de acuerdo con las reglas generales aplicables a las personas jurídicas o naturales según sea su naturaleza. - De acuerdo con la legislación fiscal vigente, la renta proveniente de los intereses ganados sobre depósitos en bancos locales, están exentos del pago del impuesto sobre la renta. - Al 31 de diciembre de 2025 y 2024, el Fideicomiso no generó renta gravable.</t>
  </si>
  <si>
    <t>page-43</t>
  </si>
  <si>
    <t>(MMG Bank Corporation como Agente Fiduciario</t>
  </si>
  <si>
    <t>Por el año terminado el 31 de diciembre de 2025</t>
  </si>
  <si>
    <t>COLOR KEY: Input (azul) · Fórmula (negro) · Link inter-hoja (verde)</t>
  </si>
  <si>
    <t>Escenario (1=Base, 2=Bull, 3=Bear)</t>
  </si>
  <si>
    <t xml:space="preserve">  Selector escenario</t>
  </si>
  <si>
    <t>caso</t>
  </si>
  <si>
    <t>NOT_DISCLOSED</t>
  </si>
  <si>
    <t>Derivación mecánica declarada por el plan.</t>
  </si>
  <si>
    <t xml:space="preserve">  Escenario activo</t>
  </si>
  <si>
    <t>moneda del modelo</t>
  </si>
  <si>
    <t>Selector de caso activo C5: Base/Bull/Bear.</t>
  </si>
  <si>
    <t>Unidad</t>
  </si>
  <si>
    <t>Fuente / nota</t>
  </si>
  <si>
    <t>Rationale</t>
  </si>
  <si>
    <t>A. INGRESOS POR SEGMENTO — CRECIMIENTO (% YoY)</t>
  </si>
  <si>
    <t xml:space="preserve">  Restaurantes — crecimiento activo</t>
  </si>
  <si>
    <t>%</t>
  </si>
  <si>
    <t xml:space="preserve">    Bear — escenario, DRIVER_DETAIL_PENDING ticket/transacciones</t>
  </si>
  <si>
    <t>DRIVER_DETAIL_PENDING</t>
  </si>
  <si>
    <t>Input de escenario desde fuente citada o NOT_DISCLOSED.</t>
  </si>
  <si>
    <t xml:space="preserve">    Base — escenario, DOCUMENT_MAP §8.6 trafico/ticket</t>
  </si>
  <si>
    <t>label:Base — escenario, DOCUMENT_MAP §8.6 trafico/ticket</t>
  </si>
  <si>
    <t xml:space="preserve">    Bull — escenario, DRIVER_DETAIL_PENDING ticket/transacciones</t>
  </si>
  <si>
    <t xml:space="preserve">  Restaurantes ingresos hist — Nota 7/28 EMMELO</t>
  </si>
  <si>
    <t>label:Restaurantes ingresos hist — Nota 7/28 EMMELO</t>
  </si>
  <si>
    <t xml:space="preserve">  Maquinaria — crecimiento activo</t>
  </si>
  <si>
    <t xml:space="preserve">    Bear — escenario, DRIVER_DETAIL_PENDING unidades/ASP</t>
  </si>
  <si>
    <t xml:space="preserve">    Base — escenario, DOCUMENT_MAP §8.6 mercado autos +10.8%</t>
  </si>
  <si>
    <t>label:Base — escenario, DOCUMENT_MAP §8.6 mercado autos +10.8%</t>
  </si>
  <si>
    <t xml:space="preserve">    Bull — escenario, DRIVER_DETAIL_PENDING unidades/ASP</t>
  </si>
  <si>
    <t xml:space="preserve">  Maquinaria ingresos hist — Nota 7/28 EMMELO</t>
  </si>
  <si>
    <t>label:Maquinaria ingresos hist — Nota 7/28 EMMELO</t>
  </si>
  <si>
    <t xml:space="preserve">  Almacenes — crecimiento activo</t>
  </si>
  <si>
    <t xml:space="preserve">    Bear — escenario, DRIVER_DETAIL_PENDING same-store/agro index</t>
  </si>
  <si>
    <t xml:space="preserve">    Base — escenario, DOCUMENT_MAP §8.6 clima/precios insumos</t>
  </si>
  <si>
    <t>label:Base — escenario, DOCUMENT_MAP §8.6 clima/precios insumos</t>
  </si>
  <si>
    <t xml:space="preserve">    Bull — escenario, DRIVER_DETAIL_PENDING same-store/agro index</t>
  </si>
  <si>
    <t xml:space="preserve">  Almacenes ingresos hist — Nota 7/28 EMMELO</t>
  </si>
  <si>
    <t>label:Almacenes ingresos hist — Nota 7/28 EMMELO</t>
  </si>
  <si>
    <t xml:space="preserve">  Avicola — crecimiento activo</t>
  </si>
  <si>
    <t xml:space="preserve">    Bear — escenario, DRIVER_DETAIL_PENDING kg/ASP</t>
  </si>
  <si>
    <t xml:space="preserve">    Base — escenario, DOCUMENT_MAP §8.6 produccion pollo +2.9%</t>
  </si>
  <si>
    <t>label:Base — escenario, DOCUMENT_MAP §8.6 produccion pollo +2.9%</t>
  </si>
  <si>
    <t xml:space="preserve">    Bull — escenario, DRIVER_DETAIL_PENDING kg/ASP</t>
  </si>
  <si>
    <t xml:space="preserve">  Avicola ingresos hist — Nota 7/28 EMMELO</t>
  </si>
  <si>
    <t>label:Avicola ingresos hist — Nota 7/28 EMMELO</t>
  </si>
  <si>
    <t xml:space="preserve">  Otros/servicios — crecimiento activo</t>
  </si>
  <si>
    <t xml:space="preserve">    Bear — escenario residual</t>
  </si>
  <si>
    <t xml:space="preserve">    Base — escenario residual</t>
  </si>
  <si>
    <t xml:space="preserve">    Bull — escenario residual</t>
  </si>
  <si>
    <t xml:space="preserve">  Otros/servicios hist — residual vs ingresos consolidados</t>
  </si>
  <si>
    <t>B. COSTOS, CAPEX Y CAPITAL DE TRABAJO</t>
  </si>
  <si>
    <t xml:space="preserve">  Consumo materia prima % ingresos — activo</t>
  </si>
  <si>
    <t xml:space="preserve">    Bear — costo insumos escenario</t>
  </si>
  <si>
    <t xml:space="preserve">    Base — FY25 EEFF!F10/F7</t>
  </si>
  <si>
    <t xml:space="preserve">    Bull — costo insumos escenario</t>
  </si>
  <si>
    <t xml:space="preserve">  Consumo materia prima % ingresos hist</t>
  </si>
  <si>
    <t>EEFF (citado por fórmula viva)</t>
  </si>
  <si>
    <t>Derivación mecánica por fórmula viva.</t>
  </si>
  <si>
    <t xml:space="preserve">  Gastos personal % ingresos — activo</t>
  </si>
  <si>
    <t xml:space="preserve">    Bear — gasto personal escenario</t>
  </si>
  <si>
    <t xml:space="preserve">    Base — FY25 EEFF!F11/F7</t>
  </si>
  <si>
    <t xml:space="preserve">    Bull — gasto personal escenario</t>
  </si>
  <si>
    <t xml:space="preserve">  Gastos personal % ingresos hist</t>
  </si>
  <si>
    <t xml:space="preserve">  Otros gastos % ingresos — activo</t>
  </si>
  <si>
    <t xml:space="preserve">    Bear — otros gastos escenario</t>
  </si>
  <si>
    <t xml:space="preserve">    Base — FY25 EEFF!F15/F7</t>
  </si>
  <si>
    <t xml:space="preserve">    Bull — otros gastos escenario</t>
  </si>
  <si>
    <t xml:space="preserve">  Otros gastos % ingresos hist</t>
  </si>
  <si>
    <t xml:space="preserve">  Capex PP&amp;E % ingresos — activo</t>
  </si>
  <si>
    <t xml:space="preserve">    Bear — capex intensidad escenario</t>
  </si>
  <si>
    <t xml:space="preserve">    Base — Nota 16 FY25 capex/ingresos</t>
  </si>
  <si>
    <t>label:Base — Nota 16 FY25 capex/ingresos</t>
  </si>
  <si>
    <t xml:space="preserve">    Bull — capex intensidad escenario</t>
  </si>
  <si>
    <t xml:space="preserve">  Capex PP&amp;E % ingresos hist — CF/ingresos</t>
  </si>
  <si>
    <t xml:space="preserve">  DSO dias — activo</t>
  </si>
  <si>
    <t>días</t>
  </si>
  <si>
    <t xml:space="preserve">    Bear — DSO escenario</t>
  </si>
  <si>
    <t xml:space="preserve">    Base — FY25 AR/ingresos*365</t>
  </si>
  <si>
    <t xml:space="preserve">    Bull — DSO escenario</t>
  </si>
  <si>
    <t xml:space="preserve">  DSO dias hist</t>
  </si>
  <si>
    <t xml:space="preserve">  Inventario dias — activo</t>
  </si>
  <si>
    <t xml:space="preserve">    Bear — inventario dias escenario</t>
  </si>
  <si>
    <t xml:space="preserve">    Base — FY25 inventario/consumo*365</t>
  </si>
  <si>
    <t xml:space="preserve">    Bull — inventario dias escenario</t>
  </si>
  <si>
    <t xml:space="preserve">  Inventario dias hist</t>
  </si>
  <si>
    <t xml:space="preserve">  DPO proveedores y relacionadas — activo</t>
  </si>
  <si>
    <t xml:space="preserve">    Bear — DPO escenario</t>
  </si>
  <si>
    <t xml:space="preserve">    Base — FY25 AP+relacionadas/consumo*365</t>
  </si>
  <si>
    <t xml:space="preserve">    Bull — DPO escenario</t>
  </si>
  <si>
    <t xml:space="preserve">  DPO proveedores y relacionadas hist</t>
  </si>
  <si>
    <t>Efectivo conciliado (puente conciliación: efectivo BS - plazo fijo)</t>
  </si>
  <si>
    <t xml:space="preserve">  Depósitos a plazo fijo incluidos en efectivo BS (saldo corriente; fuente Nota 8: EMMELO_2024 lines 5734-5739; INA_2025_full lines 9918-9942; parsed EEFF BS rows 54/65/81, CF rows 172/229)</t>
  </si>
  <si>
    <t>_CHECKS panel — operating-EBITDA template, live formulas, known residuals signed visible</t>
  </si>
  <si>
    <t>Status semantics: PASS = zero undocumented hard failures; KNOWN_RESIDUAL = signed G7 residual; SOURCE_GAP = unresolved semantic anchor/schedule.</t>
  </si>
  <si>
    <t>MASTER_STATUS</t>
  </si>
  <si>
    <t>MODEL STATUS</t>
  </si>
  <si>
    <t>Master PASS counts only FAIL rows; KNOWN_RESIDUAL/SOURCE_GAP remain visible but non-blocking.</t>
  </si>
  <si>
    <t>check_id</t>
  </si>
  <si>
    <t>description</t>
  </si>
  <si>
    <t>status</t>
  </si>
  <si>
    <t>hardness</t>
  </si>
  <si>
    <t>tolerance</t>
  </si>
  <si>
    <t>expected</t>
  </si>
  <si>
    <t>note</t>
  </si>
  <si>
    <t>UNIVERSAL CHECKS</t>
  </si>
  <si>
    <t>BS_BALANCE</t>
  </si>
  <si>
    <t>UNIVERSAL | expected 0; hard fail if ABS(value) &gt; hard_tie_tolerance. Observed: UEPII critical gate &lt;10 for BS/cash; BG hard reconciliation &gt;=1000 because full USD. | source applies_to: all 16 archetypes</t>
  </si>
  <si>
    <t>hard</t>
  </si>
  <si>
    <t>1000 USD</t>
  </si>
  <si>
    <t>expected 0; hard fail if ABS(value) &gt; hard_tie_tolerance. Observed: UEPII critical gate &lt;10 for BS/cash; BG hard reconciliation &gt;=1000 because full USD. Default full-USD hard tie threshold is $1,000 unless the workbook declares a tighter scale-aware tolerance.</t>
  </si>
  <si>
    <t>CASH_TIE</t>
  </si>
  <si>
    <t>UNIVERSAL | expected 0; use hard_tie_tolerance; if cash includes restricted cash/time deposits, define cash_component role explicitly. | source applies_to: all 16 archetypes</t>
  </si>
  <si>
    <t>SOURCE_GAP</t>
  </si>
  <si>
    <t>No semantic anchors resolved for CASH_TIE.</t>
  </si>
  <si>
    <t>CF_ROLLFORWARD</t>
  </si>
  <si>
    <t>UNIVERSAL | expected 0; hard_tie_tolerance; historical rows may be WARN if source CF transcript is incomplete. | source applies_to: all 16 where CF is modeled</t>
  </si>
  <si>
    <t>No semantic anchors resolved for CF_ROLLFORWARD.</t>
  </si>
  <si>
    <t>NI_TIE_TO_EQUITY</t>
  </si>
  <si>
    <t>UNIVERSAL | expected 0; hard_tie_tolerance. | source applies_to: all 16</t>
  </si>
  <si>
    <t>expected 0; hard_tie_tolerance. Default full-USD hard tie threshold is $1,000 unless the workbook declares a tighter scale-aware tolerance.</t>
  </si>
  <si>
    <t>NI_SIGN_SANITY</t>
  </si>
  <si>
    <t>UNIVERSAL | expected 0; sign convention must be stated in row description. | source applies_to: all 16</t>
  </si>
  <si>
    <t>Sign convention diagnostic remains visible; tax-sign taxonomy is not a signed hard-control anchor.</t>
  </si>
  <si>
    <t>RE_ROLLFORWARD</t>
  </si>
  <si>
    <t>UNIVERSAL | expected 0; hard_tie_tolerance. | source applies_to: all 16 with RE row</t>
  </si>
  <si>
    <t>KNOWN_RESIDUAL</t>
  </si>
  <si>
    <t>87205 @ FY25A</t>
  </si>
  <si>
    <t>G7c retained earnings roll: Small rounding/minor movement suspected; signed as visible known residual.</t>
  </si>
  <si>
    <t>EQUITY_TOTAL_TIE</t>
  </si>
  <si>
    <t>BS_LINEITEM_SUM_ASSETS</t>
  </si>
  <si>
    <t>BS_LINEITEM_SUM_LIAB_EQUITY</t>
  </si>
  <si>
    <t>SOURCE_TIE_HISTORICAL</t>
  </si>
  <si>
    <t>UNIVERSAL | expected 0 for audited rows; SOURCE_GAP/WARN allowed only with explicit source-gap note. | source applies_to: all 16</t>
  </si>
  <si>
    <t>100000 USD</t>
  </si>
  <si>
    <t>Audited rows tie to 0; only bank ending-cash-vs-EEFF cash rows may use the observed $100,000 hard threshold; SOURCE_GAP/WARN requires explicit source-gap note.</t>
  </si>
  <si>
    <t>NO_FORMULA_ERRORS</t>
  </si>
  <si>
    <t>UNIVERSAL | expected PASS/0; no masking. | source applies_to: all 16</t>
  </si>
  <si>
    <t>PASS</t>
  </si>
  <si>
    <t>expected PASS/0; no masking.</t>
  </si>
  <si>
    <t>NO_CHECKS_MASTER_FAIL</t>
  </si>
  <si>
    <t>UNIVERSAL | expected PASS; status row should cite included/excluded rows. | source applies_to: all 16</t>
  </si>
  <si>
    <t>expected PASS; status row should cite included/excluded rows.</t>
  </si>
  <si>
    <t>CONDITIONAL CHECKS</t>
  </si>
  <si>
    <t>PPE_SCHEDULE_TIE</t>
  </si>
  <si>
    <t>ARCHETYPE/conditional | expected 0; hard_tie_tolerance. | source applies_to: operating-EBITDA, power, utility, downstream fuel, other non-financials</t>
  </si>
  <si>
    <t>No semantic anchors resolved for PPE_SCHEDULE_TIE.</t>
  </si>
  <si>
    <t>LEASE_SCHEDULE_TIE</t>
  </si>
  <si>
    <t>ARCHETYPE/conditional | expected 0; hard_tie_tolerance. | source applies_to: IFRS-16 issuers</t>
  </si>
  <si>
    <t>No semantic anchors resolved for LEASE_SCHEDULE_TIE.</t>
  </si>
  <si>
    <t>DEBT_SCHEDULE_TIE</t>
  </si>
  <si>
    <t>ARCHETYPE/conditional | expected 0; hard_tie_tolerance; project-finance debt can include accrued interest/unamortized cost roles. | source applies_to: non-bank-lender, power, utility, operating-EBITDA with debt</t>
  </si>
  <si>
    <t>No semantic anchors resolved for DEBT_SCHEDULE_TIE.</t>
  </si>
  <si>
    <t>OPERATING-EBITDA CHECKS</t>
  </si>
  <si>
    <t>OPERATING_GP_OR_EBITDA_TIE</t>
  </si>
  <si>
    <t>ARCHETYPE | expected 0; hard_tie_tolerance. | source applies_to: operating-EBITDA, downstream fuel, power when EBITDA is used</t>
  </si>
  <si>
    <t>No semantic anchors resolved for OPERATING_GP_OR_EBITDA_TIE.</t>
  </si>
  <si>
    <t>OPERATING_WC_DRIVER_TIE</t>
  </si>
  <si>
    <t>ARCHETYPE | expected 0; hard_tie_tolerance. | source applies_to: operating-EBITDA/downstream fuel</t>
  </si>
  <si>
    <t>No semantic anchors resolved for OPERATING_WC_DRIVER_TIE.</t>
  </si>
  <si>
    <t>DOWNSTREAM_VOL_MARGIN_TIE</t>
  </si>
  <si>
    <t>ARCHETYPE | expected 0; observed PDelta hard check #13. | source applies_to: downstream fuel</t>
  </si>
  <si>
    <t>No semantic anchors resolved for DOWNSTREAM_VOL_MARGIN_TIE.</t>
  </si>
  <si>
    <t>Source_Register — operating-EBITDA archetype. Every row traces to a published filing (OCR text) or to a working file kept by the maintainer.</t>
  </si>
  <si>
    <t>Status semantics: OK = citation resolved to an existing artifact. SOURCE_GAP = traceability missing (visible, not hidden). NOT_DISCLOSED = no registration/manifest found for this issuer.</t>
  </si>
  <si>
    <t>source_id</t>
  </si>
  <si>
    <t>kind</t>
  </si>
  <si>
    <t>ticker</t>
  </si>
  <si>
    <t>filing</t>
  </si>
  <si>
    <t>year</t>
  </si>
  <si>
    <t>nota</t>
  </si>
  <si>
    <t>tabla_ocr</t>
  </si>
  <si>
    <t>feeds_sheet</t>
  </si>
  <si>
    <t>feeds_anchor</t>
  </si>
  <si>
    <t>date</t>
  </si>
  <si>
    <t>evidence_count</t>
  </si>
  <si>
    <t>OCR_ROOT:empresas-melo</t>
  </si>
  <si>
    <t>OCR_ROOT</t>
  </si>
  <si>
    <t>EMMELO</t>
  </si>
  <si>
    <t>EEFF; Notas_EEFF</t>
  </si>
  <si>
    <t>OCR of the published filings</t>
  </si>
  <si>
    <t>Annual reports (INA) of empresas-melo</t>
  </si>
  <si>
    <t>EEFF_FILING:ina_emmelo_2022_0</t>
  </si>
  <si>
    <t>EEFF_FILING</t>
  </si>
  <si>
    <t>EEFF; Notas_EEFF; MD&amp;A</t>
  </si>
  <si>
    <t>00-index.md; 01-eeff.md; 02-notas.md; 03-mda.md; 09-otros.md</t>
  </si>
  <si>
    <t>FY22 (A)</t>
  </si>
  <si>
    <t>136</t>
  </si>
  <si>
    <t>markdown.md sha256=6ab96734f8a56f37...</t>
  </si>
  <si>
    <t>EEFF_FILING:ina_emmelo_2023_0</t>
  </si>
  <si>
    <t>FY23 (A)</t>
  </si>
  <si>
    <t>131</t>
  </si>
  <si>
    <t>markdown.md sha256=3c3b2b7fcd1cded0...</t>
  </si>
  <si>
    <t>EEFF_FILING:ina_emmelo_2024_0</t>
  </si>
  <si>
    <t>FY24 (A)</t>
  </si>
  <si>
    <t>markdown.md sha256=0453cb35a1efd158...</t>
  </si>
  <si>
    <t>EEFF_FILING:ina_emmelo_2025_0</t>
  </si>
  <si>
    <t>FY25 (A)</t>
  </si>
  <si>
    <t>markdown.md sha256=1947f4ae922e5ae1...</t>
  </si>
  <si>
    <t>NOTA:INA_EMMELO_2022_0.pdf#1</t>
  </si>
  <si>
    <t>NOTA</t>
  </si>
  <si>
    <t>Notas_EEFF</t>
  </si>
  <si>
    <t>20</t>
  </si>
  <si>
    <t>NOTA:INA_EMMELO_2022_0.pdf#10</t>
  </si>
  <si>
    <t>10</t>
  </si>
  <si>
    <t>markdown.md; tbl-63.html; tbl-64.html</t>
  </si>
  <si>
    <t>10. Propiedades de inversión</t>
  </si>
  <si>
    <t>NOTA:INA_EMMELO_2022_0.pdf#11</t>
  </si>
  <si>
    <t>11</t>
  </si>
  <si>
    <t>markdown.md; tbl-65.html</t>
  </si>
  <si>
    <t>11. Otras inversiones</t>
  </si>
  <si>
    <t>NOTA:INA_EMMELO_2022_0.pdf#12</t>
  </si>
  <si>
    <t>12</t>
  </si>
  <si>
    <t>markdown.md; tbl-66.html; tbl-67.html; +3 more</t>
  </si>
  <si>
    <t>12. Activos biológicos (continuación)</t>
  </si>
  <si>
    <t>15</t>
  </si>
  <si>
    <t>NOTA:INA_EMMELO_2022_0.pdf#13</t>
  </si>
  <si>
    <t>13</t>
  </si>
  <si>
    <t>markdown.md; tbl-71.html</t>
  </si>
  <si>
    <t>13. Adelantos para compras</t>
  </si>
  <si>
    <t>NOTA:INA_EMMELO_2022_0.pdf#14</t>
  </si>
  <si>
    <t>14</t>
  </si>
  <si>
    <t>markdown.md; tbl-72.html</t>
  </si>
  <si>
    <t>14. Inmuebles, mobiliarios, equipos y mejoras, neto</t>
  </si>
  <si>
    <t>NOTA:INA_EMMELO_2022_0.pdf#15</t>
  </si>
  <si>
    <t>markdown.md; tbl-73.html</t>
  </si>
  <si>
    <t>15. Equipo para arrendamiento, neto</t>
  </si>
  <si>
    <t>NOTA:INA_EMMELO_2022_0.pdf#16</t>
  </si>
  <si>
    <t>16</t>
  </si>
  <si>
    <t>markdown.md; tbl-74.html</t>
  </si>
  <si>
    <t>16. Activos por Derecho de Uso</t>
  </si>
  <si>
    <t>NOTA:INA_EMMELO_2022_0.pdf#17</t>
  </si>
  <si>
    <t>17</t>
  </si>
  <si>
    <t>markdown.md; tbl-75.html; tbl-76.html; +2 more</t>
  </si>
  <si>
    <t>17. Pasivos por arrendamientos</t>
  </si>
  <si>
    <t>9</t>
  </si>
  <si>
    <t>NOTA:INA_EMMELO_2022_0.pdf#18</t>
  </si>
  <si>
    <t>18</t>
  </si>
  <si>
    <t>markdown.md; tbl-79.html; tbl-80.html; +2 more</t>
  </si>
  <si>
    <t>18. Inversiones en asociadas</t>
  </si>
  <si>
    <t>NOTA:INA_EMMELO_2022_0.pdf#19</t>
  </si>
  <si>
    <t>19</t>
  </si>
  <si>
    <t>markdown.md; tbl-83.html</t>
  </si>
  <si>
    <t>19. Préstamos por pagar</t>
  </si>
  <si>
    <t>7</t>
  </si>
  <si>
    <t>NOTA:INA_EMMELO_2022_0.pdf#2</t>
  </si>
  <si>
    <t>2. Declaración de cumplimiento</t>
  </si>
  <si>
    <t>NOTA:INA_EMMELO_2022_0.pdf#20</t>
  </si>
  <si>
    <t>markdown.md; tbl-84.html; tbl-85.html</t>
  </si>
  <si>
    <t>20. Valores comerciales negociables (continuación)</t>
  </si>
  <si>
    <t>6</t>
  </si>
  <si>
    <t>NOTA:INA_EMMELO_2022_0.pdf#21</t>
  </si>
  <si>
    <t>21</t>
  </si>
  <si>
    <t>markdown.md; tbl-86.html</t>
  </si>
  <si>
    <t>21. Cuentas por pagar proveedores</t>
  </si>
  <si>
    <t>NOTA:INA_EMMELO_2022_0.pdf#22</t>
  </si>
  <si>
    <t>22</t>
  </si>
  <si>
    <t>22. Adelantos recibidos de clientes</t>
  </si>
  <si>
    <t>NOTA:INA_EMMELO_2022_0.pdf#23</t>
  </si>
  <si>
    <t>23</t>
  </si>
  <si>
    <t>markdown.md; tbl-87.html</t>
  </si>
  <si>
    <t>23. Gastos acumulados y otros pasivos</t>
  </si>
  <si>
    <t>NOTA:INA_EMMELO_2022_0.pdf#24</t>
  </si>
  <si>
    <t>24</t>
  </si>
  <si>
    <t>markdown.md; tbl-88.html</t>
  </si>
  <si>
    <t>24. Bonos por pagar</t>
  </si>
  <si>
    <t>NOTA:INA_EMMELO_2022_0.pdf#25</t>
  </si>
  <si>
    <t>25</t>
  </si>
  <si>
    <t>markdown.md; tbl-89.html; tbl-90.html; +3 more</t>
  </si>
  <si>
    <t>25. Ingresos de actividades ordinarias (continuación)</t>
  </si>
  <si>
    <t>NOTA:INA_EMMELO_2022_0.pdf#26</t>
  </si>
  <si>
    <t>26</t>
  </si>
  <si>
    <t>markdown.md; tbl-94.html</t>
  </si>
  <si>
    <t>26. Otros ingresos</t>
  </si>
  <si>
    <t>NOTA:INA_EMMELO_2022_0.pdf#27</t>
  </si>
  <si>
    <t>27</t>
  </si>
  <si>
    <t>markdown.md; tbl-95.html</t>
  </si>
  <si>
    <t>27. Gastos de personal</t>
  </si>
  <si>
    <t>NOTA:INA_EMMELO_2022_0.pdf#28</t>
  </si>
  <si>
    <t>28</t>
  </si>
  <si>
    <t>markdown.md; tbl-96.html</t>
  </si>
  <si>
    <t>28. Otros gastos</t>
  </si>
  <si>
    <t>NOTA:INA_EMMELO_2022_0.pdf#29</t>
  </si>
  <si>
    <t>29</t>
  </si>
  <si>
    <t>markdown.md; tbl-97.html; tbl-98.html</t>
  </si>
  <si>
    <t>29. Impuestos</t>
  </si>
  <si>
    <t>NOTA:INA_EMMELO_2022_0.pdf#3</t>
  </si>
  <si>
    <t>3. Base de preparación (continuación)</t>
  </si>
  <si>
    <t>35</t>
  </si>
  <si>
    <t>NOTA:INA_EMMELO_2022_0.pdf#30</t>
  </si>
  <si>
    <t>30</t>
  </si>
  <si>
    <t>markdown.md; tbl-99.html</t>
  </si>
  <si>
    <t>30. Utilidad por acción básica</t>
  </si>
  <si>
    <t>NOTA:INA_EMMELO_2022_0.pdf#31</t>
  </si>
  <si>
    <t>31</t>
  </si>
  <si>
    <t>markdown.md; tbl-100.html; tbl-101.html; +6 more</t>
  </si>
  <si>
    <t>31. Instrumentos financieros - valores razonables y gestión de riesgos (continuación)</t>
  </si>
  <si>
    <t>54</t>
  </si>
  <si>
    <t>NOTA:INA_EMMELO_2022_0.pdf#32</t>
  </si>
  <si>
    <t>32</t>
  </si>
  <si>
    <t>32. Compromisos</t>
  </si>
  <si>
    <t>NOTA:INA_EMMELO_2022_0.pdf#33</t>
  </si>
  <si>
    <t>33</t>
  </si>
  <si>
    <t>markdown.md; tbl-108.html</t>
  </si>
  <si>
    <t>33. Conciliación entre pasivos y flujos de efectivo</t>
  </si>
  <si>
    <t>NOTA:INA_EMMELO_2022_0.pdf#34</t>
  </si>
  <si>
    <t>34</t>
  </si>
  <si>
    <t>markdown.md; tbl-109.html; tbl-110.html</t>
  </si>
  <si>
    <t>34. Eventos subsecuentes</t>
  </si>
  <si>
    <t>NOTA:INA_EMMELO_2022_0.pdf#4</t>
  </si>
  <si>
    <t>markdown.md; tbl-36.html; tbl-51.html; +2 more</t>
  </si>
  <si>
    <t>4. Resumen de políticas de contabilidad más importantes (continuación)</t>
  </si>
  <si>
    <t>177</t>
  </si>
  <si>
    <t>NOTA:INA_EMMELO_2022_0.pdf#5</t>
  </si>
  <si>
    <t>markdown.md; tbl-37.html; tbl-38.html; +14 more</t>
  </si>
  <si>
    <t>132</t>
  </si>
  <si>
    <t>NOTA:INA_EMMELO_2022_0.pdf#6</t>
  </si>
  <si>
    <t>markdown.md; tbl-57.html</t>
  </si>
  <si>
    <t>6. Efectivo</t>
  </si>
  <si>
    <t>NOTA:INA_EMMELO_2022_0.pdf#7</t>
  </si>
  <si>
    <t>markdown.md; tbl-58.html; tbl-59.html; +1 more</t>
  </si>
  <si>
    <t>7. Saldos y transacciones con partes relacionadas (continuación)</t>
  </si>
  <si>
    <t>NOTA:INA_EMMELO_2022_0.pdf#8</t>
  </si>
  <si>
    <t>8</t>
  </si>
  <si>
    <t>markdown.md; tbl-61.html</t>
  </si>
  <si>
    <t>8. Inventarios</t>
  </si>
  <si>
    <t>NOTA:INA_EMMELO_2022_0.pdf#9</t>
  </si>
  <si>
    <t>markdown.md; tbl-62.html</t>
  </si>
  <si>
    <t>9. Inventario de materiales, piezas y repuestos</t>
  </si>
  <si>
    <t>NOTA:INA_EMMELO_2023_0.pdf#1</t>
  </si>
  <si>
    <t>NOTA:INA_EMMELO_2023_0.pdf#2</t>
  </si>
  <si>
    <t>NOTA:INA_EMMELO_2023_0.pdf#3</t>
  </si>
  <si>
    <t>NOTA:INA_EMMELO_2023_0.pdf#4</t>
  </si>
  <si>
    <t>markdown.md; tbl-20.html</t>
  </si>
  <si>
    <t>NOTA:INA_EMMELO_2023_0.pdf#5</t>
  </si>
  <si>
    <t>NOTA:INA_EMMELO_2024_0.pdf#1</t>
  </si>
  <si>
    <t>NOTA:INA_EMMELO_2024_0.pdf#10</t>
  </si>
  <si>
    <t>markdown.md; tbl-52.html</t>
  </si>
  <si>
    <t>10. Inventarios</t>
  </si>
  <si>
    <t>NOTA:INA_EMMELO_2024_0.pdf#11</t>
  </si>
  <si>
    <t>markdown.md; tbl-53.html</t>
  </si>
  <si>
    <t>11. Inventario de materiales, piezas y repuestos</t>
  </si>
  <si>
    <t>NOTA:INA_EMMELO_2024_0.pdf#12</t>
  </si>
  <si>
    <t>markdown.md; tbl-54.html; tbl-55.html</t>
  </si>
  <si>
    <t>12. Propiedades de inversión</t>
  </si>
  <si>
    <t>NOTA:INA_EMMELO_2024_0.pdf#13</t>
  </si>
  <si>
    <t>markdown.md; tbl-56.html</t>
  </si>
  <si>
    <t>13. Otras inversiones</t>
  </si>
  <si>
    <t>NOTA:INA_EMMELO_2024_0.pdf#14</t>
  </si>
  <si>
    <t>markdown.md; tbl-57.html; tbl-58.html; +3 more</t>
  </si>
  <si>
    <t>14. Activos biológicos (continuación)</t>
  </si>
  <si>
    <t>NOTA:INA_EMMELO_2024_0.pdf#15</t>
  </si>
  <si>
    <t>15. Adelantos para compras</t>
  </si>
  <si>
    <t>NOTA:INA_EMMELO_2024_0.pdf#16</t>
  </si>
  <si>
    <t>markdown.md; tbl-63.html</t>
  </si>
  <si>
    <t>16. Inmuebles, mobiliarios, equipos y mejoras, neto</t>
  </si>
  <si>
    <t>NOTA:INA_EMMELO_2024_0.pdf#17</t>
  </si>
  <si>
    <t>markdown.md; tbl-64.html</t>
  </si>
  <si>
    <t>17. Activo intangible, neto</t>
  </si>
  <si>
    <t>NOTA:INA_EMMELO_2024_0.pdf#18</t>
  </si>
  <si>
    <t>18. Equipo para arrendamiento, neto</t>
  </si>
  <si>
    <t>NOTA:INA_EMMELO_2024_0.pdf#19</t>
  </si>
  <si>
    <t>markdown.md; tbl-66.html</t>
  </si>
  <si>
    <t>19. Activos por Derecho de Uso</t>
  </si>
  <si>
    <t>NOTA:INA_EMMELO_2024_0.pdf#2</t>
  </si>
  <si>
    <t>2. Base de preparación</t>
  </si>
  <si>
    <t>NOTA:INA_EMMELO_2024_0.pdf#20</t>
  </si>
  <si>
    <t>markdown.md; tbl-67.html; tbl-68.html; +2 more</t>
  </si>
  <si>
    <t>20. Pasivos por arrendamientos</t>
  </si>
  <si>
    <t>NOTA:INA_EMMELO_2024_0.pdf#21</t>
  </si>
  <si>
    <t>markdown.md; tbl-71.html; tbl-72.html; +2 more</t>
  </si>
  <si>
    <t>21. Inversiones en asociadas</t>
  </si>
  <si>
    <t>NOTA:INA_EMMELO_2024_0.pdf#22</t>
  </si>
  <si>
    <t>markdown.md; tbl-75.html</t>
  </si>
  <si>
    <t>22. Préstamos por pagar</t>
  </si>
  <si>
    <t>NOTA:INA_EMMELO_2024_0.pdf#23</t>
  </si>
  <si>
    <t>markdown.md; tbl-76.html; tbl-77.html</t>
  </si>
  <si>
    <t>23. Valores comerciales negociables (continuación)</t>
  </si>
  <si>
    <t>NOTA:INA_EMMELO_2024_0.pdf#24</t>
  </si>
  <si>
    <t>markdown.md; tbl-78.html</t>
  </si>
  <si>
    <t>24. Cuentas por pagar proveedores</t>
  </si>
  <si>
    <t>NOTA:INA_EMMELO_2024_0.pdf#25</t>
  </si>
  <si>
    <t>25. Adelantos recibidos de clientes</t>
  </si>
  <si>
    <t>NOTA:INA_EMMELO_2024_0.pdf#26</t>
  </si>
  <si>
    <t>markdown.md; tbl-79.html</t>
  </si>
  <si>
    <t>26. Gastos acumulados y otros pasivos</t>
  </si>
  <si>
    <t>NOTA:INA_EMMELO_2024_0.pdf#27</t>
  </si>
  <si>
    <t>markdown.md; tbl-80.html</t>
  </si>
  <si>
    <t>27. Bonos por pagar</t>
  </si>
  <si>
    <t>NOTA:INA_EMMELO_2024_0.pdf#28</t>
  </si>
  <si>
    <t>markdown.md; tbl-81.html; tbl-82.html; +3 more</t>
  </si>
  <si>
    <t>28. Ingresos de actividades ordinarias (continuación)</t>
  </si>
  <si>
    <t>NOTA:INA_EMMELO_2024_0.pdf#29</t>
  </si>
  <si>
    <t>29. Otros ingresos</t>
  </si>
  <si>
    <t>NOTA:INA_EMMELO_2024_0.pdf#3</t>
  </si>
  <si>
    <t>3. Moneda funcional y de presentación</t>
  </si>
  <si>
    <t>NOTA:INA_EMMELO_2024_0.pdf#30</t>
  </si>
  <si>
    <t>30. Gastos de personal</t>
  </si>
  <si>
    <t>NOTA:INA_EMMELO_2024_0.pdf#31</t>
  </si>
  <si>
    <t>31. Otros gastos</t>
  </si>
  <si>
    <t>NOTA:INA_EMMELO_2024_0.pdf#32</t>
  </si>
  <si>
    <t>markdown.md; tbl-89.html; tbl-90.html; +1 more</t>
  </si>
  <si>
    <t>32. Impuestos (continuación)</t>
  </si>
  <si>
    <t>NOTA:INA_EMMELO_2024_0.pdf#33</t>
  </si>
  <si>
    <t>33. Régimen de incentivos industriales</t>
  </si>
  <si>
    <t>NOTA:INA_EMMELO_2024_0.pdf#34</t>
  </si>
  <si>
    <t>markdown.md; tbl-92.html</t>
  </si>
  <si>
    <t>34. Utilidad por acción básica</t>
  </si>
  <si>
    <t>NOTA:INA_EMMELO_2024_0.pdf#35</t>
  </si>
  <si>
    <t>markdown.md; tbl-100.html; tbl-93.html; +6 more</t>
  </si>
  <si>
    <t>35. Instrumentos financieros - valores razonables y gestión de riesgos (continuación)</t>
  </si>
  <si>
    <t>53</t>
  </si>
  <si>
    <t>NOTA:INA_EMMELO_2024_0.pdf#36</t>
  </si>
  <si>
    <t>36</t>
  </si>
  <si>
    <t>36. Compromisos</t>
  </si>
  <si>
    <t>NOTA:INA_EMMELO_2024_0.pdf#37</t>
  </si>
  <si>
    <t>37</t>
  </si>
  <si>
    <t>markdown.md; tbl-101.html; tbl-102.html; +1 more</t>
  </si>
  <si>
    <t>37. Conciliación entre pasivos y flujos de efectivo</t>
  </si>
  <si>
    <t>NOTA:INA_EMMELO_2024_0.pdf#4</t>
  </si>
  <si>
    <t>markdown.md; tbl-27.html</t>
  </si>
  <si>
    <t>4. Uso de Juicios y Estimaciones (continuación)</t>
  </si>
  <si>
    <t>NOTA:INA_EMMELO_2024_0.pdf#5</t>
  </si>
  <si>
    <t>markdown.md; tbl-28.html; tbl-29.html; +7 more</t>
  </si>
  <si>
    <t>129</t>
  </si>
  <si>
    <t>NOTA:INA_EMMELO_2024_0.pdf#6</t>
  </si>
  <si>
    <t>markdown.md; tbl-42.html; tbl-43.html; +1 more</t>
  </si>
  <si>
    <t>6. Políticas de contables materiales (continuación)</t>
  </si>
  <si>
    <t>158</t>
  </si>
  <si>
    <t>NOTA:INA_EMMELO_2024_0.pdf#7</t>
  </si>
  <si>
    <t>markdown.md; tbl-45.html; tbl-46.html; +1 more</t>
  </si>
  <si>
    <t>7. Información de segmentos</t>
  </si>
  <si>
    <t>NOTA:INA_EMMELO_2024_0.pdf#8</t>
  </si>
  <si>
    <t>markdown.md; tbl-48.html</t>
  </si>
  <si>
    <t>8. Efectivo y equivalentes de efectivo</t>
  </si>
  <si>
    <t>NOTA:INA_EMMELO_2024_0.pdf#9</t>
  </si>
  <si>
    <t>markdown.md; tbl-49.html; tbl-50.html; +1 more</t>
  </si>
  <si>
    <t>9. Saldos y transacciones con partes relacionadas (continuación)</t>
  </si>
  <si>
    <t>NOTA:INA_EMMELO_2025_0.pdf#1</t>
  </si>
  <si>
    <t>NOTA:INA_EMMELO_2025_0.pdf#10</t>
  </si>
  <si>
    <t>markdown.md; tbl-51.html</t>
  </si>
  <si>
    <t>NOTA:INA_EMMELO_2025_0.pdf#11</t>
  </si>
  <si>
    <t>NOTA:INA_EMMELO_2025_0.pdf#12</t>
  </si>
  <si>
    <t>markdown.md; tbl-53.html; tbl-54.html</t>
  </si>
  <si>
    <t>NOTA:INA_EMMELO_2025_0.pdf#13</t>
  </si>
  <si>
    <t>markdown.md; tbl-55.html</t>
  </si>
  <si>
    <t>NOTA:INA_EMMELO_2025_0.pdf#14</t>
  </si>
  <si>
    <t>markdown.md; tbl-56.html; tbl-57.html; +3 more</t>
  </si>
  <si>
    <t>NOTA:INA_EMMELO_2025_0.pdf#15</t>
  </si>
  <si>
    <t>NOTA:INA_EMMELO_2025_0.pdf#16</t>
  </si>
  <si>
    <t>16. Inmuebles, mobiliarios, equipos y mejoras, neto (continuación)</t>
  </si>
  <si>
    <t>NOTA:INA_EMMELO_2025_0.pdf#17</t>
  </si>
  <si>
    <t>NOTA:INA_EMMELO_2025_0.pdf#18</t>
  </si>
  <si>
    <t>NOTA:INA_EMMELO_2025_0.pdf#19</t>
  </si>
  <si>
    <t>NOTA:INA_EMMELO_2025_0.pdf#2</t>
  </si>
  <si>
    <t>NOTA:INA_EMMELO_2025_0.pdf#20</t>
  </si>
  <si>
    <t>markdown.md; tbl-66.html; tbl-67.html; +2 more</t>
  </si>
  <si>
    <t>NOTA:INA_EMMELO_2025_0.pdf#21</t>
  </si>
  <si>
    <t>markdown.md; tbl-70.html; tbl-71.html; +2 more</t>
  </si>
  <si>
    <t>NOTA:INA_EMMELO_2025_0.pdf#22</t>
  </si>
  <si>
    <t>NOTA:INA_EMMELO_2025_0.pdf#23</t>
  </si>
  <si>
    <t>markdown.md; tbl-75.html; tbl-76.html</t>
  </si>
  <si>
    <t>NOTA:INA_EMMELO_2025_0.pdf#24</t>
  </si>
  <si>
    <t>markdown.md; tbl-77.html</t>
  </si>
  <si>
    <t>NOTA:INA_EMMELO_2025_0.pdf#25</t>
  </si>
  <si>
    <t>NOTA:INA_EMMELO_2025_0.pdf#26</t>
  </si>
  <si>
    <t>NOTA:INA_EMMELO_2025_0.pdf#27</t>
  </si>
  <si>
    <t>NOTA:INA_EMMELO_2025_0.pdf#28</t>
  </si>
  <si>
    <t>markdown.md; tbl-80.html; tbl-81.html; +3 more</t>
  </si>
  <si>
    <t>28. Ingresos de actividades ordinarias</t>
  </si>
  <si>
    <t>NOTA:INA_EMMELO_2025_0.pdf#29</t>
  </si>
  <si>
    <t>markdown.md; tbl-85.html</t>
  </si>
  <si>
    <t>NOTA:INA_EMMELO_2025_0.pdf#3</t>
  </si>
  <si>
    <t>NOTA:INA_EMMELO_2025_0.pdf#30</t>
  </si>
  <si>
    <t>NOTA:INA_EMMELO_2025_0.pdf#31</t>
  </si>
  <si>
    <t>NOTA:INA_EMMELO_2025_0.pdf#32</t>
  </si>
  <si>
    <t>markdown.md; tbl-88.html; tbl-89.html; +1 more</t>
  </si>
  <si>
    <t>32. Impuestos</t>
  </si>
  <si>
    <t>NOTA:INA_EMMELO_2025_0.pdf#33</t>
  </si>
  <si>
    <t>NOTA:INA_EMMELO_2025_0.pdf#34</t>
  </si>
  <si>
    <t>markdown.md; tbl-91.html</t>
  </si>
  <si>
    <t>NOTA:INA_EMMELO_2025_0.pdf#35</t>
  </si>
  <si>
    <t>markdown.md; tbl-92.html; tbl-93.html; +6 more</t>
  </si>
  <si>
    <t>52</t>
  </si>
  <si>
    <t>NOTA:INA_EMMELO_2025_0.pdf#36</t>
  </si>
  <si>
    <t>NOTA:INA_EMMELO_2025_0.pdf#37</t>
  </si>
  <si>
    <t>markdown.md; tbl-100.html; tbl-103.html</t>
  </si>
  <si>
    <t>NOTA:INA_EMMELO_2025_0.pdf#4</t>
  </si>
  <si>
    <t>markdown.md; tbl-31.html; tbl-35.html</t>
  </si>
  <si>
    <t>NOTA:INA_EMMELO_2025_0.pdf#5</t>
  </si>
  <si>
    <t>markdown.md; tbl-32.html; tbl-33.html; +2 more</t>
  </si>
  <si>
    <t>96</t>
  </si>
  <si>
    <t>NOTA:INA_EMMELO_2025_0.pdf#6</t>
  </si>
  <si>
    <t>markdown.md; tbl-41.html; tbl-42.html; +1 more</t>
  </si>
  <si>
    <t>135</t>
  </si>
  <si>
    <t>NOTA:INA_EMMELO_2025_0.pdf#7</t>
  </si>
  <si>
    <t>markdown.md; tbl-44.html; tbl-45.html; +1 more</t>
  </si>
  <si>
    <t>NOTA:INA_EMMELO_2025_0.pdf#8</t>
  </si>
  <si>
    <t>markdown.md; tbl-47.html</t>
  </si>
  <si>
    <t>NOTA:INA_EMMELO_2025_0.pdf#9</t>
  </si>
  <si>
    <t>markdown.md; tbl-48.html; tbl-49.html; +1 more</t>
  </si>
  <si>
    <t>DRIVER:DRIVER_DETAIL_PENDING</t>
  </si>
  <si>
    <t>DRIVER_OTHER</t>
  </si>
  <si>
    <t>Supuestos</t>
  </si>
  <si>
    <t>Restaurantes — crecimiento activo</t>
  </si>
  <si>
    <t>Unclassified _source citation shape: DRIVER_DETAIL_PENDING</t>
  </si>
  <si>
    <t>DRIVER:EEFF (citado por fórmula viva)</t>
  </si>
  <si>
    <t>Consumo materia prima % ingresos hist</t>
  </si>
  <si>
    <t>Unclassified _source citation shape: EEFF (citado por fórmula viva)</t>
  </si>
  <si>
    <t>DRIVER:NOT_DISCLOSED</t>
  </si>
  <si>
    <t>Selector escenario</t>
  </si>
  <si>
    <t>38</t>
  </si>
  <si>
    <t>Unclassified _source citation shape: NOT_DISCLOSED</t>
  </si>
  <si>
    <t>DRIVER:label:Almacenes ingresos hist — Nota 7/28 EMMELO</t>
  </si>
  <si>
    <t>Almacenes ingresos hist — Nota 7/28 EMMELO</t>
  </si>
  <si>
    <t>Unclassified _source citation shape: label:Almacenes ingresos hist — Nota 7/28 EMMELO</t>
  </si>
  <si>
    <t>DRIVER:label:Avicola ingresos hist — Nota 7/28 EMMELO</t>
  </si>
  <si>
    <t>Avicola ingresos hist — Nota 7/28 EMMELO</t>
  </si>
  <si>
    <t>Unclassified _source citation shape: label:Avicola ingresos hist — Nota 7/28 EMMELO</t>
  </si>
  <si>
    <t>DRIVER:label:Base — Nota 16 FY25 capex/ingresos</t>
  </si>
  <si>
    <t>Capex PP&amp;E % ingresos — activo</t>
  </si>
  <si>
    <t>Unclassified _source citation shape: label:Base — Nota 16 FY25 capex/ingresos</t>
  </si>
  <si>
    <t>DRIVER:label:Base — escenario, DOCUMENT_MAP §8.6 clima/precios insumos</t>
  </si>
  <si>
    <t>Almacenes — crecimiento activo</t>
  </si>
  <si>
    <t>Unclassified _source citation shape: label:Base — escenario, DOCUMENT_MAP §8.6 clima/precios insumos</t>
  </si>
  <si>
    <t>DRIVER:label:Base — escenario, DOCUMENT_MAP §8.6 mercado autos +10.8%</t>
  </si>
  <si>
    <t>Maquinaria — crecimiento activo</t>
  </si>
  <si>
    <t>Unclassified _source citation shape: label:Base — escenario, DOCUMENT_MAP §8.6 mercado autos +10.8%</t>
  </si>
  <si>
    <t>DRIVER:label:Base — escenario, DOCUMENT_MAP §8.6 produccion pollo +2.9%</t>
  </si>
  <si>
    <t>Avicola — crecimiento activo</t>
  </si>
  <si>
    <t>Unclassified _source citation shape: label:Base — escenario, DOCUMENT_MAP §8.6 produccion pollo +2.9%</t>
  </si>
  <si>
    <t>DRIVER:label:Base — escenario, DOCUMENT_MAP §8.6 trafico/ticket</t>
  </si>
  <si>
    <t>Unclassified _source citation shape: label:Base — escenario, DOCUMENT_MAP §8.6 trafico/ticket</t>
  </si>
  <si>
    <t>DRIVER:label:Maquinaria ingresos hist — Nota 7/28 EMMELO</t>
  </si>
  <si>
    <t>Maquinaria ingresos hist — Nota 7/28 EMMELO</t>
  </si>
  <si>
    <t>Unclassified _source citation shape: label:Maquinaria ingresos hist — Nota 7/28 EMMELO</t>
  </si>
  <si>
    <t>DRIVER:label:Restaurantes ingresos hist — Nota 7/28 EMMELO</t>
  </si>
  <si>
    <t>Restaurantes ingresos hist — Nota 7/28 EMMELO</t>
  </si>
  <si>
    <t>Unclassified _source citation shape: label:Restaurantes ingresos hist — Nota 7/28 EMMELO</t>
  </si>
  <si>
    <t>_CHANGELOG — generation record for empresas-melo.</t>
  </si>
  <si>
    <t>Internal build history omitted from the public export. Record public changes below.</t>
  </si>
  <si>
    <t>MD&amp;A — Informe de Actualización INA_EMMELO_2025_0 (índice verbatim del mirror OCR; la narrativa completa vive en el mirror)</t>
  </si>
  <si>
    <t>Fuente: mirror OCR INA_EMMELO_2025_0, sección MD&amp;A · sha256=788b7267ddcaee2c… · linaje completo en Source_Register.</t>
  </si>
  <si>
    <t>A. ÍNDICE DE SECCIONES DEL MD&amp;A (verbatim, con página del filing)</t>
  </si>
  <si>
    <t>· REPUBLICA DE PANAMA  (pág. 1)</t>
  </si>
  <si>
    <t>· SUPERINTENDENCIA DEL MERCADO DE VALORES  (pág. 1)</t>
  </si>
  <si>
    <t>· FORMULARIO IN-A  (pág. 1)</t>
  </si>
  <si>
    <t>· INFORME DE ACTUALIZACION ANUAL*  (pág. 1)</t>
  </si>
  <si>
    <t>· I PARTE  (pág. 1)</t>
  </si>
  <si>
    <t xml:space="preserve">  · I. INFORMACION DE LA COMPAÑÍA  (pág. 1)</t>
  </si>
  <si>
    <t xml:space="preserve">    · A. Historia y Desarrollo de Empresas Melo, S.A.  (pág. 1)</t>
  </si>
  <si>
    <t xml:space="preserve">  · B. Pacto Social y Estatutos del Solicitante  (pág. 2)</t>
  </si>
  <si>
    <t>· C. Descripción del Negocio  (pág. 3)</t>
  </si>
  <si>
    <t xml:space="preserve">  · F. Investigación y Desarrollo  (pág. 5)</t>
  </si>
  <si>
    <t xml:space="preserve">  · Departamento de Investigación  (pág. 5)</t>
  </si>
  <si>
    <t xml:space="preserve">  · Departamento de Estudio y Desarrollo  (pág. 5)</t>
  </si>
  <si>
    <t xml:space="preserve">  · C. Resultados de las Operaciones  (pág. 7)</t>
  </si>
  <si>
    <t xml:space="preserve">  · D. Análisis de Perspectivas  (pág. 7)</t>
  </si>
  <si>
    <t xml:space="preserve">  · III. DIRECTORES DIGNATARIOS, EJECUTIVOS, ADMINISTRADORES, ASESORES Y EMPLEADOS  (pág. 9)</t>
  </si>
  <si>
    <t xml:space="preserve">    · A. Identidad  (pág. 9)</t>
  </si>
  <si>
    <t xml:space="preserve">  · Empleados de importancia y asesores  (pág. 10)</t>
  </si>
  <si>
    <t xml:space="preserve">  · DÍGENES BECERRA  (pág. 14)</t>
  </si>
  <si>
    <t xml:space="preserve">    · VICEPRESIDENTE / GERENTE GENERAL, DPTO. DE ALIMENTOS - PRODUCCIÓN  (pág. 14)</t>
  </si>
  <si>
    <t xml:space="preserve">  · LUIS CARLOS CASTROVERDE  (pág. 14)</t>
  </si>
  <si>
    <t xml:space="preserve">    · VICEPRESIDENTE / GERENTE GENERAL, DEPTO. ALIMENTOS - MERCADEO  (pág. 14)</t>
  </si>
  <si>
    <t xml:space="preserve">  · EDUARDO CHAMBONNET  (pág. 14)</t>
  </si>
  <si>
    <t xml:space="preserve">    · VICEPRESIDENTE / GERENTE GENERAL, DPTO. RESTAURANTES  (pág. 14)</t>
  </si>
  <si>
    <t xml:space="preserve">  · Asesores legales  (pág. 15)</t>
  </si>
  <si>
    <t xml:space="preserve">  · Auditores  (pág. 15)</t>
  </si>
  <si>
    <t xml:space="preserve">  · Designación por acuerdos o entendimientos  (pág. 15)</t>
  </si>
  <si>
    <t>· B. Compensación  (pág. 16)</t>
  </si>
  <si>
    <t>· C. Prácticas de la Directiva  (pág. 16)</t>
  </si>
  <si>
    <t>· D. Empleados  (pág. 16)</t>
  </si>
  <si>
    <t>· E. Propiedad Accionaria  (pág. 16)</t>
  </si>
  <si>
    <t>· IV. ACCIONISTAS PRINCIPALES  (pág. 17)</t>
  </si>
  <si>
    <t>· V. PARTES RELACIONADAS, VINCULOS Y AFILIACIONES  (pág. 17)</t>
  </si>
  <si>
    <t>· VI. TRATAMIENTO FISCAL  (pág. 17)</t>
  </si>
  <si>
    <t>· VII. ESTRUCTURA DE CAPITALIZACION  (pág. 18)</t>
  </si>
  <si>
    <t>· Descripción y Derechos de los Títulos de Capital Accionario  (pág. 19)</t>
  </si>
  <si>
    <t xml:space="preserve">  · Información de Mercado  (pág. 19)</t>
  </si>
  <si>
    <t>· III PARTE  (pág. 21)</t>
  </si>
  <si>
    <t xml:space="preserve">  · ESTADOS FINANCIEROS  (pág. 21)</t>
  </si>
  <si>
    <t>· IV PARTE  (pág. 21)</t>
  </si>
  <si>
    <t xml:space="preserve">  · DIVULGACIÓN  (pág. 21)</t>
  </si>
  <si>
    <t>· Grupo Melo, S.A.; Empresas Melo, S.A.  (pág. 22)</t>
  </si>
  <si>
    <t xml:space="preserve">  · Factores Clave de Calificación  (pág. 22)</t>
  </si>
  <si>
    <t xml:space="preserve">  · Resumen de Información Financiera  (pág. 23)</t>
  </si>
  <si>
    <t xml:space="preserve">  · Análisis de Pares  (pág. 23)</t>
  </si>
  <si>
    <t xml:space="preserve">  · Sensibilidades de la Calificación  (pág. 23)</t>
  </si>
  <si>
    <t xml:space="preserve">    · Factores que Podrían, Individual o Colectivamente, Conducir a una Acción de Calificación Negativa/Baja  (pág. 23)</t>
  </si>
  <si>
    <t xml:space="preserve">    · Factores que Podrían, Individual o Colectivamente, Conducir a una Acción de Calificación Positiva/Alza  (pág. 23)</t>
  </si>
  <si>
    <t xml:space="preserve">  · Liquidez y Estructura de la Deuda  (pág. 23)</t>
  </si>
  <si>
    <t xml:space="preserve">  · Escenario de Liquidez y Vencimiento de Deuda sin Refinanciamiento  (pág. 24)</t>
  </si>
  <si>
    <t xml:space="preserve">  · Vencimientos de Deuda Programados  (pág. 24)</t>
  </si>
  <si>
    <t xml:space="preserve">  · Supuestos Clave  (pág. 24)</t>
  </si>
  <si>
    <t xml:space="preserve">  · Cómo Interpretar las Proyecciones Presentadas  (pág. 26)</t>
  </si>
  <si>
    <t>· Diagrama de la Estructura Simplificada del Grupo  (pág. 27)</t>
  </si>
  <si>
    <t>· ESTADO DE LA SOLICITUD Y PARTICIPACIÓN  (pág. 30)</t>
  </si>
  <si>
    <t>· AVISO LEGAL Y DIVULGACIÓN  (pág. 30)</t>
  </si>
  <si>
    <t>· CERTIFICACIÓN  (pág. 31)</t>
  </si>
  <si>
    <t xml:space="preserve">  · EMPRESAS MELO, S. A.  (pág. 31)</t>
  </si>
  <si>
    <t xml:space="preserve">    · MMG BANK CORPORATION FIDBI-006  (pág. 31)</t>
  </si>
  <si>
    <t xml:space="preserve">  · BONOS CORPORATIVOS ROTATIVOS  (pág. 32)</t>
  </si>
  <si>
    <t xml:space="preserve">  · US$50,000,000.00  (pág. 32)</t>
  </si>
  <si>
    <t>Doctrina: hoja índice/verbatim — sin narrativa inventada; cifras solo del filing (NOT_DISCLOSED donde no hay dato).</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</si>
  <si>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</si>
  <si>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</si>
  <si>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</si>
  <si>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</si>
  <si>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</si>
  <si>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</si>
  <si>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</si>
  <si>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</si>
  <si>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Notas_EEFF: 1 cell written, at A3; _CHECKS: 1 cell written, at G12; Source_Register: 3 cells written, at A2, I5, M5; _CHANGELOG: data A1:H33 -&gt; A1:A3 (rows 33 -&gt; 3, columns 8 -&gt; 1), 205 cells written, at A2, A3, B3, C3, D3, E3, F3, G3, H3, A4, B4, C4, D4, E4, F4 and 190 more.
Other actions: clear x1.
Agent: OpenFinmods export</t>
  </si>
  <si>
    <t>Compare against source and review public copy</t>
  </si>
</sst>
</file>

<file path=xl/styles.xml><?xml version="1.0" encoding="utf-8"?>
<styleSheet xmlns="http://schemas.openxmlformats.org/spreadsheetml/2006/main">
  <numFmts count="8">
    <numFmt numFmtId="164" formatCode="#,##0;(#,##0);-"/>
    <numFmt numFmtId="165" formatCode="General"/>
    <numFmt numFmtId="166" formatCode="@"/>
    <numFmt numFmtId="167" formatCode="#,##0;[Red](#,##0);-"/>
    <numFmt numFmtId="168" formatCode="0.0%"/>
    <numFmt numFmtId="169" formatCode="0"/>
    <numFmt numFmtId="170" formatCode="yyyy-mm-dd"/>
    <numFmt numFmtId="171" formatCode="yyyy\-mm\-dd hh:mm"/>
  </numFmts>
  <fonts count="13">
    <font>
      <sz val="11"/>
      <color theme="1"/>
      <name val="Calibri"/>
      <family val="2"/>
      <scheme val="minor"/>
    </font>
    <font>
      <sz val="11"/>
      <color rgb="FF000000"/>
      <name val="Calibri"/>
      <family val="2"/>
      <scheme val="minor"/>
    </font>
    <font>
      <b/>
      <i val="0"/>
      <strike val="0"/>
      <sz val="10"/>
      <color rgb="FF0432FF"/>
      <name val="Arial"/>
    </font>
    <font>
      <b val="0"/>
      <i val="0"/>
      <strike val="0"/>
      <sz val="10"/>
      <color rgb="FF0432FF"/>
      <name val="Arial"/>
    </font>
    <font>
      <b val="0"/>
      <i val="0"/>
      <strike val="0"/>
      <sz val="10"/>
      <color rgb="FF000000"/>
      <name val="Arial"/>
    </font>
    <font>
      <b val="0"/>
      <i val="0"/>
      <strike val="0"/>
      <sz val="10"/>
      <name val="Arial"/>
    </font>
    <font>
      <b/>
      <i val="0"/>
      <strike val="0"/>
      <sz val="10"/>
      <color rgb="FF000000"/>
      <name val="Arial"/>
    </font>
    <font>
      <b val="0"/>
      <i val="0"/>
      <strike val="0"/>
      <sz val="10"/>
      <color rgb="FF00703C"/>
      <name val="Arial"/>
    </font>
    <font>
      <b/>
      <i val="0"/>
      <strike val="0"/>
      <sz val="11"/>
      <color rgb="FF000000"/>
      <name val="Arial"/>
    </font>
    <font>
      <b/>
      <i val="0"/>
      <strike val="0"/>
      <sz val="10"/>
      <color rgb="FF00703C"/>
      <name val="Arial"/>
    </font>
    <font>
      <b val="0"/>
      <i/>
      <strike val="0"/>
      <sz val="10"/>
      <color rgb="FF000000"/>
      <name val="Arial"/>
    </font>
    <font>
      <b val="0"/>
      <i val="0"/>
      <strike val="0"/>
      <sz val="10"/>
      <color rgb="FF000000"/>
      <name val="Arial"/>
      <family val="2"/>
      <scheme val="minor"/>
    </font>
    <font>
      <b/>
      <i val="0"/>
      <strike val="0"/>
      <sz val="10"/>
      <color rgb="FF000000"/>
      <name val="Arial"/>
      <family val="2"/>
      <scheme val="minor"/>
    </font>
  </fonts>
  <fills count="5">
    <fill>
      <patternFill patternType="none"/>
    </fill>
    <fill>
      <patternFill patternType="gray125"/>
    </fill>
    <fill>
      <patternFill patternType="solid">
        <fgColor rgb="FFF2F2F2"/>
        <bgColor rgb="FFF2F2F2"/>
      </patternFill>
    </fill>
    <fill>
      <patternFill patternType="solid">
        <fgColor rgb="FFDCE6F1"/>
        <bgColor rgb="FFDCE6F1"/>
      </patternFill>
    </fill>
    <fill>
      <patternFill patternType="solid">
        <fgColor rgb="FFFFF2CC"/>
        <bgColor rgb="FFFFF2CC"/>
      </patternFill>
    </fill>
  </fills>
  <borders count="4">
    <border/>
    <border>
      <top style="thin">
        <color rgb="FF000000"/>
      </top>
    </border>
    <border>
      <left style="thin">
        <color rgb="FF000000"/>
      </left>
    </border>
    <border>
      <left style="thin">
        <color rgb="FF000000"/>
      </left>
      <top style="thin">
        <color rgb="FF000000"/>
      </top>
    </border>
  </borders>
  <cellStyleXfs count="1">
    <xf numFmtId="0" fontId="1" fillId="0" borderId="0"/>
  </cellStyleXfs>
  <cellXfs count="541">
    <xf numFmtId="0" fontId="1" fillId="0" borderId="0" xfId="0" applyFont="1"/>
    <xf numFmtId="164" fontId="2" fillId="0" borderId="1" xfId="0" applyNumberFormat="1" applyFont="1" applyBorder="1" applyAlignment="1">
      <alignment horizontal="right" vertical="bottom" textRotation="0" indent="0" readingOrder="0"/>
    </xf>
    <xf numFmtId="164" fontId="3"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3" fillId="0" borderId="2" xfId="0" applyNumberFormat="1" applyFont="1" applyBorder="1" applyAlignment="1">
      <alignment horizontal="right" vertical="bottom" textRotation="0" indent="0" readingOrder="0"/>
    </xf>
    <xf numFmtId="165" fontId="5" fillId="0" borderId="0" xfId="0" applyNumberFormat="1" applyFont="1"/>
    <xf numFmtId="165" fontId="6" fillId="2"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4" fontId="2" fillId="0" borderId="3" xfId="0" applyNumberFormat="1" applyFont="1" applyBorder="1" applyAlignment="1">
      <alignment horizontal="right" vertical="bottom" textRotation="0" indent="0" readingOrder="0"/>
    </xf>
    <xf numFmtId="165" fontId="5" fillId="0" borderId="2" xfId="0" applyNumberFormat="1" applyFont="1" applyBorder="1"/>
    <xf numFmtId="165" fontId="6" fillId="3" borderId="2" xfId="0" applyNumberFormat="1" applyFont="1" applyFill="1" applyBorder="1" applyAlignment="1">
      <alignment horizontal="right" vertical="bottom" textRotation="0" indent="0" readingOrder="0"/>
    </xf>
    <xf numFmtId="166" fontId="4"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7" fontId="3"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6" fillId="2" borderId="0" xfId="0" applyNumberFormat="1" applyFont="1" applyFill="1" applyAlignment="1">
      <alignment horizontal="left" vertical="top" textRotation="0" wrapText="1" indent="0" readingOrder="0"/>
    </xf>
    <xf numFmtId="165" fontId="6" fillId="3" borderId="0" xfId="0" applyNumberFormat="1" applyFont="1" applyFill="1" applyAlignment="1">
      <alignment horizontal="left" vertical="top" textRotation="0" wrapText="1" indent="0" readingOrder="0"/>
    </xf>
    <xf numFmtId="165" fontId="4" fillId="0" borderId="0" xfId="0" applyNumberFormat="1" applyFont="1"/>
    <xf numFmtId="165" fontId="8" fillId="0" borderId="0" xfId="0" applyNumberFormat="1" applyFont="1"/>
    <xf numFmtId="168" fontId="4" fillId="0" borderId="0" xfId="0" applyNumberFormat="1" applyFont="1" applyAlignment="1">
      <alignment horizontal="right" vertical="bottom" textRotation="0" indent="0" readingOrder="0"/>
    </xf>
    <xf numFmtId="168" fontId="3" fillId="4" borderId="2" xfId="0" applyNumberFormat="1" applyFont="1" applyFill="1" applyBorder="1" applyAlignment="1">
      <alignment horizontal="right" vertical="bottom" textRotation="0" indent="0" readingOrder="0"/>
    </xf>
    <xf numFmtId="165" fontId="5" fillId="0" borderId="0" xfId="0" applyNumberFormat="1" applyFont="1"/>
    <xf numFmtId="169" fontId="4"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5" fillId="3" borderId="0" xfId="0" applyNumberFormat="1" applyFont="1" applyFill="1"/>
    <xf numFmtId="168" fontId="3" fillId="4" borderId="0" xfId="0" applyNumberFormat="1" applyFont="1" applyFill="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5" fillId="2" borderId="0" xfId="0" applyNumberFormat="1" applyFont="1" applyFill="1"/>
    <xf numFmtId="165" fontId="4" fillId="0" borderId="0" xfId="0" applyNumberFormat="1" applyFont="1" applyAlignment="1">
      <alignment horizontal="left" vertical="bottom" textRotation="0" indent="0" readingOrder="0"/>
    </xf>
    <xf numFmtId="165" fontId="5" fillId="0" borderId="2" xfId="0" applyNumberFormat="1" applyFont="1" applyBorder="1"/>
    <xf numFmtId="165" fontId="6" fillId="3" borderId="0" xfId="0" applyNumberFormat="1" applyFont="1" applyFill="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5" fontId="5" fillId="3" borderId="2" xfId="0" applyNumberFormat="1" applyFont="1" applyFill="1" applyBorder="1"/>
    <xf numFmtId="168" fontId="4" fillId="0" borderId="2" xfId="0" applyNumberFormat="1" applyFont="1" applyBorder="1" applyAlignment="1">
      <alignment horizontal="right" vertical="bottom" textRotation="0" indent="0" readingOrder="0"/>
    </xf>
    <xf numFmtId="165" fontId="6" fillId="3" borderId="2" xfId="0" applyNumberFormat="1" applyFont="1" applyFill="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5" fillId="0" borderId="0" xfId="0" applyNumberFormat="1" applyFont="1"/>
    <xf numFmtId="164" fontId="4"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5" fillId="2" borderId="0" xfId="0" applyNumberFormat="1" applyFont="1" applyFill="1"/>
    <xf numFmtId="164" fontId="9" fillId="0" borderId="1" xfId="0" applyNumberFormat="1" applyFont="1" applyBorder="1" applyAlignment="1">
      <alignment horizontal="right" vertical="bottom" textRotation="0" indent="0" readingOrder="0"/>
    </xf>
    <xf numFmtId="165" fontId="5" fillId="3" borderId="0" xfId="0" applyNumberFormat="1" applyFont="1" applyFill="1"/>
    <xf numFmtId="165" fontId="4" fillId="0" borderId="0" xfId="0" applyNumberFormat="1" applyFont="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5" fillId="3" borderId="2" xfId="0" applyNumberFormat="1" applyFont="1" applyFill="1" applyBorder="1"/>
    <xf numFmtId="165" fontId="6" fillId="2" borderId="0" xfId="0" applyNumberFormat="1" applyFont="1" applyFill="1" applyAlignment="1">
      <alignment horizontal="left" vertical="bottom" textRotation="0" indent="0" readingOrder="0"/>
    </xf>
    <xf numFmtId="165" fontId="5" fillId="0" borderId="2" xfId="0" applyNumberFormat="1" applyFont="1" applyBorder="1"/>
    <xf numFmtId="165" fontId="6" fillId="3" borderId="2" xfId="0" applyNumberFormat="1" applyFont="1" applyFill="1" applyBorder="1" applyAlignment="1">
      <alignment horizontal="right" vertical="bottom" textRotation="0" indent="0" readingOrder="0"/>
    </xf>
    <xf numFmtId="166" fontId="4"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7" fontId="3"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6" fillId="2" borderId="0" xfId="0" applyNumberFormat="1" applyFont="1" applyFill="1" applyAlignment="1">
      <alignment horizontal="left" vertical="top" textRotation="0" wrapText="1" indent="0" readingOrder="0"/>
    </xf>
    <xf numFmtId="165" fontId="6" fillId="3" borderId="0" xfId="0" applyNumberFormat="1" applyFont="1" applyFill="1" applyAlignment="1">
      <alignment horizontal="left" vertical="top" textRotation="0" wrapText="1" indent="0" readingOrder="0"/>
    </xf>
    <xf numFmtId="165" fontId="4" fillId="0" borderId="0" xfId="0" applyNumberFormat="1" applyFont="1"/>
    <xf numFmtId="165" fontId="8" fillId="0" borderId="0" xfId="0" applyNumberFormat="1" applyFont="1"/>
    <xf numFmtId="168" fontId="4"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0" borderId="0" xfId="0" applyNumberFormat="1" applyFont="1"/>
    <xf numFmtId="168" fontId="3" fillId="4" borderId="0" xfId="0" applyNumberFormat="1" applyFont="1" applyFill="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5" fillId="3" borderId="0" xfId="0" applyNumberFormat="1" applyFont="1" applyFill="1"/>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5" fontId="5" fillId="3" borderId="2" xfId="0" applyNumberFormat="1" applyFont="1" applyFill="1" applyBorder="1"/>
    <xf numFmtId="164" fontId="4" fillId="0" borderId="0" xfId="0" applyNumberFormat="1" applyFont="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5" fontId="5" fillId="2" borderId="0" xfId="0" applyNumberFormat="1" applyFont="1" applyFill="1"/>
    <xf numFmtId="165" fontId="5" fillId="0" borderId="2" xfId="0" applyNumberFormat="1" applyFont="1" applyBorder="1"/>
    <xf numFmtId="168" fontId="3" fillId="4" borderId="2" xfId="0" applyNumberFormat="1" applyFont="1" applyFill="1" applyBorder="1" applyAlignment="1">
      <alignment horizontal="right" vertical="bottom" textRotation="0" indent="0" readingOrder="0"/>
    </xf>
    <xf numFmtId="165" fontId="6" fillId="3" borderId="2" xfId="0" applyNumberFormat="1" applyFont="1" applyFill="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3" borderId="0" xfId="0" applyNumberFormat="1" applyFont="1" applyFill="1"/>
    <xf numFmtId="165" fontId="5" fillId="2" borderId="0" xfId="0" applyNumberFormat="1" applyFont="1" applyFill="1"/>
    <xf numFmtId="164" fontId="6" fillId="0" borderId="1"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5" fillId="0" borderId="0" xfId="0" applyNumberFormat="1" applyFont="1"/>
    <xf numFmtId="165" fontId="6" fillId="2"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5" fillId="3" borderId="2" xfId="0" applyNumberFormat="1" applyFont="1" applyFill="1" applyBorder="1"/>
    <xf numFmtId="165" fontId="6" fillId="2" borderId="0" xfId="0" applyNumberFormat="1" applyFont="1" applyFill="1" applyAlignment="1">
      <alignment horizontal="left" vertical="bottom" textRotation="0" indent="0" readingOrder="0"/>
    </xf>
    <xf numFmtId="165" fontId="6" fillId="3" borderId="2" xfId="0" applyNumberFormat="1" applyFont="1" applyFill="1" applyBorder="1" applyAlignment="1">
      <alignment horizontal="right" vertical="bottom" textRotation="0" indent="0" readingOrder="0"/>
    </xf>
    <xf numFmtId="165" fontId="5" fillId="0" borderId="2" xfId="0" applyNumberFormat="1" applyFont="1" applyBorder="1"/>
    <xf numFmtId="164" fontId="7"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7" fontId="3"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6" fillId="2" borderId="0" xfId="0" applyNumberFormat="1" applyFont="1" applyFill="1" applyAlignment="1">
      <alignment horizontal="left" vertical="top" textRotation="0" wrapText="1" indent="0" readingOrder="0"/>
    </xf>
    <xf numFmtId="165" fontId="6" fillId="3" borderId="0" xfId="0" applyNumberFormat="1" applyFont="1" applyFill="1" applyAlignment="1">
      <alignment horizontal="left" vertical="top" textRotation="0" wrapText="1" indent="0" readingOrder="0"/>
    </xf>
    <xf numFmtId="165" fontId="4" fillId="0" borderId="0" xfId="0" applyNumberFormat="1" applyFont="1"/>
    <xf numFmtId="165" fontId="6" fillId="0" borderId="0" xfId="0" applyNumberFormat="1" applyFont="1"/>
    <xf numFmtId="165" fontId="4" fillId="0" borderId="0" xfId="0" applyNumberFormat="1" applyFont="1" applyAlignment="1">
      <alignment horizontal="left" vertical="bottom" textRotation="0" indent="0" readingOrder="0"/>
    </xf>
    <xf numFmtId="165" fontId="5" fillId="0" borderId="0" xfId="0" applyNumberFormat="1" applyFont="1"/>
    <xf numFmtId="165" fontId="6" fillId="3" borderId="0" xfId="0" applyNumberFormat="1" applyFont="1" applyFill="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5" fillId="0" borderId="2" xfId="0" applyNumberFormat="1" applyFont="1" applyBorder="1"/>
    <xf numFmtId="168" fontId="3" fillId="4" borderId="2" xfId="0" applyNumberFormat="1" applyFont="1" applyFill="1" applyBorder="1" applyAlignment="1">
      <alignment horizontal="right" vertical="bottom" textRotation="0" indent="0" readingOrder="0"/>
    </xf>
    <xf numFmtId="165" fontId="5" fillId="3" borderId="0" xfId="0" applyNumberFormat="1" applyFont="1" applyFill="1"/>
    <xf numFmtId="168" fontId="4" fillId="0" borderId="2" xfId="0" applyNumberFormat="1" applyFont="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5" fontId="5" fillId="2" borderId="0" xfId="0" applyNumberFormat="1" applyFont="1" applyFill="1"/>
    <xf numFmtId="165" fontId="6" fillId="3" borderId="2" xfId="0" applyNumberFormat="1" applyFont="1" applyFill="1" applyBorder="1" applyAlignment="1">
      <alignment horizontal="right" vertical="bottom" textRotation="0" indent="0" readingOrder="0"/>
    </xf>
    <xf numFmtId="165" fontId="5" fillId="3" borderId="2" xfId="0" applyNumberFormat="1" applyFont="1" applyFill="1" applyBorder="1"/>
    <xf numFmtId="169"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5" fillId="3" borderId="0" xfId="0" applyNumberFormat="1" applyFont="1" applyFill="1"/>
    <xf numFmtId="165" fontId="4" fillId="0" borderId="0" xfId="0" applyNumberFormat="1" applyFont="1" applyAlignment="1">
      <alignment horizontal="left" vertical="bottom" textRotation="0" indent="0" readingOrder="0"/>
    </xf>
    <xf numFmtId="165" fontId="5" fillId="0" borderId="0" xfId="0" applyNumberFormat="1" applyFont="1"/>
    <xf numFmtId="165" fontId="6" fillId="3" borderId="2" xfId="0" applyNumberFormat="1" applyFont="1" applyFill="1" applyBorder="1" applyAlignment="1">
      <alignment horizontal="right" vertical="bottom" textRotation="0" indent="0" readingOrder="0"/>
    </xf>
    <xf numFmtId="165" fontId="5" fillId="2" borderId="0" xfId="0" applyNumberFormat="1" applyFont="1" applyFill="1"/>
    <xf numFmtId="165" fontId="6" fillId="2" borderId="0" xfId="0" applyNumberFormat="1" applyFont="1" applyFill="1" applyAlignment="1">
      <alignment horizontal="right" vertical="bottom" textRotation="0" indent="0" readingOrder="0"/>
    </xf>
    <xf numFmtId="165" fontId="5" fillId="0" borderId="2" xfId="0" applyNumberFormat="1" applyFont="1" applyBorder="1"/>
    <xf numFmtId="165" fontId="6" fillId="3" borderId="0" xfId="0" applyNumberFormat="1" applyFont="1" applyFill="1" applyAlignment="1">
      <alignment horizontal="right" vertical="bottom" textRotation="0" indent="0" readingOrder="0"/>
    </xf>
    <xf numFmtId="165" fontId="5" fillId="3" borderId="2" xfId="0" applyNumberFormat="1" applyFont="1" applyFill="1" applyBorder="1"/>
    <xf numFmtId="164" fontId="6" fillId="0" borderId="3" xfId="0" applyNumberFormat="1" applyFont="1" applyBorder="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5" fillId="3" borderId="0" xfId="0" applyNumberFormat="1" applyFont="1" applyFill="1"/>
    <xf numFmtId="165" fontId="4" fillId="0" borderId="0" xfId="0" applyNumberFormat="1" applyFont="1" applyAlignment="1">
      <alignment horizontal="left" vertical="bottom" textRotation="0" indent="0" readingOrder="0"/>
    </xf>
    <xf numFmtId="165" fontId="5" fillId="0" borderId="0" xfId="0" applyNumberFormat="1" applyFont="1"/>
    <xf numFmtId="165" fontId="6" fillId="3" borderId="2" xfId="0" applyNumberFormat="1" applyFont="1" applyFill="1" applyBorder="1" applyAlignment="1">
      <alignment horizontal="right" vertical="bottom" textRotation="0" indent="0" readingOrder="0"/>
    </xf>
    <xf numFmtId="165" fontId="5" fillId="2" borderId="0" xfId="0" applyNumberFormat="1" applyFont="1" applyFill="1"/>
    <xf numFmtId="165" fontId="6" fillId="2" borderId="0" xfId="0" applyNumberFormat="1" applyFont="1" applyFill="1" applyAlignment="1">
      <alignment horizontal="right" vertical="bottom" textRotation="0" indent="0" readingOrder="0"/>
    </xf>
    <xf numFmtId="165" fontId="5" fillId="0" borderId="2" xfId="0" applyNumberFormat="1" applyFont="1" applyBorder="1"/>
    <xf numFmtId="164" fontId="6" fillId="0" borderId="3"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5" fillId="3" borderId="2" xfId="0" applyNumberFormat="1" applyFont="1" applyFill="1" applyBorder="1"/>
    <xf numFmtId="165" fontId="6" fillId="2" borderId="0" xfId="0" applyNumberFormat="1" applyFont="1" applyFill="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5" fillId="3" borderId="0" xfId="0" applyNumberFormat="1" applyFont="1" applyFill="1"/>
    <xf numFmtId="165" fontId="4" fillId="0" borderId="0" xfId="0" applyNumberFormat="1" applyFont="1" applyAlignment="1">
      <alignment horizontal="left" vertical="bottom" textRotation="0" indent="0" readingOrder="0"/>
    </xf>
    <xf numFmtId="165" fontId="5" fillId="0" borderId="0" xfId="0" applyNumberFormat="1" applyFont="1"/>
    <xf numFmtId="165" fontId="6" fillId="3" borderId="2" xfId="0" applyNumberFormat="1" applyFont="1" applyFill="1" applyBorder="1" applyAlignment="1">
      <alignment horizontal="right" vertical="bottom" textRotation="0" indent="0" readingOrder="0"/>
    </xf>
    <xf numFmtId="165" fontId="5" fillId="2" borderId="0" xfId="0" applyNumberFormat="1" applyFont="1" applyFill="1"/>
    <xf numFmtId="165" fontId="6" fillId="2" borderId="0" xfId="0" applyNumberFormat="1" applyFont="1" applyFill="1" applyAlignment="1">
      <alignment horizontal="right" vertical="bottom" textRotation="0" indent="0" readingOrder="0"/>
    </xf>
    <xf numFmtId="165" fontId="5" fillId="0" borderId="2" xfId="0" applyNumberFormat="1" applyFont="1" applyBorder="1"/>
    <xf numFmtId="164" fontId="6" fillId="0" borderId="3"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5" fillId="3" borderId="2" xfId="0" applyNumberFormat="1" applyFont="1" applyFill="1" applyBorder="1"/>
    <xf numFmtId="165" fontId="6" fillId="2" borderId="0" xfId="0" applyNumberFormat="1" applyFont="1" applyFill="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7" fontId="3"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6" fillId="2" borderId="0" xfId="0" applyNumberFormat="1" applyFont="1" applyFill="1" applyAlignment="1">
      <alignment horizontal="left" vertical="top" textRotation="0" wrapText="1" indent="0" readingOrder="0"/>
    </xf>
    <xf numFmtId="165" fontId="6" fillId="3" borderId="0" xfId="0" applyNumberFormat="1" applyFont="1" applyFill="1" applyAlignment="1">
      <alignment horizontal="left" vertical="top" textRotation="0" wrapText="1" indent="0" readingOrder="0"/>
    </xf>
    <xf numFmtId="165" fontId="4" fillId="0" borderId="0" xfId="0" applyNumberFormat="1" applyFont="1"/>
    <xf numFmtId="165" fontId="6" fillId="0" borderId="0" xfId="0" applyNumberFormat="1" applyFont="1"/>
    <xf numFmtId="164" fontId="7" fillId="0" borderId="0" xfId="0" applyNumberFormat="1" applyFont="1" applyAlignment="1">
      <alignment horizontal="right" vertical="bottom" textRotation="0" indent="0" readingOrder="0"/>
    </xf>
    <xf numFmtId="165" fontId="5" fillId="0" borderId="0" xfId="0" applyNumberFormat="1" applyFont="1"/>
    <xf numFmtId="165" fontId="6" fillId="3" borderId="0" xfId="0" applyNumberFormat="1" applyFont="1" applyFill="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0" borderId="2" xfId="0" applyNumberFormat="1" applyFont="1" applyBorder="1"/>
    <xf numFmtId="168" fontId="3" fillId="4" borderId="2" xfId="0" applyNumberFormat="1" applyFont="1" applyFill="1" applyBorder="1" applyAlignment="1">
      <alignment horizontal="right" vertical="bottom" textRotation="0" indent="0" readingOrder="0"/>
    </xf>
    <xf numFmtId="165" fontId="5" fillId="3" borderId="0" xfId="0" applyNumberFormat="1" applyFont="1" applyFill="1"/>
    <xf numFmtId="168" fontId="4" fillId="0" borderId="2" xfId="0" applyNumberFormat="1" applyFont="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9" fontId="4" fillId="0" borderId="0" xfId="0" applyNumberFormat="1" applyFont="1" applyAlignment="1">
      <alignment horizontal="right" vertical="bottom" textRotation="0" indent="0" readingOrder="0"/>
    </xf>
    <xf numFmtId="165" fontId="5" fillId="2" borderId="0" xfId="0" applyNumberFormat="1" applyFont="1" applyFill="1"/>
    <xf numFmtId="165" fontId="6" fillId="3" borderId="2" xfId="0" applyNumberFormat="1" applyFont="1" applyFill="1" applyBorder="1" applyAlignment="1">
      <alignment horizontal="right" vertical="bottom" textRotation="0" indent="0" readingOrder="0"/>
    </xf>
    <xf numFmtId="165" fontId="5" fillId="3" borderId="2" xfId="0" applyNumberFormat="1" applyFont="1" applyFill="1" applyBorder="1"/>
    <xf numFmtId="169" fontId="4" fillId="0" borderId="2"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5" fillId="3" borderId="0" xfId="0" applyNumberFormat="1" applyFont="1" applyFill="1"/>
    <xf numFmtId="165" fontId="4" fillId="0" borderId="0" xfId="0" applyNumberFormat="1" applyFont="1" applyAlignment="1">
      <alignment horizontal="left" vertical="bottom" textRotation="0" indent="0" readingOrder="0"/>
    </xf>
    <xf numFmtId="165" fontId="5" fillId="0" borderId="0" xfId="0" applyNumberFormat="1" applyFont="1"/>
    <xf numFmtId="165" fontId="6" fillId="3" borderId="2" xfId="0" applyNumberFormat="1" applyFont="1" applyFill="1" applyBorder="1" applyAlignment="1">
      <alignment horizontal="right" vertical="bottom" textRotation="0" indent="0" readingOrder="0"/>
    </xf>
    <xf numFmtId="165" fontId="5" fillId="2" borderId="0" xfId="0" applyNumberFormat="1" applyFont="1" applyFill="1"/>
    <xf numFmtId="165" fontId="6" fillId="2" borderId="0" xfId="0" applyNumberFormat="1" applyFont="1" applyFill="1" applyAlignment="1">
      <alignment horizontal="right" vertical="bottom" textRotation="0" indent="0" readingOrder="0"/>
    </xf>
    <xf numFmtId="165" fontId="5" fillId="0" borderId="2" xfId="0" applyNumberFormat="1" applyFont="1" applyBorder="1"/>
    <xf numFmtId="164" fontId="6" fillId="0" borderId="3"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5" fillId="3" borderId="2" xfId="0" applyNumberFormat="1" applyFont="1" applyFill="1" applyBorder="1"/>
    <xf numFmtId="165" fontId="6" fillId="2" borderId="0" xfId="0" applyNumberFormat="1" applyFont="1" applyFill="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5" fontId="6" fillId="2" borderId="0" xfId="0" applyNumberFormat="1" applyFont="1" applyFill="1" applyAlignment="1">
      <alignment horizontal="left" vertical="top" textRotation="0" wrapText="1" indent="0" readingOrder="0"/>
    </xf>
    <xf numFmtId="165" fontId="6" fillId="3" borderId="0" xfId="0" applyNumberFormat="1" applyFont="1" applyFill="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5" fontId="4" fillId="0" borderId="0" xfId="0" applyNumberFormat="1" applyFont="1"/>
    <xf numFmtId="165" fontId="6" fillId="0" borderId="0" xfId="0" applyNumberFormat="1" applyFont="1"/>
    <xf numFmtId="166" fontId="7"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5" fontId="6" fillId="2" borderId="0" xfId="0" applyNumberFormat="1" applyFont="1" applyFill="1" applyAlignment="1">
      <alignment horizontal="left" vertical="top" textRotation="0" wrapText="1" indent="0" readingOrder="0"/>
    </xf>
    <xf numFmtId="165" fontId="6" fillId="3" borderId="0" xfId="0" applyNumberFormat="1" applyFont="1" applyFill="1" applyAlignment="1">
      <alignment horizontal="left" vertical="top" textRotation="0" wrapText="1" indent="0" readingOrder="0"/>
    </xf>
    <xf numFmtId="165" fontId="4" fillId="0" borderId="0" xfId="0" applyNumberFormat="1" applyFont="1"/>
    <xf numFmtId="165" fontId="6" fillId="0" borderId="0" xfId="0" applyNumberFormat="1" applyFont="1"/>
    <xf numFmtId="164" fontId="6"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5" fillId="2" borderId="0" xfId="0" applyNumberFormat="1" applyFont="1" applyFill="1"/>
    <xf numFmtId="165" fontId="4" fillId="0" borderId="0" xfId="0" applyNumberFormat="1" applyFont="1" applyAlignment="1">
      <alignment horizontal="left" vertical="bottom" textRotation="0" indent="0" readingOrder="0"/>
    </xf>
    <xf numFmtId="164" fontId="9" fillId="0" borderId="1" xfId="0" applyNumberFormat="1" applyFont="1" applyBorder="1" applyAlignment="1">
      <alignment horizontal="right" vertical="bottom" textRotation="0" indent="0" readingOrder="0"/>
    </xf>
    <xf numFmtId="165" fontId="5" fillId="3" borderId="0" xfId="0" applyNumberFormat="1" applyFont="1" applyFill="1"/>
    <xf numFmtId="164" fontId="4" fillId="0" borderId="2" xfId="0" applyNumberFormat="1" applyFont="1" applyBorder="1" applyAlignment="1">
      <alignment horizontal="right" vertical="bottom" textRotation="0" indent="0" readingOrder="0"/>
    </xf>
    <xf numFmtId="165" fontId="5" fillId="0" borderId="0" xfId="0" applyNumberFormat="1" applyFont="1"/>
    <xf numFmtId="165" fontId="6" fillId="2" borderId="0" xfId="0" applyNumberFormat="1" applyFont="1" applyFill="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5" fontId="6" fillId="3" borderId="2" xfId="0" applyNumberFormat="1" applyFont="1" applyFill="1" applyBorder="1" applyAlignment="1">
      <alignment horizontal="right" vertical="bottom" textRotation="0" indent="0" readingOrder="0"/>
    </xf>
    <xf numFmtId="165" fontId="5" fillId="3" borderId="2" xfId="0" applyNumberFormat="1" applyFont="1" applyFill="1" applyBorder="1"/>
    <xf numFmtId="165" fontId="5" fillId="0" borderId="2" xfId="0" applyNumberFormat="1" applyFont="1" applyBorder="1"/>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5" fontId="6" fillId="2" borderId="0" xfId="0" applyNumberFormat="1" applyFont="1" applyFill="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5" fontId="6" fillId="3" borderId="0" xfId="0" applyNumberFormat="1" applyFont="1" applyFill="1" applyAlignment="1">
      <alignment horizontal="left" vertical="top" textRotation="0" wrapText="1" indent="0" readingOrder="0"/>
    </xf>
    <xf numFmtId="165" fontId="4" fillId="0" borderId="0" xfId="0" applyNumberFormat="1" applyFont="1"/>
    <xf numFmtId="165" fontId="6" fillId="0" borderId="0" xfId="0" applyNumberFormat="1" applyFont="1"/>
    <xf numFmtId="164" fontId="7" fillId="0" borderId="0" xfId="0" applyNumberFormat="1" applyFont="1" applyAlignment="1">
      <alignment horizontal="right" vertical="bottom" textRotation="0" indent="0" readingOrder="0"/>
    </xf>
    <xf numFmtId="165" fontId="5" fillId="0" borderId="0" xfId="0" applyNumberFormat="1" applyFont="1"/>
    <xf numFmtId="165" fontId="6" fillId="2" borderId="0" xfId="0" applyNumberFormat="1" applyFont="1" applyFill="1" applyAlignment="1">
      <alignment horizontal="left" vertical="bottom" textRotation="0" indent="0" readingOrder="0"/>
    </xf>
    <xf numFmtId="165" fontId="5" fillId="2" borderId="0" xfId="0" applyNumberFormat="1" applyFont="1" applyFill="1"/>
    <xf numFmtId="168" fontId="4" fillId="0" borderId="2" xfId="0" applyNumberFormat="1" applyFont="1" applyBorder="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8" fontId="3" fillId="4" borderId="2" xfId="0" applyNumberFormat="1" applyFont="1" applyFill="1" applyBorder="1" applyAlignment="1">
      <alignment horizontal="right" vertical="bottom" textRotation="0" indent="0" readingOrder="0"/>
    </xf>
    <xf numFmtId="165" fontId="5" fillId="0" borderId="2" xfId="0" applyNumberFormat="1" applyFont="1" applyBorder="1"/>
    <xf numFmtId="165" fontId="6" fillId="3" borderId="0" xfId="0" applyNumberFormat="1" applyFont="1" applyFill="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6" fillId="3" borderId="2" xfId="0" applyNumberFormat="1" applyFont="1" applyFill="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5" fillId="3" borderId="0" xfId="0" applyNumberFormat="1" applyFont="1" applyFill="1"/>
    <xf numFmtId="165" fontId="5" fillId="3" borderId="2" xfId="0" applyNumberFormat="1" applyFont="1" applyFill="1" applyBorder="1"/>
    <xf numFmtId="169"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xf numFmtId="164" fontId="4"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5" fillId="3" borderId="0" xfId="0" applyNumberFormat="1" applyFont="1" applyFill="1"/>
    <xf numFmtId="165" fontId="5" fillId="0" borderId="2" xfId="0" applyNumberFormat="1" applyFont="1" applyBorder="1"/>
    <xf numFmtId="164" fontId="6" fillId="0" borderId="3" xfId="0" applyNumberFormat="1" applyFont="1" applyBorder="1" applyAlignment="1">
      <alignment horizontal="right" vertical="bottom" textRotation="0" indent="0" readingOrder="0"/>
    </xf>
    <xf numFmtId="165" fontId="5" fillId="2" borderId="0" xfId="0" applyNumberFormat="1" applyFont="1" applyFill="1"/>
    <xf numFmtId="165" fontId="6" fillId="3"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6" fillId="2" borderId="0" xfId="0" applyNumberFormat="1" applyFont="1" applyFill="1" applyAlignment="1">
      <alignment horizontal="left" vertical="bottom" textRotation="0" indent="0" readingOrder="0"/>
    </xf>
    <xf numFmtId="165" fontId="6" fillId="3" borderId="2" xfId="0" applyNumberFormat="1" applyFont="1" applyFill="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5" fontId="5" fillId="3" borderId="2" xfId="0" applyNumberFormat="1" applyFont="1" applyFill="1" applyBorder="1"/>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5" fontId="6" fillId="2" borderId="0" xfId="0" applyNumberFormat="1" applyFont="1" applyFill="1" applyAlignment="1">
      <alignment horizontal="left" vertical="top" textRotation="0" wrapText="1" indent="0" readingOrder="0"/>
    </xf>
    <xf numFmtId="165" fontId="4" fillId="0" borderId="0" xfId="0" applyNumberFormat="1" applyFont="1"/>
    <xf numFmtId="165" fontId="6" fillId="0" borderId="0" xfId="0" applyNumberFormat="1" applyFont="1"/>
    <xf numFmtId="165" fontId="6" fillId="3" borderId="0" xfId="0" applyNumberFormat="1" applyFont="1" applyFill="1" applyAlignment="1">
      <alignment horizontal="left" vertical="top" textRotation="0" wrapText="1" indent="0" readingOrder="0"/>
    </xf>
    <xf numFmtId="168" fontId="3" fillId="4" borderId="0" xfId="0" applyNumberFormat="1" applyFont="1" applyFill="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xf numFmtId="165" fontId="5" fillId="2" borderId="0" xfId="0" applyNumberFormat="1" applyFont="1" applyFill="1"/>
    <xf numFmtId="165" fontId="4" fillId="0" borderId="0" xfId="0" applyNumberFormat="1" applyFont="1" applyAlignment="1">
      <alignment horizontal="left" vertical="bottom" textRotation="0" indent="0" readingOrder="0"/>
    </xf>
    <xf numFmtId="169" fontId="4" fillId="0" borderId="0" xfId="0" applyNumberFormat="1" applyFont="1" applyAlignment="1">
      <alignment horizontal="right" vertical="bottom" textRotation="0" indent="0" readingOrder="0"/>
    </xf>
    <xf numFmtId="168" fontId="3" fillId="4" borderId="2" xfId="0" applyNumberFormat="1" applyFont="1" applyFill="1" applyBorder="1" applyAlignment="1">
      <alignment horizontal="right" vertical="bottom" textRotation="0" indent="0" readingOrder="0"/>
    </xf>
    <xf numFmtId="165" fontId="5" fillId="0" borderId="2" xfId="0" applyNumberFormat="1" applyFont="1" applyBorder="1"/>
    <xf numFmtId="165" fontId="6" fillId="3" borderId="0" xfId="0" applyNumberFormat="1" applyFont="1" applyFill="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9" fontId="3" fillId="4" borderId="0" xfId="0" applyNumberFormat="1" applyFont="1" applyFill="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6" fillId="3" borderId="2" xfId="0" applyNumberFormat="1" applyFont="1" applyFill="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5" fillId="3" borderId="0" xfId="0" applyNumberFormat="1" applyFont="1" applyFill="1"/>
    <xf numFmtId="165" fontId="5" fillId="3" borderId="2" xfId="0" applyNumberFormat="1" applyFont="1" applyFill="1" applyBorder="1"/>
    <xf numFmtId="169" fontId="4" fillId="0" borderId="2" xfId="0" applyNumberFormat="1" applyFont="1" applyBorder="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5" fillId="2" borderId="0" xfId="0" applyNumberFormat="1" applyFont="1" applyFill="1"/>
    <xf numFmtId="164" fontId="4"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65" fontId="5" fillId="3" borderId="0" xfId="0" applyNumberFormat="1" applyFont="1" applyFill="1"/>
    <xf numFmtId="165" fontId="5" fillId="0" borderId="0" xfId="0" applyNumberFormat="1" applyFont="1"/>
    <xf numFmtId="165" fontId="5" fillId="3" borderId="2" xfId="0" applyNumberFormat="1" applyFont="1" applyFill="1" applyBorder="1"/>
    <xf numFmtId="165" fontId="6" fillId="2" borderId="0" xfId="0" applyNumberFormat="1" applyFont="1" applyFill="1" applyAlignment="1">
      <alignment horizontal="right" vertical="bottom" textRotation="0" indent="0" readingOrder="0"/>
    </xf>
    <xf numFmtId="165" fontId="5" fillId="0" borderId="2" xfId="0" applyNumberFormat="1" applyFont="1" applyBorder="1"/>
    <xf numFmtId="165" fontId="6" fillId="0" borderId="1" xfId="0" applyNumberFormat="1" applyFont="1" applyBorder="1" applyAlignment="1">
      <alignment horizontal="left" vertical="bottom" textRotation="0" indent="0" readingOrder="0"/>
    </xf>
    <xf numFmtId="165" fontId="6" fillId="2" borderId="0" xfId="0" applyNumberFormat="1" applyFont="1" applyFill="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5" fontId="6" fillId="3" borderId="2" xfId="0" applyNumberFormat="1" applyFont="1" applyFill="1" applyBorder="1" applyAlignment="1">
      <alignment horizontal="right" vertical="bottom" textRotation="0" indent="0" readingOrder="0"/>
    </xf>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5" fontId="6" fillId="2" borderId="0" xfId="0" applyNumberFormat="1" applyFont="1" applyFill="1" applyAlignment="1">
      <alignment horizontal="left" vertical="top" textRotation="0" wrapText="1" indent="0" readingOrder="0"/>
    </xf>
    <xf numFmtId="165" fontId="6" fillId="3" borderId="0" xfId="0" applyNumberFormat="1" applyFont="1" applyFill="1" applyAlignment="1">
      <alignment horizontal="left" vertical="top" textRotation="0" wrapText="1" indent="0" readingOrder="0"/>
    </xf>
    <xf numFmtId="165" fontId="4" fillId="0" borderId="0" xfId="0" applyNumberFormat="1" applyFont="1"/>
    <xf numFmtId="165" fontId="6" fillId="0" borderId="0" xfId="0" applyNumberFormat="1" applyFont="1"/>
    <xf numFmtId="165" fontId="5" fillId="0" borderId="0" xfId="0" applyNumberFormat="1" applyFont="1"/>
    <xf numFmtId="165" fontId="5" fillId="0" borderId="2" xfId="0" applyNumberFormat="1" applyFont="1" applyBorder="1"/>
    <xf numFmtId="165" fontId="4" fillId="0" borderId="0" xfId="0" applyNumberFormat="1" applyFont="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5" fontId="5" fillId="2" borderId="0" xfId="0" applyNumberFormat="1" applyFont="1" applyFill="1"/>
    <xf numFmtId="165" fontId="6" fillId="2" borderId="0" xfId="0" applyNumberFormat="1" applyFont="1" applyFill="1" applyAlignment="1">
      <alignment horizontal="left" vertical="bottom" textRotation="0" indent="0" readingOrder="0"/>
    </xf>
    <xf numFmtId="169" fontId="4" fillId="0" borderId="0" xfId="0" applyNumberFormat="1" applyFont="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6" fillId="3" borderId="2" xfId="0" applyNumberFormat="1" applyFont="1" applyFill="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5" fillId="3" borderId="0" xfId="0" applyNumberFormat="1" applyFont="1" applyFill="1"/>
    <xf numFmtId="168" fontId="3" fillId="4" borderId="2" xfId="0" applyNumberFormat="1" applyFont="1" applyFill="1" applyBorder="1" applyAlignment="1">
      <alignment horizontal="right" vertical="bottom" textRotation="0" indent="0" readingOrder="0"/>
    </xf>
    <xf numFmtId="165" fontId="5" fillId="3" borderId="2" xfId="0" applyNumberFormat="1" applyFont="1" applyFill="1" applyBorder="1"/>
    <xf numFmtId="169" fontId="4" fillId="0" borderId="2" xfId="0" applyNumberFormat="1" applyFont="1" applyBorder="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2" borderId="0" xfId="0" applyNumberFormat="1" applyFont="1" applyFill="1"/>
    <xf numFmtId="164" fontId="4"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5" fillId="0" borderId="0" xfId="0" applyNumberFormat="1" applyFont="1"/>
    <xf numFmtId="165" fontId="6" fillId="2" borderId="0" xfId="0" applyNumberFormat="1" applyFont="1" applyFill="1" applyAlignment="1">
      <alignment horizontal="left" vertical="bottom" textRotation="0" indent="0" readingOrder="0"/>
    </xf>
    <xf numFmtId="165" fontId="5" fillId="3" borderId="2" xfId="0" applyNumberFormat="1" applyFont="1" applyFill="1" applyBorder="1"/>
    <xf numFmtId="165" fontId="4" fillId="0" borderId="0" xfId="0" applyNumberFormat="1" applyFont="1" applyAlignment="1">
      <alignment horizontal="left" vertical="bottom" textRotation="0" indent="0" readingOrder="0"/>
    </xf>
    <xf numFmtId="165" fontId="6" fillId="2" borderId="0" xfId="0" applyNumberFormat="1" applyFont="1" applyFill="1" applyAlignment="1">
      <alignment horizontal="right" vertical="bottom" textRotation="0" indent="0" readingOrder="0"/>
    </xf>
    <xf numFmtId="165" fontId="5" fillId="3" borderId="0" xfId="0" applyNumberFormat="1" applyFont="1" applyFill="1"/>
    <xf numFmtId="165" fontId="6" fillId="0" borderId="1" xfId="0" applyNumberFormat="1" applyFont="1" applyBorder="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5" fillId="0" borderId="2" xfId="0" applyNumberFormat="1" applyFont="1" applyBorder="1"/>
    <xf numFmtId="165" fontId="6" fillId="3" borderId="2" xfId="0" applyNumberFormat="1" applyFont="1" applyFill="1" applyBorder="1" applyAlignment="1">
      <alignment horizontal="right" vertical="bottom" textRotation="0" indent="0" readingOrder="0"/>
    </xf>
    <xf numFmtId="169" fontId="3" fillId="4" borderId="2" xfId="0" applyNumberFormat="1" applyFont="1" applyFill="1" applyBorder="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3" fillId="0" borderId="0" xfId="0" applyNumberFormat="1" applyFont="1" applyAlignment="1">
      <alignment horizontal="right" vertical="bottom" textRotation="0" indent="0" readingOrder="0"/>
    </xf>
    <xf numFmtId="165" fontId="5" fillId="0" borderId="0" xfId="0" applyNumberFormat="1" applyFont="1"/>
    <xf numFmtId="169" fontId="7" fillId="0" borderId="0" xfId="0" applyNumberFormat="1" applyFont="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8" fontId="3" fillId="4" borderId="2" xfId="0" applyNumberFormat="1" applyFont="1" applyFill="1" applyBorder="1" applyAlignment="1">
      <alignment horizontal="right" vertical="bottom" textRotation="0" indent="0" readingOrder="0"/>
    </xf>
    <xf numFmtId="165" fontId="5" fillId="3" borderId="0" xfId="0" applyNumberFormat="1" applyFont="1" applyFill="1"/>
    <xf numFmtId="165" fontId="5" fillId="0" borderId="2" xfId="0" applyNumberFormat="1" applyFont="1" applyBorder="1"/>
    <xf numFmtId="169" fontId="3" fillId="4" borderId="0" xfId="0" applyNumberFormat="1" applyFont="1" applyFill="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5" fillId="3" borderId="2" xfId="0" applyNumberFormat="1" applyFont="1" applyFill="1" applyBorder="1"/>
    <xf numFmtId="165" fontId="6" fillId="2" borderId="0" xfId="0" applyNumberFormat="1" applyFont="1" applyFill="1" applyAlignment="1">
      <alignment horizontal="right" vertical="bottom" textRotation="0" indent="0" readingOrder="0"/>
    </xf>
    <xf numFmtId="165" fontId="5" fillId="2" borderId="0" xfId="0" applyNumberFormat="1" applyFont="1" applyFill="1"/>
    <xf numFmtId="168" fontId="4" fillId="0" borderId="2" xfId="0" applyNumberFormat="1" applyFont="1" applyBorder="1" applyAlignment="1">
      <alignment horizontal="right" vertical="bottom" textRotation="0" indent="0" readingOrder="0"/>
    </xf>
    <xf numFmtId="165" fontId="6" fillId="3" borderId="2" xfId="0" applyNumberFormat="1" applyFont="1" applyFill="1" applyBorder="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5" fontId="5" fillId="2" borderId="0" xfId="0" applyNumberFormat="1" applyFont="1" applyFill="1"/>
    <xf numFmtId="164" fontId="9" fillId="0" borderId="1"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0" borderId="2" xfId="0" applyNumberFormat="1" applyFont="1" applyBorder="1"/>
    <xf numFmtId="165" fontId="6" fillId="2" borderId="0" xfId="0" applyNumberFormat="1" applyFont="1" applyFill="1" applyAlignment="1">
      <alignment horizontal="right" vertical="bottom" textRotation="0" indent="0" readingOrder="0"/>
    </xf>
    <xf numFmtId="165" fontId="5" fillId="0" borderId="0" xfId="0" applyNumberFormat="1" applyFont="1"/>
    <xf numFmtId="164" fontId="4" fillId="0" borderId="0" xfId="0" applyNumberFormat="1" applyFont="1" applyAlignment="1">
      <alignment horizontal="right" vertical="bottom" textRotation="0" indent="0" readingOrder="0"/>
    </xf>
    <xf numFmtId="165" fontId="5" fillId="3" borderId="0" xfId="0" applyNumberFormat="1" applyFont="1" applyFill="1"/>
    <xf numFmtId="164" fontId="6" fillId="0" borderId="1" xfId="0" applyNumberFormat="1" applyFont="1" applyBorder="1" applyAlignment="1">
      <alignment horizontal="right" vertical="bottom" textRotation="0" indent="0" readingOrder="0"/>
    </xf>
    <xf numFmtId="165" fontId="5" fillId="3" borderId="2" xfId="0" applyNumberFormat="1" applyFont="1" applyFill="1" applyBorder="1"/>
    <xf numFmtId="165" fontId="6" fillId="0" borderId="1" xfId="0" applyNumberFormat="1" applyFont="1" applyBorder="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6" fillId="3" borderId="2" xfId="0" applyNumberFormat="1" applyFont="1" applyFill="1" applyBorder="1" applyAlignment="1">
      <alignment horizontal="right" vertical="bottom" textRotation="0" indent="0" readingOrder="0"/>
    </xf>
    <xf numFmtId="165" fontId="5" fillId="2" borderId="0" xfId="0" applyNumberFormat="1" applyFont="1" applyFill="1"/>
    <xf numFmtId="164" fontId="4"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5" fontId="5" fillId="3" borderId="0" xfId="0" applyNumberFormat="1" applyFont="1" applyFill="1"/>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3" borderId="2" xfId="0" applyNumberFormat="1" applyFont="1" applyFill="1" applyBorder="1"/>
    <xf numFmtId="165" fontId="4" fillId="0" borderId="0" xfId="0" applyNumberFormat="1" applyFont="1" applyAlignment="1">
      <alignment horizontal="left" vertical="bottom" textRotation="0" indent="0" readingOrder="0"/>
    </xf>
    <xf numFmtId="164" fontId="9" fillId="0" borderId="1" xfId="0" applyNumberFormat="1" applyFont="1" applyBorder="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5" fillId="0" borderId="0" xfId="0" applyNumberFormat="1" applyFont="1"/>
    <xf numFmtId="165" fontId="6" fillId="2" borderId="0" xfId="0" applyNumberFormat="1" applyFont="1" applyFill="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5" fillId="0" borderId="2" xfId="0" applyNumberFormat="1" applyFont="1" applyBorder="1"/>
    <xf numFmtId="165" fontId="6" fillId="3" borderId="2" xfId="0" applyNumberFormat="1" applyFont="1" applyFill="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4" fillId="0" borderId="0" xfId="0" applyNumberFormat="1" applyFont="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5" fontId="4" fillId="0" borderId="0" xfId="0" applyNumberFormat="1" applyFont="1"/>
    <xf numFmtId="164" fontId="7" fillId="0" borderId="0" xfId="0" applyNumberFormat="1" applyFont="1" applyAlignment="1">
      <alignment horizontal="right" vertical="bottom" textRotation="0" indent="0" readingOrder="0"/>
    </xf>
    <xf numFmtId="165" fontId="6" fillId="3" borderId="2" xfId="0" applyNumberFormat="1" applyFont="1" applyFill="1" applyBorder="1" applyAlignment="1">
      <alignment horizontal="left" vertical="bottom" textRotation="0" indent="0" readingOrder="0"/>
    </xf>
    <xf numFmtId="165" fontId="6" fillId="3" borderId="2" xfId="0" applyNumberFormat="1" applyFont="1" applyFill="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5" fontId="4" fillId="0" borderId="0" xfId="0" applyNumberFormat="1" applyFont="1" applyAlignment="1">
      <alignment horizontal="center" vertical="bottom" textRotation="0" indent="0" readingOrder="0"/>
    </xf>
    <xf numFmtId="164" fontId="7" fillId="0" borderId="2" xfId="0" applyNumberFormat="1" applyFont="1" applyBorder="1" applyAlignment="1">
      <alignment horizontal="right" vertical="bottom" textRotation="0" indent="0" readingOrder="0"/>
    </xf>
    <xf numFmtId="164" fontId="4" fillId="0" borderId="0" xfId="0" applyNumberFormat="1" applyFont="1" applyAlignment="1">
      <alignment horizontal="left" vertical="bottom" textRotation="0" indent="0" readingOrder="0"/>
    </xf>
    <xf numFmtId="165" fontId="6" fillId="0" borderId="0" xfId="0" applyNumberFormat="1" applyFont="1" applyAlignment="1">
      <alignment horizontal="center" vertical="bottom" textRotation="0" indent="0" readingOrder="0"/>
    </xf>
    <xf numFmtId="164" fontId="3" fillId="4" borderId="2" xfId="0" applyNumberFormat="1" applyFont="1" applyFill="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4" fillId="0" borderId="0" xfId="0" applyNumberFormat="1" applyFont="1" applyAlignment="1">
      <alignment horizontal="right" vertical="bottom" textRotation="0" indent="0" readingOrder="0"/>
    </xf>
    <xf numFmtId="165" fontId="10" fillId="0" borderId="0" xfId="0" applyNumberFormat="1" applyFont="1" applyAlignment="1">
      <alignment horizontal="left" vertical="bottom" textRotation="0" indent="0" readingOrder="0"/>
    </xf>
    <xf numFmtId="164" fontId="3" fillId="4" borderId="0" xfId="0" applyNumberFormat="1" applyFont="1" applyFill="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5" fillId="0" borderId="2" xfId="0" applyNumberFormat="1" applyFont="1" applyBorder="1"/>
    <xf numFmtId="165" fontId="5" fillId="0" borderId="0" xfId="0" applyNumberFormat="1" applyFont="1"/>
    <xf numFmtId="165" fontId="6" fillId="0" borderId="0" xfId="0" applyNumberFormat="1" applyFont="1" applyAlignment="1">
      <alignment horizontal="left" vertical="bottom" textRotation="0" indent="0" readingOrder="0"/>
    </xf>
    <xf numFmtId="165" fontId="5" fillId="2" borderId="0" xfId="0" applyNumberFormat="1" applyFont="1" applyFill="1"/>
    <xf numFmtId="165" fontId="5" fillId="3" borderId="2" xfId="0" applyNumberFormat="1" applyFont="1" applyFill="1" applyBorder="1"/>
    <xf numFmtId="165" fontId="6" fillId="2" borderId="0" xfId="0" applyNumberFormat="1" applyFont="1" applyFill="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5" fontId="5" fillId="3" borderId="0" xfId="0" applyNumberFormat="1" applyFont="1" applyFill="1"/>
    <xf numFmtId="165" fontId="6" fillId="3" borderId="0" xfId="0" applyNumberFormat="1" applyFont="1" applyFill="1" applyAlignment="1">
      <alignment horizontal="right" vertical="bottom" textRotation="0" indent="0" readingOrder="0"/>
    </xf>
    <xf numFmtId="165" fontId="6" fillId="3" borderId="2" xfId="0" applyNumberFormat="1" applyFont="1" applyFill="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5" fillId="2" borderId="0" xfId="0" applyNumberFormat="1" applyFont="1" applyFill="1"/>
    <xf numFmtId="165" fontId="5" fillId="0" borderId="0" xfId="0" applyNumberFormat="1" applyFont="1"/>
    <xf numFmtId="165" fontId="5" fillId="3" borderId="0" xfId="0" applyNumberFormat="1" applyFont="1" applyFill="1"/>
    <xf numFmtId="164" fontId="4" fillId="0" borderId="2"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6" fillId="0" borderId="1" xfId="0" applyNumberFormat="1" applyFont="1" applyBorder="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6" fillId="3" borderId="2" xfId="0" applyNumberFormat="1" applyFont="1" applyFill="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5" fontId="5" fillId="0" borderId="2" xfId="0" applyNumberFormat="1" applyFont="1" applyBorder="1"/>
    <xf numFmtId="165" fontId="5" fillId="3" borderId="2" xfId="0" applyNumberFormat="1" applyFont="1" applyFill="1" applyBorder="1"/>
    <xf numFmtId="164" fontId="6" fillId="0" borderId="3"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4" fillId="0" borderId="0" xfId="0" applyNumberFormat="1" applyFont="1"/>
    <xf numFmtId="164" fontId="4" fillId="0" borderId="0" xfId="0" applyNumberFormat="1" applyFont="1" applyAlignment="1">
      <alignment horizontal="right" vertical="bottom" textRotation="0" indent="0" readingOrder="0"/>
    </xf>
    <xf numFmtId="165" fontId="4" fillId="0" borderId="0" xfId="0" applyNumberFormat="1" applyFont="1" applyAlignment="1">
      <alignment horizontal="center" vertical="bottom" textRotation="0" indent="0" readingOrder="0"/>
    </xf>
    <xf numFmtId="165" fontId="6" fillId="3" borderId="2" xfId="0" applyNumberFormat="1" applyFont="1" applyFill="1" applyBorder="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5" fontId="6" fillId="2" borderId="0" xfId="0" applyNumberFormat="1" applyFont="1" applyFill="1" applyAlignment="1">
      <alignment horizontal="left" vertical="bottom" textRotation="0" indent="0" readingOrder="0"/>
    </xf>
    <xf numFmtId="165" fontId="6" fillId="3" borderId="2" xfId="0" applyNumberFormat="1" applyFont="1" applyFill="1" applyBorder="1" applyAlignment="1">
      <alignment horizontal="right" vertical="bottom" textRotation="0" indent="0" readingOrder="0"/>
    </xf>
    <xf numFmtId="164" fontId="4" fillId="0" borderId="0" xfId="0" applyNumberFormat="1" applyFont="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6" fillId="0" borderId="0" xfId="0" applyNumberFormat="1" applyFont="1" applyAlignment="1">
      <alignment horizontal="center" vertical="bottom" textRotation="0" indent="0" readingOrder="0"/>
    </xf>
    <xf numFmtId="165" fontId="6" fillId="0" borderId="0" xfId="0" applyNumberFormat="1" applyFont="1" applyAlignment="1">
      <alignment horizontal="left" vertical="bottom" textRotation="0" indent="0" readingOrder="0"/>
    </xf>
    <xf numFmtId="165" fontId="4" fillId="0" borderId="0" xfId="0" applyNumberFormat="1" applyFont="1"/>
    <xf numFmtId="165" fontId="6" fillId="0" borderId="0" xfId="0" applyNumberFormat="1" applyFont="1" applyAlignment="1">
      <alignment horizontal="center" vertical="bottom" textRotation="0" indent="0" readingOrder="0"/>
    </xf>
    <xf numFmtId="170" fontId="4" fillId="0" borderId="0" xfId="0" applyNumberFormat="1" applyFont="1"/>
    <xf numFmtId="165" fontId="6" fillId="0" borderId="0" xfId="0" applyNumberFormat="1" applyFont="1"/>
    <xf numFmtId="165" fontId="9" fillId="0" borderId="0" xfId="0" applyNumberFormat="1" applyFont="1" applyAlignment="1">
      <alignment horizontal="center" vertical="bottom" textRotation="0" indent="0" readingOrder="0"/>
    </xf>
    <xf numFmtId="165" fontId="6" fillId="2" borderId="0" xfId="0" applyNumberFormat="1" applyFont="1" applyFill="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2" borderId="0" xfId="0" applyNumberFormat="1" applyFont="1" applyFill="1"/>
    <xf numFmtId="165" fontId="5" fillId="0" borderId="0" xfId="0" applyNumberFormat="1" applyFont="1"/>
    <xf numFmtId="165" fontId="6" fillId="2" borderId="0" xfId="0" applyNumberFormat="1" applyFont="1" applyFill="1" applyAlignment="1">
      <alignment horizontal="left" vertical="bottom" textRotation="0" indent="0" readingOrder="0"/>
    </xf>
    <xf numFmtId="165" fontId="6" fillId="2" borderId="0" xfId="0" applyNumberFormat="1" applyFont="1" applyFill="1" applyAlignment="1">
      <alignment horizontal="center" vertical="bottom" textRotation="0" indent="0" readingOrder="0"/>
    </xf>
    <xf numFmtId="165" fontId="6" fillId="3" borderId="0" xfId="0" applyNumberFormat="1" applyFont="1" applyFill="1" applyAlignment="1">
      <alignment horizontal="center" vertical="bottom" textRotation="0" indent="0" readingOrder="0"/>
    </xf>
    <xf numFmtId="165" fontId="6" fillId="3" borderId="2" xfId="0" applyNumberFormat="1" applyFont="1" applyFill="1" applyBorder="1" applyAlignment="1">
      <alignment horizontal="center" vertical="bottom" textRotation="0" indent="0" readingOrder="0"/>
    </xf>
    <xf numFmtId="0" fontId="11" fillId="0" borderId="0" xfId="0" applyFont="1" applyFill="1" applyAlignment="1" applyProtection="1">
      <alignment vertical="top"/>
      <protection locked="1" hidden="0"/>
    </xf>
    <xf numFmtId="0" fontId="12" fillId="0" borderId="0" xfId="0" applyFont="1" applyFill="1" applyProtection="1">
      <protection locked="1" hidden="0"/>
    </xf>
    <xf numFmtId="171" fontId="11" fillId="0" borderId="0" xfId="0" applyNumberFormat="1" applyFont="1" applyFill="1" applyAlignment="1" applyProtection="1">
      <alignment vertical="top"/>
      <protection locked="1" hidden="0"/>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crosoft JhengHei Light"/>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majorFont>
      <a:minorFont>
        <a:latin typeface="Calibri" panose="020F0502020204030204"/>
        <a:ea typeface=""/>
        <a:cs typeface=""/>
        <a:font script="Jpan" typeface="Yu Gothic"/>
        <a:font script="Hang" typeface="Malgun Gothic"/>
        <a:font script="Hans" typeface="DengXian"/>
        <a:font script="Hant" typeface="Microsoft JhengHei"/>
        <a:font script="Arab" typeface="Arial"/>
        <a:font script="Hebr" typeface="Arial"/>
        <a:font script="Thai" typeface="Cordia New"/>
        <a:font script="Ethi" typeface="Nyala"/>
        <a:font script="Beng" typeface="Vrinda"/>
        <a:font script="Gujr" typeface="Shruti"/>
        <a:font script="Khmr" typeface="DaunPenh"/>
        <a:font script="Knda" typeface="Tunga"/>
      </a:minorFont>
    </a:fontScheme>
    <a:fmtScheme name="Office">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0"/>
  <sheetViews>
    <sheetView showGridLines="0" tabSelected="1" workbookViewId="0"/>
  </sheetViews>
  <sheetFormatPr defaultColWidth="8.375" defaultRowHeight="15"/>
  <cols>
    <col min="1" max="1" width="43.125" customWidth="1"/>
    <col min="2" max="11" width="12.5" customWidth="1"/>
  </cols>
  <sheetData>
    <row r="1">
      <c r="A1" s="534" t="s">
        <v>0</v>
      </c>
      <c r="B1" s="6"/>
      <c r="C1" s="6"/>
      <c r="D1" s="6"/>
      <c r="E1" s="6"/>
      <c r="F1" s="6"/>
      <c r="G1" s="12"/>
      <c r="H1" s="8"/>
      <c r="I1" s="8"/>
      <c r="J1" s="8"/>
      <c r="K1" s="8"/>
    </row>
    <row r="2">
      <c r="A2" s="531" t="s">
        <v>1</v>
      </c>
      <c r="G2" s="11"/>
    </row>
    <row r="3">
      <c r="A3" s="531" t="s">
        <v>2</v>
      </c>
      <c r="G3" s="11"/>
    </row>
    <row r="4">
      <c r="A4" s="5"/>
      <c r="B4" s="5"/>
      <c r="C4" s="5"/>
      <c r="D4" s="5"/>
      <c r="E4" s="5"/>
      <c r="F4" s="5"/>
      <c r="G4" s="11"/>
      <c r="H4" s="5"/>
      <c r="I4" s="5"/>
      <c r="J4" s="5"/>
      <c r="K4" s="5"/>
    </row>
    <row r="5">
      <c r="A5" s="534" t="s">
        <v>3</v>
      </c>
      <c r="B5" s="535" t="s">
        <v>4</v>
      </c>
      <c r="C5" s="535" t="s">
        <v>5</v>
      </c>
      <c r="D5" s="535" t="s">
        <v>6</v>
      </c>
      <c r="E5" s="535" t="s">
        <v>7</v>
      </c>
      <c r="F5" s="535" t="s">
        <v>8</v>
      </c>
      <c r="G5" s="537" t="s">
        <v>9</v>
      </c>
      <c r="H5" s="536" t="s">
        <v>10</v>
      </c>
      <c r="I5" s="536" t="s">
        <v>11</v>
      </c>
      <c r="J5" s="536" t="s">
        <v>12</v>
      </c>
      <c r="K5" s="536" t="s">
        <v>13</v>
      </c>
    </row>
    <row r="6">
      <c r="A6" s="534" t="s">
        <v>14</v>
      </c>
      <c r="B6" s="6"/>
      <c r="C6" s="6"/>
      <c r="D6" s="6"/>
      <c r="E6" s="6"/>
      <c r="F6" s="6"/>
      <c r="G6" s="12"/>
      <c r="H6" s="8"/>
      <c r="I6" s="8"/>
      <c r="J6" s="8"/>
      <c r="K6" s="8"/>
    </row>
    <row r="7">
      <c r="A7" s="531" t="s">
        <v>15</v>
      </c>
      <c r="B7" s="410">
        <v>438114952</v>
      </c>
      <c r="C7" s="410">
        <v>467074668</v>
      </c>
      <c r="D7" s="410">
        <v>451706230</v>
      </c>
      <c r="E7" s="410">
        <v>460719410</v>
      </c>
      <c r="F7" s="410">
        <v>470347932</v>
      </c>
      <c r="G7" s="4"/>
      <c r="H7" s="2"/>
      <c r="I7" s="2"/>
      <c r="J7" s="2"/>
      <c r="K7" s="2"/>
    </row>
    <row r="8">
      <c r="A8" s="531" t="s">
        <v>16</v>
      </c>
      <c r="B8" s="410">
        <v>3966219</v>
      </c>
      <c r="C8" s="410">
        <v>4392200</v>
      </c>
      <c r="D8" s="410">
        <v>11003710</v>
      </c>
      <c r="E8" s="410">
        <v>3762535</v>
      </c>
      <c r="F8" s="410">
        <v>3613091</v>
      </c>
      <c r="G8" s="4"/>
      <c r="H8" s="2"/>
      <c r="I8" s="2"/>
      <c r="J8" s="2"/>
      <c r="K8" s="2"/>
    </row>
    <row r="9">
      <c r="A9" s="531" t="s">
        <v>17</v>
      </c>
      <c r="B9" s="410">
        <v>-150244827</v>
      </c>
      <c r="C9" s="410">
        <v>-187077140</v>
      </c>
      <c r="D9" s="410">
        <v>-173249606</v>
      </c>
      <c r="E9" s="410">
        <v>-174005656</v>
      </c>
      <c r="F9" s="410">
        <v>-188175458</v>
      </c>
      <c r="G9" s="4"/>
      <c r="H9" s="2"/>
      <c r="I9" s="2"/>
      <c r="J9" s="2"/>
      <c r="K9" s="2"/>
    </row>
    <row r="10">
      <c r="A10" s="531" t="s">
        <v>18</v>
      </c>
      <c r="B10" s="410">
        <v>-101025169</v>
      </c>
      <c r="C10" s="410">
        <v>-90597120</v>
      </c>
      <c r="D10" s="410">
        <v>-84145281</v>
      </c>
      <c r="E10" s="410">
        <v>-83918521</v>
      </c>
      <c r="F10" s="410">
        <v>-75807001</v>
      </c>
      <c r="G10" s="4"/>
      <c r="H10" s="2"/>
      <c r="I10" s="2"/>
      <c r="J10" s="2"/>
      <c r="K10" s="2"/>
    </row>
    <row r="11">
      <c r="A11" s="531" t="s">
        <v>19</v>
      </c>
      <c r="B11" s="410">
        <v>-74974041</v>
      </c>
      <c r="C11" s="410">
        <v>-79103480</v>
      </c>
      <c r="D11" s="410">
        <v>-80903627</v>
      </c>
      <c r="E11" s="410">
        <v>-86329033</v>
      </c>
      <c r="F11" s="410">
        <v>-88885187</v>
      </c>
      <c r="G11" s="4"/>
      <c r="H11" s="2"/>
      <c r="I11" s="2"/>
      <c r="J11" s="2"/>
      <c r="K11" s="2"/>
    </row>
    <row r="12">
      <c r="A12" s="531" t="s">
        <v>20</v>
      </c>
      <c r="B12" s="410">
        <v>-13985672</v>
      </c>
      <c r="C12" s="410">
        <v>-13342976</v>
      </c>
      <c r="D12" s="410">
        <v>-14036279</v>
      </c>
      <c r="E12" s="410">
        <v>-14828901</v>
      </c>
      <c r="F12" s="410">
        <v>-15329288</v>
      </c>
      <c r="G12" s="4"/>
      <c r="H12" s="2"/>
      <c r="I12" s="2"/>
      <c r="J12" s="2"/>
      <c r="K12" s="2"/>
    </row>
    <row r="13">
      <c r="A13" s="531" t="s">
        <v>21</v>
      </c>
      <c r="B13" s="410">
        <v>-4161694</v>
      </c>
      <c r="C13" s="410">
        <v>-3991659</v>
      </c>
      <c r="D13" s="410">
        <v>-3696447</v>
      </c>
      <c r="E13" s="410">
        <v>-4684964</v>
      </c>
      <c r="F13" s="410">
        <v>-5404896</v>
      </c>
      <c r="G13" s="4"/>
      <c r="H13" s="2"/>
      <c r="I13" s="2"/>
      <c r="J13" s="2"/>
      <c r="K13" s="2"/>
    </row>
    <row r="14">
      <c r="A14" s="531" t="s">
        <v>22</v>
      </c>
      <c r="B14" s="410">
        <v>-967420</v>
      </c>
      <c r="C14" s="410">
        <v>-425576</v>
      </c>
      <c r="D14" s="410">
        <v>-1225588</v>
      </c>
      <c r="E14" s="410">
        <v>-1314799</v>
      </c>
      <c r="F14" s="410">
        <v>-467105</v>
      </c>
      <c r="G14" s="4"/>
      <c r="H14" s="2"/>
      <c r="I14" s="2"/>
      <c r="J14" s="2"/>
      <c r="K14" s="2"/>
    </row>
    <row r="15">
      <c r="A15" s="531" t="s">
        <v>23</v>
      </c>
      <c r="B15" s="410">
        <v>-65024491</v>
      </c>
      <c r="C15" s="410">
        <v>-70360443</v>
      </c>
      <c r="D15" s="410">
        <v>-80568534</v>
      </c>
      <c r="E15" s="410">
        <v>-77373935</v>
      </c>
      <c r="F15" s="410">
        <v>-75884685</v>
      </c>
      <c r="G15" s="4"/>
      <c r="H15" s="2"/>
      <c r="I15" s="2"/>
      <c r="J15" s="2"/>
      <c r="K15" s="2"/>
    </row>
    <row r="16">
      <c r="A16" s="502" t="s">
        <v>24</v>
      </c>
      <c r="B16" s="1">
        <v>31697857</v>
      </c>
      <c r="C16" s="1">
        <v>26568474</v>
      </c>
      <c r="D16" s="1">
        <v>24884578</v>
      </c>
      <c r="E16" s="1">
        <v>22026136</v>
      </c>
      <c r="F16" s="1">
        <v>24007403</v>
      </c>
      <c r="G16" s="10"/>
      <c r="H16" s="1"/>
      <c r="I16" s="1"/>
      <c r="J16" s="1"/>
      <c r="K16" s="1"/>
    </row>
    <row r="17">
      <c r="A17" s="531" t="s">
        <v>25</v>
      </c>
      <c r="B17" s="2"/>
      <c r="C17" s="2"/>
      <c r="D17" s="2"/>
      <c r="E17" s="2"/>
      <c r="F17" s="2"/>
      <c r="G17" s="4"/>
      <c r="H17" s="2"/>
      <c r="I17" s="2"/>
      <c r="J17" s="2"/>
      <c r="K17" s="2"/>
    </row>
    <row r="18">
      <c r="A18" s="531" t="s">
        <v>26</v>
      </c>
      <c r="B18" s="410">
        <v>881939</v>
      </c>
      <c r="C18" s="410">
        <v>783585</v>
      </c>
      <c r="D18" s="410">
        <v>885958</v>
      </c>
      <c r="E18" s="410">
        <v>1130662</v>
      </c>
      <c r="F18" s="410">
        <v>1414749</v>
      </c>
      <c r="G18" s="4"/>
      <c r="H18" s="2"/>
      <c r="I18" s="2"/>
      <c r="J18" s="2"/>
      <c r="K18" s="2"/>
    </row>
    <row r="19">
      <c r="A19" s="531" t="s">
        <v>27</v>
      </c>
      <c r="B19" s="410">
        <v>-968434</v>
      </c>
      <c r="C19" s="410">
        <v>-882753</v>
      </c>
      <c r="D19" s="410">
        <v>-792291</v>
      </c>
      <c r="E19" s="410">
        <v>-956053</v>
      </c>
      <c r="F19" s="410">
        <v>-1156672</v>
      </c>
      <c r="G19" s="4"/>
      <c r="H19" s="2"/>
      <c r="I19" s="2"/>
      <c r="J19" s="2"/>
      <c r="K19" s="2"/>
    </row>
    <row r="20">
      <c r="A20" s="531" t="s">
        <v>28</v>
      </c>
      <c r="B20" s="410">
        <v>-5019054</v>
      </c>
      <c r="C20" s="410">
        <v>-3558962</v>
      </c>
      <c r="D20" s="410">
        <v>-4663883</v>
      </c>
      <c r="E20" s="410">
        <v>-4939562</v>
      </c>
      <c r="F20" s="410">
        <v>-4478120</v>
      </c>
      <c r="G20" s="4"/>
      <c r="H20" s="2"/>
      <c r="I20" s="2"/>
      <c r="J20" s="2"/>
      <c r="K20" s="2"/>
    </row>
    <row r="21">
      <c r="A21" s="502" t="s">
        <v>29</v>
      </c>
      <c r="B21" s="1">
        <v>-5105549</v>
      </c>
      <c r="C21" s="1">
        <v>-3658130</v>
      </c>
      <c r="D21" s="1">
        <v>-4570216</v>
      </c>
      <c r="E21" s="1">
        <v>-4764953</v>
      </c>
      <c r="F21" s="1">
        <v>-4220043</v>
      </c>
      <c r="G21" s="10"/>
      <c r="H21" s="1"/>
      <c r="I21" s="1"/>
      <c r="J21" s="1"/>
      <c r="K21" s="1"/>
    </row>
    <row r="22">
      <c r="A22" s="531" t="s">
        <v>30</v>
      </c>
      <c r="B22" s="410">
        <v>539906</v>
      </c>
      <c r="C22" s="410">
        <v>930830</v>
      </c>
      <c r="D22" s="410">
        <v>1210952</v>
      </c>
      <c r="E22" s="410">
        <v>869552</v>
      </c>
      <c r="F22" s="410">
        <v>766156</v>
      </c>
      <c r="G22" s="4"/>
      <c r="H22" s="2"/>
      <c r="I22" s="2"/>
      <c r="J22" s="2"/>
      <c r="K22" s="2"/>
    </row>
    <row r="23">
      <c r="A23" s="502" t="s">
        <v>31</v>
      </c>
      <c r="B23" s="1">
        <v>27132214</v>
      </c>
      <c r="C23" s="1">
        <v>23841174</v>
      </c>
      <c r="D23" s="1">
        <v>21525314</v>
      </c>
      <c r="E23" s="1">
        <v>18130735</v>
      </c>
      <c r="F23" s="1">
        <v>20553516</v>
      </c>
      <c r="G23" s="10"/>
      <c r="H23" s="1"/>
      <c r="I23" s="1"/>
      <c r="J23" s="1"/>
      <c r="K23" s="1"/>
    </row>
    <row r="24">
      <c r="A24" s="531" t="s">
        <v>32</v>
      </c>
      <c r="B24" s="410">
        <v>-6945729</v>
      </c>
      <c r="C24" s="410">
        <v>-6379563</v>
      </c>
      <c r="D24" s="410">
        <v>-3925237</v>
      </c>
      <c r="E24" s="410">
        <v>-4602653</v>
      </c>
      <c r="F24" s="410">
        <v>-5123047</v>
      </c>
      <c r="G24" s="4"/>
      <c r="H24" s="2"/>
      <c r="I24" s="2"/>
      <c r="J24" s="2"/>
      <c r="K24" s="2"/>
    </row>
    <row r="25">
      <c r="A25" s="502" t="s">
        <v>33</v>
      </c>
      <c r="B25" s="1">
        <v>20186485</v>
      </c>
      <c r="C25" s="1">
        <v>17461611</v>
      </c>
      <c r="D25" s="1">
        <v>17600077</v>
      </c>
      <c r="E25" s="1">
        <v>13528082</v>
      </c>
      <c r="F25" s="1">
        <v>15430469</v>
      </c>
      <c r="G25" s="10"/>
      <c r="H25" s="1"/>
      <c r="I25" s="1"/>
      <c r="J25" s="1"/>
      <c r="K25" s="1"/>
    </row>
    <row r="26">
      <c r="A26" s="531" t="s">
        <v>34</v>
      </c>
      <c r="B26" s="2"/>
      <c r="C26" s="2"/>
      <c r="D26" s="2"/>
      <c r="E26" s="2"/>
      <c r="F26" s="2"/>
      <c r="G26" s="4"/>
      <c r="H26" s="2"/>
      <c r="I26" s="2"/>
      <c r="J26" s="2"/>
      <c r="K26" s="2"/>
    </row>
    <row r="27">
      <c r="A27" s="531" t="s">
        <v>35</v>
      </c>
      <c r="B27" s="2"/>
      <c r="C27" s="2"/>
      <c r="D27" s="2"/>
      <c r="E27" s="2"/>
      <c r="F27" s="2"/>
      <c r="G27" s="4"/>
      <c r="H27" s="2"/>
      <c r="I27" s="2"/>
      <c r="J27" s="2"/>
      <c r="K27" s="2"/>
    </row>
    <row r="28">
      <c r="A28" s="531" t="s">
        <v>36</v>
      </c>
      <c r="B28" s="410">
        <v>-84705</v>
      </c>
      <c r="C28" s="410">
        <v>107709</v>
      </c>
      <c r="D28" s="410">
        <v>321093</v>
      </c>
      <c r="E28" s="410">
        <v>79637</v>
      </c>
      <c r="F28" s="410">
        <v>14817</v>
      </c>
      <c r="G28" s="4"/>
      <c r="H28" s="2"/>
      <c r="I28" s="2"/>
      <c r="J28" s="2"/>
      <c r="K28" s="2"/>
    </row>
    <row r="29">
      <c r="A29" s="502" t="s">
        <v>37</v>
      </c>
      <c r="B29" s="1">
        <v>-84705</v>
      </c>
      <c r="C29" s="1">
        <v>107709</v>
      </c>
      <c r="D29" s="1">
        <v>321093</v>
      </c>
      <c r="E29" s="1">
        <v>79637</v>
      </c>
      <c r="F29" s="1">
        <v>14817</v>
      </c>
      <c r="G29" s="10"/>
      <c r="H29" s="1"/>
      <c r="I29" s="1"/>
      <c r="J29" s="1"/>
      <c r="K29" s="1"/>
    </row>
    <row r="30">
      <c r="A30" s="502" t="s">
        <v>38</v>
      </c>
      <c r="B30" s="1">
        <v>20101780</v>
      </c>
      <c r="C30" s="1">
        <v>17569320</v>
      </c>
      <c r="D30" s="1">
        <v>17921170</v>
      </c>
      <c r="E30" s="1">
        <v>13607719</v>
      </c>
      <c r="F30" s="1">
        <v>15445286</v>
      </c>
      <c r="G30" s="10"/>
      <c r="H30" s="1"/>
      <c r="I30" s="1"/>
      <c r="J30" s="1"/>
      <c r="K30" s="1"/>
    </row>
    <row r="31">
      <c r="A31" s="5"/>
      <c r="B31" s="5"/>
      <c r="C31" s="5"/>
      <c r="D31" s="5"/>
      <c r="E31" s="5"/>
      <c r="F31" s="5"/>
      <c r="G31" s="11"/>
      <c r="H31" s="5"/>
      <c r="I31" s="5"/>
      <c r="J31" s="5"/>
      <c r="K31" s="5"/>
    </row>
    <row r="32">
      <c r="A32" s="534" t="s">
        <v>3</v>
      </c>
      <c r="B32" s="535" t="s">
        <v>4</v>
      </c>
      <c r="C32" s="535" t="s">
        <v>5</v>
      </c>
      <c r="D32" s="535" t="s">
        <v>6</v>
      </c>
      <c r="E32" s="535" t="s">
        <v>7</v>
      </c>
      <c r="F32" s="535" t="s">
        <v>8</v>
      </c>
      <c r="G32" s="537" t="s">
        <v>9</v>
      </c>
      <c r="H32" s="536" t="s">
        <v>10</v>
      </c>
      <c r="I32" s="536" t="s">
        <v>11</v>
      </c>
      <c r="J32" s="536" t="s">
        <v>12</v>
      </c>
      <c r="K32" s="536" t="s">
        <v>13</v>
      </c>
    </row>
    <row r="33">
      <c r="A33" s="534" t="s">
        <v>39</v>
      </c>
      <c r="B33" s="6"/>
      <c r="C33" s="6"/>
      <c r="D33" s="6"/>
      <c r="E33" s="6"/>
      <c r="F33" s="6"/>
      <c r="G33" s="12"/>
      <c r="H33" s="8"/>
      <c r="I33" s="8"/>
      <c r="J33" s="8"/>
      <c r="K33" s="8"/>
    </row>
    <row r="34">
      <c r="A34" s="531" t="s">
        <v>40</v>
      </c>
      <c r="B34" s="2"/>
      <c r="C34" s="2"/>
      <c r="D34" s="2"/>
      <c r="E34" s="2"/>
      <c r="F34" s="2"/>
      <c r="G34" s="4"/>
      <c r="H34" s="2"/>
      <c r="I34" s="2"/>
      <c r="J34" s="2"/>
      <c r="K34" s="2"/>
    </row>
    <row r="35">
      <c r="A35" s="531" t="s">
        <v>41</v>
      </c>
      <c r="B35" s="410">
        <v>12172483</v>
      </c>
      <c r="C35" s="410">
        <v>8201026</v>
      </c>
      <c r="D35" s="410">
        <v>11881528</v>
      </c>
      <c r="E35" s="410">
        <v>12820824</v>
      </c>
      <c r="F35" s="410">
        <v>18492864</v>
      </c>
      <c r="G35" s="4"/>
      <c r="H35" s="2"/>
      <c r="I35" s="2"/>
      <c r="J35" s="2"/>
      <c r="K35" s="2"/>
    </row>
    <row r="36">
      <c r="A36" s="531" t="s">
        <v>42</v>
      </c>
      <c r="B36" s="410">
        <v>60325155</v>
      </c>
      <c r="C36" s="410">
        <v>58872294</v>
      </c>
      <c r="D36" s="410">
        <v>54894249</v>
      </c>
      <c r="E36" s="410">
        <v>54841331</v>
      </c>
      <c r="F36" s="410">
        <v>48263595</v>
      </c>
      <c r="G36" s="4"/>
      <c r="H36" s="2"/>
      <c r="I36" s="2"/>
      <c r="J36" s="2"/>
      <c r="K36" s="2"/>
    </row>
    <row r="37">
      <c r="A37" s="531" t="s">
        <v>43</v>
      </c>
      <c r="B37" s="410">
        <v>88171572</v>
      </c>
      <c r="C37" s="410">
        <v>105633064</v>
      </c>
      <c r="D37" s="410">
        <v>106328130</v>
      </c>
      <c r="E37" s="410">
        <v>98522552</v>
      </c>
      <c r="F37" s="410">
        <v>86074972</v>
      </c>
      <c r="G37" s="4"/>
      <c r="H37" s="2"/>
      <c r="I37" s="2"/>
      <c r="J37" s="2"/>
      <c r="K37" s="2"/>
    </row>
    <row r="38">
      <c r="A38" s="531" t="s">
        <v>44</v>
      </c>
      <c r="B38" s="410">
        <v>4258589</v>
      </c>
      <c r="C38" s="410">
        <v>5430871</v>
      </c>
      <c r="D38" s="410">
        <v>5515664</v>
      </c>
      <c r="E38" s="410">
        <v>6892253</v>
      </c>
      <c r="F38" s="410">
        <v>7251432</v>
      </c>
      <c r="G38" s="4"/>
      <c r="H38" s="2"/>
      <c r="I38" s="2"/>
      <c r="J38" s="2"/>
      <c r="K38" s="2"/>
    </row>
    <row r="39">
      <c r="A39" s="531" t="s">
        <v>45</v>
      </c>
      <c r="B39" s="410">
        <v>9533860</v>
      </c>
      <c r="C39" s="410">
        <v>10662082</v>
      </c>
      <c r="D39" s="410">
        <v>9971872</v>
      </c>
      <c r="E39" s="410">
        <v>7465217</v>
      </c>
      <c r="F39" s="410">
        <v>8437671</v>
      </c>
      <c r="G39" s="4"/>
      <c r="H39" s="2"/>
      <c r="I39" s="2"/>
      <c r="J39" s="2"/>
      <c r="K39" s="2"/>
    </row>
    <row r="40">
      <c r="A40" s="531" t="s">
        <v>46</v>
      </c>
      <c r="B40" s="410">
        <v>6251470</v>
      </c>
      <c r="C40" s="410">
        <v>4920799</v>
      </c>
      <c r="D40" s="410">
        <v>11950319</v>
      </c>
      <c r="E40" s="410">
        <v>15359479</v>
      </c>
      <c r="F40" s="410">
        <v>20193108</v>
      </c>
      <c r="G40" s="4"/>
      <c r="H40" s="2"/>
      <c r="I40" s="2"/>
      <c r="J40" s="2"/>
      <c r="K40" s="2"/>
    </row>
    <row r="41">
      <c r="A41" s="531" t="s">
        <v>47</v>
      </c>
      <c r="B41" s="410">
        <v>3864487</v>
      </c>
      <c r="C41" s="410">
        <v>9230111</v>
      </c>
      <c r="D41" s="410">
        <v>2040615</v>
      </c>
      <c r="E41" s="410">
        <v>1624291</v>
      </c>
      <c r="F41" s="410">
        <v>1437596</v>
      </c>
      <c r="G41" s="4"/>
      <c r="H41" s="2"/>
      <c r="I41" s="2"/>
      <c r="J41" s="2"/>
      <c r="K41" s="2"/>
    </row>
    <row r="42">
      <c r="A42" s="531" t="s">
        <v>48</v>
      </c>
      <c r="B42" s="410">
        <v>425681</v>
      </c>
      <c r="C42" s="410">
        <v>2555114</v>
      </c>
      <c r="D42" s="410">
        <v>3378806</v>
      </c>
      <c r="E42" s="410">
        <v>618474</v>
      </c>
      <c r="F42" s="410">
        <v>1553236</v>
      </c>
      <c r="G42" s="4"/>
      <c r="H42" s="2"/>
      <c r="I42" s="2"/>
      <c r="J42" s="2"/>
      <c r="K42" s="2"/>
    </row>
    <row r="43">
      <c r="A43" s="531" t="s">
        <v>49</v>
      </c>
      <c r="B43" s="410">
        <v>233838</v>
      </c>
      <c r="C43" s="410">
        <v>214904</v>
      </c>
      <c r="D43" s="410">
        <v>9308</v>
      </c>
      <c r="E43" s="410">
        <v>9269</v>
      </c>
      <c r="F43" s="410">
        <v>10371</v>
      </c>
      <c r="G43" s="4"/>
      <c r="H43" s="2"/>
      <c r="I43" s="2"/>
      <c r="J43" s="2"/>
      <c r="K43" s="2"/>
    </row>
    <row r="44">
      <c r="A44" s="502" t="s">
        <v>50</v>
      </c>
      <c r="B44" s="1">
        <v>185237135</v>
      </c>
      <c r="C44" s="1">
        <v>205720265</v>
      </c>
      <c r="D44" s="1">
        <v>205970491</v>
      </c>
      <c r="E44" s="1">
        <v>198153690</v>
      </c>
      <c r="F44" s="1">
        <v>191714845</v>
      </c>
      <c r="G44" s="10"/>
      <c r="H44" s="1"/>
      <c r="I44" s="1"/>
      <c r="J44" s="1"/>
      <c r="K44" s="1"/>
    </row>
    <row r="45">
      <c r="A45" s="531" t="s">
        <v>51</v>
      </c>
      <c r="B45" s="2"/>
      <c r="C45" s="2"/>
      <c r="D45" s="2"/>
      <c r="E45" s="2"/>
      <c r="F45" s="2"/>
      <c r="G45" s="4"/>
      <c r="H45" s="2"/>
      <c r="I45" s="2"/>
      <c r="J45" s="2"/>
      <c r="K45" s="2"/>
    </row>
    <row r="46">
      <c r="A46" s="531" t="s">
        <v>41</v>
      </c>
      <c r="B46" s="2"/>
      <c r="C46" s="2"/>
      <c r="D46" s="410">
        <v>0</v>
      </c>
      <c r="E46" s="410">
        <v>1400000</v>
      </c>
      <c r="F46" s="410">
        <v>0</v>
      </c>
      <c r="G46" s="4"/>
      <c r="H46" s="2"/>
      <c r="I46" s="2"/>
      <c r="J46" s="2"/>
      <c r="K46" s="2"/>
    </row>
    <row r="47">
      <c r="A47" s="531" t="s">
        <v>44</v>
      </c>
      <c r="B47" s="410">
        <v>311258</v>
      </c>
      <c r="C47" s="410">
        <v>365289</v>
      </c>
      <c r="D47" s="410">
        <v>364529</v>
      </c>
      <c r="E47" s="410">
        <v>958317</v>
      </c>
      <c r="F47" s="410">
        <v>936271</v>
      </c>
      <c r="G47" s="4"/>
      <c r="H47" s="2"/>
      <c r="I47" s="2"/>
      <c r="J47" s="2"/>
      <c r="K47" s="2"/>
    </row>
    <row r="48">
      <c r="A48" s="531" t="s">
        <v>52</v>
      </c>
      <c r="B48" s="410">
        <v>118176330</v>
      </c>
      <c r="C48" s="410">
        <v>118021872</v>
      </c>
      <c r="D48" s="410">
        <v>118793851</v>
      </c>
      <c r="E48" s="410">
        <v>107205696</v>
      </c>
      <c r="F48" s="410">
        <v>116379856</v>
      </c>
      <c r="G48" s="4"/>
      <c r="H48" s="2"/>
      <c r="I48" s="2"/>
      <c r="J48" s="2"/>
      <c r="K48" s="2"/>
    </row>
    <row r="49">
      <c r="A49" s="531" t="s">
        <v>53</v>
      </c>
      <c r="B49" s="2"/>
      <c r="C49" s="2"/>
      <c r="D49" s="410">
        <v>0</v>
      </c>
      <c r="E49" s="410">
        <v>7095327</v>
      </c>
      <c r="F49" s="410">
        <v>6339823</v>
      </c>
      <c r="G49" s="4"/>
      <c r="H49" s="2"/>
      <c r="I49" s="2"/>
      <c r="J49" s="2"/>
      <c r="K49" s="2"/>
    </row>
    <row r="50">
      <c r="A50" s="531" t="s">
        <v>54</v>
      </c>
      <c r="B50" s="410">
        <v>2092260</v>
      </c>
      <c r="C50" s="410">
        <v>2003420</v>
      </c>
      <c r="D50" s="410">
        <v>3633937</v>
      </c>
      <c r="E50" s="410">
        <v>3477575</v>
      </c>
      <c r="F50" s="410">
        <v>2378222</v>
      </c>
      <c r="G50" s="4"/>
      <c r="H50" s="2"/>
      <c r="I50" s="2"/>
      <c r="J50" s="2"/>
      <c r="K50" s="2"/>
    </row>
    <row r="51">
      <c r="A51" s="531" t="s">
        <v>55</v>
      </c>
      <c r="B51" s="410">
        <v>15786574</v>
      </c>
      <c r="C51" s="410">
        <v>15156793</v>
      </c>
      <c r="D51" s="410">
        <v>13962183</v>
      </c>
      <c r="E51" s="410">
        <v>17055964</v>
      </c>
      <c r="F51" s="410">
        <v>18159806</v>
      </c>
      <c r="G51" s="4"/>
      <c r="H51" s="2"/>
      <c r="I51" s="2"/>
      <c r="J51" s="2"/>
      <c r="K51" s="2"/>
    </row>
    <row r="52">
      <c r="A52" s="531" t="s">
        <v>56</v>
      </c>
      <c r="B52" s="410">
        <v>148371</v>
      </c>
      <c r="C52" s="410">
        <v>261371</v>
      </c>
      <c r="D52" s="410">
        <v>261371</v>
      </c>
      <c r="E52" s="410">
        <v>261371</v>
      </c>
      <c r="F52" s="410">
        <v>148371</v>
      </c>
      <c r="G52" s="4"/>
      <c r="H52" s="2"/>
      <c r="I52" s="2"/>
      <c r="J52" s="2"/>
      <c r="K52" s="2"/>
    </row>
    <row r="53">
      <c r="A53" s="531" t="s">
        <v>57</v>
      </c>
      <c r="B53" s="410">
        <v>31424</v>
      </c>
      <c r="C53" s="410">
        <v>31424</v>
      </c>
      <c r="D53" s="410">
        <v>31424</v>
      </c>
      <c r="E53" s="410">
        <v>31424</v>
      </c>
      <c r="F53" s="410">
        <v>31424</v>
      </c>
      <c r="G53" s="4"/>
      <c r="H53" s="2"/>
      <c r="I53" s="2"/>
      <c r="J53" s="2"/>
      <c r="K53" s="2"/>
    </row>
    <row r="54">
      <c r="A54" s="531" t="s">
        <v>58</v>
      </c>
      <c r="B54" s="410">
        <v>2861083</v>
      </c>
      <c r="C54" s="410">
        <v>3638487</v>
      </c>
      <c r="D54" s="410">
        <v>4547604</v>
      </c>
      <c r="E54" s="410">
        <v>7400838</v>
      </c>
      <c r="F54" s="410">
        <v>5634822</v>
      </c>
      <c r="G54" s="4"/>
      <c r="H54" s="2"/>
      <c r="I54" s="2"/>
      <c r="J54" s="2"/>
      <c r="K54" s="2"/>
    </row>
    <row r="55">
      <c r="A55" s="531" t="s">
        <v>45</v>
      </c>
      <c r="B55" s="410">
        <v>8125114</v>
      </c>
      <c r="C55" s="410">
        <v>7741648</v>
      </c>
      <c r="D55" s="410">
        <v>9201413</v>
      </c>
      <c r="E55" s="410">
        <v>9128819</v>
      </c>
      <c r="F55" s="410">
        <v>9133839</v>
      </c>
      <c r="G55" s="4"/>
      <c r="H55" s="2"/>
      <c r="I55" s="2"/>
      <c r="J55" s="2"/>
      <c r="K55" s="2"/>
    </row>
    <row r="56">
      <c r="A56" s="531" t="s">
        <v>59</v>
      </c>
      <c r="B56" s="410">
        <v>8635712</v>
      </c>
      <c r="C56" s="410">
        <v>9721714</v>
      </c>
      <c r="D56" s="410">
        <v>10105488</v>
      </c>
      <c r="E56" s="410">
        <v>11118212</v>
      </c>
      <c r="F56" s="410">
        <v>11778683</v>
      </c>
      <c r="G56" s="4"/>
      <c r="H56" s="2"/>
      <c r="I56" s="2"/>
      <c r="J56" s="2"/>
      <c r="K56" s="2"/>
    </row>
    <row r="57">
      <c r="A57" s="531" t="s">
        <v>60</v>
      </c>
      <c r="B57" s="410">
        <v>1044908</v>
      </c>
      <c r="C57" s="410">
        <v>1045572</v>
      </c>
      <c r="D57" s="410">
        <v>1052947</v>
      </c>
      <c r="E57" s="410">
        <v>686286</v>
      </c>
      <c r="F57" s="410">
        <v>687558</v>
      </c>
      <c r="G57" s="4"/>
      <c r="H57" s="2"/>
      <c r="I57" s="2"/>
      <c r="J57" s="2"/>
      <c r="K57" s="2"/>
    </row>
    <row r="58">
      <c r="A58" s="531" t="s">
        <v>49</v>
      </c>
      <c r="B58" s="410">
        <v>557678</v>
      </c>
      <c r="C58" s="410">
        <v>579758</v>
      </c>
      <c r="D58" s="410">
        <v>614722</v>
      </c>
      <c r="E58" s="410">
        <v>639691</v>
      </c>
      <c r="F58" s="410">
        <v>654787</v>
      </c>
      <c r="G58" s="4"/>
      <c r="H58" s="2"/>
      <c r="I58" s="2"/>
      <c r="J58" s="2"/>
      <c r="K58" s="2"/>
    </row>
    <row r="59">
      <c r="A59" s="502" t="s">
        <v>61</v>
      </c>
      <c r="B59" s="1">
        <v>157770712</v>
      </c>
      <c r="C59" s="1">
        <v>158567348</v>
      </c>
      <c r="D59" s="1">
        <v>162569469</v>
      </c>
      <c r="E59" s="1">
        <v>166459520</v>
      </c>
      <c r="F59" s="1">
        <v>172263462</v>
      </c>
      <c r="G59" s="10"/>
      <c r="H59" s="1"/>
      <c r="I59" s="1"/>
      <c r="J59" s="1"/>
      <c r="K59" s="1"/>
    </row>
    <row r="60">
      <c r="A60" s="502" t="s">
        <v>62</v>
      </c>
      <c r="B60" s="1">
        <v>343007847</v>
      </c>
      <c r="C60" s="1">
        <v>364287613</v>
      </c>
      <c r="D60" s="1">
        <v>368539960</v>
      </c>
      <c r="E60" s="1">
        <v>364613210</v>
      </c>
      <c r="F60" s="1">
        <v>363978307</v>
      </c>
      <c r="G60" s="10"/>
      <c r="H60" s="1"/>
      <c r="I60" s="1"/>
      <c r="J60" s="1"/>
      <c r="K60" s="1"/>
    </row>
    <row r="61">
      <c r="A61" s="531" t="s">
        <v>63</v>
      </c>
      <c r="B61" s="2"/>
      <c r="C61" s="2"/>
      <c r="D61" s="2"/>
      <c r="E61" s="2"/>
      <c r="F61" s="2"/>
      <c r="G61" s="4"/>
      <c r="H61" s="2"/>
      <c r="I61" s="2"/>
      <c r="J61" s="2"/>
      <c r="K61" s="2"/>
    </row>
    <row r="62">
      <c r="A62" s="531" t="s">
        <v>64</v>
      </c>
      <c r="B62" s="410">
        <v>12760000</v>
      </c>
      <c r="C62" s="410">
        <v>14000000</v>
      </c>
      <c r="D62" s="410">
        <v>13639186</v>
      </c>
      <c r="E62" s="410">
        <v>8000000</v>
      </c>
      <c r="F62" s="410">
        <v>6900000</v>
      </c>
      <c r="G62" s="4"/>
      <c r="H62" s="2"/>
      <c r="I62" s="2"/>
      <c r="J62" s="2"/>
      <c r="K62" s="2"/>
    </row>
    <row r="63">
      <c r="A63" s="531" t="s">
        <v>65</v>
      </c>
      <c r="B63" s="410">
        <v>20160000</v>
      </c>
      <c r="C63" s="410">
        <v>15500000</v>
      </c>
      <c r="D63" s="410">
        <v>16029000</v>
      </c>
      <c r="E63" s="410">
        <v>13091000</v>
      </c>
      <c r="F63" s="410">
        <v>16247000</v>
      </c>
      <c r="G63" s="4"/>
      <c r="H63" s="2"/>
      <c r="I63" s="2"/>
      <c r="J63" s="2"/>
      <c r="K63" s="2"/>
    </row>
    <row r="64">
      <c r="A64" s="531" t="s">
        <v>66</v>
      </c>
      <c r="B64" s="410">
        <v>4224303</v>
      </c>
      <c r="C64" s="410">
        <v>3785984</v>
      </c>
      <c r="D64" s="410">
        <v>3552010</v>
      </c>
      <c r="E64" s="410">
        <v>4221359</v>
      </c>
      <c r="F64" s="410">
        <v>5155019</v>
      </c>
      <c r="G64" s="4"/>
      <c r="H64" s="2"/>
      <c r="I64" s="2"/>
      <c r="J64" s="2"/>
      <c r="K64" s="2"/>
    </row>
    <row r="65">
      <c r="A65" s="531" t="s">
        <v>67</v>
      </c>
      <c r="B65" s="410">
        <v>38125871</v>
      </c>
      <c r="C65" s="410">
        <v>43123997</v>
      </c>
      <c r="D65" s="410">
        <v>36713984</v>
      </c>
      <c r="E65" s="410">
        <v>32750402</v>
      </c>
      <c r="F65" s="410">
        <v>29473014</v>
      </c>
      <c r="G65" s="4"/>
      <c r="H65" s="2"/>
      <c r="I65" s="2"/>
      <c r="J65" s="2"/>
      <c r="K65" s="2"/>
    </row>
    <row r="66">
      <c r="A66" s="531" t="s">
        <v>68</v>
      </c>
      <c r="B66" s="410">
        <v>4071359</v>
      </c>
      <c r="C66" s="410">
        <v>1852616</v>
      </c>
      <c r="D66" s="410">
        <v>3808280</v>
      </c>
      <c r="E66" s="410">
        <v>4437544</v>
      </c>
      <c r="F66" s="410">
        <v>4357881</v>
      </c>
      <c r="G66" s="4"/>
      <c r="H66" s="2"/>
      <c r="I66" s="2"/>
      <c r="J66" s="2"/>
      <c r="K66" s="2"/>
    </row>
    <row r="67">
      <c r="A67" s="531" t="s">
        <v>69</v>
      </c>
      <c r="B67" s="410">
        <v>2899098</v>
      </c>
      <c r="C67" s="410">
        <v>3275580</v>
      </c>
      <c r="D67" s="410">
        <v>3137075</v>
      </c>
      <c r="E67" s="410">
        <v>3230564</v>
      </c>
      <c r="F67" s="410">
        <v>2401344</v>
      </c>
      <c r="G67" s="4"/>
      <c r="H67" s="2"/>
      <c r="I67" s="2"/>
      <c r="J67" s="2"/>
      <c r="K67" s="2"/>
    </row>
    <row r="68">
      <c r="A68" s="531" t="s">
        <v>70</v>
      </c>
      <c r="B68" s="410">
        <v>2908783</v>
      </c>
      <c r="C68" s="410">
        <v>0</v>
      </c>
      <c r="D68" s="2"/>
      <c r="E68" s="2"/>
      <c r="F68" s="2"/>
      <c r="G68" s="4"/>
      <c r="H68" s="2"/>
      <c r="I68" s="2"/>
      <c r="J68" s="2"/>
      <c r="K68" s="2"/>
    </row>
    <row r="69">
      <c r="A69" s="531" t="s">
        <v>71</v>
      </c>
      <c r="B69" s="410">
        <v>6872985</v>
      </c>
      <c r="C69" s="410">
        <v>6265107</v>
      </c>
      <c r="D69" s="410">
        <v>5462939</v>
      </c>
      <c r="E69" s="410">
        <v>6337692</v>
      </c>
      <c r="F69" s="410">
        <v>5712859</v>
      </c>
      <c r="G69" s="4"/>
      <c r="H69" s="2"/>
      <c r="I69" s="2"/>
      <c r="J69" s="2"/>
      <c r="K69" s="2"/>
    </row>
    <row r="70">
      <c r="A70" s="502" t="s">
        <v>72</v>
      </c>
      <c r="B70" s="1">
        <v>92022399</v>
      </c>
      <c r="C70" s="1">
        <v>87803284</v>
      </c>
      <c r="D70" s="1">
        <v>82342474</v>
      </c>
      <c r="E70" s="1">
        <v>72068561</v>
      </c>
      <c r="F70" s="1">
        <v>70247117</v>
      </c>
      <c r="G70" s="10"/>
      <c r="H70" s="1"/>
      <c r="I70" s="1"/>
      <c r="J70" s="1"/>
      <c r="K70" s="1"/>
    </row>
    <row r="71">
      <c r="A71" s="531" t="s">
        <v>73</v>
      </c>
      <c r="B71" s="2"/>
      <c r="C71" s="2"/>
      <c r="D71" s="2"/>
      <c r="E71" s="2"/>
      <c r="F71" s="2"/>
      <c r="G71" s="4"/>
      <c r="H71" s="2"/>
      <c r="I71" s="2"/>
      <c r="J71" s="2"/>
      <c r="K71" s="2"/>
    </row>
    <row r="72">
      <c r="A72" s="531" t="s">
        <v>64</v>
      </c>
      <c r="B72" s="2"/>
      <c r="C72" s="2"/>
      <c r="D72" s="410">
        <v>0</v>
      </c>
      <c r="E72" s="410">
        <v>2124600</v>
      </c>
      <c r="F72" s="410">
        <v>2124600</v>
      </c>
      <c r="G72" s="4"/>
      <c r="H72" s="2"/>
      <c r="I72" s="2"/>
      <c r="J72" s="2"/>
      <c r="K72" s="2"/>
    </row>
    <row r="73">
      <c r="A73" s="531" t="s">
        <v>74</v>
      </c>
      <c r="B73" s="410">
        <v>52466986</v>
      </c>
      <c r="C73" s="410">
        <v>67427589</v>
      </c>
      <c r="D73" s="410">
        <v>67388899</v>
      </c>
      <c r="E73" s="410">
        <v>62350209</v>
      </c>
      <c r="F73" s="410">
        <v>52311519</v>
      </c>
      <c r="G73" s="4"/>
      <c r="H73" s="2"/>
      <c r="I73" s="2"/>
      <c r="J73" s="2"/>
      <c r="K73" s="2"/>
    </row>
    <row r="74">
      <c r="A74" s="531" t="s">
        <v>66</v>
      </c>
      <c r="B74" s="410">
        <v>13843602</v>
      </c>
      <c r="C74" s="410">
        <v>13639753</v>
      </c>
      <c r="D74" s="410">
        <v>12665832</v>
      </c>
      <c r="E74" s="410">
        <v>15160872</v>
      </c>
      <c r="F74" s="410">
        <v>15351662</v>
      </c>
      <c r="G74" s="4"/>
      <c r="H74" s="2"/>
      <c r="I74" s="2"/>
      <c r="J74" s="2"/>
      <c r="K74" s="2"/>
    </row>
    <row r="75">
      <c r="A75" s="531" t="s">
        <v>75</v>
      </c>
      <c r="B75" s="410">
        <v>9043565</v>
      </c>
      <c r="C75" s="410">
        <v>9664351</v>
      </c>
      <c r="D75" s="410">
        <v>9909963</v>
      </c>
      <c r="E75" s="410">
        <v>10236726</v>
      </c>
      <c r="F75" s="410">
        <v>10533014</v>
      </c>
      <c r="G75" s="4"/>
      <c r="H75" s="2"/>
      <c r="I75" s="2"/>
      <c r="J75" s="2"/>
      <c r="K75" s="2"/>
    </row>
    <row r="76">
      <c r="A76" s="502" t="s">
        <v>76</v>
      </c>
      <c r="B76" s="1">
        <v>75354153</v>
      </c>
      <c r="C76" s="1">
        <v>90731693</v>
      </c>
      <c r="D76" s="1">
        <v>89964694</v>
      </c>
      <c r="E76" s="1">
        <v>89872407</v>
      </c>
      <c r="F76" s="1">
        <v>80320795</v>
      </c>
      <c r="G76" s="10"/>
      <c r="H76" s="1"/>
      <c r="I76" s="1"/>
      <c r="J76" s="1"/>
      <c r="K76" s="1"/>
    </row>
    <row r="77">
      <c r="A77" s="502" t="s">
        <v>77</v>
      </c>
      <c r="B77" s="1">
        <v>167376552</v>
      </c>
      <c r="C77" s="1">
        <v>178534977</v>
      </c>
      <c r="D77" s="1">
        <v>172307168</v>
      </c>
      <c r="E77" s="1">
        <v>161940968</v>
      </c>
      <c r="F77" s="1">
        <v>150567912</v>
      </c>
      <c r="G77" s="10"/>
      <c r="H77" s="1"/>
      <c r="I77" s="1"/>
      <c r="J77" s="1"/>
      <c r="K77" s="1"/>
    </row>
    <row r="78">
      <c r="A78" s="531" t="s">
        <v>78</v>
      </c>
      <c r="B78" s="2"/>
      <c r="C78" s="2"/>
      <c r="D78" s="2"/>
      <c r="E78" s="2"/>
      <c r="F78" s="2"/>
      <c r="G78" s="4"/>
      <c r="H78" s="2"/>
      <c r="I78" s="2"/>
      <c r="J78" s="2"/>
      <c r="K78" s="2"/>
    </row>
    <row r="79">
      <c r="A79" s="531" t="s">
        <v>79</v>
      </c>
      <c r="B79" s="410">
        <v>31292259</v>
      </c>
      <c r="C79" s="410">
        <v>32592259</v>
      </c>
      <c r="D79" s="410">
        <v>32456289</v>
      </c>
      <c r="E79" s="410">
        <v>32456289</v>
      </c>
      <c r="F79" s="410">
        <v>33179964</v>
      </c>
      <c r="G79" s="4"/>
      <c r="H79" s="2"/>
      <c r="I79" s="2"/>
      <c r="J79" s="2"/>
      <c r="K79" s="2"/>
    </row>
    <row r="80">
      <c r="A80" s="531" t="s">
        <v>80</v>
      </c>
      <c r="B80" s="410">
        <v>144629043</v>
      </c>
      <c r="C80" s="410">
        <v>153342675</v>
      </c>
      <c r="D80" s="410">
        <v>163637708</v>
      </c>
      <c r="E80" s="410">
        <v>169997522</v>
      </c>
      <c r="F80" s="410">
        <v>179997183</v>
      </c>
      <c r="G80" s="4"/>
      <c r="H80" s="2"/>
      <c r="I80" s="2"/>
      <c r="J80" s="2"/>
      <c r="K80" s="2"/>
    </row>
    <row r="81">
      <c r="A81" s="531" t="s">
        <v>81</v>
      </c>
      <c r="B81" s="410">
        <v>-290007</v>
      </c>
      <c r="C81" s="410">
        <v>-182298</v>
      </c>
      <c r="D81" s="410">
        <v>138795</v>
      </c>
      <c r="E81" s="410">
        <v>218431</v>
      </c>
      <c r="F81" s="410">
        <v>233248</v>
      </c>
      <c r="G81" s="4"/>
      <c r="H81" s="2"/>
      <c r="I81" s="2"/>
      <c r="J81" s="2"/>
      <c r="K81" s="2"/>
    </row>
    <row r="82">
      <c r="A82" s="502" t="s">
        <v>82</v>
      </c>
      <c r="B82" s="1">
        <v>175631295</v>
      </c>
      <c r="C82" s="1">
        <v>185752636</v>
      </c>
      <c r="D82" s="1">
        <v>196232792</v>
      </c>
      <c r="E82" s="1">
        <v>202672242</v>
      </c>
      <c r="F82" s="1">
        <v>213410395</v>
      </c>
      <c r="G82" s="10"/>
      <c r="H82" s="1"/>
      <c r="I82" s="1"/>
      <c r="J82" s="1"/>
      <c r="K82" s="1"/>
    </row>
    <row r="83">
      <c r="A83" s="502" t="s">
        <v>83</v>
      </c>
      <c r="B83" s="1">
        <v>343007847</v>
      </c>
      <c r="C83" s="1">
        <v>364287613</v>
      </c>
      <c r="D83" s="1">
        <v>368539960</v>
      </c>
      <c r="E83" s="1">
        <v>364613210</v>
      </c>
      <c r="F83" s="1">
        <v>363978307</v>
      </c>
      <c r="G83" s="10"/>
      <c r="H83" s="1"/>
      <c r="I83" s="1"/>
      <c r="J83" s="1"/>
      <c r="K83" s="1"/>
    </row>
    <row r="84">
      <c r="A84" s="5"/>
      <c r="B84" s="5"/>
      <c r="C84" s="5"/>
      <c r="D84" s="5"/>
      <c r="E84" s="5"/>
      <c r="F84" s="5"/>
      <c r="G84" s="11"/>
      <c r="H84" s="5"/>
      <c r="I84" s="5"/>
      <c r="J84" s="5"/>
      <c r="K84" s="5"/>
    </row>
    <row r="85">
      <c r="A85" s="534" t="s">
        <v>3</v>
      </c>
      <c r="B85" s="535" t="s">
        <v>4</v>
      </c>
      <c r="C85" s="535" t="s">
        <v>5</v>
      </c>
      <c r="D85" s="535" t="s">
        <v>6</v>
      </c>
      <c r="E85" s="535" t="s">
        <v>7</v>
      </c>
      <c r="F85" s="535" t="s">
        <v>8</v>
      </c>
      <c r="G85" s="537" t="s">
        <v>9</v>
      </c>
      <c r="H85" s="536" t="s">
        <v>10</v>
      </c>
      <c r="I85" s="536" t="s">
        <v>11</v>
      </c>
      <c r="J85" s="536" t="s">
        <v>12</v>
      </c>
      <c r="K85" s="536" t="s">
        <v>13</v>
      </c>
    </row>
    <row r="86">
      <c r="A86" s="534" t="s">
        <v>84</v>
      </c>
      <c r="B86" s="6"/>
      <c r="C86" s="6"/>
      <c r="D86" s="6"/>
      <c r="E86" s="6"/>
      <c r="F86" s="6"/>
      <c r="G86" s="12"/>
      <c r="H86" s="8"/>
      <c r="I86" s="8"/>
      <c r="J86" s="8"/>
      <c r="K86" s="8"/>
    </row>
    <row r="87">
      <c r="A87" s="531" t="s">
        <v>85</v>
      </c>
      <c r="B87" s="2"/>
      <c r="C87" s="2"/>
      <c r="D87" s="2"/>
      <c r="E87" s="2"/>
      <c r="F87" s="2"/>
      <c r="G87" s="4"/>
      <c r="H87" s="2"/>
      <c r="I87" s="2"/>
      <c r="J87" s="2"/>
      <c r="K87" s="2"/>
    </row>
    <row r="88">
      <c r="A88" s="531" t="s">
        <v>33</v>
      </c>
      <c r="B88" s="410">
        <v>20186485</v>
      </c>
      <c r="C88" s="410">
        <v>17461611</v>
      </c>
      <c r="D88" s="410">
        <v>17600077</v>
      </c>
      <c r="E88" s="410">
        <v>13528082</v>
      </c>
      <c r="F88" s="410">
        <v>15430469</v>
      </c>
      <c r="G88" s="4"/>
      <c r="H88" s="2"/>
      <c r="I88" s="2"/>
      <c r="J88" s="2"/>
      <c r="K88" s="2"/>
    </row>
    <row r="89">
      <c r="A89" s="531" t="s">
        <v>86</v>
      </c>
      <c r="B89" s="2"/>
      <c r="C89" s="2"/>
      <c r="D89" s="2"/>
      <c r="E89" s="2"/>
      <c r="F89" s="2"/>
      <c r="G89" s="4"/>
      <c r="H89" s="2"/>
      <c r="I89" s="2"/>
      <c r="J89" s="2"/>
      <c r="K89" s="2"/>
    </row>
    <row r="90">
      <c r="A90" s="531" t="s">
        <v>87</v>
      </c>
      <c r="B90" s="410">
        <v>-539906</v>
      </c>
      <c r="C90" s="410">
        <v>-930830</v>
      </c>
      <c r="D90" s="410">
        <v>-1210952</v>
      </c>
      <c r="E90" s="410">
        <v>-869552</v>
      </c>
      <c r="F90" s="410">
        <v>-766156</v>
      </c>
      <c r="G90" s="4"/>
      <c r="H90" s="2"/>
      <c r="I90" s="2"/>
      <c r="J90" s="2"/>
      <c r="K90" s="2"/>
    </row>
    <row r="91">
      <c r="A91" s="531" t="s">
        <v>88</v>
      </c>
      <c r="B91" s="410">
        <v>12893750</v>
      </c>
      <c r="C91" s="410">
        <v>12462508</v>
      </c>
      <c r="D91" s="410">
        <v>13066774</v>
      </c>
      <c r="E91" s="410">
        <v>13312735</v>
      </c>
      <c r="F91" s="410">
        <v>13402269</v>
      </c>
      <c r="G91" s="4"/>
      <c r="H91" s="2"/>
      <c r="I91" s="2"/>
      <c r="J91" s="2"/>
      <c r="K91" s="2"/>
    </row>
    <row r="92">
      <c r="A92" s="531" t="s">
        <v>89</v>
      </c>
      <c r="B92" s="2"/>
      <c r="C92" s="2"/>
      <c r="D92" s="2"/>
      <c r="E92" s="410">
        <v>182380</v>
      </c>
      <c r="F92" s="410">
        <v>763104</v>
      </c>
      <c r="G92" s="4"/>
      <c r="H92" s="2"/>
      <c r="I92" s="2"/>
      <c r="J92" s="2"/>
      <c r="K92" s="2"/>
    </row>
    <row r="93">
      <c r="A93" s="531" t="s">
        <v>90</v>
      </c>
      <c r="B93" s="410">
        <v>1091922</v>
      </c>
      <c r="C93" s="410">
        <v>880468</v>
      </c>
      <c r="D93" s="410">
        <v>973473</v>
      </c>
      <c r="E93" s="410">
        <v>1264783</v>
      </c>
      <c r="F93" s="410">
        <v>1163915</v>
      </c>
      <c r="G93" s="4"/>
      <c r="H93" s="2"/>
      <c r="I93" s="2"/>
      <c r="J93" s="2"/>
      <c r="K93" s="2"/>
    </row>
    <row r="94">
      <c r="A94" s="531" t="s">
        <v>91</v>
      </c>
      <c r="B94" s="410">
        <v>4161694</v>
      </c>
      <c r="C94" s="410">
        <v>3991659</v>
      </c>
      <c r="D94" s="410">
        <v>3696447</v>
      </c>
      <c r="E94" s="410">
        <v>4684964</v>
      </c>
      <c r="F94" s="410">
        <v>5404896</v>
      </c>
      <c r="G94" s="4"/>
      <c r="H94" s="2"/>
      <c r="I94" s="2"/>
      <c r="J94" s="2"/>
      <c r="K94" s="2"/>
    </row>
    <row r="95">
      <c r="A95" s="531" t="s">
        <v>92</v>
      </c>
      <c r="B95" s="410">
        <v>49192</v>
      </c>
      <c r="C95" s="410">
        <v>-44332</v>
      </c>
      <c r="D95" s="410">
        <v>-219350</v>
      </c>
      <c r="E95" s="410">
        <v>4678</v>
      </c>
      <c r="F95" s="410">
        <v>66377</v>
      </c>
      <c r="G95" s="4"/>
      <c r="H95" s="2"/>
      <c r="I95" s="2"/>
      <c r="J95" s="2"/>
      <c r="K95" s="2"/>
    </row>
    <row r="96">
      <c r="A96" s="531" t="s">
        <v>93</v>
      </c>
      <c r="B96" s="2"/>
      <c r="C96" s="2"/>
      <c r="D96" s="410">
        <v>-6443146</v>
      </c>
      <c r="E96" s="2"/>
      <c r="F96" s="2"/>
      <c r="G96" s="4"/>
      <c r="H96" s="2"/>
      <c r="I96" s="2"/>
      <c r="J96" s="2"/>
      <c r="K96" s="2"/>
    </row>
    <row r="97">
      <c r="A97" s="531" t="s">
        <v>94</v>
      </c>
      <c r="B97" s="410">
        <v>-720417</v>
      </c>
      <c r="C97" s="410">
        <v>-109142</v>
      </c>
      <c r="D97" s="410">
        <v>-42504</v>
      </c>
      <c r="E97" s="410">
        <v>-15072</v>
      </c>
      <c r="F97" s="410">
        <v>0</v>
      </c>
      <c r="G97" s="4"/>
      <c r="H97" s="2"/>
      <c r="I97" s="2"/>
      <c r="J97" s="2"/>
      <c r="K97" s="2"/>
    </row>
    <row r="98">
      <c r="A98" s="531" t="s">
        <v>95</v>
      </c>
      <c r="B98" s="2"/>
      <c r="C98" s="2"/>
      <c r="D98" s="2"/>
      <c r="E98" s="410">
        <v>0</v>
      </c>
      <c r="F98" s="410">
        <v>8000</v>
      </c>
      <c r="G98" s="4"/>
      <c r="H98" s="2"/>
      <c r="I98" s="2"/>
      <c r="J98" s="2"/>
      <c r="K98" s="2"/>
    </row>
    <row r="99">
      <c r="A99" s="531" t="s">
        <v>75</v>
      </c>
      <c r="B99" s="410">
        <v>1664489</v>
      </c>
      <c r="C99" s="410">
        <v>1965660</v>
      </c>
      <c r="D99" s="410">
        <v>1148953</v>
      </c>
      <c r="E99" s="410">
        <v>1202654</v>
      </c>
      <c r="F99" s="410">
        <v>1226427</v>
      </c>
      <c r="G99" s="4"/>
      <c r="H99" s="2"/>
      <c r="I99" s="2"/>
      <c r="J99" s="2"/>
      <c r="K99" s="2"/>
    </row>
    <row r="100">
      <c r="A100" s="531" t="s">
        <v>22</v>
      </c>
      <c r="B100" s="2"/>
      <c r="C100" s="2"/>
      <c r="D100" s="2"/>
      <c r="E100" s="410">
        <v>1314799</v>
      </c>
      <c r="F100" s="410">
        <v>467105</v>
      </c>
      <c r="G100" s="4"/>
      <c r="H100" s="2"/>
      <c r="I100" s="2"/>
      <c r="J100" s="2"/>
      <c r="K100" s="2"/>
    </row>
    <row r="101">
      <c r="A101" s="531" t="s">
        <v>29</v>
      </c>
      <c r="B101" s="410">
        <v>5105549</v>
      </c>
      <c r="C101" s="410">
        <v>3658130</v>
      </c>
      <c r="D101" s="410">
        <v>4570216</v>
      </c>
      <c r="E101" s="410">
        <v>4764953</v>
      </c>
      <c r="F101" s="410">
        <v>4220043</v>
      </c>
      <c r="G101" s="4"/>
      <c r="H101" s="2"/>
      <c r="I101" s="2"/>
      <c r="J101" s="2"/>
      <c r="K101" s="2"/>
    </row>
    <row r="102">
      <c r="A102" s="531" t="s">
        <v>32</v>
      </c>
      <c r="B102" s="410">
        <v>6945729</v>
      </c>
      <c r="C102" s="410">
        <v>6379563</v>
      </c>
      <c r="D102" s="410">
        <v>3925237</v>
      </c>
      <c r="E102" s="410">
        <v>4602653</v>
      </c>
      <c r="F102" s="410">
        <v>5123047</v>
      </c>
      <c r="G102" s="4"/>
      <c r="H102" s="2"/>
      <c r="I102" s="2"/>
      <c r="J102" s="2"/>
      <c r="K102" s="2"/>
    </row>
    <row r="103">
      <c r="A103" s="531" t="s">
        <v>96</v>
      </c>
      <c r="B103" s="2"/>
      <c r="C103" s="2"/>
      <c r="D103" s="2"/>
      <c r="E103" s="2"/>
      <c r="F103" s="2"/>
      <c r="G103" s="4"/>
      <c r="H103" s="2"/>
      <c r="I103" s="2"/>
      <c r="J103" s="2"/>
      <c r="K103" s="2"/>
    </row>
    <row r="104">
      <c r="A104" s="531" t="s">
        <v>97</v>
      </c>
      <c r="B104" s="410">
        <v>1724444</v>
      </c>
      <c r="C104" s="410">
        <v>1452861</v>
      </c>
      <c r="D104" s="410">
        <v>6412036</v>
      </c>
      <c r="E104" s="410">
        <v>2397427</v>
      </c>
      <c r="F104" s="410">
        <v>1513800</v>
      </c>
      <c r="G104" s="4"/>
      <c r="H104" s="2"/>
      <c r="I104" s="2"/>
      <c r="J104" s="2"/>
      <c r="K104" s="2"/>
    </row>
    <row r="105">
      <c r="A105" s="531" t="s">
        <v>43</v>
      </c>
      <c r="B105" s="410">
        <v>-12391203</v>
      </c>
      <c r="C105" s="410">
        <v>-17257646</v>
      </c>
      <c r="D105" s="410">
        <v>-1053361</v>
      </c>
      <c r="E105" s="410">
        <v>8896392</v>
      </c>
      <c r="F105" s="410">
        <v>13109347</v>
      </c>
      <c r="G105" s="4"/>
      <c r="H105" s="2"/>
      <c r="I105" s="2"/>
      <c r="J105" s="2"/>
      <c r="K105" s="2"/>
    </row>
    <row r="106">
      <c r="A106" s="531" t="s">
        <v>44</v>
      </c>
      <c r="B106" s="410">
        <v>-50110</v>
      </c>
      <c r="C106" s="410">
        <v>-1226583</v>
      </c>
      <c r="D106" s="410">
        <v>-84033</v>
      </c>
      <c r="E106" s="410">
        <v>-1970377</v>
      </c>
      <c r="F106" s="410">
        <v>-337133</v>
      </c>
      <c r="G106" s="4"/>
      <c r="H106" s="2"/>
      <c r="I106" s="2"/>
      <c r="J106" s="2"/>
      <c r="K106" s="2"/>
    </row>
    <row r="107">
      <c r="A107" s="531" t="s">
        <v>45</v>
      </c>
      <c r="B107" s="410">
        <v>-2396086</v>
      </c>
      <c r="C107" s="410">
        <v>-961778</v>
      </c>
      <c r="D107" s="410">
        <v>18290</v>
      </c>
      <c r="E107" s="410">
        <v>1974022</v>
      </c>
      <c r="F107" s="410">
        <v>-977474</v>
      </c>
      <c r="G107" s="4"/>
      <c r="H107" s="2"/>
      <c r="I107" s="2"/>
      <c r="J107" s="2"/>
      <c r="K107" s="2"/>
    </row>
    <row r="108">
      <c r="A108" s="531" t="s">
        <v>98</v>
      </c>
      <c r="B108" s="410">
        <v>-2307941</v>
      </c>
      <c r="C108" s="410">
        <v>1330671</v>
      </c>
      <c r="D108" s="410">
        <v>-7029521</v>
      </c>
      <c r="E108" s="410">
        <v>-3409160</v>
      </c>
      <c r="F108" s="410">
        <v>-4833629</v>
      </c>
      <c r="G108" s="4"/>
      <c r="H108" s="2"/>
      <c r="I108" s="2"/>
      <c r="J108" s="2"/>
      <c r="K108" s="2"/>
    </row>
    <row r="109">
      <c r="A109" s="531" t="s">
        <v>47</v>
      </c>
      <c r="B109" s="410">
        <v>-3091159</v>
      </c>
      <c r="C109" s="410">
        <v>-5365624</v>
      </c>
      <c r="D109" s="410">
        <v>7189497</v>
      </c>
      <c r="E109" s="410">
        <v>416324</v>
      </c>
      <c r="F109" s="410">
        <v>186695</v>
      </c>
      <c r="G109" s="4"/>
      <c r="H109" s="2"/>
      <c r="I109" s="2"/>
      <c r="J109" s="2"/>
      <c r="K109" s="2"/>
    </row>
    <row r="110">
      <c r="A110" s="531" t="s">
        <v>49</v>
      </c>
      <c r="B110" s="410">
        <v>84599</v>
      </c>
      <c r="C110" s="410">
        <v>-3146</v>
      </c>
      <c r="D110" s="410">
        <v>170632</v>
      </c>
      <c r="E110" s="410">
        <v>-24930</v>
      </c>
      <c r="F110" s="410">
        <v>-16200</v>
      </c>
      <c r="G110" s="4"/>
      <c r="H110" s="2"/>
      <c r="I110" s="2"/>
      <c r="J110" s="2"/>
      <c r="K110" s="2"/>
    </row>
    <row r="111">
      <c r="A111" s="531" t="s">
        <v>99</v>
      </c>
      <c r="B111" s="410">
        <v>18644394</v>
      </c>
      <c r="C111" s="410">
        <v>5374608</v>
      </c>
      <c r="D111" s="410">
        <v>-6548518</v>
      </c>
      <c r="E111" s="410">
        <v>-3870204</v>
      </c>
      <c r="F111" s="410">
        <v>-4106608</v>
      </c>
      <c r="G111" s="4"/>
      <c r="H111" s="2"/>
      <c r="I111" s="2"/>
      <c r="J111" s="2"/>
      <c r="K111" s="2"/>
    </row>
    <row r="112">
      <c r="A112" s="531" t="s">
        <v>68</v>
      </c>
      <c r="B112" s="410">
        <v>2304144</v>
      </c>
      <c r="C112" s="410">
        <v>-2216743</v>
      </c>
      <c r="D112" s="410">
        <v>1955664</v>
      </c>
      <c r="E112" s="410">
        <v>629264</v>
      </c>
      <c r="F112" s="410">
        <v>-79663</v>
      </c>
      <c r="G112" s="4"/>
      <c r="H112" s="2"/>
      <c r="I112" s="2"/>
      <c r="J112" s="2"/>
      <c r="K112" s="2"/>
    </row>
    <row r="113">
      <c r="A113" s="531" t="s">
        <v>71</v>
      </c>
      <c r="B113" s="410">
        <v>1951260</v>
      </c>
      <c r="C113" s="410">
        <v>-666588</v>
      </c>
      <c r="D113" s="410">
        <v>-905010</v>
      </c>
      <c r="E113" s="410">
        <v>513724</v>
      </c>
      <c r="F113" s="410">
        <v>-950006</v>
      </c>
      <c r="G113" s="4"/>
      <c r="H113" s="2"/>
      <c r="I113" s="2"/>
      <c r="J113" s="2"/>
      <c r="K113" s="2"/>
    </row>
    <row r="114">
      <c r="A114" s="502" t="s">
        <v>100</v>
      </c>
      <c r="B114" s="1">
        <v>55310829</v>
      </c>
      <c r="C114" s="1">
        <v>26543327</v>
      </c>
      <c r="D114" s="1">
        <v>37190901</v>
      </c>
      <c r="E114" s="1">
        <v>49530539</v>
      </c>
      <c r="F114" s="1">
        <v>50018625</v>
      </c>
      <c r="G114" s="10"/>
      <c r="H114" s="1"/>
      <c r="I114" s="1"/>
      <c r="J114" s="1"/>
      <c r="K114" s="1"/>
    </row>
    <row r="115">
      <c r="A115" s="531" t="s">
        <v>101</v>
      </c>
      <c r="B115" s="410">
        <v>-1245467</v>
      </c>
      <c r="C115" s="410">
        <v>-1344874</v>
      </c>
      <c r="D115" s="410">
        <v>-903340</v>
      </c>
      <c r="E115" s="410">
        <v>-875891</v>
      </c>
      <c r="F115" s="410">
        <v>-930139</v>
      </c>
      <c r="G115" s="4"/>
      <c r="H115" s="2"/>
      <c r="I115" s="2"/>
      <c r="J115" s="2"/>
      <c r="K115" s="2"/>
    </row>
    <row r="116">
      <c r="A116" s="531" t="s">
        <v>102</v>
      </c>
      <c r="B116" s="410">
        <v>-5987486</v>
      </c>
      <c r="C116" s="410">
        <v>-3558962</v>
      </c>
      <c r="D116" s="410">
        <v>-4702574</v>
      </c>
      <c r="E116" s="410">
        <v>-4569271</v>
      </c>
      <c r="F116" s="410">
        <v>-4181690</v>
      </c>
      <c r="G116" s="4"/>
      <c r="H116" s="2"/>
      <c r="I116" s="2"/>
      <c r="J116" s="2"/>
      <c r="K116" s="2"/>
    </row>
    <row r="117">
      <c r="A117" s="531" t="s">
        <v>103</v>
      </c>
      <c r="B117" s="410">
        <v>-118836</v>
      </c>
      <c r="C117" s="410">
        <v>-11418452</v>
      </c>
      <c r="D117" s="410">
        <v>-4756304</v>
      </c>
      <c r="E117" s="410">
        <v>-519294</v>
      </c>
      <c r="F117" s="410">
        <v>-8054898</v>
      </c>
      <c r="G117" s="4"/>
      <c r="H117" s="2"/>
      <c r="I117" s="2"/>
      <c r="J117" s="2"/>
      <c r="K117" s="2"/>
    </row>
    <row r="118">
      <c r="A118" s="502" t="s">
        <v>104</v>
      </c>
      <c r="B118" s="1">
        <v>47959040</v>
      </c>
      <c r="C118" s="1">
        <v>10221039</v>
      </c>
      <c r="D118" s="1">
        <v>26828683</v>
      </c>
      <c r="E118" s="1">
        <v>43566083</v>
      </c>
      <c r="F118" s="1">
        <v>38851900</v>
      </c>
      <c r="G118" s="10"/>
      <c r="H118" s="1"/>
      <c r="I118" s="1"/>
      <c r="J118" s="1"/>
      <c r="K118" s="1"/>
    </row>
    <row r="119">
      <c r="A119" s="531" t="s">
        <v>105</v>
      </c>
      <c r="B119" s="2"/>
      <c r="C119" s="2"/>
      <c r="D119" s="2"/>
      <c r="E119" s="2"/>
      <c r="F119" s="2"/>
      <c r="G119" s="4"/>
      <c r="H119" s="2"/>
      <c r="I119" s="2"/>
      <c r="J119" s="2"/>
      <c r="K119" s="2"/>
    </row>
    <row r="120">
      <c r="A120" s="531" t="s">
        <v>106</v>
      </c>
      <c r="B120" s="410">
        <v>968434</v>
      </c>
      <c r="C120" s="410">
        <v>783585</v>
      </c>
      <c r="D120" s="410">
        <v>885958</v>
      </c>
      <c r="E120" s="410">
        <v>1130662</v>
      </c>
      <c r="F120" s="410">
        <v>1414749</v>
      </c>
      <c r="G120" s="4"/>
      <c r="H120" s="2"/>
      <c r="I120" s="2"/>
      <c r="J120" s="2"/>
      <c r="K120" s="2"/>
    </row>
    <row r="121">
      <c r="A121" s="531" t="s">
        <v>107</v>
      </c>
      <c r="B121" s="410">
        <v>-1058</v>
      </c>
      <c r="C121" s="410">
        <v>-1086002</v>
      </c>
      <c r="D121" s="410">
        <v>-383774</v>
      </c>
      <c r="E121" s="410">
        <v>-1012724</v>
      </c>
      <c r="F121" s="410">
        <v>-660471</v>
      </c>
      <c r="G121" s="4"/>
      <c r="H121" s="2"/>
      <c r="I121" s="2"/>
      <c r="J121" s="2"/>
      <c r="K121" s="2"/>
    </row>
    <row r="122">
      <c r="A122" s="531" t="s">
        <v>108</v>
      </c>
      <c r="B122" s="410">
        <v>-8475655</v>
      </c>
      <c r="C122" s="410">
        <v>-12419154</v>
      </c>
      <c r="D122" s="410">
        <v>-14617025</v>
      </c>
      <c r="E122" s="410">
        <v>-15053219</v>
      </c>
      <c r="F122" s="410">
        <v>-15565292</v>
      </c>
      <c r="G122" s="4"/>
      <c r="H122" s="2"/>
      <c r="I122" s="2"/>
      <c r="J122" s="2"/>
      <c r="K122" s="2"/>
    </row>
    <row r="123">
      <c r="A123" s="531" t="s">
        <v>109</v>
      </c>
      <c r="B123" s="410">
        <v>440153</v>
      </c>
      <c r="C123" s="410">
        <v>141517</v>
      </c>
      <c r="D123" s="410">
        <v>261652</v>
      </c>
      <c r="E123" s="410">
        <v>4545</v>
      </c>
      <c r="F123" s="410">
        <v>9141</v>
      </c>
      <c r="G123" s="4"/>
      <c r="H123" s="2"/>
      <c r="I123" s="2"/>
      <c r="J123" s="2"/>
      <c r="K123" s="2"/>
    </row>
    <row r="124">
      <c r="A124" s="531" t="s">
        <v>110</v>
      </c>
      <c r="B124" s="410">
        <v>-310772</v>
      </c>
      <c r="C124" s="410">
        <v>-965474</v>
      </c>
      <c r="D124" s="410">
        <v>-2850922</v>
      </c>
      <c r="E124" s="410">
        <v>-1511496</v>
      </c>
      <c r="F124" s="410">
        <v>-612571</v>
      </c>
      <c r="G124" s="4"/>
      <c r="H124" s="2"/>
      <c r="I124" s="2"/>
      <c r="J124" s="2"/>
      <c r="K124" s="2"/>
    </row>
    <row r="125">
      <c r="A125" s="531" t="s">
        <v>111</v>
      </c>
      <c r="B125" s="2"/>
      <c r="C125" s="2"/>
      <c r="D125" s="2"/>
      <c r="E125" s="410">
        <v>0</v>
      </c>
      <c r="F125" s="410">
        <v>-7600</v>
      </c>
      <c r="G125" s="4"/>
      <c r="H125" s="2"/>
      <c r="I125" s="2"/>
      <c r="J125" s="2"/>
      <c r="K125" s="2"/>
    </row>
    <row r="126">
      <c r="A126" s="531" t="s">
        <v>112</v>
      </c>
      <c r="B126" s="410">
        <v>103730</v>
      </c>
      <c r="C126" s="410">
        <v>153426</v>
      </c>
      <c r="D126" s="410">
        <v>301635</v>
      </c>
      <c r="E126" s="410">
        <v>268366</v>
      </c>
      <c r="F126" s="410">
        <v>247274</v>
      </c>
      <c r="G126" s="4"/>
      <c r="H126" s="2"/>
      <c r="I126" s="2"/>
      <c r="J126" s="2"/>
      <c r="K126" s="2"/>
    </row>
    <row r="127">
      <c r="A127" s="531" t="s">
        <v>113</v>
      </c>
      <c r="B127" s="410">
        <v>-165254</v>
      </c>
      <c r="C127" s="410">
        <v>-182978</v>
      </c>
      <c r="D127" s="410">
        <v>-182818</v>
      </c>
      <c r="E127" s="2"/>
      <c r="F127" s="2"/>
      <c r="G127" s="4"/>
      <c r="H127" s="2"/>
      <c r="I127" s="2"/>
      <c r="J127" s="2"/>
      <c r="K127" s="2"/>
    </row>
    <row r="128">
      <c r="A128" s="531" t="s">
        <v>114</v>
      </c>
      <c r="B128" s="2"/>
      <c r="C128" s="2"/>
      <c r="D128" s="2"/>
      <c r="E128" s="410">
        <v>0</v>
      </c>
      <c r="F128" s="410">
        <v>105000</v>
      </c>
      <c r="G128" s="4"/>
      <c r="H128" s="2"/>
      <c r="I128" s="2"/>
      <c r="J128" s="2"/>
      <c r="K128" s="2"/>
    </row>
    <row r="129">
      <c r="A129" s="531" t="s">
        <v>115</v>
      </c>
      <c r="B129" s="410">
        <v>0</v>
      </c>
      <c r="C129" s="410">
        <v>-113000</v>
      </c>
      <c r="D129" s="410">
        <v>0</v>
      </c>
      <c r="E129" s="2"/>
      <c r="F129" s="2"/>
      <c r="G129" s="4"/>
      <c r="H129" s="2"/>
      <c r="I129" s="2"/>
      <c r="J129" s="2"/>
      <c r="K129" s="2"/>
    </row>
    <row r="130">
      <c r="A130" s="531" t="s">
        <v>116</v>
      </c>
      <c r="B130" s="2"/>
      <c r="C130" s="2"/>
      <c r="D130" s="410">
        <v>4009155</v>
      </c>
      <c r="E130" s="2"/>
      <c r="F130" s="2"/>
      <c r="G130" s="4"/>
      <c r="H130" s="2"/>
      <c r="I130" s="2"/>
      <c r="J130" s="2"/>
      <c r="K130" s="2"/>
    </row>
    <row r="131">
      <c r="A131" s="531" t="s">
        <v>117</v>
      </c>
      <c r="B131" s="2"/>
      <c r="C131" s="2"/>
      <c r="D131" s="2"/>
      <c r="E131" s="410">
        <v>-3400000</v>
      </c>
      <c r="F131" s="410">
        <v>-4600000</v>
      </c>
      <c r="G131" s="4"/>
      <c r="H131" s="2"/>
      <c r="I131" s="2"/>
      <c r="J131" s="2"/>
      <c r="K131" s="2"/>
    </row>
    <row r="132">
      <c r="A132" s="502" t="s">
        <v>118</v>
      </c>
      <c r="B132" s="1">
        <v>-7440422</v>
      </c>
      <c r="C132" s="1">
        <v>-13688080</v>
      </c>
      <c r="D132" s="1">
        <v>-12575739</v>
      </c>
      <c r="E132" s="1">
        <v>-19573866</v>
      </c>
      <c r="F132" s="1">
        <v>-19669770</v>
      </c>
      <c r="G132" s="10"/>
      <c r="H132" s="1"/>
      <c r="I132" s="1"/>
      <c r="J132" s="1"/>
      <c r="K132" s="1"/>
    </row>
    <row r="133">
      <c r="A133" s="531" t="s">
        <v>119</v>
      </c>
      <c r="B133" s="2"/>
      <c r="C133" s="2"/>
      <c r="D133" s="2"/>
      <c r="E133" s="2"/>
      <c r="F133" s="2"/>
      <c r="G133" s="4"/>
      <c r="H133" s="2"/>
      <c r="I133" s="2"/>
      <c r="J133" s="2"/>
      <c r="K133" s="2"/>
    </row>
    <row r="134">
      <c r="A134" s="531" t="s">
        <v>120</v>
      </c>
      <c r="B134" s="410">
        <v>-11696530</v>
      </c>
      <c r="C134" s="410">
        <v>-34808648</v>
      </c>
      <c r="D134" s="410">
        <v>-33673089</v>
      </c>
      <c r="E134" s="410">
        <v>-26539186</v>
      </c>
      <c r="F134" s="410">
        <v>-23847912</v>
      </c>
      <c r="G134" s="4"/>
      <c r="H134" s="2"/>
      <c r="I134" s="2"/>
      <c r="J134" s="2"/>
      <c r="K134" s="2"/>
    </row>
    <row r="135">
      <c r="A135" s="531" t="s">
        <v>121</v>
      </c>
      <c r="B135" s="410">
        <v>16760000</v>
      </c>
      <c r="C135" s="410">
        <v>36048648</v>
      </c>
      <c r="D135" s="410">
        <v>33312275</v>
      </c>
      <c r="E135" s="410">
        <v>23024600</v>
      </c>
      <c r="F135" s="410">
        <v>22747912</v>
      </c>
      <c r="G135" s="4"/>
      <c r="H135" s="2"/>
      <c r="I135" s="2"/>
      <c r="J135" s="2"/>
      <c r="K135" s="2"/>
    </row>
    <row r="136">
      <c r="A136" s="531" t="s">
        <v>122</v>
      </c>
      <c r="B136" s="410">
        <v>20160000</v>
      </c>
      <c r="C136" s="410">
        <v>15500000</v>
      </c>
      <c r="D136" s="410">
        <v>16029000</v>
      </c>
      <c r="E136" s="410">
        <v>13111000</v>
      </c>
      <c r="F136" s="410">
        <v>16247000</v>
      </c>
      <c r="G136" s="4"/>
      <c r="H136" s="2"/>
      <c r="I136" s="2"/>
      <c r="J136" s="2"/>
      <c r="K136" s="2"/>
    </row>
    <row r="137">
      <c r="A137" s="531" t="s">
        <v>123</v>
      </c>
      <c r="B137" s="410">
        <v>-28240000</v>
      </c>
      <c r="C137" s="410">
        <v>-20160000</v>
      </c>
      <c r="D137" s="410">
        <v>-15500000</v>
      </c>
      <c r="E137" s="410">
        <v>-16049000</v>
      </c>
      <c r="F137" s="410">
        <v>-13091000</v>
      </c>
      <c r="G137" s="4"/>
      <c r="H137" s="2"/>
      <c r="I137" s="2"/>
      <c r="J137" s="2"/>
      <c r="K137" s="2"/>
    </row>
    <row r="138">
      <c r="A138" s="531" t="s">
        <v>124</v>
      </c>
      <c r="B138" s="410">
        <v>-3362515</v>
      </c>
      <c r="C138" s="410">
        <v>-4744145</v>
      </c>
      <c r="D138" s="410">
        <v>-4356877</v>
      </c>
      <c r="E138" s="410">
        <v>-6511704</v>
      </c>
      <c r="F138" s="410">
        <v>-6562894</v>
      </c>
      <c r="G138" s="4"/>
      <c r="H138" s="2"/>
      <c r="I138" s="2"/>
      <c r="J138" s="2"/>
      <c r="K138" s="2"/>
    </row>
    <row r="139">
      <c r="A139" s="531" t="s">
        <v>125</v>
      </c>
      <c r="B139" s="410">
        <v>28000000</v>
      </c>
      <c r="C139" s="410">
        <v>15000000</v>
      </c>
      <c r="D139" s="410">
        <v>0</v>
      </c>
      <c r="E139" s="2"/>
      <c r="F139" s="2"/>
      <c r="G139" s="4"/>
      <c r="H139" s="2"/>
      <c r="I139" s="2"/>
      <c r="J139" s="2"/>
      <c r="K139" s="2"/>
    </row>
    <row r="140">
      <c r="A140" s="531" t="s">
        <v>126</v>
      </c>
      <c r="B140" s="410">
        <v>-57649000</v>
      </c>
      <c r="C140" s="410">
        <v>0</v>
      </c>
      <c r="D140" s="2"/>
      <c r="E140" s="410">
        <v>-5000000</v>
      </c>
      <c r="F140" s="410">
        <v>-10000000</v>
      </c>
      <c r="G140" s="4"/>
      <c r="H140" s="2"/>
      <c r="I140" s="2"/>
      <c r="J140" s="2"/>
      <c r="K140" s="2"/>
    </row>
    <row r="141">
      <c r="A141" s="531" t="s">
        <v>127</v>
      </c>
      <c r="B141" s="410">
        <v>466986</v>
      </c>
      <c r="C141" s="410">
        <v>0</v>
      </c>
      <c r="D141" s="2"/>
      <c r="E141" s="2"/>
      <c r="F141" s="2"/>
      <c r="G141" s="4"/>
      <c r="H141" s="2"/>
      <c r="I141" s="2"/>
      <c r="J141" s="2"/>
      <c r="K141" s="2"/>
    </row>
    <row r="142">
      <c r="A142" s="531" t="s">
        <v>128</v>
      </c>
      <c r="B142" s="410">
        <v>-10000000</v>
      </c>
      <c r="C142" s="410">
        <v>0</v>
      </c>
      <c r="D142" s="2"/>
      <c r="E142" s="2"/>
      <c r="F142" s="2"/>
      <c r="G142" s="4"/>
      <c r="H142" s="2"/>
      <c r="I142" s="2"/>
      <c r="J142" s="2"/>
      <c r="K142" s="2"/>
    </row>
    <row r="143">
      <c r="A143" s="531" t="s">
        <v>129</v>
      </c>
      <c r="B143" s="410">
        <v>1535000</v>
      </c>
      <c r="C143" s="410">
        <v>1300000</v>
      </c>
      <c r="D143" s="410">
        <v>600000</v>
      </c>
      <c r="E143" s="410">
        <v>0</v>
      </c>
      <c r="F143" s="410">
        <v>500000</v>
      </c>
      <c r="G143" s="4"/>
      <c r="H143" s="2"/>
      <c r="I143" s="2"/>
      <c r="J143" s="2"/>
      <c r="K143" s="2"/>
    </row>
    <row r="144">
      <c r="A144" s="531" t="s">
        <v>130</v>
      </c>
      <c r="B144" s="410">
        <v>-4272837</v>
      </c>
      <c r="C144" s="410">
        <v>-8747979</v>
      </c>
      <c r="D144" s="410">
        <v>-7355044</v>
      </c>
      <c r="E144" s="410">
        <v>-7168268</v>
      </c>
      <c r="F144" s="410">
        <v>-5518013</v>
      </c>
      <c r="G144" s="4"/>
      <c r="H144" s="2"/>
      <c r="I144" s="2"/>
      <c r="J144" s="2"/>
      <c r="K144" s="2"/>
    </row>
    <row r="145">
      <c r="A145" s="502" t="s">
        <v>131</v>
      </c>
      <c r="B145" s="1">
        <v>-48298896</v>
      </c>
      <c r="C145" s="1">
        <v>-612124</v>
      </c>
      <c r="D145" s="1">
        <v>-10893535</v>
      </c>
      <c r="E145" s="1">
        <v>-25132558</v>
      </c>
      <c r="F145" s="1">
        <v>-19524907</v>
      </c>
      <c r="G145" s="10"/>
      <c r="H145" s="1"/>
      <c r="I145" s="1"/>
      <c r="J145" s="1"/>
      <c r="K145" s="1"/>
    </row>
    <row r="146">
      <c r="A146" s="531" t="s">
        <v>132</v>
      </c>
      <c r="B146" s="410">
        <v>-7780278</v>
      </c>
      <c r="C146" s="410">
        <v>-4079165</v>
      </c>
      <c r="D146" s="410">
        <v>3359409</v>
      </c>
      <c r="E146" s="410">
        <v>-1140341</v>
      </c>
      <c r="F146" s="410">
        <v>-342777</v>
      </c>
      <c r="G146" s="4"/>
      <c r="H146" s="2"/>
      <c r="I146" s="2"/>
      <c r="J146" s="2"/>
      <c r="K146" s="2"/>
    </row>
    <row r="147">
      <c r="A147" s="531" t="s">
        <v>133</v>
      </c>
      <c r="B147" s="410">
        <v>20037581</v>
      </c>
      <c r="C147" s="410">
        <v>12172483</v>
      </c>
      <c r="D147" s="410">
        <v>8201026</v>
      </c>
      <c r="E147" s="410">
        <v>11881528</v>
      </c>
      <c r="F147" s="410">
        <v>10820824</v>
      </c>
      <c r="G147" s="4"/>
      <c r="H147" s="2"/>
      <c r="I147" s="2"/>
      <c r="J147" s="2"/>
      <c r="K147" s="2"/>
    </row>
    <row r="148">
      <c r="A148" s="531" t="s">
        <v>134</v>
      </c>
      <c r="B148" s="410">
        <v>-84820</v>
      </c>
      <c r="C148" s="410">
        <v>107708</v>
      </c>
      <c r="D148" s="410">
        <v>321093</v>
      </c>
      <c r="E148" s="410">
        <v>79637</v>
      </c>
      <c r="F148" s="410">
        <v>14817</v>
      </c>
      <c r="G148" s="4"/>
      <c r="H148" s="2"/>
      <c r="I148" s="2"/>
      <c r="J148" s="2"/>
      <c r="K148" s="2"/>
    </row>
    <row r="149">
      <c r="A149" s="502" t="s">
        <v>135</v>
      </c>
      <c r="B149" s="1">
        <v>12172483</v>
      </c>
      <c r="C149" s="1">
        <v>8201026</v>
      </c>
      <c r="D149" s="1">
        <v>11881528</v>
      </c>
      <c r="E149" s="1">
        <v>10820824</v>
      </c>
      <c r="F149" s="1">
        <v>10492864</v>
      </c>
      <c r="G149" s="10"/>
      <c r="H149" s="1"/>
      <c r="I149" s="1"/>
      <c r="J149" s="1"/>
      <c r="K149" s="1"/>
    </row>
    <row r="150">
      <c r="A150" s="5"/>
      <c r="B150" s="5"/>
      <c r="C150" s="5"/>
      <c r="D150" s="5"/>
      <c r="E150" s="5"/>
      <c r="F150" s="5"/>
      <c r="G150" s="11"/>
      <c r="H150" s="5"/>
      <c r="I150" s="5"/>
      <c r="J150" s="5"/>
      <c r="K150" s="5"/>
    </row>
  </sheetData>
</worksheet>
</file>

<file path=xl/worksheets/sheet2.xml><?xml version="1.0" encoding="utf-8"?>
<worksheet xmlns="http://schemas.openxmlformats.org/spreadsheetml/2006/main" xmlns:r="http://schemas.openxmlformats.org/officeDocument/2006/relationships">
  <dimension ref="A1:T133"/>
  <sheetViews>
    <sheetView showGridLines="0" workbookViewId="0">
      <pane ySplit="5" topLeftCell="A6" activePane="bottomLeft" state="frozen"/>
    </sheetView>
  </sheetViews>
  <sheetFormatPr defaultColWidth="8.375" defaultRowHeight="15"/>
  <cols>
    <col min="1" max="1" width="6.125" customWidth="1"/>
    <col min="2" max="2" width="18.125" customWidth="1"/>
    <col min="4" max="4" width="14.375" customWidth="1"/>
    <col min="5" max="5" width="6.375" customWidth="1"/>
    <col min="6" max="6" width="30.625" customWidth="1"/>
    <col min="7" max="7" width="18.125" customWidth="1"/>
    <col min="8" max="9" width="24.375" customWidth="1"/>
    <col min="10" max="10" width="44.375" customWidth="1"/>
    <col min="11" max="11" width="14.375" customWidth="1"/>
    <col min="12" max="12" width="7.125" customWidth="1"/>
    <col min="13" max="13" width="11.25" customWidth="1"/>
    <col min="14" max="14" width="19.375" customWidth="1"/>
    <col min="15" max="15" width="22.5" customWidth="1"/>
    <col min="16" max="17" width="26.875" customWidth="1"/>
    <col min="18" max="18" width="14.375" customWidth="1"/>
    <col min="19" max="19" width="25.625" customWidth="1"/>
    <col min="20" max="20" width="14.375" customWidth="1"/>
  </cols>
  <sheetData>
    <row r="1">
      <c r="A1" s="528" t="s">
        <v>0</v>
      </c>
    </row>
    <row r="2">
      <c r="A2" s="525" t="s">
        <v>136</v>
      </c>
    </row>
    <row r="3">
      <c r="A3" s="525" t="s">
        <v>137</v>
      </c>
    </row>
    <row r="5">
      <c r="A5" s="362" t="s">
        <v>138</v>
      </c>
      <c r="B5" s="362" t="s">
        <v>139</v>
      </c>
      <c r="C5" s="362" t="s">
        <v>140</v>
      </c>
      <c r="D5" s="362" t="s">
        <v>141</v>
      </c>
      <c r="E5" s="362" t="s">
        <v>142</v>
      </c>
      <c r="F5" s="362" t="s">
        <v>143</v>
      </c>
      <c r="G5" s="362" t="s">
        <v>144</v>
      </c>
      <c r="H5" s="362" t="s">
        <v>145</v>
      </c>
      <c r="I5" s="362" t="s">
        <v>146</v>
      </c>
      <c r="J5" s="362" t="s">
        <v>147</v>
      </c>
      <c r="K5" s="362" t="s">
        <v>148</v>
      </c>
      <c r="L5" s="362" t="s">
        <v>149</v>
      </c>
      <c r="M5" s="362" t="s">
        <v>150</v>
      </c>
      <c r="N5" s="362" t="s">
        <v>151</v>
      </c>
      <c r="O5" s="362" t="s">
        <v>152</v>
      </c>
      <c r="P5" s="363" t="s">
        <v>153</v>
      </c>
      <c r="Q5" s="363" t="s">
        <v>154</v>
      </c>
      <c r="R5" s="362" t="s">
        <v>155</v>
      </c>
      <c r="S5" s="362" t="s">
        <v>156</v>
      </c>
      <c r="T5" s="362" t="s">
        <v>157</v>
      </c>
    </row>
    <row r="6">
      <c r="A6" s="359" t="s">
        <v>158</v>
      </c>
      <c r="B6" s="359" t="s">
        <v>159</v>
      </c>
      <c r="C6" s="359" t="s">
        <v>160</v>
      </c>
      <c r="D6" s="359" t="s">
        <v>161</v>
      </c>
      <c r="E6" s="359" t="s">
        <v>162</v>
      </c>
      <c r="F6" s="358" t="s">
        <v>163</v>
      </c>
      <c r="G6" s="359" t="s">
        <v>164</v>
      </c>
      <c r="H6" s="358"/>
      <c r="I6" s="358"/>
      <c r="J6" s="358" t="s">
        <v>165</v>
      </c>
      <c r="K6" s="361"/>
      <c r="L6" s="359"/>
      <c r="M6" s="359"/>
      <c r="N6" s="358"/>
      <c r="O6" s="358"/>
      <c r="P6" s="358"/>
      <c r="Q6" s="358"/>
      <c r="R6" s="360"/>
      <c r="S6" s="358"/>
      <c r="T6" s="359" t="s">
        <v>166</v>
      </c>
    </row>
    <row r="7" ht="34.5">
      <c r="A7" s="359" t="s">
        <v>158</v>
      </c>
      <c r="B7" s="359" t="s">
        <v>159</v>
      </c>
      <c r="C7" s="359" t="s">
        <v>160</v>
      </c>
      <c r="D7" s="359" t="s">
        <v>161</v>
      </c>
      <c r="E7" s="359" t="s">
        <v>162</v>
      </c>
      <c r="F7" s="358" t="s">
        <v>163</v>
      </c>
      <c r="G7" s="359" t="s">
        <v>164</v>
      </c>
      <c r="H7" s="358"/>
      <c r="I7" s="358"/>
      <c r="J7" s="358" t="s">
        <v>167</v>
      </c>
      <c r="K7" s="361">
        <v>50000</v>
      </c>
      <c r="L7" s="359" t="s">
        <v>168</v>
      </c>
      <c r="M7" s="359"/>
      <c r="N7" s="358"/>
      <c r="O7" s="358"/>
      <c r="P7" s="358"/>
      <c r="Q7" s="358"/>
      <c r="R7" s="360"/>
      <c r="S7" s="358"/>
      <c r="T7" s="359" t="s">
        <v>166</v>
      </c>
    </row>
    <row r="8" ht="34.5">
      <c r="A8" s="359" t="s">
        <v>158</v>
      </c>
      <c r="B8" s="359" t="s">
        <v>159</v>
      </c>
      <c r="C8" s="359" t="s">
        <v>160</v>
      </c>
      <c r="D8" s="359" t="s">
        <v>161</v>
      </c>
      <c r="E8" s="359" t="s">
        <v>162</v>
      </c>
      <c r="F8" s="358" t="s">
        <v>163</v>
      </c>
      <c r="G8" s="359" t="s">
        <v>164</v>
      </c>
      <c r="H8" s="358"/>
      <c r="I8" s="358"/>
      <c r="J8" s="358" t="s">
        <v>169</v>
      </c>
      <c r="K8" s="361"/>
      <c r="L8" s="359"/>
      <c r="M8" s="359"/>
      <c r="N8" s="358"/>
      <c r="O8" s="358"/>
      <c r="P8" s="358"/>
      <c r="Q8" s="358"/>
      <c r="R8" s="360"/>
      <c r="S8" s="358"/>
      <c r="T8" s="359" t="s">
        <v>166</v>
      </c>
    </row>
    <row r="9" ht="34.5">
      <c r="A9" s="359" t="s">
        <v>158</v>
      </c>
      <c r="B9" s="359" t="s">
        <v>159</v>
      </c>
      <c r="C9" s="359" t="s">
        <v>160</v>
      </c>
      <c r="D9" s="359" t="s">
        <v>161</v>
      </c>
      <c r="E9" s="359" t="s">
        <v>162</v>
      </c>
      <c r="F9" s="358" t="s">
        <v>163</v>
      </c>
      <c r="G9" s="359" t="s">
        <v>164</v>
      </c>
      <c r="H9" s="358"/>
      <c r="I9" s="358"/>
      <c r="J9" s="358" t="s">
        <v>170</v>
      </c>
      <c r="K9" s="361"/>
      <c r="L9" s="359"/>
      <c r="M9" s="359"/>
      <c r="N9" s="358"/>
      <c r="O9" s="358"/>
      <c r="P9" s="358"/>
      <c r="Q9" s="358"/>
      <c r="R9" s="360"/>
      <c r="S9" s="358"/>
      <c r="T9" s="359" t="s">
        <v>166</v>
      </c>
    </row>
    <row r="10" ht="34.5">
      <c r="A10" s="359" t="s">
        <v>158</v>
      </c>
      <c r="B10" s="359" t="s">
        <v>159</v>
      </c>
      <c r="C10" s="359" t="s">
        <v>160</v>
      </c>
      <c r="D10" s="359" t="s">
        <v>161</v>
      </c>
      <c r="E10" s="359" t="s">
        <v>162</v>
      </c>
      <c r="F10" s="358" t="s">
        <v>163</v>
      </c>
      <c r="G10" s="359" t="s">
        <v>164</v>
      </c>
      <c r="H10" s="358"/>
      <c r="I10" s="358"/>
      <c r="J10" s="358" t="s">
        <v>171</v>
      </c>
      <c r="K10" s="361"/>
      <c r="L10" s="359"/>
      <c r="M10" s="359"/>
      <c r="N10" s="358"/>
      <c r="O10" s="358"/>
      <c r="P10" s="358"/>
      <c r="Q10" s="358"/>
      <c r="R10" s="360"/>
      <c r="S10" s="358"/>
      <c r="T10" s="359" t="s">
        <v>166</v>
      </c>
    </row>
    <row r="11" ht="34.5">
      <c r="A11" s="359" t="s">
        <v>158</v>
      </c>
      <c r="B11" s="359" t="s">
        <v>159</v>
      </c>
      <c r="C11" s="359" t="s">
        <v>160</v>
      </c>
      <c r="D11" s="359" t="s">
        <v>161</v>
      </c>
      <c r="E11" s="359" t="s">
        <v>162</v>
      </c>
      <c r="F11" s="358" t="s">
        <v>163</v>
      </c>
      <c r="G11" s="359" t="s">
        <v>164</v>
      </c>
      <c r="H11" s="358"/>
      <c r="I11" s="358"/>
      <c r="J11" s="358" t="s">
        <v>172</v>
      </c>
      <c r="K11" s="361"/>
      <c r="L11" s="359"/>
      <c r="M11" s="359"/>
      <c r="N11" s="358"/>
      <c r="O11" s="358"/>
      <c r="P11" s="358"/>
      <c r="Q11" s="358"/>
      <c r="R11" s="360"/>
      <c r="S11" s="358"/>
      <c r="T11" s="359" t="s">
        <v>166</v>
      </c>
    </row>
    <row r="12" ht="34.5">
      <c r="A12" s="359" t="s">
        <v>158</v>
      </c>
      <c r="B12" s="359" t="s">
        <v>159</v>
      </c>
      <c r="C12" s="359" t="s">
        <v>160</v>
      </c>
      <c r="D12" s="359" t="s">
        <v>161</v>
      </c>
      <c r="E12" s="359" t="s">
        <v>162</v>
      </c>
      <c r="F12" s="358" t="s">
        <v>163</v>
      </c>
      <c r="G12" s="359" t="s">
        <v>164</v>
      </c>
      <c r="H12" s="358"/>
      <c r="I12" s="358"/>
      <c r="J12" s="358" t="s">
        <v>173</v>
      </c>
      <c r="K12" s="361"/>
      <c r="L12" s="359"/>
      <c r="M12" s="359"/>
      <c r="N12" s="358"/>
      <c r="O12" s="358"/>
      <c r="P12" s="358"/>
      <c r="Q12" s="358"/>
      <c r="R12" s="360"/>
      <c r="S12" s="358"/>
      <c r="T12" s="359" t="s">
        <v>166</v>
      </c>
    </row>
    <row r="13" ht="34.5">
      <c r="A13" s="359" t="s">
        <v>158</v>
      </c>
      <c r="B13" s="359" t="s">
        <v>159</v>
      </c>
      <c r="C13" s="359" t="s">
        <v>160</v>
      </c>
      <c r="D13" s="359" t="s">
        <v>161</v>
      </c>
      <c r="E13" s="359" t="s">
        <v>162</v>
      </c>
      <c r="F13" s="358" t="s">
        <v>163</v>
      </c>
      <c r="G13" s="359" t="s">
        <v>164</v>
      </c>
      <c r="H13" s="358"/>
      <c r="I13" s="358"/>
      <c r="J13" s="358" t="s">
        <v>174</v>
      </c>
      <c r="K13" s="361">
        <v>66200381</v>
      </c>
      <c r="L13" s="359" t="s">
        <v>168</v>
      </c>
      <c r="M13" s="359"/>
      <c r="N13" s="358"/>
      <c r="O13" s="358"/>
      <c r="P13" s="358"/>
      <c r="Q13" s="358"/>
      <c r="R13" s="360"/>
      <c r="S13" s="358"/>
      <c r="T13" s="359" t="s">
        <v>166</v>
      </c>
    </row>
    <row r="14" ht="34.5">
      <c r="A14" s="359" t="s">
        <v>158</v>
      </c>
      <c r="B14" s="359" t="s">
        <v>159</v>
      </c>
      <c r="C14" s="359" t="s">
        <v>160</v>
      </c>
      <c r="D14" s="359" t="s">
        <v>161</v>
      </c>
      <c r="E14" s="359" t="s">
        <v>162</v>
      </c>
      <c r="F14" s="358" t="s">
        <v>163</v>
      </c>
      <c r="G14" s="359" t="s">
        <v>164</v>
      </c>
      <c r="H14" s="358"/>
      <c r="I14" s="358"/>
      <c r="J14" s="358" t="s">
        <v>175</v>
      </c>
      <c r="K14" s="361"/>
      <c r="L14" s="359"/>
      <c r="M14" s="359"/>
      <c r="N14" s="358"/>
      <c r="O14" s="358"/>
      <c r="P14" s="358"/>
      <c r="Q14" s="358"/>
      <c r="R14" s="360"/>
      <c r="S14" s="358"/>
      <c r="T14" s="359" t="s">
        <v>166</v>
      </c>
    </row>
    <row r="15" ht="34.5">
      <c r="A15" s="359" t="s">
        <v>158</v>
      </c>
      <c r="B15" s="359" t="s">
        <v>159</v>
      </c>
      <c r="C15" s="359" t="s">
        <v>160</v>
      </c>
      <c r="D15" s="359" t="s">
        <v>161</v>
      </c>
      <c r="E15" s="359" t="s">
        <v>162</v>
      </c>
      <c r="F15" s="358" t="s">
        <v>163</v>
      </c>
      <c r="G15" s="359" t="s">
        <v>164</v>
      </c>
      <c r="H15" s="358"/>
      <c r="I15" s="358"/>
      <c r="J15" s="358" t="s">
        <v>176</v>
      </c>
      <c r="K15" s="361"/>
      <c r="L15" s="359"/>
      <c r="M15" s="359"/>
      <c r="N15" s="358"/>
      <c r="O15" s="358"/>
      <c r="P15" s="358"/>
      <c r="Q15" s="358"/>
      <c r="R15" s="360"/>
      <c r="S15" s="358"/>
      <c r="T15" s="359" t="s">
        <v>166</v>
      </c>
    </row>
    <row r="16" ht="34.5">
      <c r="A16" s="359" t="s">
        <v>158</v>
      </c>
      <c r="B16" s="359" t="s">
        <v>159</v>
      </c>
      <c r="C16" s="359" t="s">
        <v>160</v>
      </c>
      <c r="D16" s="359" t="s">
        <v>161</v>
      </c>
      <c r="E16" s="359" t="s">
        <v>162</v>
      </c>
      <c r="F16" s="358" t="s">
        <v>163</v>
      </c>
      <c r="G16" s="359" t="s">
        <v>164</v>
      </c>
      <c r="H16" s="358"/>
      <c r="I16" s="358"/>
      <c r="J16" s="358" t="s">
        <v>177</v>
      </c>
      <c r="K16" s="361"/>
      <c r="L16" s="359"/>
      <c r="M16" s="359"/>
      <c r="N16" s="358"/>
      <c r="O16" s="358"/>
      <c r="P16" s="358"/>
      <c r="Q16" s="358"/>
      <c r="R16" s="360"/>
      <c r="S16" s="358"/>
      <c r="T16" s="359" t="s">
        <v>166</v>
      </c>
    </row>
    <row r="17" ht="34.5">
      <c r="A17" s="359" t="s">
        <v>158</v>
      </c>
      <c r="B17" s="359" t="s">
        <v>159</v>
      </c>
      <c r="C17" s="359" t="s">
        <v>178</v>
      </c>
      <c r="D17" s="359" t="s">
        <v>161</v>
      </c>
      <c r="E17" s="359" t="s">
        <v>179</v>
      </c>
      <c r="F17" s="358" t="s">
        <v>180</v>
      </c>
      <c r="G17" s="359" t="s">
        <v>164</v>
      </c>
      <c r="H17" s="358"/>
      <c r="I17" s="358"/>
      <c r="J17" s="358" t="s">
        <v>181</v>
      </c>
      <c r="K17" s="361"/>
      <c r="L17" s="359"/>
      <c r="M17" s="359"/>
      <c r="N17" s="358"/>
      <c r="O17" s="358"/>
      <c r="P17" s="358"/>
      <c r="Q17" s="358"/>
      <c r="R17" s="360"/>
      <c r="S17" s="358"/>
      <c r="T17" s="359" t="s">
        <v>166</v>
      </c>
    </row>
    <row r="18" ht="34.5">
      <c r="A18" s="359" t="s">
        <v>158</v>
      </c>
      <c r="B18" s="359" t="s">
        <v>159</v>
      </c>
      <c r="C18" s="359" t="s">
        <v>178</v>
      </c>
      <c r="D18" s="359" t="s">
        <v>161</v>
      </c>
      <c r="E18" s="359" t="s">
        <v>179</v>
      </c>
      <c r="F18" s="358" t="s">
        <v>180</v>
      </c>
      <c r="G18" s="359" t="s">
        <v>164</v>
      </c>
      <c r="H18" s="358"/>
      <c r="I18" s="358"/>
      <c r="J18" s="358" t="s">
        <v>182</v>
      </c>
      <c r="K18" s="361"/>
      <c r="L18" s="359"/>
      <c r="M18" s="359"/>
      <c r="N18" s="358"/>
      <c r="O18" s="358"/>
      <c r="P18" s="358"/>
      <c r="Q18" s="358"/>
      <c r="R18" s="360"/>
      <c r="S18" s="358"/>
      <c r="T18" s="359" t="s">
        <v>166</v>
      </c>
    </row>
    <row r="19" ht="34.5">
      <c r="A19" s="359" t="s">
        <v>158</v>
      </c>
      <c r="B19" s="359" t="s">
        <v>159</v>
      </c>
      <c r="C19" s="359" t="s">
        <v>178</v>
      </c>
      <c r="D19" s="359" t="s">
        <v>161</v>
      </c>
      <c r="E19" s="359" t="s">
        <v>179</v>
      </c>
      <c r="F19" s="358" t="s">
        <v>180</v>
      </c>
      <c r="G19" s="359" t="s">
        <v>164</v>
      </c>
      <c r="H19" s="358"/>
      <c r="I19" s="358"/>
      <c r="J19" s="358" t="s">
        <v>183</v>
      </c>
      <c r="K19" s="361"/>
      <c r="L19" s="359"/>
      <c r="M19" s="359"/>
      <c r="N19" s="358"/>
      <c r="O19" s="358"/>
      <c r="P19" s="358"/>
      <c r="Q19" s="358"/>
      <c r="R19" s="360"/>
      <c r="S19" s="358"/>
      <c r="T19" s="359" t="s">
        <v>166</v>
      </c>
    </row>
    <row r="20" ht="34.5">
      <c r="A20" s="359" t="s">
        <v>158</v>
      </c>
      <c r="B20" s="359" t="s">
        <v>159</v>
      </c>
      <c r="C20" s="359" t="s">
        <v>178</v>
      </c>
      <c r="D20" s="359" t="s">
        <v>161</v>
      </c>
      <c r="E20" s="359" t="s">
        <v>179</v>
      </c>
      <c r="F20" s="358" t="s">
        <v>180</v>
      </c>
      <c r="G20" s="359" t="s">
        <v>164</v>
      </c>
      <c r="H20" s="358"/>
      <c r="I20" s="358"/>
      <c r="J20" s="358" t="s">
        <v>184</v>
      </c>
      <c r="K20" s="361"/>
      <c r="L20" s="359"/>
      <c r="M20" s="359"/>
      <c r="N20" s="358"/>
      <c r="O20" s="358"/>
      <c r="P20" s="358"/>
      <c r="Q20" s="358"/>
      <c r="R20" s="360"/>
      <c r="S20" s="358"/>
      <c r="T20" s="359" t="s">
        <v>166</v>
      </c>
    </row>
    <row r="21" ht="34.5">
      <c r="A21" s="359" t="s">
        <v>158</v>
      </c>
      <c r="B21" s="359" t="s">
        <v>159</v>
      </c>
      <c r="C21" s="359" t="s">
        <v>178</v>
      </c>
      <c r="D21" s="359" t="s">
        <v>161</v>
      </c>
      <c r="E21" s="359" t="s">
        <v>185</v>
      </c>
      <c r="F21" s="358" t="s">
        <v>186</v>
      </c>
      <c r="G21" s="359" t="s">
        <v>187</v>
      </c>
      <c r="H21" s="358"/>
      <c r="I21" s="358"/>
      <c r="J21" s="358" t="s">
        <v>188</v>
      </c>
      <c r="K21" s="361"/>
      <c r="L21" s="359"/>
      <c r="M21" s="359"/>
      <c r="N21" s="358"/>
      <c r="O21" s="358"/>
      <c r="P21" s="358"/>
      <c r="Q21" s="358"/>
      <c r="R21" s="360"/>
      <c r="S21" s="358"/>
      <c r="T21" s="359" t="s">
        <v>166</v>
      </c>
    </row>
    <row r="22" ht="34.5">
      <c r="A22" s="359" t="s">
        <v>158</v>
      </c>
      <c r="B22" s="359" t="s">
        <v>159</v>
      </c>
      <c r="C22" s="359" t="s">
        <v>178</v>
      </c>
      <c r="D22" s="359" t="s">
        <v>161</v>
      </c>
      <c r="E22" s="359" t="s">
        <v>185</v>
      </c>
      <c r="F22" s="358" t="s">
        <v>186</v>
      </c>
      <c r="G22" s="359" t="s">
        <v>187</v>
      </c>
      <c r="H22" s="358"/>
      <c r="I22" s="358"/>
      <c r="J22" s="358" t="s">
        <v>189</v>
      </c>
      <c r="K22" s="361"/>
      <c r="L22" s="359"/>
      <c r="M22" s="359"/>
      <c r="N22" s="358"/>
      <c r="O22" s="358"/>
      <c r="P22" s="358"/>
      <c r="Q22" s="358"/>
      <c r="R22" s="360"/>
      <c r="S22" s="358"/>
      <c r="T22" s="359" t="s">
        <v>166</v>
      </c>
    </row>
    <row r="23" ht="34.5">
      <c r="A23" s="359" t="s">
        <v>158</v>
      </c>
      <c r="B23" s="359" t="s">
        <v>159</v>
      </c>
      <c r="C23" s="359" t="s">
        <v>178</v>
      </c>
      <c r="D23" s="359" t="s">
        <v>161</v>
      </c>
      <c r="E23" s="359" t="s">
        <v>185</v>
      </c>
      <c r="F23" s="358" t="s">
        <v>186</v>
      </c>
      <c r="G23" s="359" t="s">
        <v>187</v>
      </c>
      <c r="H23" s="358"/>
      <c r="I23" s="358"/>
      <c r="J23" s="358" t="s">
        <v>190</v>
      </c>
      <c r="K23" s="361"/>
      <c r="L23" s="359"/>
      <c r="M23" s="359"/>
      <c r="N23" s="358"/>
      <c r="O23" s="358"/>
      <c r="P23" s="358"/>
      <c r="Q23" s="358"/>
      <c r="R23" s="360"/>
      <c r="S23" s="358"/>
      <c r="T23" s="359" t="s">
        <v>166</v>
      </c>
    </row>
    <row r="24" ht="34.5">
      <c r="A24" s="359" t="s">
        <v>158</v>
      </c>
      <c r="B24" s="359" t="s">
        <v>159</v>
      </c>
      <c r="C24" s="359" t="s">
        <v>178</v>
      </c>
      <c r="D24" s="359" t="s">
        <v>161</v>
      </c>
      <c r="E24" s="359" t="s">
        <v>185</v>
      </c>
      <c r="F24" s="358" t="s">
        <v>186</v>
      </c>
      <c r="G24" s="359" t="s">
        <v>187</v>
      </c>
      <c r="H24" s="358"/>
      <c r="I24" s="358"/>
      <c r="J24" s="358" t="s">
        <v>191</v>
      </c>
      <c r="K24" s="361"/>
      <c r="L24" s="359"/>
      <c r="M24" s="359"/>
      <c r="N24" s="358"/>
      <c r="O24" s="358"/>
      <c r="P24" s="358"/>
      <c r="Q24" s="358"/>
      <c r="R24" s="360"/>
      <c r="S24" s="358"/>
      <c r="T24" s="359" t="s">
        <v>166</v>
      </c>
    </row>
    <row r="25" ht="34.5">
      <c r="A25" s="359" t="s">
        <v>158</v>
      </c>
      <c r="B25" s="359" t="s">
        <v>159</v>
      </c>
      <c r="C25" s="359" t="s">
        <v>178</v>
      </c>
      <c r="D25" s="359" t="s">
        <v>161</v>
      </c>
      <c r="E25" s="359" t="s">
        <v>185</v>
      </c>
      <c r="F25" s="358" t="s">
        <v>186</v>
      </c>
      <c r="G25" s="359" t="s">
        <v>187</v>
      </c>
      <c r="H25" s="358"/>
      <c r="I25" s="358"/>
      <c r="J25" s="358" t="s">
        <v>192</v>
      </c>
      <c r="K25" s="361"/>
      <c r="L25" s="359"/>
      <c r="M25" s="359"/>
      <c r="N25" s="358"/>
      <c r="O25" s="358"/>
      <c r="P25" s="358"/>
      <c r="Q25" s="358"/>
      <c r="R25" s="360"/>
      <c r="S25" s="358"/>
      <c r="T25" s="359" t="s">
        <v>166</v>
      </c>
    </row>
    <row r="26" ht="34.5">
      <c r="A26" s="359" t="s">
        <v>158</v>
      </c>
      <c r="B26" s="359" t="s">
        <v>159</v>
      </c>
      <c r="C26" s="359" t="s">
        <v>178</v>
      </c>
      <c r="D26" s="359" t="s">
        <v>161</v>
      </c>
      <c r="E26" s="359" t="s">
        <v>185</v>
      </c>
      <c r="F26" s="358" t="s">
        <v>186</v>
      </c>
      <c r="G26" s="359" t="s">
        <v>187</v>
      </c>
      <c r="H26" s="358"/>
      <c r="I26" s="358"/>
      <c r="J26" s="358" t="s">
        <v>193</v>
      </c>
      <c r="K26" s="361"/>
      <c r="L26" s="359"/>
      <c r="M26" s="359"/>
      <c r="N26" s="358"/>
      <c r="O26" s="358"/>
      <c r="P26" s="358"/>
      <c r="Q26" s="358"/>
      <c r="R26" s="360"/>
      <c r="S26" s="358"/>
      <c r="T26" s="359" t="s">
        <v>166</v>
      </c>
    </row>
    <row r="27" ht="34.5">
      <c r="A27" s="359" t="s">
        <v>158</v>
      </c>
      <c r="B27" s="359" t="s">
        <v>159</v>
      </c>
      <c r="C27" s="359" t="s">
        <v>178</v>
      </c>
      <c r="D27" s="359" t="s">
        <v>161</v>
      </c>
      <c r="E27" s="359" t="s">
        <v>185</v>
      </c>
      <c r="F27" s="358" t="s">
        <v>186</v>
      </c>
      <c r="G27" s="359" t="s">
        <v>187</v>
      </c>
      <c r="H27" s="358"/>
      <c r="I27" s="358"/>
      <c r="J27" s="358" t="s">
        <v>194</v>
      </c>
      <c r="K27" s="361"/>
      <c r="L27" s="359"/>
      <c r="M27" s="359"/>
      <c r="N27" s="358"/>
      <c r="O27" s="358"/>
      <c r="P27" s="358"/>
      <c r="Q27" s="358"/>
      <c r="R27" s="360"/>
      <c r="S27" s="358"/>
      <c r="T27" s="359" t="s">
        <v>166</v>
      </c>
    </row>
    <row r="28" ht="34.5">
      <c r="A28" s="359" t="s">
        <v>158</v>
      </c>
      <c r="B28" s="359" t="s">
        <v>159</v>
      </c>
      <c r="C28" s="359" t="s">
        <v>195</v>
      </c>
      <c r="D28" s="359" t="s">
        <v>161</v>
      </c>
      <c r="E28" s="359" t="s">
        <v>185</v>
      </c>
      <c r="F28" s="358" t="s">
        <v>186</v>
      </c>
      <c r="G28" s="359" t="s">
        <v>187</v>
      </c>
      <c r="H28" s="358"/>
      <c r="I28" s="358"/>
      <c r="J28" s="358" t="s">
        <v>196</v>
      </c>
      <c r="K28" s="361"/>
      <c r="L28" s="359"/>
      <c r="M28" s="359"/>
      <c r="N28" s="358"/>
      <c r="O28" s="358"/>
      <c r="P28" s="358"/>
      <c r="Q28" s="358"/>
      <c r="R28" s="360"/>
      <c r="S28" s="358"/>
      <c r="T28" s="359" t="s">
        <v>166</v>
      </c>
    </row>
    <row r="29" ht="34.5">
      <c r="A29" s="359" t="s">
        <v>158</v>
      </c>
      <c r="B29" s="359" t="s">
        <v>159</v>
      </c>
      <c r="C29" s="359" t="s">
        <v>195</v>
      </c>
      <c r="D29" s="359" t="s">
        <v>161</v>
      </c>
      <c r="E29" s="359" t="s">
        <v>185</v>
      </c>
      <c r="F29" s="358" t="s">
        <v>186</v>
      </c>
      <c r="G29" s="359" t="s">
        <v>187</v>
      </c>
      <c r="H29" s="358"/>
      <c r="I29" s="358"/>
      <c r="J29" s="358" t="s">
        <v>197</v>
      </c>
      <c r="K29" s="361"/>
      <c r="L29" s="359"/>
      <c r="M29" s="359"/>
      <c r="N29" s="358"/>
      <c r="O29" s="358"/>
      <c r="P29" s="358"/>
      <c r="Q29" s="358"/>
      <c r="R29" s="360"/>
      <c r="S29" s="358"/>
      <c r="T29" s="359" t="s">
        <v>166</v>
      </c>
    </row>
    <row r="30" ht="34.5">
      <c r="A30" s="359" t="s">
        <v>158</v>
      </c>
      <c r="B30" s="359" t="s">
        <v>159</v>
      </c>
      <c r="C30" s="359" t="s">
        <v>195</v>
      </c>
      <c r="D30" s="359" t="s">
        <v>161</v>
      </c>
      <c r="E30" s="359" t="s">
        <v>185</v>
      </c>
      <c r="F30" s="358" t="s">
        <v>186</v>
      </c>
      <c r="G30" s="359" t="s">
        <v>187</v>
      </c>
      <c r="H30" s="358"/>
      <c r="I30" s="358"/>
      <c r="J30" s="358" t="s">
        <v>198</v>
      </c>
      <c r="K30" s="361"/>
      <c r="L30" s="359"/>
      <c r="M30" s="359"/>
      <c r="N30" s="358"/>
      <c r="O30" s="358"/>
      <c r="P30" s="358"/>
      <c r="Q30" s="358"/>
      <c r="R30" s="360"/>
      <c r="S30" s="358"/>
      <c r="T30" s="359" t="s">
        <v>166</v>
      </c>
    </row>
    <row r="31" ht="34.5">
      <c r="A31" s="359" t="s">
        <v>158</v>
      </c>
      <c r="B31" s="359" t="s">
        <v>159</v>
      </c>
      <c r="C31" s="359" t="s">
        <v>195</v>
      </c>
      <c r="D31" s="359" t="s">
        <v>161</v>
      </c>
      <c r="E31" s="359" t="s">
        <v>199</v>
      </c>
      <c r="F31" s="358" t="s">
        <v>200</v>
      </c>
      <c r="G31" s="359" t="s">
        <v>164</v>
      </c>
      <c r="H31" s="358"/>
      <c r="I31" s="358"/>
      <c r="J31" s="358" t="s">
        <v>201</v>
      </c>
      <c r="K31" s="361">
        <v>61077310</v>
      </c>
      <c r="L31" s="359" t="s">
        <v>168</v>
      </c>
      <c r="M31" s="359"/>
      <c r="N31" s="358"/>
      <c r="O31" s="358"/>
      <c r="P31" s="358"/>
      <c r="Q31" s="358"/>
      <c r="R31" s="360"/>
      <c r="S31" s="358"/>
      <c r="T31" s="359" t="s">
        <v>166</v>
      </c>
    </row>
    <row r="32" ht="34.5">
      <c r="A32" s="359" t="s">
        <v>158</v>
      </c>
      <c r="B32" s="359" t="s">
        <v>159</v>
      </c>
      <c r="C32" s="359" t="s">
        <v>195</v>
      </c>
      <c r="D32" s="359" t="s">
        <v>161</v>
      </c>
      <c r="E32" s="359" t="s">
        <v>199</v>
      </c>
      <c r="F32" s="358" t="s">
        <v>200</v>
      </c>
      <c r="G32" s="359" t="s">
        <v>164</v>
      </c>
      <c r="H32" s="358"/>
      <c r="I32" s="358"/>
      <c r="J32" s="358" t="s">
        <v>202</v>
      </c>
      <c r="K32" s="361">
        <v>66200381</v>
      </c>
      <c r="L32" s="359" t="s">
        <v>168</v>
      </c>
      <c r="M32" s="359"/>
      <c r="N32" s="358"/>
      <c r="O32" s="358"/>
      <c r="P32" s="358"/>
      <c r="Q32" s="358"/>
      <c r="R32" s="360"/>
      <c r="S32" s="358"/>
      <c r="T32" s="359" t="s">
        <v>166</v>
      </c>
    </row>
    <row r="33" ht="34.5">
      <c r="A33" s="359" t="s">
        <v>158</v>
      </c>
      <c r="B33" s="359" t="s">
        <v>159</v>
      </c>
      <c r="C33" s="359" t="s">
        <v>195</v>
      </c>
      <c r="D33" s="359" t="s">
        <v>203</v>
      </c>
      <c r="E33" s="359" t="s">
        <v>199</v>
      </c>
      <c r="F33" s="358" t="s">
        <v>200</v>
      </c>
      <c r="G33" s="359" t="s">
        <v>164</v>
      </c>
      <c r="H33" s="358"/>
      <c r="I33" s="358"/>
      <c r="J33" s="358" t="s">
        <v>204</v>
      </c>
      <c r="K33" s="361"/>
      <c r="L33" s="359"/>
      <c r="M33" s="359"/>
      <c r="N33" s="358"/>
      <c r="O33" s="358"/>
      <c r="P33" s="358"/>
      <c r="Q33" s="358"/>
      <c r="R33" s="360"/>
      <c r="S33" s="358"/>
      <c r="T33" s="359" t="s">
        <v>166</v>
      </c>
    </row>
    <row r="34" ht="34.5">
      <c r="A34" s="359" t="s">
        <v>158</v>
      </c>
      <c r="B34" s="359" t="s">
        <v>159</v>
      </c>
      <c r="C34" s="359" t="s">
        <v>195</v>
      </c>
      <c r="D34" s="359" t="s">
        <v>161</v>
      </c>
      <c r="E34" s="359" t="s">
        <v>205</v>
      </c>
      <c r="F34" s="358" t="s">
        <v>206</v>
      </c>
      <c r="G34" s="359" t="s">
        <v>207</v>
      </c>
      <c r="H34" s="358"/>
      <c r="I34" s="358"/>
      <c r="J34" s="358" t="s">
        <v>208</v>
      </c>
      <c r="K34" s="361"/>
      <c r="L34" s="359"/>
      <c r="M34" s="359"/>
      <c r="N34" s="358"/>
      <c r="O34" s="358"/>
      <c r="P34" s="358"/>
      <c r="Q34" s="358"/>
      <c r="R34" s="360"/>
      <c r="S34" s="358"/>
      <c r="T34" s="359" t="s">
        <v>166</v>
      </c>
    </row>
    <row r="35" ht="34.5">
      <c r="A35" s="359" t="s">
        <v>158</v>
      </c>
      <c r="B35" s="359" t="s">
        <v>159</v>
      </c>
      <c r="C35" s="359" t="s">
        <v>195</v>
      </c>
      <c r="D35" s="359" t="s">
        <v>161</v>
      </c>
      <c r="E35" s="359" t="s">
        <v>205</v>
      </c>
      <c r="F35" s="358" t="s">
        <v>206</v>
      </c>
      <c r="G35" s="359" t="s">
        <v>207</v>
      </c>
      <c r="H35" s="358"/>
      <c r="I35" s="358"/>
      <c r="J35" s="358" t="s">
        <v>209</v>
      </c>
      <c r="K35" s="361"/>
      <c r="L35" s="359"/>
      <c r="M35" s="359"/>
      <c r="N35" s="358"/>
      <c r="O35" s="358"/>
      <c r="P35" s="358"/>
      <c r="Q35" s="358"/>
      <c r="R35" s="360"/>
      <c r="S35" s="358"/>
      <c r="T35" s="359" t="s">
        <v>166</v>
      </c>
    </row>
    <row r="36" ht="34.5">
      <c r="A36" s="359" t="s">
        <v>158</v>
      </c>
      <c r="B36" s="359" t="s">
        <v>159</v>
      </c>
      <c r="C36" s="359" t="s">
        <v>195</v>
      </c>
      <c r="D36" s="359" t="s">
        <v>161</v>
      </c>
      <c r="E36" s="359" t="s">
        <v>205</v>
      </c>
      <c r="F36" s="358" t="s">
        <v>206</v>
      </c>
      <c r="G36" s="359" t="s">
        <v>207</v>
      </c>
      <c r="H36" s="358"/>
      <c r="I36" s="358"/>
      <c r="J36" s="358" t="s">
        <v>210</v>
      </c>
      <c r="K36" s="361"/>
      <c r="L36" s="359"/>
      <c r="M36" s="359"/>
      <c r="N36" s="358"/>
      <c r="O36" s="358"/>
      <c r="P36" s="358"/>
      <c r="Q36" s="358"/>
      <c r="R36" s="360"/>
      <c r="S36" s="358"/>
      <c r="T36" s="359" t="s">
        <v>166</v>
      </c>
    </row>
    <row r="37" ht="34.5">
      <c r="A37" s="359" t="s">
        <v>158</v>
      </c>
      <c r="B37" s="359" t="s">
        <v>159</v>
      </c>
      <c r="C37" s="359" t="s">
        <v>211</v>
      </c>
      <c r="D37" s="359" t="s">
        <v>161</v>
      </c>
      <c r="E37" s="359" t="s">
        <v>205</v>
      </c>
      <c r="F37" s="358" t="s">
        <v>206</v>
      </c>
      <c r="G37" s="359" t="s">
        <v>207</v>
      </c>
      <c r="H37" s="358"/>
      <c r="I37" s="358"/>
      <c r="J37" s="358" t="s">
        <v>196</v>
      </c>
      <c r="K37" s="361"/>
      <c r="L37" s="359"/>
      <c r="M37" s="359"/>
      <c r="N37" s="358"/>
      <c r="O37" s="358"/>
      <c r="P37" s="358"/>
      <c r="Q37" s="358"/>
      <c r="R37" s="360"/>
      <c r="S37" s="358"/>
      <c r="T37" s="359" t="s">
        <v>166</v>
      </c>
    </row>
    <row r="38" ht="34.5">
      <c r="A38" s="359" t="s">
        <v>212</v>
      </c>
      <c r="B38" s="359" t="s">
        <v>213</v>
      </c>
      <c r="C38" s="359" t="s">
        <v>214</v>
      </c>
      <c r="D38" s="359" t="s">
        <v>161</v>
      </c>
      <c r="E38" s="359" t="s">
        <v>162</v>
      </c>
      <c r="F38" s="358" t="s">
        <v>163</v>
      </c>
      <c r="G38" s="359" t="s">
        <v>164</v>
      </c>
      <c r="H38" s="358"/>
      <c r="I38" s="358"/>
      <c r="J38" s="358" t="s">
        <v>165</v>
      </c>
      <c r="K38" s="361"/>
      <c r="L38" s="359"/>
      <c r="M38" s="359"/>
      <c r="N38" s="358"/>
      <c r="O38" s="358"/>
      <c r="P38" s="358"/>
      <c r="Q38" s="358"/>
      <c r="R38" s="360"/>
      <c r="S38" s="358"/>
      <c r="T38" s="359" t="s">
        <v>166</v>
      </c>
    </row>
    <row r="39" ht="34.5">
      <c r="A39" s="359" t="s">
        <v>212</v>
      </c>
      <c r="B39" s="359" t="s">
        <v>213</v>
      </c>
      <c r="C39" s="359" t="s">
        <v>214</v>
      </c>
      <c r="D39" s="359" t="s">
        <v>161</v>
      </c>
      <c r="E39" s="359" t="s">
        <v>162</v>
      </c>
      <c r="F39" s="358" t="s">
        <v>163</v>
      </c>
      <c r="G39" s="359" t="s">
        <v>164</v>
      </c>
      <c r="H39" s="358"/>
      <c r="I39" s="358"/>
      <c r="J39" s="358" t="s">
        <v>215</v>
      </c>
      <c r="K39" s="361">
        <v>50000</v>
      </c>
      <c r="L39" s="359" t="s">
        <v>168</v>
      </c>
      <c r="M39" s="359"/>
      <c r="N39" s="358"/>
      <c r="O39" s="358"/>
      <c r="P39" s="358"/>
      <c r="Q39" s="358"/>
      <c r="R39" s="360"/>
      <c r="S39" s="358"/>
      <c r="T39" s="359" t="s">
        <v>166</v>
      </c>
    </row>
    <row r="40" ht="34.5">
      <c r="A40" s="359" t="s">
        <v>212</v>
      </c>
      <c r="B40" s="359" t="s">
        <v>213</v>
      </c>
      <c r="C40" s="359" t="s">
        <v>214</v>
      </c>
      <c r="D40" s="359" t="s">
        <v>161</v>
      </c>
      <c r="E40" s="359" t="s">
        <v>162</v>
      </c>
      <c r="F40" s="358" t="s">
        <v>163</v>
      </c>
      <c r="G40" s="359" t="s">
        <v>164</v>
      </c>
      <c r="H40" s="358"/>
      <c r="I40" s="358"/>
      <c r="J40" s="358" t="s">
        <v>169</v>
      </c>
      <c r="K40" s="361"/>
      <c r="L40" s="359"/>
      <c r="M40" s="359"/>
      <c r="N40" s="358"/>
      <c r="O40" s="358"/>
      <c r="P40" s="358"/>
      <c r="Q40" s="358"/>
      <c r="R40" s="360"/>
      <c r="S40" s="358"/>
      <c r="T40" s="359" t="s">
        <v>166</v>
      </c>
    </row>
    <row r="41" ht="34.5">
      <c r="A41" s="359" t="s">
        <v>212</v>
      </c>
      <c r="B41" s="359" t="s">
        <v>213</v>
      </c>
      <c r="C41" s="359" t="s">
        <v>214</v>
      </c>
      <c r="D41" s="359" t="s">
        <v>161</v>
      </c>
      <c r="E41" s="359" t="s">
        <v>162</v>
      </c>
      <c r="F41" s="358" t="s">
        <v>163</v>
      </c>
      <c r="G41" s="359" t="s">
        <v>164</v>
      </c>
      <c r="H41" s="358"/>
      <c r="I41" s="358"/>
      <c r="J41" s="358" t="s">
        <v>170</v>
      </c>
      <c r="K41" s="361"/>
      <c r="L41" s="359"/>
      <c r="M41" s="359"/>
      <c r="N41" s="358"/>
      <c r="O41" s="358"/>
      <c r="P41" s="358"/>
      <c r="Q41" s="358"/>
      <c r="R41" s="360"/>
      <c r="S41" s="358"/>
      <c r="T41" s="359" t="s">
        <v>166</v>
      </c>
    </row>
    <row r="42" ht="34.5">
      <c r="A42" s="359" t="s">
        <v>212</v>
      </c>
      <c r="B42" s="359" t="s">
        <v>213</v>
      </c>
      <c r="C42" s="359" t="s">
        <v>214</v>
      </c>
      <c r="D42" s="359" t="s">
        <v>161</v>
      </c>
      <c r="E42" s="359" t="s">
        <v>162</v>
      </c>
      <c r="F42" s="358" t="s">
        <v>163</v>
      </c>
      <c r="G42" s="359" t="s">
        <v>164</v>
      </c>
      <c r="H42" s="358"/>
      <c r="I42" s="358"/>
      <c r="J42" s="358" t="s">
        <v>171</v>
      </c>
      <c r="K42" s="361"/>
      <c r="L42" s="359"/>
      <c r="M42" s="359"/>
      <c r="N42" s="358"/>
      <c r="O42" s="358"/>
      <c r="P42" s="358"/>
      <c r="Q42" s="358"/>
      <c r="R42" s="360"/>
      <c r="S42" s="358"/>
      <c r="T42" s="359" t="s">
        <v>166</v>
      </c>
    </row>
    <row r="43" ht="34.5">
      <c r="A43" s="359" t="s">
        <v>212</v>
      </c>
      <c r="B43" s="359" t="s">
        <v>213</v>
      </c>
      <c r="C43" s="359" t="s">
        <v>214</v>
      </c>
      <c r="D43" s="359" t="s">
        <v>161</v>
      </c>
      <c r="E43" s="359" t="s">
        <v>162</v>
      </c>
      <c r="F43" s="358" t="s">
        <v>163</v>
      </c>
      <c r="G43" s="359" t="s">
        <v>164</v>
      </c>
      <c r="H43" s="358"/>
      <c r="I43" s="358"/>
      <c r="J43" s="358" t="s">
        <v>216</v>
      </c>
      <c r="K43" s="361"/>
      <c r="L43" s="359"/>
      <c r="M43" s="359"/>
      <c r="N43" s="358"/>
      <c r="O43" s="358"/>
      <c r="P43" s="358"/>
      <c r="Q43" s="358"/>
      <c r="R43" s="360"/>
      <c r="S43" s="358"/>
      <c r="T43" s="359" t="s">
        <v>166</v>
      </c>
    </row>
    <row r="44" ht="34.5">
      <c r="A44" s="359" t="s">
        <v>212</v>
      </c>
      <c r="B44" s="359" t="s">
        <v>213</v>
      </c>
      <c r="C44" s="359" t="s">
        <v>214</v>
      </c>
      <c r="D44" s="359" t="s">
        <v>161</v>
      </c>
      <c r="E44" s="359" t="s">
        <v>162</v>
      </c>
      <c r="F44" s="358" t="s">
        <v>163</v>
      </c>
      <c r="G44" s="359" t="s">
        <v>164</v>
      </c>
      <c r="H44" s="358"/>
      <c r="I44" s="358"/>
      <c r="J44" s="358" t="s">
        <v>173</v>
      </c>
      <c r="K44" s="361"/>
      <c r="L44" s="359"/>
      <c r="M44" s="359"/>
      <c r="N44" s="358"/>
      <c r="O44" s="358"/>
      <c r="P44" s="358"/>
      <c r="Q44" s="358"/>
      <c r="R44" s="360"/>
      <c r="S44" s="358"/>
      <c r="T44" s="359" t="s">
        <v>166</v>
      </c>
    </row>
    <row r="45" ht="34.5">
      <c r="A45" s="359" t="s">
        <v>212</v>
      </c>
      <c r="B45" s="359" t="s">
        <v>213</v>
      </c>
      <c r="C45" s="359" t="s">
        <v>214</v>
      </c>
      <c r="D45" s="359" t="s">
        <v>161</v>
      </c>
      <c r="E45" s="359" t="s">
        <v>162</v>
      </c>
      <c r="F45" s="358" t="s">
        <v>163</v>
      </c>
      <c r="G45" s="359" t="s">
        <v>164</v>
      </c>
      <c r="H45" s="358"/>
      <c r="I45" s="358"/>
      <c r="J45" s="358" t="s">
        <v>217</v>
      </c>
      <c r="K45" s="361">
        <v>57200381</v>
      </c>
      <c r="L45" s="359" t="s">
        <v>168</v>
      </c>
      <c r="M45" s="359"/>
      <c r="N45" s="358"/>
      <c r="O45" s="358"/>
      <c r="P45" s="358"/>
      <c r="Q45" s="358"/>
      <c r="R45" s="360"/>
      <c r="S45" s="358"/>
      <c r="T45" s="359" t="s">
        <v>166</v>
      </c>
    </row>
    <row r="46" ht="34.5">
      <c r="A46" s="359" t="s">
        <v>212</v>
      </c>
      <c r="B46" s="359" t="s">
        <v>213</v>
      </c>
      <c r="C46" s="359" t="s">
        <v>214</v>
      </c>
      <c r="D46" s="359" t="s">
        <v>161</v>
      </c>
      <c r="E46" s="359" t="s">
        <v>162</v>
      </c>
      <c r="F46" s="358" t="s">
        <v>163</v>
      </c>
      <c r="G46" s="359" t="s">
        <v>164</v>
      </c>
      <c r="H46" s="358"/>
      <c r="I46" s="358"/>
      <c r="J46" s="358" t="s">
        <v>218</v>
      </c>
      <c r="K46" s="361"/>
      <c r="L46" s="359"/>
      <c r="M46" s="359"/>
      <c r="N46" s="358"/>
      <c r="O46" s="358"/>
      <c r="P46" s="358"/>
      <c r="Q46" s="358"/>
      <c r="R46" s="360"/>
      <c r="S46" s="358"/>
      <c r="T46" s="359" t="s">
        <v>166</v>
      </c>
    </row>
    <row r="47" ht="34.5">
      <c r="A47" s="359" t="s">
        <v>212</v>
      </c>
      <c r="B47" s="359" t="s">
        <v>213</v>
      </c>
      <c r="C47" s="359" t="s">
        <v>214</v>
      </c>
      <c r="D47" s="359" t="s">
        <v>161</v>
      </c>
      <c r="E47" s="359" t="s">
        <v>162</v>
      </c>
      <c r="F47" s="358" t="s">
        <v>163</v>
      </c>
      <c r="G47" s="359" t="s">
        <v>164</v>
      </c>
      <c r="H47" s="358"/>
      <c r="I47" s="358"/>
      <c r="J47" s="358" t="s">
        <v>176</v>
      </c>
      <c r="K47" s="361"/>
      <c r="L47" s="359"/>
      <c r="M47" s="359"/>
      <c r="N47" s="358"/>
      <c r="O47" s="358"/>
      <c r="P47" s="358"/>
      <c r="Q47" s="358"/>
      <c r="R47" s="360"/>
      <c r="S47" s="358"/>
      <c r="T47" s="359" t="s">
        <v>166</v>
      </c>
    </row>
    <row r="48" ht="34.5">
      <c r="A48" s="359" t="s">
        <v>212</v>
      </c>
      <c r="B48" s="359" t="s">
        <v>213</v>
      </c>
      <c r="C48" s="359" t="s">
        <v>214</v>
      </c>
      <c r="D48" s="359" t="s">
        <v>161</v>
      </c>
      <c r="E48" s="359" t="s">
        <v>162</v>
      </c>
      <c r="F48" s="358" t="s">
        <v>163</v>
      </c>
      <c r="G48" s="359" t="s">
        <v>164</v>
      </c>
      <c r="H48" s="358"/>
      <c r="I48" s="358"/>
      <c r="J48" s="358" t="s">
        <v>177</v>
      </c>
      <c r="K48" s="361"/>
      <c r="L48" s="359"/>
      <c r="M48" s="359"/>
      <c r="N48" s="358"/>
      <c r="O48" s="358"/>
      <c r="P48" s="358"/>
      <c r="Q48" s="358"/>
      <c r="R48" s="360"/>
      <c r="S48" s="358"/>
      <c r="T48" s="359" t="s">
        <v>166</v>
      </c>
    </row>
    <row r="49" ht="34.5">
      <c r="A49" s="359" t="s">
        <v>212</v>
      </c>
      <c r="B49" s="359" t="s">
        <v>213</v>
      </c>
      <c r="C49" s="359" t="s">
        <v>160</v>
      </c>
      <c r="D49" s="359" t="s">
        <v>161</v>
      </c>
      <c r="E49" s="359" t="s">
        <v>179</v>
      </c>
      <c r="F49" s="358" t="s">
        <v>180</v>
      </c>
      <c r="G49" s="359" t="s">
        <v>164</v>
      </c>
      <c r="H49" s="358"/>
      <c r="I49" s="358"/>
      <c r="J49" s="358" t="s">
        <v>181</v>
      </c>
      <c r="K49" s="361"/>
      <c r="L49" s="359"/>
      <c r="M49" s="359"/>
      <c r="N49" s="358"/>
      <c r="O49" s="358"/>
      <c r="P49" s="358"/>
      <c r="Q49" s="358"/>
      <c r="R49" s="360"/>
      <c r="S49" s="358"/>
      <c r="T49" s="359" t="s">
        <v>166</v>
      </c>
    </row>
    <row r="50" ht="34.5">
      <c r="A50" s="359" t="s">
        <v>212</v>
      </c>
      <c r="B50" s="359" t="s">
        <v>213</v>
      </c>
      <c r="C50" s="359" t="s">
        <v>160</v>
      </c>
      <c r="D50" s="359" t="s">
        <v>161</v>
      </c>
      <c r="E50" s="359" t="s">
        <v>179</v>
      </c>
      <c r="F50" s="358" t="s">
        <v>180</v>
      </c>
      <c r="G50" s="359" t="s">
        <v>164</v>
      </c>
      <c r="H50" s="358"/>
      <c r="I50" s="358"/>
      <c r="J50" s="358" t="s">
        <v>219</v>
      </c>
      <c r="K50" s="361"/>
      <c r="L50" s="359"/>
      <c r="M50" s="359"/>
      <c r="N50" s="358"/>
      <c r="O50" s="358"/>
      <c r="P50" s="358"/>
      <c r="Q50" s="358"/>
      <c r="R50" s="360"/>
      <c r="S50" s="358"/>
      <c r="T50" s="359" t="s">
        <v>166</v>
      </c>
    </row>
    <row r="51" ht="34.5">
      <c r="A51" s="359" t="s">
        <v>212</v>
      </c>
      <c r="B51" s="359" t="s">
        <v>213</v>
      </c>
      <c r="C51" s="359" t="s">
        <v>160</v>
      </c>
      <c r="D51" s="359" t="s">
        <v>161</v>
      </c>
      <c r="E51" s="359" t="s">
        <v>179</v>
      </c>
      <c r="F51" s="358" t="s">
        <v>180</v>
      </c>
      <c r="G51" s="359" t="s">
        <v>164</v>
      </c>
      <c r="H51" s="358"/>
      <c r="I51" s="358"/>
      <c r="J51" s="358" t="s">
        <v>183</v>
      </c>
      <c r="K51" s="361"/>
      <c r="L51" s="359"/>
      <c r="M51" s="359"/>
      <c r="N51" s="358"/>
      <c r="O51" s="358"/>
      <c r="P51" s="358"/>
      <c r="Q51" s="358"/>
      <c r="R51" s="360"/>
      <c r="S51" s="358"/>
      <c r="T51" s="359" t="s">
        <v>166</v>
      </c>
    </row>
    <row r="52" ht="34.5">
      <c r="A52" s="359" t="s">
        <v>212</v>
      </c>
      <c r="B52" s="359" t="s">
        <v>213</v>
      </c>
      <c r="C52" s="359" t="s">
        <v>160</v>
      </c>
      <c r="D52" s="359" t="s">
        <v>161</v>
      </c>
      <c r="E52" s="359" t="s">
        <v>179</v>
      </c>
      <c r="F52" s="358" t="s">
        <v>180</v>
      </c>
      <c r="G52" s="359" t="s">
        <v>164</v>
      </c>
      <c r="H52" s="358"/>
      <c r="I52" s="358"/>
      <c r="J52" s="358" t="s">
        <v>184</v>
      </c>
      <c r="K52" s="361"/>
      <c r="L52" s="359"/>
      <c r="M52" s="359"/>
      <c r="N52" s="358"/>
      <c r="O52" s="358"/>
      <c r="P52" s="358"/>
      <c r="Q52" s="358"/>
      <c r="R52" s="360"/>
      <c r="S52" s="358"/>
      <c r="T52" s="359" t="s">
        <v>166</v>
      </c>
    </row>
    <row r="53" ht="34.5">
      <c r="A53" s="359" t="s">
        <v>212</v>
      </c>
      <c r="B53" s="359" t="s">
        <v>213</v>
      </c>
      <c r="C53" s="359" t="s">
        <v>160</v>
      </c>
      <c r="D53" s="359" t="s">
        <v>161</v>
      </c>
      <c r="E53" s="359" t="s">
        <v>185</v>
      </c>
      <c r="F53" s="358" t="s">
        <v>186</v>
      </c>
      <c r="G53" s="359" t="s">
        <v>187</v>
      </c>
      <c r="H53" s="358"/>
      <c r="I53" s="358"/>
      <c r="J53" s="358" t="s">
        <v>188</v>
      </c>
      <c r="K53" s="361"/>
      <c r="L53" s="359"/>
      <c r="M53" s="359"/>
      <c r="N53" s="358"/>
      <c r="O53" s="358"/>
      <c r="P53" s="358"/>
      <c r="Q53" s="358"/>
      <c r="R53" s="360"/>
      <c r="S53" s="358"/>
      <c r="T53" s="359" t="s">
        <v>166</v>
      </c>
    </row>
    <row r="54" ht="34.5">
      <c r="A54" s="359" t="s">
        <v>212</v>
      </c>
      <c r="B54" s="359" t="s">
        <v>213</v>
      </c>
      <c r="C54" s="359" t="s">
        <v>160</v>
      </c>
      <c r="D54" s="359" t="s">
        <v>161</v>
      </c>
      <c r="E54" s="359" t="s">
        <v>185</v>
      </c>
      <c r="F54" s="358" t="s">
        <v>186</v>
      </c>
      <c r="G54" s="359" t="s">
        <v>187</v>
      </c>
      <c r="H54" s="358"/>
      <c r="I54" s="358"/>
      <c r="J54" s="358" t="s">
        <v>189</v>
      </c>
      <c r="K54" s="361"/>
      <c r="L54" s="359"/>
      <c r="M54" s="359"/>
      <c r="N54" s="358"/>
      <c r="O54" s="358"/>
      <c r="P54" s="358"/>
      <c r="Q54" s="358"/>
      <c r="R54" s="360"/>
      <c r="S54" s="358"/>
      <c r="T54" s="359" t="s">
        <v>166</v>
      </c>
    </row>
    <row r="55" ht="34.5">
      <c r="A55" s="359" t="s">
        <v>212</v>
      </c>
      <c r="B55" s="359" t="s">
        <v>213</v>
      </c>
      <c r="C55" s="359" t="s">
        <v>160</v>
      </c>
      <c r="D55" s="359" t="s">
        <v>161</v>
      </c>
      <c r="E55" s="359" t="s">
        <v>185</v>
      </c>
      <c r="F55" s="358" t="s">
        <v>186</v>
      </c>
      <c r="G55" s="359" t="s">
        <v>187</v>
      </c>
      <c r="H55" s="358"/>
      <c r="I55" s="358"/>
      <c r="J55" s="358" t="s">
        <v>220</v>
      </c>
      <c r="K55" s="361"/>
      <c r="L55" s="359"/>
      <c r="M55" s="359"/>
      <c r="N55" s="358"/>
      <c r="O55" s="358"/>
      <c r="P55" s="358"/>
      <c r="Q55" s="358"/>
      <c r="R55" s="360"/>
      <c r="S55" s="358"/>
      <c r="T55" s="359" t="s">
        <v>166</v>
      </c>
    </row>
    <row r="56" ht="34.5">
      <c r="A56" s="359" t="s">
        <v>212</v>
      </c>
      <c r="B56" s="359" t="s">
        <v>213</v>
      </c>
      <c r="C56" s="359" t="s">
        <v>160</v>
      </c>
      <c r="D56" s="359" t="s">
        <v>161</v>
      </c>
      <c r="E56" s="359" t="s">
        <v>185</v>
      </c>
      <c r="F56" s="358" t="s">
        <v>186</v>
      </c>
      <c r="G56" s="359" t="s">
        <v>187</v>
      </c>
      <c r="H56" s="358"/>
      <c r="I56" s="358"/>
      <c r="J56" s="358" t="s">
        <v>191</v>
      </c>
      <c r="K56" s="361"/>
      <c r="L56" s="359"/>
      <c r="M56" s="359"/>
      <c r="N56" s="358"/>
      <c r="O56" s="358"/>
      <c r="P56" s="358"/>
      <c r="Q56" s="358"/>
      <c r="R56" s="360"/>
      <c r="S56" s="358"/>
      <c r="T56" s="359" t="s">
        <v>166</v>
      </c>
    </row>
    <row r="57" ht="34.5">
      <c r="A57" s="359" t="s">
        <v>212</v>
      </c>
      <c r="B57" s="359" t="s">
        <v>213</v>
      </c>
      <c r="C57" s="359" t="s">
        <v>160</v>
      </c>
      <c r="D57" s="359" t="s">
        <v>161</v>
      </c>
      <c r="E57" s="359" t="s">
        <v>185</v>
      </c>
      <c r="F57" s="358" t="s">
        <v>186</v>
      </c>
      <c r="G57" s="359" t="s">
        <v>187</v>
      </c>
      <c r="H57" s="358"/>
      <c r="I57" s="358"/>
      <c r="J57" s="358" t="s">
        <v>192</v>
      </c>
      <c r="K57" s="361"/>
      <c r="L57" s="359"/>
      <c r="M57" s="359"/>
      <c r="N57" s="358"/>
      <c r="O57" s="358"/>
      <c r="P57" s="358"/>
      <c r="Q57" s="358"/>
      <c r="R57" s="360"/>
      <c r="S57" s="358"/>
      <c r="T57" s="359" t="s">
        <v>166</v>
      </c>
    </row>
    <row r="58" ht="34.5">
      <c r="A58" s="359" t="s">
        <v>212</v>
      </c>
      <c r="B58" s="359" t="s">
        <v>213</v>
      </c>
      <c r="C58" s="359" t="s">
        <v>160</v>
      </c>
      <c r="D58" s="359" t="s">
        <v>161</v>
      </c>
      <c r="E58" s="359" t="s">
        <v>185</v>
      </c>
      <c r="F58" s="358" t="s">
        <v>186</v>
      </c>
      <c r="G58" s="359" t="s">
        <v>187</v>
      </c>
      <c r="H58" s="358"/>
      <c r="I58" s="358"/>
      <c r="J58" s="358" t="s">
        <v>193</v>
      </c>
      <c r="K58" s="361"/>
      <c r="L58" s="359"/>
      <c r="M58" s="359"/>
      <c r="N58" s="358"/>
      <c r="O58" s="358"/>
      <c r="P58" s="358"/>
      <c r="Q58" s="358"/>
      <c r="R58" s="360"/>
      <c r="S58" s="358"/>
      <c r="T58" s="359" t="s">
        <v>166</v>
      </c>
    </row>
    <row r="59" ht="34.5">
      <c r="A59" s="359" t="s">
        <v>212</v>
      </c>
      <c r="B59" s="359" t="s">
        <v>213</v>
      </c>
      <c r="C59" s="359" t="s">
        <v>160</v>
      </c>
      <c r="D59" s="359" t="s">
        <v>161</v>
      </c>
      <c r="E59" s="359" t="s">
        <v>185</v>
      </c>
      <c r="F59" s="358" t="s">
        <v>186</v>
      </c>
      <c r="G59" s="359" t="s">
        <v>187</v>
      </c>
      <c r="H59" s="358"/>
      <c r="I59" s="358"/>
      <c r="J59" s="358" t="s">
        <v>194</v>
      </c>
      <c r="K59" s="361"/>
      <c r="L59" s="359"/>
      <c r="M59" s="359"/>
      <c r="N59" s="358"/>
      <c r="O59" s="358"/>
      <c r="P59" s="358"/>
      <c r="Q59" s="358"/>
      <c r="R59" s="360"/>
      <c r="S59" s="358"/>
      <c r="T59" s="359" t="s">
        <v>166</v>
      </c>
    </row>
    <row r="60" ht="34.5">
      <c r="A60" s="359" t="s">
        <v>212</v>
      </c>
      <c r="B60" s="359" t="s">
        <v>213</v>
      </c>
      <c r="C60" s="359" t="s">
        <v>178</v>
      </c>
      <c r="D60" s="359" t="s">
        <v>161</v>
      </c>
      <c r="E60" s="359" t="s">
        <v>185</v>
      </c>
      <c r="F60" s="358" t="s">
        <v>186</v>
      </c>
      <c r="G60" s="359" t="s">
        <v>187</v>
      </c>
      <c r="H60" s="358"/>
      <c r="I60" s="358"/>
      <c r="J60" s="358" t="s">
        <v>221</v>
      </c>
      <c r="K60" s="361"/>
      <c r="L60" s="359"/>
      <c r="M60" s="359"/>
      <c r="N60" s="358"/>
      <c r="O60" s="358"/>
      <c r="P60" s="358"/>
      <c r="Q60" s="358"/>
      <c r="R60" s="360"/>
      <c r="S60" s="358"/>
      <c r="T60" s="359" t="s">
        <v>166</v>
      </c>
    </row>
    <row r="61" ht="34.5">
      <c r="A61" s="359" t="s">
        <v>212</v>
      </c>
      <c r="B61" s="359" t="s">
        <v>213</v>
      </c>
      <c r="C61" s="359" t="s">
        <v>178</v>
      </c>
      <c r="D61" s="359" t="s">
        <v>161</v>
      </c>
      <c r="E61" s="359" t="s">
        <v>185</v>
      </c>
      <c r="F61" s="358" t="s">
        <v>186</v>
      </c>
      <c r="G61" s="359" t="s">
        <v>187</v>
      </c>
      <c r="H61" s="358"/>
      <c r="I61" s="358"/>
      <c r="J61" s="358" t="s">
        <v>222</v>
      </c>
      <c r="K61" s="361"/>
      <c r="L61" s="359"/>
      <c r="M61" s="359"/>
      <c r="N61" s="358"/>
      <c r="O61" s="358"/>
      <c r="P61" s="358"/>
      <c r="Q61" s="358"/>
      <c r="R61" s="360"/>
      <c r="S61" s="358"/>
      <c r="T61" s="359" t="s">
        <v>166</v>
      </c>
    </row>
    <row r="62" ht="34.5">
      <c r="A62" s="359" t="s">
        <v>212</v>
      </c>
      <c r="B62" s="359" t="s">
        <v>213</v>
      </c>
      <c r="C62" s="359" t="s">
        <v>178</v>
      </c>
      <c r="D62" s="359" t="s">
        <v>161</v>
      </c>
      <c r="E62" s="359" t="s">
        <v>185</v>
      </c>
      <c r="F62" s="358" t="s">
        <v>186</v>
      </c>
      <c r="G62" s="359" t="s">
        <v>187</v>
      </c>
      <c r="H62" s="358"/>
      <c r="I62" s="358"/>
      <c r="J62" s="358" t="s">
        <v>198</v>
      </c>
      <c r="K62" s="361"/>
      <c r="L62" s="359"/>
      <c r="M62" s="359"/>
      <c r="N62" s="358"/>
      <c r="O62" s="358"/>
      <c r="P62" s="358"/>
      <c r="Q62" s="358"/>
      <c r="R62" s="360"/>
      <c r="S62" s="358"/>
      <c r="T62" s="359" t="s">
        <v>166</v>
      </c>
    </row>
    <row r="63" ht="34.5">
      <c r="A63" s="359" t="s">
        <v>212</v>
      </c>
      <c r="B63" s="359" t="s">
        <v>213</v>
      </c>
      <c r="C63" s="359" t="s">
        <v>178</v>
      </c>
      <c r="D63" s="359" t="s">
        <v>161</v>
      </c>
      <c r="E63" s="359" t="s">
        <v>199</v>
      </c>
      <c r="F63" s="358" t="s">
        <v>200</v>
      </c>
      <c r="G63" s="359" t="s">
        <v>164</v>
      </c>
      <c r="H63" s="358"/>
      <c r="I63" s="358"/>
      <c r="J63" s="358" t="s">
        <v>201</v>
      </c>
      <c r="K63" s="361">
        <v>61077310</v>
      </c>
      <c r="L63" s="359" t="s">
        <v>168</v>
      </c>
      <c r="M63" s="359"/>
      <c r="N63" s="358"/>
      <c r="O63" s="358"/>
      <c r="P63" s="358"/>
      <c r="Q63" s="358"/>
      <c r="R63" s="360"/>
      <c r="S63" s="358"/>
      <c r="T63" s="359" t="s">
        <v>166</v>
      </c>
    </row>
    <row r="64" ht="34.5">
      <c r="A64" s="359" t="s">
        <v>212</v>
      </c>
      <c r="B64" s="359" t="s">
        <v>213</v>
      </c>
      <c r="C64" s="359" t="s">
        <v>178</v>
      </c>
      <c r="D64" s="359" t="s">
        <v>161</v>
      </c>
      <c r="E64" s="359" t="s">
        <v>199</v>
      </c>
      <c r="F64" s="358" t="s">
        <v>200</v>
      </c>
      <c r="G64" s="359" t="s">
        <v>164</v>
      </c>
      <c r="H64" s="358"/>
      <c r="I64" s="358"/>
      <c r="J64" s="358" t="s">
        <v>223</v>
      </c>
      <c r="K64" s="361"/>
      <c r="L64" s="359"/>
      <c r="M64" s="359"/>
      <c r="N64" s="358"/>
      <c r="O64" s="358"/>
      <c r="P64" s="358"/>
      <c r="Q64" s="358"/>
      <c r="R64" s="360"/>
      <c r="S64" s="358"/>
      <c r="T64" s="359" t="s">
        <v>166</v>
      </c>
    </row>
    <row r="65" ht="34.5">
      <c r="A65" s="359" t="s">
        <v>212</v>
      </c>
      <c r="B65" s="359" t="s">
        <v>213</v>
      </c>
      <c r="C65" s="359" t="s">
        <v>178</v>
      </c>
      <c r="D65" s="359" t="s">
        <v>161</v>
      </c>
      <c r="E65" s="359" t="s">
        <v>199</v>
      </c>
      <c r="F65" s="358" t="s">
        <v>200</v>
      </c>
      <c r="G65" s="359" t="s">
        <v>164</v>
      </c>
      <c r="H65" s="358"/>
      <c r="I65" s="358"/>
      <c r="J65" s="358" t="s">
        <v>224</v>
      </c>
      <c r="K65" s="361">
        <v>57200381</v>
      </c>
      <c r="L65" s="359" t="s">
        <v>168</v>
      </c>
      <c r="M65" s="359"/>
      <c r="N65" s="358"/>
      <c r="O65" s="358"/>
      <c r="P65" s="358"/>
      <c r="Q65" s="358"/>
      <c r="R65" s="360"/>
      <c r="S65" s="358"/>
      <c r="T65" s="359" t="s">
        <v>166</v>
      </c>
    </row>
    <row r="66" ht="34.5">
      <c r="A66" s="359" t="s">
        <v>212</v>
      </c>
      <c r="B66" s="359" t="s">
        <v>213</v>
      </c>
      <c r="C66" s="359" t="s">
        <v>178</v>
      </c>
      <c r="D66" s="359" t="s">
        <v>225</v>
      </c>
      <c r="E66" s="359" t="s">
        <v>199</v>
      </c>
      <c r="F66" s="358" t="s">
        <v>200</v>
      </c>
      <c r="G66" s="359" t="s">
        <v>164</v>
      </c>
      <c r="H66" s="358"/>
      <c r="I66" s="358"/>
      <c r="J66" s="358" t="s">
        <v>226</v>
      </c>
      <c r="K66" s="361"/>
      <c r="L66" s="359"/>
      <c r="M66" s="359"/>
      <c r="N66" s="358"/>
      <c r="O66" s="358"/>
      <c r="P66" s="358"/>
      <c r="Q66" s="358"/>
      <c r="R66" s="360"/>
      <c r="S66" s="358"/>
      <c r="T66" s="359" t="s">
        <v>166</v>
      </c>
    </row>
    <row r="67" ht="34.5">
      <c r="A67" s="359" t="s">
        <v>212</v>
      </c>
      <c r="B67" s="359" t="s">
        <v>213</v>
      </c>
      <c r="C67" s="359" t="s">
        <v>178</v>
      </c>
      <c r="D67" s="359" t="s">
        <v>161</v>
      </c>
      <c r="E67" s="359" t="s">
        <v>205</v>
      </c>
      <c r="F67" s="358" t="s">
        <v>206</v>
      </c>
      <c r="G67" s="359" t="s">
        <v>207</v>
      </c>
      <c r="H67" s="358"/>
      <c r="I67" s="358"/>
      <c r="J67" s="358" t="s">
        <v>208</v>
      </c>
      <c r="K67" s="361"/>
      <c r="L67" s="359"/>
      <c r="M67" s="359"/>
      <c r="N67" s="358"/>
      <c r="O67" s="358"/>
      <c r="P67" s="358"/>
      <c r="Q67" s="358"/>
      <c r="R67" s="360"/>
      <c r="S67" s="358"/>
      <c r="T67" s="359" t="s">
        <v>166</v>
      </c>
    </row>
    <row r="68" ht="34.5">
      <c r="A68" s="359" t="s">
        <v>212</v>
      </c>
      <c r="B68" s="359" t="s">
        <v>213</v>
      </c>
      <c r="C68" s="359" t="s">
        <v>178</v>
      </c>
      <c r="D68" s="359" t="s">
        <v>161</v>
      </c>
      <c r="E68" s="359" t="s">
        <v>205</v>
      </c>
      <c r="F68" s="358" t="s">
        <v>206</v>
      </c>
      <c r="G68" s="359" t="s">
        <v>207</v>
      </c>
      <c r="H68" s="358"/>
      <c r="I68" s="358"/>
      <c r="J68" s="358" t="s">
        <v>209</v>
      </c>
      <c r="K68" s="361"/>
      <c r="L68" s="359"/>
      <c r="M68" s="359"/>
      <c r="N68" s="358"/>
      <c r="O68" s="358"/>
      <c r="P68" s="358"/>
      <c r="Q68" s="358"/>
      <c r="R68" s="360"/>
      <c r="S68" s="358"/>
      <c r="T68" s="359" t="s">
        <v>166</v>
      </c>
    </row>
    <row r="69" ht="34.5">
      <c r="A69" s="359" t="s">
        <v>212</v>
      </c>
      <c r="B69" s="359" t="s">
        <v>213</v>
      </c>
      <c r="C69" s="359" t="s">
        <v>178</v>
      </c>
      <c r="D69" s="359" t="s">
        <v>161</v>
      </c>
      <c r="E69" s="359" t="s">
        <v>205</v>
      </c>
      <c r="F69" s="358" t="s">
        <v>206</v>
      </c>
      <c r="G69" s="359" t="s">
        <v>207</v>
      </c>
      <c r="H69" s="358"/>
      <c r="I69" s="358"/>
      <c r="J69" s="358" t="s">
        <v>227</v>
      </c>
      <c r="K69" s="361"/>
      <c r="L69" s="359"/>
      <c r="M69" s="359"/>
      <c r="N69" s="358"/>
      <c r="O69" s="358"/>
      <c r="P69" s="358"/>
      <c r="Q69" s="358"/>
      <c r="R69" s="360"/>
      <c r="S69" s="358"/>
      <c r="T69" s="359" t="s">
        <v>166</v>
      </c>
    </row>
    <row r="70" ht="34.5">
      <c r="A70" s="359" t="s">
        <v>212</v>
      </c>
      <c r="B70" s="359" t="s">
        <v>213</v>
      </c>
      <c r="C70" s="359" t="s">
        <v>195</v>
      </c>
      <c r="D70" s="359" t="s">
        <v>161</v>
      </c>
      <c r="E70" s="359" t="s">
        <v>205</v>
      </c>
      <c r="F70" s="358" t="s">
        <v>206</v>
      </c>
      <c r="G70" s="359" t="s">
        <v>207</v>
      </c>
      <c r="H70" s="358"/>
      <c r="I70" s="358"/>
      <c r="J70" s="358" t="s">
        <v>221</v>
      </c>
      <c r="K70" s="361"/>
      <c r="L70" s="359"/>
      <c r="M70" s="359"/>
      <c r="N70" s="358"/>
      <c r="O70" s="358"/>
      <c r="P70" s="358"/>
      <c r="Q70" s="358"/>
      <c r="R70" s="360"/>
      <c r="S70" s="358"/>
      <c r="T70" s="359" t="s">
        <v>166</v>
      </c>
    </row>
    <row r="71" ht="34.5">
      <c r="A71" s="359" t="s">
        <v>228</v>
      </c>
      <c r="B71" s="359" t="s">
        <v>229</v>
      </c>
      <c r="C71" s="359" t="s">
        <v>230</v>
      </c>
      <c r="D71" s="359" t="s">
        <v>161</v>
      </c>
      <c r="E71" s="359" t="s">
        <v>162</v>
      </c>
      <c r="F71" s="358" t="s">
        <v>163</v>
      </c>
      <c r="G71" s="359" t="s">
        <v>164</v>
      </c>
      <c r="H71" s="358"/>
      <c r="I71" s="358"/>
      <c r="J71" s="358" t="s">
        <v>165</v>
      </c>
      <c r="K71" s="361"/>
      <c r="L71" s="359"/>
      <c r="M71" s="359"/>
      <c r="N71" s="358"/>
      <c r="O71" s="358"/>
      <c r="P71" s="358"/>
      <c r="Q71" s="358"/>
      <c r="R71" s="360"/>
      <c r="S71" s="358"/>
      <c r="T71" s="359" t="s">
        <v>166</v>
      </c>
    </row>
    <row r="72" ht="34.5">
      <c r="A72" s="359" t="s">
        <v>228</v>
      </c>
      <c r="B72" s="359" t="s">
        <v>229</v>
      </c>
      <c r="C72" s="359" t="s">
        <v>230</v>
      </c>
      <c r="D72" s="359" t="s">
        <v>161</v>
      </c>
      <c r="E72" s="359" t="s">
        <v>162</v>
      </c>
      <c r="F72" s="358" t="s">
        <v>163</v>
      </c>
      <c r="G72" s="359" t="s">
        <v>164</v>
      </c>
      <c r="H72" s="358"/>
      <c r="I72" s="358"/>
      <c r="J72" s="358" t="s">
        <v>215</v>
      </c>
      <c r="K72" s="361">
        <v>50000</v>
      </c>
      <c r="L72" s="359" t="s">
        <v>168</v>
      </c>
      <c r="M72" s="359"/>
      <c r="N72" s="358"/>
      <c r="O72" s="358"/>
      <c r="P72" s="358"/>
      <c r="Q72" s="358"/>
      <c r="R72" s="360"/>
      <c r="S72" s="358"/>
      <c r="T72" s="359" t="s">
        <v>166</v>
      </c>
    </row>
    <row r="73" ht="34.5">
      <c r="A73" s="359" t="s">
        <v>228</v>
      </c>
      <c r="B73" s="359" t="s">
        <v>229</v>
      </c>
      <c r="C73" s="359" t="s">
        <v>230</v>
      </c>
      <c r="D73" s="359" t="s">
        <v>161</v>
      </c>
      <c r="E73" s="359" t="s">
        <v>162</v>
      </c>
      <c r="F73" s="358" t="s">
        <v>163</v>
      </c>
      <c r="G73" s="359" t="s">
        <v>164</v>
      </c>
      <c r="H73" s="358"/>
      <c r="I73" s="358"/>
      <c r="J73" s="358" t="s">
        <v>169</v>
      </c>
      <c r="K73" s="361"/>
      <c r="L73" s="359"/>
      <c r="M73" s="359"/>
      <c r="N73" s="358"/>
      <c r="O73" s="358"/>
      <c r="P73" s="358"/>
      <c r="Q73" s="358"/>
      <c r="R73" s="360"/>
      <c r="S73" s="358"/>
      <c r="T73" s="359" t="s">
        <v>166</v>
      </c>
    </row>
    <row r="74" ht="34.5">
      <c r="A74" s="359" t="s">
        <v>228</v>
      </c>
      <c r="B74" s="359" t="s">
        <v>229</v>
      </c>
      <c r="C74" s="359" t="s">
        <v>230</v>
      </c>
      <c r="D74" s="359" t="s">
        <v>161</v>
      </c>
      <c r="E74" s="359" t="s">
        <v>162</v>
      </c>
      <c r="F74" s="358" t="s">
        <v>163</v>
      </c>
      <c r="G74" s="359" t="s">
        <v>164</v>
      </c>
      <c r="H74" s="358"/>
      <c r="I74" s="358"/>
      <c r="J74" s="358" t="s">
        <v>170</v>
      </c>
      <c r="K74" s="361"/>
      <c r="L74" s="359"/>
      <c r="M74" s="359"/>
      <c r="N74" s="358"/>
      <c r="O74" s="358"/>
      <c r="P74" s="358"/>
      <c r="Q74" s="358"/>
      <c r="R74" s="360"/>
      <c r="S74" s="358"/>
      <c r="T74" s="359" t="s">
        <v>166</v>
      </c>
    </row>
    <row r="75" ht="34.5">
      <c r="A75" s="359" t="s">
        <v>228</v>
      </c>
      <c r="B75" s="359" t="s">
        <v>229</v>
      </c>
      <c r="C75" s="359" t="s">
        <v>230</v>
      </c>
      <c r="D75" s="359" t="s">
        <v>161</v>
      </c>
      <c r="E75" s="359" t="s">
        <v>162</v>
      </c>
      <c r="F75" s="358" t="s">
        <v>163</v>
      </c>
      <c r="G75" s="359" t="s">
        <v>164</v>
      </c>
      <c r="H75" s="358"/>
      <c r="I75" s="358"/>
      <c r="J75" s="358" t="s">
        <v>171</v>
      </c>
      <c r="K75" s="361"/>
      <c r="L75" s="359"/>
      <c r="M75" s="359"/>
      <c r="N75" s="358"/>
      <c r="O75" s="358"/>
      <c r="P75" s="358"/>
      <c r="Q75" s="358"/>
      <c r="R75" s="360"/>
      <c r="S75" s="358"/>
      <c r="T75" s="359" t="s">
        <v>166</v>
      </c>
    </row>
    <row r="76" ht="34.5">
      <c r="A76" s="359" t="s">
        <v>228</v>
      </c>
      <c r="B76" s="359" t="s">
        <v>229</v>
      </c>
      <c r="C76" s="359" t="s">
        <v>230</v>
      </c>
      <c r="D76" s="359" t="s">
        <v>161</v>
      </c>
      <c r="E76" s="359" t="s">
        <v>162</v>
      </c>
      <c r="F76" s="358" t="s">
        <v>163</v>
      </c>
      <c r="G76" s="359" t="s">
        <v>164</v>
      </c>
      <c r="H76" s="358"/>
      <c r="I76" s="358"/>
      <c r="J76" s="358" t="s">
        <v>172</v>
      </c>
      <c r="K76" s="361"/>
      <c r="L76" s="359"/>
      <c r="M76" s="359"/>
      <c r="N76" s="358"/>
      <c r="O76" s="358"/>
      <c r="P76" s="358"/>
      <c r="Q76" s="358"/>
      <c r="R76" s="360"/>
      <c r="S76" s="358"/>
      <c r="T76" s="359" t="s">
        <v>166</v>
      </c>
    </row>
    <row r="77" ht="34.5">
      <c r="A77" s="359" t="s">
        <v>228</v>
      </c>
      <c r="B77" s="359" t="s">
        <v>229</v>
      </c>
      <c r="C77" s="359" t="s">
        <v>230</v>
      </c>
      <c r="D77" s="359" t="s">
        <v>161</v>
      </c>
      <c r="E77" s="359" t="s">
        <v>162</v>
      </c>
      <c r="F77" s="358" t="s">
        <v>163</v>
      </c>
      <c r="G77" s="359" t="s">
        <v>164</v>
      </c>
      <c r="H77" s="358"/>
      <c r="I77" s="358"/>
      <c r="J77" s="358" t="s">
        <v>173</v>
      </c>
      <c r="K77" s="361"/>
      <c r="L77" s="359"/>
      <c r="M77" s="359"/>
      <c r="N77" s="358"/>
      <c r="O77" s="358"/>
      <c r="P77" s="358"/>
      <c r="Q77" s="358"/>
      <c r="R77" s="360"/>
      <c r="S77" s="358"/>
      <c r="T77" s="359" t="s">
        <v>166</v>
      </c>
    </row>
    <row r="78" ht="34.5">
      <c r="A78" s="359" t="s">
        <v>228</v>
      </c>
      <c r="B78" s="359" t="s">
        <v>229</v>
      </c>
      <c r="C78" s="359" t="s">
        <v>230</v>
      </c>
      <c r="D78" s="359" t="s">
        <v>161</v>
      </c>
      <c r="E78" s="359" t="s">
        <v>162</v>
      </c>
      <c r="F78" s="358" t="s">
        <v>163</v>
      </c>
      <c r="G78" s="359" t="s">
        <v>164</v>
      </c>
      <c r="H78" s="358"/>
      <c r="I78" s="358"/>
      <c r="J78" s="358" t="s">
        <v>231</v>
      </c>
      <c r="K78" s="361">
        <v>66274750</v>
      </c>
      <c r="L78" s="359" t="s">
        <v>168</v>
      </c>
      <c r="M78" s="359"/>
      <c r="N78" s="358"/>
      <c r="O78" s="358"/>
      <c r="P78" s="358"/>
      <c r="Q78" s="358"/>
      <c r="R78" s="360"/>
      <c r="S78" s="358"/>
      <c r="T78" s="359" t="s">
        <v>166</v>
      </c>
    </row>
    <row r="79" ht="34.5">
      <c r="A79" s="359" t="s">
        <v>228</v>
      </c>
      <c r="B79" s="359" t="s">
        <v>229</v>
      </c>
      <c r="C79" s="359" t="s">
        <v>230</v>
      </c>
      <c r="D79" s="359" t="s">
        <v>161</v>
      </c>
      <c r="E79" s="359" t="s">
        <v>162</v>
      </c>
      <c r="F79" s="358" t="s">
        <v>163</v>
      </c>
      <c r="G79" s="359" t="s">
        <v>164</v>
      </c>
      <c r="H79" s="358"/>
      <c r="I79" s="358"/>
      <c r="J79" s="358" t="s">
        <v>232</v>
      </c>
      <c r="K79" s="361"/>
      <c r="L79" s="359"/>
      <c r="M79" s="359"/>
      <c r="N79" s="358"/>
      <c r="O79" s="358"/>
      <c r="P79" s="358"/>
      <c r="Q79" s="358"/>
      <c r="R79" s="360"/>
      <c r="S79" s="358"/>
      <c r="T79" s="359" t="s">
        <v>166</v>
      </c>
    </row>
    <row r="80" ht="34.5">
      <c r="A80" s="359" t="s">
        <v>228</v>
      </c>
      <c r="B80" s="359" t="s">
        <v>229</v>
      </c>
      <c r="C80" s="359" t="s">
        <v>230</v>
      </c>
      <c r="D80" s="359" t="s">
        <v>161</v>
      </c>
      <c r="E80" s="359" t="s">
        <v>162</v>
      </c>
      <c r="F80" s="358" t="s">
        <v>163</v>
      </c>
      <c r="G80" s="359" t="s">
        <v>164</v>
      </c>
      <c r="H80" s="358"/>
      <c r="I80" s="358"/>
      <c r="J80" s="358" t="s">
        <v>176</v>
      </c>
      <c r="K80" s="361"/>
      <c r="L80" s="359"/>
      <c r="M80" s="359"/>
      <c r="N80" s="358"/>
      <c r="O80" s="358"/>
      <c r="P80" s="358"/>
      <c r="Q80" s="358"/>
      <c r="R80" s="360"/>
      <c r="S80" s="358"/>
      <c r="T80" s="359" t="s">
        <v>166</v>
      </c>
    </row>
    <row r="81" ht="34.5">
      <c r="A81" s="359" t="s">
        <v>228</v>
      </c>
      <c r="B81" s="359" t="s">
        <v>229</v>
      </c>
      <c r="C81" s="359" t="s">
        <v>230</v>
      </c>
      <c r="D81" s="359" t="s">
        <v>161</v>
      </c>
      <c r="E81" s="359" t="s">
        <v>162</v>
      </c>
      <c r="F81" s="358" t="s">
        <v>163</v>
      </c>
      <c r="G81" s="359" t="s">
        <v>164</v>
      </c>
      <c r="H81" s="358"/>
      <c r="I81" s="358"/>
      <c r="J81" s="358" t="s">
        <v>177</v>
      </c>
      <c r="K81" s="361"/>
      <c r="L81" s="359"/>
      <c r="M81" s="359"/>
      <c r="N81" s="358"/>
      <c r="O81" s="358"/>
      <c r="P81" s="358"/>
      <c r="Q81" s="358"/>
      <c r="R81" s="360"/>
      <c r="S81" s="358"/>
      <c r="T81" s="359" t="s">
        <v>166</v>
      </c>
    </row>
    <row r="82" ht="34.5">
      <c r="A82" s="359" t="s">
        <v>228</v>
      </c>
      <c r="B82" s="359" t="s">
        <v>229</v>
      </c>
      <c r="C82" s="359" t="s">
        <v>233</v>
      </c>
      <c r="D82" s="359" t="s">
        <v>161</v>
      </c>
      <c r="E82" s="359" t="s">
        <v>179</v>
      </c>
      <c r="F82" s="358" t="s">
        <v>180</v>
      </c>
      <c r="G82" s="359" t="s">
        <v>164</v>
      </c>
      <c r="H82" s="358"/>
      <c r="I82" s="358"/>
      <c r="J82" s="358" t="s">
        <v>181</v>
      </c>
      <c r="K82" s="361"/>
      <c r="L82" s="359"/>
      <c r="M82" s="359"/>
      <c r="N82" s="358"/>
      <c r="O82" s="358"/>
      <c r="P82" s="358"/>
      <c r="Q82" s="358"/>
      <c r="R82" s="360"/>
      <c r="S82" s="358"/>
      <c r="T82" s="359" t="s">
        <v>166</v>
      </c>
    </row>
    <row r="83" ht="34.5">
      <c r="A83" s="359" t="s">
        <v>228</v>
      </c>
      <c r="B83" s="359" t="s">
        <v>229</v>
      </c>
      <c r="C83" s="359" t="s">
        <v>233</v>
      </c>
      <c r="D83" s="359" t="s">
        <v>161</v>
      </c>
      <c r="E83" s="359" t="s">
        <v>179</v>
      </c>
      <c r="F83" s="358" t="s">
        <v>180</v>
      </c>
      <c r="G83" s="359" t="s">
        <v>164</v>
      </c>
      <c r="H83" s="358"/>
      <c r="I83" s="358"/>
      <c r="J83" s="358" t="s">
        <v>234</v>
      </c>
      <c r="K83" s="361"/>
      <c r="L83" s="359"/>
      <c r="M83" s="359"/>
      <c r="N83" s="358"/>
      <c r="O83" s="358"/>
      <c r="P83" s="358"/>
      <c r="Q83" s="358"/>
      <c r="R83" s="360"/>
      <c r="S83" s="358"/>
      <c r="T83" s="359" t="s">
        <v>166</v>
      </c>
    </row>
    <row r="84" ht="34.5">
      <c r="A84" s="359" t="s">
        <v>228</v>
      </c>
      <c r="B84" s="359" t="s">
        <v>229</v>
      </c>
      <c r="C84" s="359" t="s">
        <v>233</v>
      </c>
      <c r="D84" s="359" t="s">
        <v>161</v>
      </c>
      <c r="E84" s="359" t="s">
        <v>179</v>
      </c>
      <c r="F84" s="358" t="s">
        <v>180</v>
      </c>
      <c r="G84" s="359" t="s">
        <v>164</v>
      </c>
      <c r="H84" s="358"/>
      <c r="I84" s="358"/>
      <c r="J84" s="358" t="s">
        <v>183</v>
      </c>
      <c r="K84" s="361"/>
      <c r="L84" s="359"/>
      <c r="M84" s="359"/>
      <c r="N84" s="358"/>
      <c r="O84" s="358"/>
      <c r="P84" s="358"/>
      <c r="Q84" s="358"/>
      <c r="R84" s="360"/>
      <c r="S84" s="358"/>
      <c r="T84" s="359" t="s">
        <v>166</v>
      </c>
    </row>
    <row r="85" ht="34.5">
      <c r="A85" s="359" t="s">
        <v>228</v>
      </c>
      <c r="B85" s="359" t="s">
        <v>229</v>
      </c>
      <c r="C85" s="359" t="s">
        <v>233</v>
      </c>
      <c r="D85" s="359" t="s">
        <v>161</v>
      </c>
      <c r="E85" s="359" t="s">
        <v>179</v>
      </c>
      <c r="F85" s="358" t="s">
        <v>180</v>
      </c>
      <c r="G85" s="359" t="s">
        <v>164</v>
      </c>
      <c r="H85" s="358"/>
      <c r="I85" s="358"/>
      <c r="J85" s="358" t="s">
        <v>184</v>
      </c>
      <c r="K85" s="361"/>
      <c r="L85" s="359"/>
      <c r="M85" s="359"/>
      <c r="N85" s="358"/>
      <c r="O85" s="358"/>
      <c r="P85" s="358"/>
      <c r="Q85" s="358"/>
      <c r="R85" s="360"/>
      <c r="S85" s="358"/>
      <c r="T85" s="359" t="s">
        <v>166</v>
      </c>
    </row>
    <row r="86" ht="34.5">
      <c r="A86" s="359" t="s">
        <v>228</v>
      </c>
      <c r="B86" s="359" t="s">
        <v>229</v>
      </c>
      <c r="C86" s="359" t="s">
        <v>233</v>
      </c>
      <c r="D86" s="359" t="s">
        <v>161</v>
      </c>
      <c r="E86" s="359" t="s">
        <v>185</v>
      </c>
      <c r="F86" s="358" t="s">
        <v>186</v>
      </c>
      <c r="G86" s="359" t="s">
        <v>187</v>
      </c>
      <c r="H86" s="358"/>
      <c r="I86" s="358"/>
      <c r="J86" s="358" t="s">
        <v>188</v>
      </c>
      <c r="K86" s="361"/>
      <c r="L86" s="359"/>
      <c r="M86" s="359"/>
      <c r="N86" s="358"/>
      <c r="O86" s="358"/>
      <c r="P86" s="358"/>
      <c r="Q86" s="358"/>
      <c r="R86" s="360"/>
      <c r="S86" s="358"/>
      <c r="T86" s="359" t="s">
        <v>166</v>
      </c>
    </row>
    <row r="87" ht="34.5">
      <c r="A87" s="359" t="s">
        <v>228</v>
      </c>
      <c r="B87" s="359" t="s">
        <v>229</v>
      </c>
      <c r="C87" s="359" t="s">
        <v>233</v>
      </c>
      <c r="D87" s="359" t="s">
        <v>161</v>
      </c>
      <c r="E87" s="359" t="s">
        <v>185</v>
      </c>
      <c r="F87" s="358" t="s">
        <v>186</v>
      </c>
      <c r="G87" s="359" t="s">
        <v>187</v>
      </c>
      <c r="H87" s="358"/>
      <c r="I87" s="358"/>
      <c r="J87" s="358" t="s">
        <v>189</v>
      </c>
      <c r="K87" s="361"/>
      <c r="L87" s="359"/>
      <c r="M87" s="359"/>
      <c r="N87" s="358"/>
      <c r="O87" s="358"/>
      <c r="P87" s="358"/>
      <c r="Q87" s="358"/>
      <c r="R87" s="360"/>
      <c r="S87" s="358"/>
      <c r="T87" s="359" t="s">
        <v>166</v>
      </c>
    </row>
    <row r="88" ht="34.5">
      <c r="A88" s="359" t="s">
        <v>228</v>
      </c>
      <c r="B88" s="359" t="s">
        <v>229</v>
      </c>
      <c r="C88" s="359" t="s">
        <v>233</v>
      </c>
      <c r="D88" s="359" t="s">
        <v>161</v>
      </c>
      <c r="E88" s="359" t="s">
        <v>185</v>
      </c>
      <c r="F88" s="358" t="s">
        <v>186</v>
      </c>
      <c r="G88" s="359" t="s">
        <v>187</v>
      </c>
      <c r="H88" s="358"/>
      <c r="I88" s="358"/>
      <c r="J88" s="358" t="s">
        <v>235</v>
      </c>
      <c r="K88" s="361"/>
      <c r="L88" s="359"/>
      <c r="M88" s="359"/>
      <c r="N88" s="358"/>
      <c r="O88" s="358"/>
      <c r="P88" s="358"/>
      <c r="Q88" s="358"/>
      <c r="R88" s="360"/>
      <c r="S88" s="358"/>
      <c r="T88" s="359" t="s">
        <v>166</v>
      </c>
    </row>
    <row r="89" ht="34.5">
      <c r="A89" s="359" t="s">
        <v>228</v>
      </c>
      <c r="B89" s="359" t="s">
        <v>229</v>
      </c>
      <c r="C89" s="359" t="s">
        <v>233</v>
      </c>
      <c r="D89" s="359" t="s">
        <v>161</v>
      </c>
      <c r="E89" s="359" t="s">
        <v>185</v>
      </c>
      <c r="F89" s="358" t="s">
        <v>186</v>
      </c>
      <c r="G89" s="359" t="s">
        <v>187</v>
      </c>
      <c r="H89" s="358"/>
      <c r="I89" s="358"/>
      <c r="J89" s="358" t="s">
        <v>191</v>
      </c>
      <c r="K89" s="361"/>
      <c r="L89" s="359"/>
      <c r="M89" s="359"/>
      <c r="N89" s="358"/>
      <c r="O89" s="358"/>
      <c r="P89" s="358"/>
      <c r="Q89" s="358"/>
      <c r="R89" s="360"/>
      <c r="S89" s="358"/>
      <c r="T89" s="359" t="s">
        <v>166</v>
      </c>
    </row>
    <row r="90" ht="34.5">
      <c r="A90" s="359" t="s">
        <v>228</v>
      </c>
      <c r="B90" s="359" t="s">
        <v>229</v>
      </c>
      <c r="C90" s="359" t="s">
        <v>233</v>
      </c>
      <c r="D90" s="359" t="s">
        <v>161</v>
      </c>
      <c r="E90" s="359" t="s">
        <v>185</v>
      </c>
      <c r="F90" s="358" t="s">
        <v>186</v>
      </c>
      <c r="G90" s="359" t="s">
        <v>187</v>
      </c>
      <c r="H90" s="358"/>
      <c r="I90" s="358"/>
      <c r="J90" s="358" t="s">
        <v>192</v>
      </c>
      <c r="K90" s="361"/>
      <c r="L90" s="359"/>
      <c r="M90" s="359"/>
      <c r="N90" s="358"/>
      <c r="O90" s="358"/>
      <c r="P90" s="358"/>
      <c r="Q90" s="358"/>
      <c r="R90" s="360"/>
      <c r="S90" s="358"/>
      <c r="T90" s="359" t="s">
        <v>166</v>
      </c>
    </row>
    <row r="91" ht="34.5">
      <c r="A91" s="359" t="s">
        <v>228</v>
      </c>
      <c r="B91" s="359" t="s">
        <v>229</v>
      </c>
      <c r="C91" s="359" t="s">
        <v>233</v>
      </c>
      <c r="D91" s="359" t="s">
        <v>161</v>
      </c>
      <c r="E91" s="359" t="s">
        <v>185</v>
      </c>
      <c r="F91" s="358" t="s">
        <v>186</v>
      </c>
      <c r="G91" s="359" t="s">
        <v>187</v>
      </c>
      <c r="H91" s="358"/>
      <c r="I91" s="358"/>
      <c r="J91" s="358" t="s">
        <v>193</v>
      </c>
      <c r="K91" s="361"/>
      <c r="L91" s="359"/>
      <c r="M91" s="359"/>
      <c r="N91" s="358"/>
      <c r="O91" s="358"/>
      <c r="P91" s="358"/>
      <c r="Q91" s="358"/>
      <c r="R91" s="360"/>
      <c r="S91" s="358"/>
      <c r="T91" s="359" t="s">
        <v>166</v>
      </c>
    </row>
    <row r="92" ht="34.5">
      <c r="A92" s="359" t="s">
        <v>228</v>
      </c>
      <c r="B92" s="359" t="s">
        <v>229</v>
      </c>
      <c r="C92" s="359" t="s">
        <v>233</v>
      </c>
      <c r="D92" s="359" t="s">
        <v>161</v>
      </c>
      <c r="E92" s="359" t="s">
        <v>185</v>
      </c>
      <c r="F92" s="358" t="s">
        <v>186</v>
      </c>
      <c r="G92" s="359" t="s">
        <v>187</v>
      </c>
      <c r="H92" s="358"/>
      <c r="I92" s="358"/>
      <c r="J92" s="358" t="s">
        <v>194</v>
      </c>
      <c r="K92" s="361"/>
      <c r="L92" s="359"/>
      <c r="M92" s="359"/>
      <c r="N92" s="358"/>
      <c r="O92" s="358"/>
      <c r="P92" s="358"/>
      <c r="Q92" s="358"/>
      <c r="R92" s="360"/>
      <c r="S92" s="358"/>
      <c r="T92" s="359" t="s">
        <v>166</v>
      </c>
    </row>
    <row r="93" ht="34.5">
      <c r="A93" s="359" t="s">
        <v>228</v>
      </c>
      <c r="B93" s="359" t="s">
        <v>229</v>
      </c>
      <c r="C93" s="359" t="s">
        <v>236</v>
      </c>
      <c r="D93" s="359" t="s">
        <v>161</v>
      </c>
      <c r="E93" s="359" t="s">
        <v>185</v>
      </c>
      <c r="F93" s="358" t="s">
        <v>186</v>
      </c>
      <c r="G93" s="359" t="s">
        <v>187</v>
      </c>
      <c r="H93" s="358"/>
      <c r="I93" s="358"/>
      <c r="J93" s="358" t="s">
        <v>222</v>
      </c>
      <c r="K93" s="361"/>
      <c r="L93" s="359"/>
      <c r="M93" s="359"/>
      <c r="N93" s="358"/>
      <c r="O93" s="358"/>
      <c r="P93" s="358"/>
      <c r="Q93" s="358"/>
      <c r="R93" s="360"/>
      <c r="S93" s="358"/>
      <c r="T93" s="359" t="s">
        <v>166</v>
      </c>
    </row>
    <row r="94" ht="34.5">
      <c r="A94" s="359" t="s">
        <v>228</v>
      </c>
      <c r="B94" s="359" t="s">
        <v>229</v>
      </c>
      <c r="C94" s="359" t="s">
        <v>236</v>
      </c>
      <c r="D94" s="359" t="s">
        <v>161</v>
      </c>
      <c r="E94" s="359" t="s">
        <v>185</v>
      </c>
      <c r="F94" s="358" t="s">
        <v>186</v>
      </c>
      <c r="G94" s="359" t="s">
        <v>187</v>
      </c>
      <c r="H94" s="358"/>
      <c r="I94" s="358"/>
      <c r="J94" s="358" t="s">
        <v>198</v>
      </c>
      <c r="K94" s="361"/>
      <c r="L94" s="359"/>
      <c r="M94" s="359"/>
      <c r="N94" s="358"/>
      <c r="O94" s="358"/>
      <c r="P94" s="358"/>
      <c r="Q94" s="358"/>
      <c r="R94" s="360"/>
      <c r="S94" s="358"/>
      <c r="T94" s="359" t="s">
        <v>166</v>
      </c>
    </row>
    <row r="95" ht="34.5">
      <c r="A95" s="359" t="s">
        <v>228</v>
      </c>
      <c r="B95" s="359" t="s">
        <v>229</v>
      </c>
      <c r="C95" s="359" t="s">
        <v>236</v>
      </c>
      <c r="D95" s="359" t="s">
        <v>161</v>
      </c>
      <c r="E95" s="359" t="s">
        <v>199</v>
      </c>
      <c r="F95" s="358" t="s">
        <v>200</v>
      </c>
      <c r="G95" s="359" t="s">
        <v>164</v>
      </c>
      <c r="H95" s="358"/>
      <c r="I95" s="358"/>
      <c r="J95" s="358" t="s">
        <v>201</v>
      </c>
      <c r="K95" s="361">
        <v>61077310</v>
      </c>
      <c r="L95" s="359" t="s">
        <v>168</v>
      </c>
      <c r="M95" s="359"/>
      <c r="N95" s="358"/>
      <c r="O95" s="358"/>
      <c r="P95" s="358"/>
      <c r="Q95" s="358"/>
      <c r="R95" s="360"/>
      <c r="S95" s="358"/>
      <c r="T95" s="359" t="s">
        <v>166</v>
      </c>
    </row>
    <row r="96" ht="34.5">
      <c r="A96" s="359" t="s">
        <v>228</v>
      </c>
      <c r="B96" s="359" t="s">
        <v>229</v>
      </c>
      <c r="C96" s="359" t="s">
        <v>236</v>
      </c>
      <c r="D96" s="359" t="s">
        <v>161</v>
      </c>
      <c r="E96" s="359" t="s">
        <v>199</v>
      </c>
      <c r="F96" s="358" t="s">
        <v>200</v>
      </c>
      <c r="G96" s="359" t="s">
        <v>164</v>
      </c>
      <c r="H96" s="358"/>
      <c r="I96" s="358"/>
      <c r="J96" s="358" t="s">
        <v>223</v>
      </c>
      <c r="K96" s="361"/>
      <c r="L96" s="359"/>
      <c r="M96" s="359"/>
      <c r="N96" s="358"/>
      <c r="O96" s="358"/>
      <c r="P96" s="358"/>
      <c r="Q96" s="358"/>
      <c r="R96" s="360"/>
      <c r="S96" s="358"/>
      <c r="T96" s="359" t="s">
        <v>166</v>
      </c>
    </row>
    <row r="97" ht="34.5">
      <c r="A97" s="359" t="s">
        <v>228</v>
      </c>
      <c r="B97" s="359" t="s">
        <v>229</v>
      </c>
      <c r="C97" s="359" t="s">
        <v>236</v>
      </c>
      <c r="D97" s="359" t="s">
        <v>161</v>
      </c>
      <c r="E97" s="359" t="s">
        <v>199</v>
      </c>
      <c r="F97" s="358" t="s">
        <v>200</v>
      </c>
      <c r="G97" s="359" t="s">
        <v>164</v>
      </c>
      <c r="H97" s="358"/>
      <c r="I97" s="358"/>
      <c r="J97" s="358" t="s">
        <v>237</v>
      </c>
      <c r="K97" s="361">
        <v>66274750</v>
      </c>
      <c r="L97" s="359" t="s">
        <v>168</v>
      </c>
      <c r="M97" s="359"/>
      <c r="N97" s="358"/>
      <c r="O97" s="358"/>
      <c r="P97" s="358"/>
      <c r="Q97" s="358"/>
      <c r="R97" s="360"/>
      <c r="S97" s="358"/>
      <c r="T97" s="359" t="s">
        <v>166</v>
      </c>
    </row>
    <row r="98" ht="34.5">
      <c r="A98" s="359" t="s">
        <v>228</v>
      </c>
      <c r="B98" s="359" t="s">
        <v>229</v>
      </c>
      <c r="C98" s="359" t="s">
        <v>236</v>
      </c>
      <c r="D98" s="359" t="s">
        <v>238</v>
      </c>
      <c r="E98" s="359" t="s">
        <v>199</v>
      </c>
      <c r="F98" s="358" t="s">
        <v>200</v>
      </c>
      <c r="G98" s="359" t="s">
        <v>164</v>
      </c>
      <c r="H98" s="358"/>
      <c r="I98" s="358"/>
      <c r="J98" s="358" t="s">
        <v>239</v>
      </c>
      <c r="K98" s="361"/>
      <c r="L98" s="359"/>
      <c r="M98" s="359"/>
      <c r="N98" s="358"/>
      <c r="O98" s="358"/>
      <c r="P98" s="358"/>
      <c r="Q98" s="358"/>
      <c r="R98" s="360"/>
      <c r="S98" s="358"/>
      <c r="T98" s="359" t="s">
        <v>166</v>
      </c>
    </row>
    <row r="99" ht="34.5">
      <c r="A99" s="359" t="s">
        <v>228</v>
      </c>
      <c r="B99" s="359" t="s">
        <v>229</v>
      </c>
      <c r="C99" s="359" t="s">
        <v>236</v>
      </c>
      <c r="D99" s="359" t="s">
        <v>161</v>
      </c>
      <c r="E99" s="359" t="s">
        <v>205</v>
      </c>
      <c r="F99" s="358" t="s">
        <v>206</v>
      </c>
      <c r="G99" s="359" t="s">
        <v>207</v>
      </c>
      <c r="H99" s="358"/>
      <c r="I99" s="358"/>
      <c r="J99" s="358" t="s">
        <v>208</v>
      </c>
      <c r="K99" s="361"/>
      <c r="L99" s="359"/>
      <c r="M99" s="359"/>
      <c r="N99" s="358"/>
      <c r="O99" s="358"/>
      <c r="P99" s="358"/>
      <c r="Q99" s="358"/>
      <c r="R99" s="360"/>
      <c r="S99" s="358"/>
      <c r="T99" s="359" t="s">
        <v>166</v>
      </c>
    </row>
    <row r="100" ht="34.5">
      <c r="A100" s="359" t="s">
        <v>228</v>
      </c>
      <c r="B100" s="359" t="s">
        <v>229</v>
      </c>
      <c r="C100" s="359" t="s">
        <v>236</v>
      </c>
      <c r="D100" s="359" t="s">
        <v>161</v>
      </c>
      <c r="E100" s="359" t="s">
        <v>205</v>
      </c>
      <c r="F100" s="358" t="s">
        <v>206</v>
      </c>
      <c r="G100" s="359" t="s">
        <v>207</v>
      </c>
      <c r="H100" s="358"/>
      <c r="I100" s="358"/>
      <c r="J100" s="358" t="s">
        <v>209</v>
      </c>
      <c r="K100" s="361"/>
      <c r="L100" s="359"/>
      <c r="M100" s="359"/>
      <c r="N100" s="358"/>
      <c r="O100" s="358"/>
      <c r="P100" s="358"/>
      <c r="Q100" s="358"/>
      <c r="R100" s="360"/>
      <c r="S100" s="358"/>
      <c r="T100" s="359" t="s">
        <v>166</v>
      </c>
    </row>
    <row r="101" ht="34.5">
      <c r="A101" s="359" t="s">
        <v>228</v>
      </c>
      <c r="B101" s="359" t="s">
        <v>229</v>
      </c>
      <c r="C101" s="359" t="s">
        <v>236</v>
      </c>
      <c r="D101" s="359" t="s">
        <v>161</v>
      </c>
      <c r="E101" s="359" t="s">
        <v>205</v>
      </c>
      <c r="F101" s="358" t="s">
        <v>206</v>
      </c>
      <c r="G101" s="359" t="s">
        <v>207</v>
      </c>
      <c r="H101" s="358"/>
      <c r="I101" s="358"/>
      <c r="J101" s="358" t="s">
        <v>240</v>
      </c>
      <c r="K101" s="361"/>
      <c r="L101" s="359"/>
      <c r="M101" s="359"/>
      <c r="N101" s="358"/>
      <c r="O101" s="358"/>
      <c r="P101" s="358"/>
      <c r="Q101" s="358"/>
      <c r="R101" s="360"/>
      <c r="S101" s="358"/>
      <c r="T101" s="359" t="s">
        <v>166</v>
      </c>
    </row>
    <row r="102" ht="34.5">
      <c r="A102" s="359" t="s">
        <v>241</v>
      </c>
      <c r="B102" s="359" t="s">
        <v>242</v>
      </c>
      <c r="C102" s="359" t="s">
        <v>243</v>
      </c>
      <c r="D102" s="359" t="s">
        <v>161</v>
      </c>
      <c r="E102" s="359" t="s">
        <v>162</v>
      </c>
      <c r="F102" s="358" t="s">
        <v>163</v>
      </c>
      <c r="G102" s="359" t="s">
        <v>164</v>
      </c>
      <c r="H102" s="358"/>
      <c r="I102" s="358"/>
      <c r="J102" s="358" t="s">
        <v>165</v>
      </c>
      <c r="K102" s="361"/>
      <c r="L102" s="359"/>
      <c r="M102" s="359"/>
      <c r="N102" s="358"/>
      <c r="O102" s="358"/>
      <c r="P102" s="358"/>
      <c r="Q102" s="358"/>
      <c r="R102" s="360"/>
      <c r="S102" s="358"/>
      <c r="T102" s="359" t="s">
        <v>166</v>
      </c>
    </row>
    <row r="103" ht="34.5">
      <c r="A103" s="359" t="s">
        <v>241</v>
      </c>
      <c r="B103" s="359" t="s">
        <v>242</v>
      </c>
      <c r="C103" s="359" t="s">
        <v>243</v>
      </c>
      <c r="D103" s="359" t="s">
        <v>161</v>
      </c>
      <c r="E103" s="359" t="s">
        <v>162</v>
      </c>
      <c r="F103" s="358" t="s">
        <v>163</v>
      </c>
      <c r="G103" s="359" t="s">
        <v>164</v>
      </c>
      <c r="H103" s="358"/>
      <c r="I103" s="358"/>
      <c r="J103" s="358" t="s">
        <v>244</v>
      </c>
      <c r="K103" s="361">
        <v>50000</v>
      </c>
      <c r="L103" s="359" t="s">
        <v>168</v>
      </c>
      <c r="M103" s="359"/>
      <c r="N103" s="358"/>
      <c r="O103" s="358"/>
      <c r="P103" s="358"/>
      <c r="Q103" s="358"/>
      <c r="R103" s="360"/>
      <c r="S103" s="358"/>
      <c r="T103" s="359" t="s">
        <v>166</v>
      </c>
    </row>
    <row r="104" ht="34.5">
      <c r="A104" s="359" t="s">
        <v>241</v>
      </c>
      <c r="B104" s="359" t="s">
        <v>242</v>
      </c>
      <c r="C104" s="359" t="s">
        <v>243</v>
      </c>
      <c r="D104" s="359" t="s">
        <v>161</v>
      </c>
      <c r="E104" s="359" t="s">
        <v>162</v>
      </c>
      <c r="F104" s="358" t="s">
        <v>163</v>
      </c>
      <c r="G104" s="359" t="s">
        <v>164</v>
      </c>
      <c r="H104" s="358"/>
      <c r="I104" s="358"/>
      <c r="J104" s="358" t="s">
        <v>169</v>
      </c>
      <c r="K104" s="361"/>
      <c r="L104" s="359"/>
      <c r="M104" s="359"/>
      <c r="N104" s="358"/>
      <c r="O104" s="358"/>
      <c r="P104" s="358"/>
      <c r="Q104" s="358"/>
      <c r="R104" s="360"/>
      <c r="S104" s="358"/>
      <c r="T104" s="359" t="s">
        <v>166</v>
      </c>
    </row>
    <row r="105" ht="34.5">
      <c r="A105" s="359" t="s">
        <v>241</v>
      </c>
      <c r="B105" s="359" t="s">
        <v>242</v>
      </c>
      <c r="C105" s="359" t="s">
        <v>243</v>
      </c>
      <c r="D105" s="359" t="s">
        <v>161</v>
      </c>
      <c r="E105" s="359" t="s">
        <v>162</v>
      </c>
      <c r="F105" s="358" t="s">
        <v>163</v>
      </c>
      <c r="G105" s="359" t="s">
        <v>164</v>
      </c>
      <c r="H105" s="358"/>
      <c r="I105" s="358"/>
      <c r="J105" s="358" t="s">
        <v>170</v>
      </c>
      <c r="K105" s="361"/>
      <c r="L105" s="359"/>
      <c r="M105" s="359"/>
      <c r="N105" s="358"/>
      <c r="O105" s="358"/>
      <c r="P105" s="358"/>
      <c r="Q105" s="358"/>
      <c r="R105" s="360"/>
      <c r="S105" s="358"/>
      <c r="T105" s="359" t="s">
        <v>166</v>
      </c>
    </row>
    <row r="106" ht="34.5">
      <c r="A106" s="359" t="s">
        <v>241</v>
      </c>
      <c r="B106" s="359" t="s">
        <v>242</v>
      </c>
      <c r="C106" s="359" t="s">
        <v>243</v>
      </c>
      <c r="D106" s="359" t="s">
        <v>161</v>
      </c>
      <c r="E106" s="359" t="s">
        <v>162</v>
      </c>
      <c r="F106" s="358" t="s">
        <v>163</v>
      </c>
      <c r="G106" s="359" t="s">
        <v>164</v>
      </c>
      <c r="H106" s="358"/>
      <c r="I106" s="358"/>
      <c r="J106" s="358" t="s">
        <v>171</v>
      </c>
      <c r="K106" s="361"/>
      <c r="L106" s="359"/>
      <c r="M106" s="359"/>
      <c r="N106" s="358"/>
      <c r="O106" s="358"/>
      <c r="P106" s="358"/>
      <c r="Q106" s="358"/>
      <c r="R106" s="360"/>
      <c r="S106" s="358"/>
      <c r="T106" s="359" t="s">
        <v>166</v>
      </c>
    </row>
    <row r="107" ht="34.5">
      <c r="A107" s="359" t="s">
        <v>241</v>
      </c>
      <c r="B107" s="359" t="s">
        <v>242</v>
      </c>
      <c r="C107" s="359" t="s">
        <v>243</v>
      </c>
      <c r="D107" s="359" t="s">
        <v>161</v>
      </c>
      <c r="E107" s="359" t="s">
        <v>162</v>
      </c>
      <c r="F107" s="358" t="s">
        <v>163</v>
      </c>
      <c r="G107" s="359" t="s">
        <v>164</v>
      </c>
      <c r="H107" s="358"/>
      <c r="I107" s="358"/>
      <c r="J107" s="358" t="s">
        <v>172</v>
      </c>
      <c r="K107" s="361"/>
      <c r="L107" s="359"/>
      <c r="M107" s="359"/>
      <c r="N107" s="358"/>
      <c r="O107" s="358"/>
      <c r="P107" s="358"/>
      <c r="Q107" s="358"/>
      <c r="R107" s="360"/>
      <c r="S107" s="358"/>
      <c r="T107" s="359" t="s">
        <v>166</v>
      </c>
    </row>
    <row r="108" ht="34.5">
      <c r="A108" s="359" t="s">
        <v>241</v>
      </c>
      <c r="B108" s="359" t="s">
        <v>242</v>
      </c>
      <c r="C108" s="359" t="s">
        <v>243</v>
      </c>
      <c r="D108" s="359" t="s">
        <v>161</v>
      </c>
      <c r="E108" s="359" t="s">
        <v>162</v>
      </c>
      <c r="F108" s="358" t="s">
        <v>163</v>
      </c>
      <c r="G108" s="359" t="s">
        <v>164</v>
      </c>
      <c r="H108" s="358"/>
      <c r="I108" s="358"/>
      <c r="J108" s="358" t="s">
        <v>173</v>
      </c>
      <c r="K108" s="361"/>
      <c r="L108" s="359"/>
      <c r="M108" s="359"/>
      <c r="N108" s="358"/>
      <c r="O108" s="358"/>
      <c r="P108" s="358"/>
      <c r="Q108" s="358"/>
      <c r="R108" s="360"/>
      <c r="S108" s="358"/>
      <c r="T108" s="359" t="s">
        <v>166</v>
      </c>
    </row>
    <row r="109" ht="34.5">
      <c r="A109" s="359" t="s">
        <v>241</v>
      </c>
      <c r="B109" s="359" t="s">
        <v>242</v>
      </c>
      <c r="C109" s="359" t="s">
        <v>243</v>
      </c>
      <c r="D109" s="359" t="s">
        <v>161</v>
      </c>
      <c r="E109" s="359" t="s">
        <v>162</v>
      </c>
      <c r="F109" s="358" t="s">
        <v>163</v>
      </c>
      <c r="G109" s="359" t="s">
        <v>164</v>
      </c>
      <c r="H109" s="358"/>
      <c r="I109" s="358"/>
      <c r="J109" s="358" t="s">
        <v>245</v>
      </c>
      <c r="K109" s="361">
        <v>66274750</v>
      </c>
      <c r="L109" s="359" t="s">
        <v>168</v>
      </c>
      <c r="M109" s="359"/>
      <c r="N109" s="358"/>
      <c r="O109" s="358"/>
      <c r="P109" s="358"/>
      <c r="Q109" s="358"/>
      <c r="R109" s="360"/>
      <c r="S109" s="358"/>
      <c r="T109" s="359" t="s">
        <v>166</v>
      </c>
    </row>
    <row r="110" ht="34.5">
      <c r="A110" s="359" t="s">
        <v>241</v>
      </c>
      <c r="B110" s="359" t="s">
        <v>242</v>
      </c>
      <c r="C110" s="359" t="s">
        <v>243</v>
      </c>
      <c r="D110" s="359" t="s">
        <v>161</v>
      </c>
      <c r="E110" s="359" t="s">
        <v>162</v>
      </c>
      <c r="F110" s="358" t="s">
        <v>163</v>
      </c>
      <c r="G110" s="359" t="s">
        <v>164</v>
      </c>
      <c r="H110" s="358"/>
      <c r="I110" s="358"/>
      <c r="J110" s="358" t="s">
        <v>246</v>
      </c>
      <c r="K110" s="361"/>
      <c r="L110" s="359"/>
      <c r="M110" s="359"/>
      <c r="N110" s="358"/>
      <c r="O110" s="358"/>
      <c r="P110" s="358"/>
      <c r="Q110" s="358"/>
      <c r="R110" s="360"/>
      <c r="S110" s="358"/>
      <c r="T110" s="359" t="s">
        <v>166</v>
      </c>
    </row>
    <row r="111" ht="34.5">
      <c r="A111" s="359" t="s">
        <v>241</v>
      </c>
      <c r="B111" s="359" t="s">
        <v>242</v>
      </c>
      <c r="C111" s="359" t="s">
        <v>243</v>
      </c>
      <c r="D111" s="359" t="s">
        <v>161</v>
      </c>
      <c r="E111" s="359" t="s">
        <v>162</v>
      </c>
      <c r="F111" s="358" t="s">
        <v>163</v>
      </c>
      <c r="G111" s="359" t="s">
        <v>164</v>
      </c>
      <c r="H111" s="358"/>
      <c r="I111" s="358"/>
      <c r="J111" s="358" t="s">
        <v>176</v>
      </c>
      <c r="K111" s="361"/>
      <c r="L111" s="359"/>
      <c r="M111" s="359"/>
      <c r="N111" s="358"/>
      <c r="O111" s="358"/>
      <c r="P111" s="358"/>
      <c r="Q111" s="358"/>
      <c r="R111" s="360"/>
      <c r="S111" s="358"/>
      <c r="T111" s="359" t="s">
        <v>166</v>
      </c>
    </row>
    <row r="112" ht="34.5">
      <c r="A112" s="359" t="s">
        <v>241</v>
      </c>
      <c r="B112" s="359" t="s">
        <v>242</v>
      </c>
      <c r="C112" s="359" t="s">
        <v>243</v>
      </c>
      <c r="D112" s="359" t="s">
        <v>161</v>
      </c>
      <c r="E112" s="359" t="s">
        <v>162</v>
      </c>
      <c r="F112" s="358" t="s">
        <v>163</v>
      </c>
      <c r="G112" s="359" t="s">
        <v>164</v>
      </c>
      <c r="H112" s="358"/>
      <c r="I112" s="358"/>
      <c r="J112" s="358" t="s">
        <v>247</v>
      </c>
      <c r="K112" s="361"/>
      <c r="L112" s="359"/>
      <c r="M112" s="359"/>
      <c r="N112" s="358"/>
      <c r="O112" s="358"/>
      <c r="P112" s="358"/>
      <c r="Q112" s="358"/>
      <c r="R112" s="360"/>
      <c r="S112" s="358"/>
      <c r="T112" s="359" t="s">
        <v>166</v>
      </c>
    </row>
    <row r="113" ht="34.5">
      <c r="A113" s="359" t="s">
        <v>241</v>
      </c>
      <c r="B113" s="359" t="s">
        <v>242</v>
      </c>
      <c r="C113" s="359" t="s">
        <v>248</v>
      </c>
      <c r="D113" s="359" t="s">
        <v>161</v>
      </c>
      <c r="E113" s="359" t="s">
        <v>179</v>
      </c>
      <c r="F113" s="358" t="s">
        <v>180</v>
      </c>
      <c r="G113" s="359" t="s">
        <v>164</v>
      </c>
      <c r="H113" s="358"/>
      <c r="I113" s="358"/>
      <c r="J113" s="358" t="s">
        <v>181</v>
      </c>
      <c r="K113" s="361"/>
      <c r="L113" s="359"/>
      <c r="M113" s="359"/>
      <c r="N113" s="358"/>
      <c r="O113" s="358"/>
      <c r="P113" s="358"/>
      <c r="Q113" s="358"/>
      <c r="R113" s="360"/>
      <c r="S113" s="358"/>
      <c r="T113" s="359" t="s">
        <v>166</v>
      </c>
    </row>
    <row r="114" ht="34.5">
      <c r="A114" s="359" t="s">
        <v>241</v>
      </c>
      <c r="B114" s="359" t="s">
        <v>242</v>
      </c>
      <c r="C114" s="359" t="s">
        <v>248</v>
      </c>
      <c r="D114" s="359" t="s">
        <v>161</v>
      </c>
      <c r="E114" s="359" t="s">
        <v>179</v>
      </c>
      <c r="F114" s="358" t="s">
        <v>180</v>
      </c>
      <c r="G114" s="359" t="s">
        <v>164</v>
      </c>
      <c r="H114" s="358"/>
      <c r="I114" s="358"/>
      <c r="J114" s="358" t="s">
        <v>249</v>
      </c>
      <c r="K114" s="361"/>
      <c r="L114" s="359"/>
      <c r="M114" s="359"/>
      <c r="N114" s="358"/>
      <c r="O114" s="358"/>
      <c r="P114" s="358"/>
      <c r="Q114" s="358"/>
      <c r="R114" s="360"/>
      <c r="S114" s="358"/>
      <c r="T114" s="359" t="s">
        <v>166</v>
      </c>
    </row>
    <row r="115" ht="34.5">
      <c r="A115" s="359" t="s">
        <v>241</v>
      </c>
      <c r="B115" s="359" t="s">
        <v>242</v>
      </c>
      <c r="C115" s="359" t="s">
        <v>248</v>
      </c>
      <c r="D115" s="359" t="s">
        <v>161</v>
      </c>
      <c r="E115" s="359" t="s">
        <v>179</v>
      </c>
      <c r="F115" s="358" t="s">
        <v>180</v>
      </c>
      <c r="G115" s="359" t="s">
        <v>164</v>
      </c>
      <c r="H115" s="358"/>
      <c r="I115" s="358"/>
      <c r="J115" s="358" t="s">
        <v>183</v>
      </c>
      <c r="K115" s="361"/>
      <c r="L115" s="359"/>
      <c r="M115" s="359"/>
      <c r="N115" s="358"/>
      <c r="O115" s="358"/>
      <c r="P115" s="358"/>
      <c r="Q115" s="358"/>
      <c r="R115" s="360"/>
      <c r="S115" s="358"/>
      <c r="T115" s="359" t="s">
        <v>166</v>
      </c>
    </row>
    <row r="116" ht="34.5">
      <c r="A116" s="359" t="s">
        <v>241</v>
      </c>
      <c r="B116" s="359" t="s">
        <v>242</v>
      </c>
      <c r="C116" s="359" t="s">
        <v>248</v>
      </c>
      <c r="D116" s="359" t="s">
        <v>161</v>
      </c>
      <c r="E116" s="359" t="s">
        <v>179</v>
      </c>
      <c r="F116" s="358" t="s">
        <v>180</v>
      </c>
      <c r="G116" s="359" t="s">
        <v>164</v>
      </c>
      <c r="H116" s="358"/>
      <c r="I116" s="358"/>
      <c r="J116" s="358" t="s">
        <v>184</v>
      </c>
      <c r="K116" s="361"/>
      <c r="L116" s="359"/>
      <c r="M116" s="359"/>
      <c r="N116" s="358"/>
      <c r="O116" s="358"/>
      <c r="P116" s="358"/>
      <c r="Q116" s="358"/>
      <c r="R116" s="360"/>
      <c r="S116" s="358"/>
      <c r="T116" s="359" t="s">
        <v>166</v>
      </c>
    </row>
    <row r="117" ht="34.5">
      <c r="A117" s="359" t="s">
        <v>241</v>
      </c>
      <c r="B117" s="359" t="s">
        <v>242</v>
      </c>
      <c r="C117" s="359" t="s">
        <v>248</v>
      </c>
      <c r="D117" s="359" t="s">
        <v>161</v>
      </c>
      <c r="E117" s="359" t="s">
        <v>185</v>
      </c>
      <c r="F117" s="358" t="s">
        <v>186</v>
      </c>
      <c r="G117" s="359" t="s">
        <v>187</v>
      </c>
      <c r="H117" s="358"/>
      <c r="I117" s="358"/>
      <c r="J117" s="358" t="s">
        <v>188</v>
      </c>
      <c r="K117" s="361"/>
      <c r="L117" s="359"/>
      <c r="M117" s="359"/>
      <c r="N117" s="358"/>
      <c r="O117" s="358"/>
      <c r="P117" s="358"/>
      <c r="Q117" s="358"/>
      <c r="R117" s="360"/>
      <c r="S117" s="358"/>
      <c r="T117" s="359" t="s">
        <v>166</v>
      </c>
    </row>
    <row r="118" ht="34.5">
      <c r="A118" s="359" t="s">
        <v>241</v>
      </c>
      <c r="B118" s="359" t="s">
        <v>242</v>
      </c>
      <c r="C118" s="359" t="s">
        <v>248</v>
      </c>
      <c r="D118" s="359" t="s">
        <v>161</v>
      </c>
      <c r="E118" s="359" t="s">
        <v>185</v>
      </c>
      <c r="F118" s="358" t="s">
        <v>186</v>
      </c>
      <c r="G118" s="359" t="s">
        <v>187</v>
      </c>
      <c r="H118" s="358"/>
      <c r="I118" s="358"/>
      <c r="J118" s="358" t="s">
        <v>189</v>
      </c>
      <c r="K118" s="361"/>
      <c r="L118" s="359"/>
      <c r="M118" s="359"/>
      <c r="N118" s="358"/>
      <c r="O118" s="358"/>
      <c r="P118" s="358"/>
      <c r="Q118" s="358"/>
      <c r="R118" s="360"/>
      <c r="S118" s="358"/>
      <c r="T118" s="359" t="s">
        <v>166</v>
      </c>
    </row>
    <row r="119" ht="34.5">
      <c r="A119" s="359" t="s">
        <v>241</v>
      </c>
      <c r="B119" s="359" t="s">
        <v>242</v>
      </c>
      <c r="C119" s="359" t="s">
        <v>248</v>
      </c>
      <c r="D119" s="359" t="s">
        <v>161</v>
      </c>
      <c r="E119" s="359" t="s">
        <v>185</v>
      </c>
      <c r="F119" s="358" t="s">
        <v>186</v>
      </c>
      <c r="G119" s="359" t="s">
        <v>187</v>
      </c>
      <c r="H119" s="358"/>
      <c r="I119" s="358"/>
      <c r="J119" s="358" t="s">
        <v>250</v>
      </c>
      <c r="K119" s="361"/>
      <c r="L119" s="359"/>
      <c r="M119" s="359"/>
      <c r="N119" s="358"/>
      <c r="O119" s="358"/>
      <c r="P119" s="358"/>
      <c r="Q119" s="358"/>
      <c r="R119" s="360"/>
      <c r="S119" s="358"/>
      <c r="T119" s="359" t="s">
        <v>166</v>
      </c>
    </row>
    <row r="120" ht="34.5">
      <c r="A120" s="359" t="s">
        <v>241</v>
      </c>
      <c r="B120" s="359" t="s">
        <v>242</v>
      </c>
      <c r="C120" s="359" t="s">
        <v>248</v>
      </c>
      <c r="D120" s="359" t="s">
        <v>161</v>
      </c>
      <c r="E120" s="359" t="s">
        <v>185</v>
      </c>
      <c r="F120" s="358" t="s">
        <v>186</v>
      </c>
      <c r="G120" s="359" t="s">
        <v>187</v>
      </c>
      <c r="H120" s="358"/>
      <c r="I120" s="358"/>
      <c r="J120" s="358" t="s">
        <v>191</v>
      </c>
      <c r="K120" s="361"/>
      <c r="L120" s="359"/>
      <c r="M120" s="359"/>
      <c r="N120" s="358"/>
      <c r="O120" s="358"/>
      <c r="P120" s="358"/>
      <c r="Q120" s="358"/>
      <c r="R120" s="360"/>
      <c r="S120" s="358"/>
      <c r="T120" s="359" t="s">
        <v>166</v>
      </c>
    </row>
    <row r="121" ht="34.5">
      <c r="A121" s="359" t="s">
        <v>241</v>
      </c>
      <c r="B121" s="359" t="s">
        <v>242</v>
      </c>
      <c r="C121" s="359" t="s">
        <v>248</v>
      </c>
      <c r="D121" s="359" t="s">
        <v>161</v>
      </c>
      <c r="E121" s="359" t="s">
        <v>185</v>
      </c>
      <c r="F121" s="358" t="s">
        <v>186</v>
      </c>
      <c r="G121" s="359" t="s">
        <v>187</v>
      </c>
      <c r="H121" s="358"/>
      <c r="I121" s="358"/>
      <c r="J121" s="358" t="s">
        <v>192</v>
      </c>
      <c r="K121" s="361"/>
      <c r="L121" s="359"/>
      <c r="M121" s="359"/>
      <c r="N121" s="358"/>
      <c r="O121" s="358"/>
      <c r="P121" s="358"/>
      <c r="Q121" s="358"/>
      <c r="R121" s="360"/>
      <c r="S121" s="358"/>
      <c r="T121" s="359" t="s">
        <v>166</v>
      </c>
    </row>
    <row r="122" ht="34.5">
      <c r="A122" s="359" t="s">
        <v>241</v>
      </c>
      <c r="B122" s="359" t="s">
        <v>242</v>
      </c>
      <c r="C122" s="359" t="s">
        <v>248</v>
      </c>
      <c r="D122" s="359" t="s">
        <v>161</v>
      </c>
      <c r="E122" s="359" t="s">
        <v>185</v>
      </c>
      <c r="F122" s="358" t="s">
        <v>186</v>
      </c>
      <c r="G122" s="359" t="s">
        <v>187</v>
      </c>
      <c r="H122" s="358"/>
      <c r="I122" s="358"/>
      <c r="J122" s="358" t="s">
        <v>193</v>
      </c>
      <c r="K122" s="361"/>
      <c r="L122" s="359"/>
      <c r="M122" s="359"/>
      <c r="N122" s="358"/>
      <c r="O122" s="358"/>
      <c r="P122" s="358"/>
      <c r="Q122" s="358"/>
      <c r="R122" s="360"/>
      <c r="S122" s="358"/>
      <c r="T122" s="359" t="s">
        <v>166</v>
      </c>
    </row>
    <row r="123" ht="34.5">
      <c r="A123" s="359" t="s">
        <v>241</v>
      </c>
      <c r="B123" s="359" t="s">
        <v>242</v>
      </c>
      <c r="C123" s="359" t="s">
        <v>248</v>
      </c>
      <c r="D123" s="359" t="s">
        <v>161</v>
      </c>
      <c r="E123" s="359" t="s">
        <v>185</v>
      </c>
      <c r="F123" s="358" t="s">
        <v>186</v>
      </c>
      <c r="G123" s="359" t="s">
        <v>187</v>
      </c>
      <c r="H123" s="358"/>
      <c r="I123" s="358"/>
      <c r="J123" s="358" t="s">
        <v>194</v>
      </c>
      <c r="K123" s="361"/>
      <c r="L123" s="359"/>
      <c r="M123" s="359"/>
      <c r="N123" s="358"/>
      <c r="O123" s="358"/>
      <c r="P123" s="358"/>
      <c r="Q123" s="358"/>
      <c r="R123" s="360"/>
      <c r="S123" s="358"/>
      <c r="T123" s="359" t="s">
        <v>166</v>
      </c>
    </row>
    <row r="124" ht="34.5">
      <c r="A124" s="359" t="s">
        <v>241</v>
      </c>
      <c r="B124" s="359" t="s">
        <v>242</v>
      </c>
      <c r="C124" s="359" t="s">
        <v>251</v>
      </c>
      <c r="D124" s="359" t="s">
        <v>161</v>
      </c>
      <c r="E124" s="359" t="s">
        <v>185</v>
      </c>
      <c r="F124" s="358" t="s">
        <v>186</v>
      </c>
      <c r="G124" s="359" t="s">
        <v>187</v>
      </c>
      <c r="H124" s="358"/>
      <c r="I124" s="358"/>
      <c r="J124" s="358" t="s">
        <v>252</v>
      </c>
      <c r="K124" s="361"/>
      <c r="L124" s="359"/>
      <c r="M124" s="359"/>
      <c r="N124" s="358"/>
      <c r="O124" s="358"/>
      <c r="P124" s="358"/>
      <c r="Q124" s="358"/>
      <c r="R124" s="360"/>
      <c r="S124" s="358"/>
      <c r="T124" s="359" t="s">
        <v>166</v>
      </c>
    </row>
    <row r="125" ht="34.5">
      <c r="A125" s="359" t="s">
        <v>241</v>
      </c>
      <c r="B125" s="359" t="s">
        <v>242</v>
      </c>
      <c r="C125" s="359" t="s">
        <v>251</v>
      </c>
      <c r="D125" s="359" t="s">
        <v>161</v>
      </c>
      <c r="E125" s="359" t="s">
        <v>185</v>
      </c>
      <c r="F125" s="358" t="s">
        <v>186</v>
      </c>
      <c r="G125" s="359" t="s">
        <v>187</v>
      </c>
      <c r="H125" s="358"/>
      <c r="I125" s="358"/>
      <c r="J125" s="358" t="s">
        <v>198</v>
      </c>
      <c r="K125" s="361"/>
      <c r="L125" s="359"/>
      <c r="M125" s="359"/>
      <c r="N125" s="358"/>
      <c r="O125" s="358"/>
      <c r="P125" s="358"/>
      <c r="Q125" s="358"/>
      <c r="R125" s="360"/>
      <c r="S125" s="358"/>
      <c r="T125" s="359" t="s">
        <v>166</v>
      </c>
    </row>
    <row r="126" ht="34.5">
      <c r="A126" s="359" t="s">
        <v>241</v>
      </c>
      <c r="B126" s="359" t="s">
        <v>242</v>
      </c>
      <c r="C126" s="359" t="s">
        <v>251</v>
      </c>
      <c r="D126" s="359" t="s">
        <v>161</v>
      </c>
      <c r="E126" s="359" t="s">
        <v>199</v>
      </c>
      <c r="F126" s="358" t="s">
        <v>200</v>
      </c>
      <c r="G126" s="359" t="s">
        <v>164</v>
      </c>
      <c r="H126" s="358"/>
      <c r="I126" s="358"/>
      <c r="J126" s="358" t="s">
        <v>253</v>
      </c>
      <c r="K126" s="361">
        <v>61077310</v>
      </c>
      <c r="L126" s="359" t="s">
        <v>168</v>
      </c>
      <c r="M126" s="359"/>
      <c r="N126" s="358"/>
      <c r="O126" s="358"/>
      <c r="P126" s="358"/>
      <c r="Q126" s="358"/>
      <c r="R126" s="360"/>
      <c r="S126" s="358"/>
      <c r="T126" s="359" t="s">
        <v>166</v>
      </c>
    </row>
    <row r="127" ht="34.5">
      <c r="A127" s="359" t="s">
        <v>241</v>
      </c>
      <c r="B127" s="359" t="s">
        <v>242</v>
      </c>
      <c r="C127" s="359" t="s">
        <v>251</v>
      </c>
      <c r="D127" s="359" t="s">
        <v>161</v>
      </c>
      <c r="E127" s="359" t="s">
        <v>199</v>
      </c>
      <c r="F127" s="358" t="s">
        <v>200</v>
      </c>
      <c r="G127" s="359" t="s">
        <v>164</v>
      </c>
      <c r="H127" s="358"/>
      <c r="I127" s="358"/>
      <c r="J127" s="358" t="s">
        <v>223</v>
      </c>
      <c r="K127" s="361"/>
      <c r="L127" s="359"/>
      <c r="M127" s="359"/>
      <c r="N127" s="358"/>
      <c r="O127" s="358"/>
      <c r="P127" s="358"/>
      <c r="Q127" s="358"/>
      <c r="R127" s="360"/>
      <c r="S127" s="358"/>
      <c r="T127" s="359" t="s">
        <v>166</v>
      </c>
    </row>
    <row r="128" ht="34.5">
      <c r="A128" s="359" t="s">
        <v>241</v>
      </c>
      <c r="B128" s="359" t="s">
        <v>242</v>
      </c>
      <c r="C128" s="359" t="s">
        <v>251</v>
      </c>
      <c r="D128" s="359" t="s">
        <v>161</v>
      </c>
      <c r="E128" s="359" t="s">
        <v>199</v>
      </c>
      <c r="F128" s="358" t="s">
        <v>200</v>
      </c>
      <c r="G128" s="359" t="s">
        <v>164</v>
      </c>
      <c r="H128" s="358"/>
      <c r="I128" s="358"/>
      <c r="J128" s="358" t="s">
        <v>254</v>
      </c>
      <c r="K128" s="361">
        <v>66274750</v>
      </c>
      <c r="L128" s="359" t="s">
        <v>168</v>
      </c>
      <c r="M128" s="359"/>
      <c r="N128" s="358"/>
      <c r="O128" s="358"/>
      <c r="P128" s="358"/>
      <c r="Q128" s="358"/>
      <c r="R128" s="360"/>
      <c r="S128" s="358"/>
      <c r="T128" s="359" t="s">
        <v>166</v>
      </c>
    </row>
    <row r="129" ht="34.5">
      <c r="A129" s="359" t="s">
        <v>241</v>
      </c>
      <c r="B129" s="359" t="s">
        <v>242</v>
      </c>
      <c r="C129" s="359" t="s">
        <v>251</v>
      </c>
      <c r="D129" s="359" t="s">
        <v>255</v>
      </c>
      <c r="E129" s="359" t="s">
        <v>199</v>
      </c>
      <c r="F129" s="358" t="s">
        <v>200</v>
      </c>
      <c r="G129" s="359" t="s">
        <v>164</v>
      </c>
      <c r="H129" s="358"/>
      <c r="I129" s="358"/>
      <c r="J129" s="358" t="s">
        <v>256</v>
      </c>
      <c r="K129" s="361"/>
      <c r="L129" s="359"/>
      <c r="M129" s="359"/>
      <c r="N129" s="358"/>
      <c r="O129" s="358"/>
      <c r="P129" s="358"/>
      <c r="Q129" s="358"/>
      <c r="R129" s="360"/>
      <c r="S129" s="358"/>
      <c r="T129" s="359" t="s">
        <v>166</v>
      </c>
    </row>
    <row r="130" ht="34.5">
      <c r="A130" s="359" t="s">
        <v>241</v>
      </c>
      <c r="B130" s="359" t="s">
        <v>242</v>
      </c>
      <c r="C130" s="359" t="s">
        <v>251</v>
      </c>
      <c r="D130" s="359" t="s">
        <v>161</v>
      </c>
      <c r="E130" s="359" t="s">
        <v>205</v>
      </c>
      <c r="F130" s="358" t="s">
        <v>206</v>
      </c>
      <c r="G130" s="359" t="s">
        <v>207</v>
      </c>
      <c r="H130" s="358"/>
      <c r="I130" s="358"/>
      <c r="J130" s="358" t="s">
        <v>257</v>
      </c>
      <c r="K130" s="361"/>
      <c r="L130" s="359"/>
      <c r="M130" s="359"/>
      <c r="N130" s="358"/>
      <c r="O130" s="358"/>
      <c r="P130" s="358"/>
      <c r="Q130" s="358"/>
      <c r="R130" s="360"/>
      <c r="S130" s="358"/>
      <c r="T130" s="359" t="s">
        <v>166</v>
      </c>
    </row>
    <row r="131" ht="34.5">
      <c r="A131" s="359" t="s">
        <v>241</v>
      </c>
      <c r="B131" s="359" t="s">
        <v>242</v>
      </c>
      <c r="C131" s="359" t="s">
        <v>258</v>
      </c>
      <c r="D131" s="359" t="s">
        <v>161</v>
      </c>
      <c r="E131" s="359" t="s">
        <v>205</v>
      </c>
      <c r="F131" s="358" t="s">
        <v>206</v>
      </c>
      <c r="G131" s="359" t="s">
        <v>207</v>
      </c>
      <c r="H131" s="358"/>
      <c r="I131" s="358"/>
      <c r="J131" s="358" t="s">
        <v>259</v>
      </c>
      <c r="K131" s="361"/>
      <c r="L131" s="359"/>
      <c r="M131" s="359"/>
      <c r="N131" s="358"/>
      <c r="O131" s="358"/>
      <c r="P131" s="358"/>
      <c r="Q131" s="358"/>
      <c r="R131" s="360"/>
      <c r="S131" s="358"/>
      <c r="T131" s="359" t="s">
        <v>166</v>
      </c>
    </row>
    <row r="132" ht="34.5">
      <c r="A132" s="359" t="s">
        <v>241</v>
      </c>
      <c r="B132" s="359" t="s">
        <v>242</v>
      </c>
      <c r="C132" s="359" t="s">
        <v>258</v>
      </c>
      <c r="D132" s="359" t="s">
        <v>161</v>
      </c>
      <c r="E132" s="359" t="s">
        <v>205</v>
      </c>
      <c r="F132" s="358" t="s">
        <v>206</v>
      </c>
      <c r="G132" s="359" t="s">
        <v>207</v>
      </c>
      <c r="H132" s="358"/>
      <c r="I132" s="358"/>
      <c r="J132" s="358" t="s">
        <v>136</v>
      </c>
      <c r="K132" s="361"/>
      <c r="L132" s="359"/>
      <c r="M132" s="359"/>
      <c r="N132" s="358"/>
      <c r="O132" s="358"/>
      <c r="P132" s="358"/>
      <c r="Q132" s="358"/>
      <c r="R132" s="360"/>
      <c r="S132" s="358"/>
      <c r="T132" s="359" t="s">
        <v>166</v>
      </c>
    </row>
    <row r="133" ht="34.5">
      <c r="A133" s="359" t="s">
        <v>241</v>
      </c>
      <c r="B133" s="359" t="s">
        <v>242</v>
      </c>
      <c r="C133" s="359" t="s">
        <v>258</v>
      </c>
      <c r="D133" s="359" t="s">
        <v>161</v>
      </c>
      <c r="E133" s="359" t="s">
        <v>205</v>
      </c>
      <c r="F133" s="358" t="s">
        <v>206</v>
      </c>
      <c r="G133" s="359" t="s">
        <v>207</v>
      </c>
      <c r="H133" s="358"/>
      <c r="I133" s="358"/>
      <c r="J133" s="358" t="s">
        <v>260</v>
      </c>
      <c r="K133" s="361"/>
      <c r="L133" s="359"/>
      <c r="M133" s="359"/>
      <c r="N133" s="358"/>
      <c r="O133" s="358"/>
      <c r="P133" s="358"/>
      <c r="Q133" s="358"/>
      <c r="R133" s="360"/>
      <c r="S133" s="358"/>
      <c r="T133" s="359" t="s">
        <v>166</v>
      </c>
    </row>
    <row r="134" ht="34.5"/>
  </sheetData>
  <autoFilter ref="A5:T133"/>
</worksheet>
</file>

<file path=xl/worksheets/sheet3.xml><?xml version="1.0" encoding="utf-8"?>
<worksheet xmlns="http://schemas.openxmlformats.org/spreadsheetml/2006/main" xmlns:r="http://schemas.openxmlformats.org/officeDocument/2006/relationships">
  <dimension ref="A1:Q72"/>
  <sheetViews>
    <sheetView showGridLines="0" workbookViewId="0"/>
  </sheetViews>
  <sheetFormatPr defaultColWidth="8.375" defaultRowHeight="15"/>
  <cols>
    <col min="1" max="1" width="39.375" customWidth="1"/>
    <col min="2" max="11" width="15.625" customWidth="1"/>
    <col min="12" max="12" width="2.875" customWidth="1"/>
    <col min="13" max="13" width="10.625" customWidth="1"/>
    <col min="14" max="14" width="31.875" customWidth="1"/>
    <col min="15" max="16" width="2.875" customWidth="1"/>
    <col min="17" max="17" width="44.375" customWidth="1"/>
  </cols>
  <sheetData>
    <row r="1">
      <c r="A1" s="534" t="s">
        <v>0</v>
      </c>
      <c r="B1" s="489"/>
      <c r="C1" s="489"/>
      <c r="D1" s="489"/>
      <c r="E1" s="489"/>
      <c r="F1" s="489"/>
      <c r="G1" s="493"/>
      <c r="H1" s="492"/>
      <c r="I1" s="492"/>
      <c r="J1" s="492"/>
      <c r="K1" s="492"/>
      <c r="L1" s="478"/>
      <c r="M1" s="478"/>
      <c r="N1" s="480"/>
      <c r="O1" s="478"/>
      <c r="P1" s="478"/>
      <c r="Q1" s="480"/>
    </row>
    <row r="2">
      <c r="A2" s="485"/>
      <c r="B2" s="485"/>
      <c r="C2" s="485"/>
      <c r="D2" s="485"/>
      <c r="E2" s="485"/>
      <c r="F2" s="485"/>
      <c r="G2" s="484"/>
      <c r="H2" s="485"/>
      <c r="I2" s="485"/>
      <c r="J2" s="485"/>
      <c r="K2" s="485"/>
      <c r="L2" s="478"/>
      <c r="M2" s="478"/>
      <c r="N2" s="480"/>
      <c r="O2" s="478"/>
      <c r="P2" s="478"/>
      <c r="Q2" s="480"/>
    </row>
    <row r="3">
      <c r="A3" s="531" t="s">
        <v>261</v>
      </c>
      <c r="G3" s="484"/>
      <c r="L3" s="478"/>
      <c r="M3" s="478"/>
      <c r="N3" s="480"/>
      <c r="O3" s="478"/>
      <c r="P3" s="478"/>
      <c r="Q3" s="480"/>
    </row>
    <row r="4">
      <c r="A4" s="531" t="s">
        <v>262</v>
      </c>
      <c r="G4" s="484"/>
      <c r="L4" s="478"/>
      <c r="M4" s="478"/>
      <c r="N4" s="480"/>
      <c r="O4" s="478"/>
      <c r="P4" s="478"/>
      <c r="Q4" s="480"/>
    </row>
    <row r="5">
      <c r="A5" s="531" t="s">
        <v>263</v>
      </c>
      <c r="B5" s="479"/>
      <c r="C5" s="481">
        <v>1</v>
      </c>
      <c r="D5" s="479"/>
      <c r="E5" s="479"/>
      <c r="F5" s="479"/>
      <c r="G5" s="483"/>
      <c r="H5" s="479"/>
      <c r="I5" s="479"/>
      <c r="J5" s="479"/>
      <c r="K5" s="479"/>
      <c r="L5" s="478"/>
      <c r="M5" s="531" t="s">
        <v>264</v>
      </c>
      <c r="N5" s="480" t="s">
        <v>265</v>
      </c>
      <c r="O5" s="478"/>
      <c r="P5" s="478"/>
      <c r="Q5" s="480" t="s">
        <v>266</v>
      </c>
    </row>
    <row r="6">
      <c r="A6" s="531" t="s">
        <v>267</v>
      </c>
      <c r="B6" s="479"/>
      <c r="C6" s="514" t="str">
        <f>CHOOSE($C$5,"Base","Bull","Bear")</f>
        <v>Base</v>
      </c>
      <c r="D6" s="479"/>
      <c r="E6" s="479"/>
      <c r="F6" s="479"/>
      <c r="G6" s="483"/>
      <c r="H6" s="479"/>
      <c r="I6" s="479"/>
      <c r="J6" s="479"/>
      <c r="K6" s="479"/>
      <c r="L6" s="478"/>
      <c r="M6" s="531" t="s">
        <v>268</v>
      </c>
      <c r="N6" s="480" t="s">
        <v>265</v>
      </c>
      <c r="O6" s="478"/>
      <c r="P6" s="478"/>
      <c r="Q6" s="480" t="s">
        <v>269</v>
      </c>
    </row>
    <row r="7">
      <c r="A7" s="485"/>
      <c r="B7" s="485"/>
      <c r="C7" s="485"/>
      <c r="D7" s="485"/>
      <c r="E7" s="485"/>
      <c r="F7" s="485"/>
      <c r="G7" s="484"/>
      <c r="H7" s="485"/>
      <c r="I7" s="485"/>
      <c r="J7" s="485"/>
      <c r="K7" s="485"/>
      <c r="L7" s="478"/>
      <c r="M7" s="478"/>
      <c r="N7" s="480"/>
      <c r="O7" s="478"/>
      <c r="P7" s="478"/>
      <c r="Q7" s="480"/>
    </row>
    <row r="8">
      <c r="A8" s="534" t="s">
        <v>3</v>
      </c>
      <c r="B8" s="535" t="s">
        <v>4</v>
      </c>
      <c r="C8" s="535" t="s">
        <v>5</v>
      </c>
      <c r="D8" s="535" t="s">
        <v>6</v>
      </c>
      <c r="E8" s="535" t="s">
        <v>7</v>
      </c>
      <c r="F8" s="535" t="s">
        <v>8</v>
      </c>
      <c r="G8" s="537" t="s">
        <v>9</v>
      </c>
      <c r="H8" s="536" t="s">
        <v>10</v>
      </c>
      <c r="I8" s="536" t="s">
        <v>11</v>
      </c>
      <c r="J8" s="536" t="s">
        <v>12</v>
      </c>
      <c r="K8" s="536" t="s">
        <v>13</v>
      </c>
      <c r="L8" s="478"/>
      <c r="M8" s="524" t="s">
        <v>270</v>
      </c>
      <c r="N8" s="524" t="s">
        <v>271</v>
      </c>
      <c r="O8" s="478"/>
      <c r="P8" s="478"/>
      <c r="Q8" s="524" t="s">
        <v>272</v>
      </c>
    </row>
    <row r="9">
      <c r="A9" s="485"/>
      <c r="B9" s="485"/>
      <c r="C9" s="485"/>
      <c r="D9" s="485"/>
      <c r="E9" s="485"/>
      <c r="F9" s="485"/>
      <c r="G9" s="484"/>
      <c r="H9" s="485"/>
      <c r="I9" s="485"/>
      <c r="J9" s="485"/>
      <c r="K9" s="485"/>
      <c r="L9" s="478"/>
      <c r="M9" s="478"/>
      <c r="N9" s="480"/>
      <c r="O9" s="478"/>
      <c r="P9" s="478"/>
      <c r="Q9" s="480"/>
    </row>
    <row r="10">
      <c r="A10" s="534" t="s">
        <v>273</v>
      </c>
      <c r="B10" s="487"/>
      <c r="C10" s="487"/>
      <c r="D10" s="487"/>
      <c r="E10" s="487"/>
      <c r="F10" s="487"/>
      <c r="G10" s="488"/>
      <c r="H10" s="491"/>
      <c r="I10" s="491"/>
      <c r="J10" s="491"/>
      <c r="K10" s="491"/>
      <c r="L10" s="478"/>
      <c r="M10" s="478"/>
      <c r="N10" s="478"/>
      <c r="O10" s="478"/>
      <c r="P10" s="478"/>
      <c r="Q10" s="478"/>
    </row>
    <row r="11">
      <c r="A11" s="531" t="s">
        <v>274</v>
      </c>
      <c r="B11" s="482"/>
      <c r="C11" s="482"/>
      <c r="D11" s="482"/>
      <c r="E11" s="482"/>
      <c r="F11" s="482"/>
      <c r="G11" s="490">
        <f>CHOOSE($C$5,G13,G14,G12)</f>
        <v>0.025</v>
      </c>
      <c r="H11" s="482">
        <f>CHOOSE($C$5,H13,H14,H12)</f>
        <v>0.025</v>
      </c>
      <c r="I11" s="482">
        <f>CHOOSE($C$5,I13,I14,I12)</f>
        <v>0.025</v>
      </c>
      <c r="J11" s="482">
        <f>CHOOSE($C$5,J13,J14,J12)</f>
        <v>0.025</v>
      </c>
      <c r="K11" s="482">
        <f>CHOOSE($C$5,K13,K14,K12)</f>
        <v>0.025</v>
      </c>
      <c r="L11" s="478"/>
      <c r="M11" s="531" t="s">
        <v>275</v>
      </c>
      <c r="N11" s="480" t="s">
        <v>265</v>
      </c>
      <c r="O11" s="478"/>
      <c r="P11" s="478"/>
      <c r="Q11" s="480" t="s">
        <v>269</v>
      </c>
    </row>
    <row r="12">
      <c r="A12" s="531" t="s">
        <v>276</v>
      </c>
      <c r="B12" s="479"/>
      <c r="C12" s="479"/>
      <c r="D12" s="479"/>
      <c r="E12" s="479"/>
      <c r="F12" s="479"/>
      <c r="G12" s="477">
        <v>0.005</v>
      </c>
      <c r="H12" s="481">
        <v>0.005</v>
      </c>
      <c r="I12" s="481">
        <v>0.005</v>
      </c>
      <c r="J12" s="481">
        <v>0.005</v>
      </c>
      <c r="K12" s="481">
        <v>0.005</v>
      </c>
      <c r="L12" s="478"/>
      <c r="M12" s="531" t="s">
        <v>268</v>
      </c>
      <c r="N12" s="480" t="s">
        <v>277</v>
      </c>
      <c r="O12" s="478"/>
      <c r="P12" s="478"/>
      <c r="Q12" s="480" t="s">
        <v>278</v>
      </c>
    </row>
    <row r="13">
      <c r="A13" s="531" t="s">
        <v>279</v>
      </c>
      <c r="B13" s="479"/>
      <c r="C13" s="479"/>
      <c r="D13" s="479"/>
      <c r="E13" s="479"/>
      <c r="F13" s="479"/>
      <c r="G13" s="477">
        <v>0.025</v>
      </c>
      <c r="H13" s="481">
        <v>0.025</v>
      </c>
      <c r="I13" s="481">
        <v>0.025</v>
      </c>
      <c r="J13" s="481">
        <v>0.025</v>
      </c>
      <c r="K13" s="481">
        <v>0.025</v>
      </c>
      <c r="L13" s="478"/>
      <c r="M13" s="531" t="s">
        <v>268</v>
      </c>
      <c r="N13" s="480" t="s">
        <v>280</v>
      </c>
      <c r="O13" s="478"/>
      <c r="P13" s="478"/>
      <c r="Q13" s="480" t="s">
        <v>278</v>
      </c>
    </row>
    <row r="14">
      <c r="A14" s="531" t="s">
        <v>281</v>
      </c>
      <c r="B14" s="479"/>
      <c r="C14" s="479"/>
      <c r="D14" s="479"/>
      <c r="E14" s="479"/>
      <c r="F14" s="479"/>
      <c r="G14" s="477">
        <v>0.045</v>
      </c>
      <c r="H14" s="481">
        <v>0.045</v>
      </c>
      <c r="I14" s="481">
        <v>0.045</v>
      </c>
      <c r="J14" s="481">
        <v>0.045</v>
      </c>
      <c r="K14" s="481">
        <v>0.045</v>
      </c>
      <c r="L14" s="478"/>
      <c r="M14" s="531" t="s">
        <v>268</v>
      </c>
      <c r="N14" s="480" t="s">
        <v>277</v>
      </c>
      <c r="O14" s="478"/>
      <c r="P14" s="478"/>
      <c r="Q14" s="480" t="s">
        <v>278</v>
      </c>
    </row>
    <row r="15">
      <c r="A15" s="531" t="s">
        <v>282</v>
      </c>
      <c r="B15" s="410">
        <v>25824346</v>
      </c>
      <c r="C15" s="410">
        <v>32764624</v>
      </c>
      <c r="D15" s="410">
        <v>39061729</v>
      </c>
      <c r="E15" s="410">
        <v>45926258</v>
      </c>
      <c r="F15" s="410">
        <v>47079166</v>
      </c>
      <c r="G15" s="483"/>
      <c r="H15" s="479"/>
      <c r="I15" s="479"/>
      <c r="J15" s="479"/>
      <c r="K15" s="479"/>
      <c r="L15" s="478"/>
      <c r="M15" s="531" t="s">
        <v>268</v>
      </c>
      <c r="N15" s="480" t="s">
        <v>283</v>
      </c>
      <c r="O15" s="478"/>
      <c r="P15" s="478"/>
      <c r="Q15" s="480" t="s">
        <v>266</v>
      </c>
    </row>
    <row r="16">
      <c r="A16" s="531" t="s">
        <v>284</v>
      </c>
      <c r="B16" s="482"/>
      <c r="C16" s="482"/>
      <c r="D16" s="482"/>
      <c r="E16" s="482"/>
      <c r="F16" s="482"/>
      <c r="G16" s="490">
        <f>CHOOSE($C$5,G18,G19,G17)</f>
        <v>0.035</v>
      </c>
      <c r="H16" s="482">
        <f>CHOOSE($C$5,H18,H19,H17)</f>
        <v>0.035</v>
      </c>
      <c r="I16" s="482">
        <f>CHOOSE($C$5,I18,I19,I17)</f>
        <v>0.035</v>
      </c>
      <c r="J16" s="482">
        <f>CHOOSE($C$5,J18,J19,J17)</f>
        <v>0.035</v>
      </c>
      <c r="K16" s="482">
        <f>CHOOSE($C$5,K18,K19,K17)</f>
        <v>0.035</v>
      </c>
      <c r="L16" s="478"/>
      <c r="M16" s="531" t="s">
        <v>275</v>
      </c>
      <c r="N16" s="480" t="s">
        <v>265</v>
      </c>
      <c r="O16" s="478"/>
      <c r="P16" s="478"/>
      <c r="Q16" s="480" t="s">
        <v>269</v>
      </c>
    </row>
    <row r="17">
      <c r="A17" s="531" t="s">
        <v>285</v>
      </c>
      <c r="B17" s="479"/>
      <c r="C17" s="479"/>
      <c r="D17" s="479"/>
      <c r="E17" s="479"/>
      <c r="F17" s="479"/>
      <c r="G17" s="477">
        <v>0.015</v>
      </c>
      <c r="H17" s="481">
        <v>0.015</v>
      </c>
      <c r="I17" s="481">
        <v>0.015</v>
      </c>
      <c r="J17" s="481">
        <v>0.015</v>
      </c>
      <c r="K17" s="481">
        <v>0.015</v>
      </c>
      <c r="L17" s="478"/>
      <c r="M17" s="531" t="s">
        <v>268</v>
      </c>
      <c r="N17" s="480" t="s">
        <v>277</v>
      </c>
      <c r="O17" s="478"/>
      <c r="P17" s="478"/>
      <c r="Q17" s="480" t="s">
        <v>278</v>
      </c>
    </row>
    <row r="18">
      <c r="A18" s="531" t="s">
        <v>286</v>
      </c>
      <c r="B18" s="482"/>
      <c r="C18" s="482"/>
      <c r="D18" s="482"/>
      <c r="E18" s="482"/>
      <c r="F18" s="482"/>
      <c r="G18" s="416">
        <v>0.035</v>
      </c>
      <c r="H18" s="414">
        <v>0.035</v>
      </c>
      <c r="I18" s="414">
        <v>0.035</v>
      </c>
      <c r="J18" s="414">
        <v>0.035</v>
      </c>
      <c r="K18" s="414">
        <v>0.035</v>
      </c>
      <c r="L18" s="478"/>
      <c r="M18" s="531" t="s">
        <v>275</v>
      </c>
      <c r="N18" s="480" t="s">
        <v>287</v>
      </c>
      <c r="O18" s="478"/>
      <c r="P18" s="478"/>
      <c r="Q18" s="480" t="s">
        <v>278</v>
      </c>
    </row>
    <row r="19">
      <c r="A19" s="531" t="s">
        <v>288</v>
      </c>
      <c r="B19" s="479"/>
      <c r="C19" s="479"/>
      <c r="D19" s="479"/>
      <c r="E19" s="479"/>
      <c r="F19" s="479"/>
      <c r="G19" s="477">
        <v>0.055</v>
      </c>
      <c r="H19" s="481">
        <v>0.055</v>
      </c>
      <c r="I19" s="481">
        <v>0.055</v>
      </c>
      <c r="J19" s="481">
        <v>0.055</v>
      </c>
      <c r="K19" s="481">
        <v>0.055</v>
      </c>
      <c r="L19" s="478"/>
      <c r="M19" s="531" t="s">
        <v>268</v>
      </c>
      <c r="N19" s="480" t="s">
        <v>277</v>
      </c>
      <c r="O19" s="478"/>
      <c r="P19" s="478"/>
      <c r="Q19" s="480" t="s">
        <v>278</v>
      </c>
    </row>
    <row r="20">
      <c r="A20" s="531" t="s">
        <v>289</v>
      </c>
      <c r="B20" s="410">
        <v>61483016</v>
      </c>
      <c r="C20" s="410">
        <v>76982373</v>
      </c>
      <c r="D20" s="410">
        <v>76432292</v>
      </c>
      <c r="E20" s="410">
        <v>90672130</v>
      </c>
      <c r="F20" s="410">
        <v>95723653</v>
      </c>
      <c r="G20" s="483"/>
      <c r="H20" s="479"/>
      <c r="I20" s="479"/>
      <c r="J20" s="479"/>
      <c r="K20" s="479"/>
      <c r="L20" s="478"/>
      <c r="M20" s="531" t="s">
        <v>268</v>
      </c>
      <c r="N20" s="480" t="s">
        <v>290</v>
      </c>
      <c r="O20" s="478"/>
      <c r="P20" s="478"/>
      <c r="Q20" s="480" t="s">
        <v>266</v>
      </c>
    </row>
    <row r="21">
      <c r="A21" s="531" t="s">
        <v>291</v>
      </c>
      <c r="B21" s="482"/>
      <c r="C21" s="482"/>
      <c r="D21" s="482"/>
      <c r="E21" s="482"/>
      <c r="F21" s="482"/>
      <c r="G21" s="490">
        <f>CHOOSE($C$5,G23,G24,G22)</f>
        <v>0.02</v>
      </c>
      <c r="H21" s="482">
        <f>CHOOSE($C$5,H23,H24,H22)</f>
        <v>0.02</v>
      </c>
      <c r="I21" s="482">
        <f>CHOOSE($C$5,I23,I24,I22)</f>
        <v>0.02</v>
      </c>
      <c r="J21" s="482">
        <f>CHOOSE($C$5,J23,J24,J22)</f>
        <v>0.02</v>
      </c>
      <c r="K21" s="482">
        <f>CHOOSE($C$5,K23,K24,K22)</f>
        <v>0.02</v>
      </c>
      <c r="L21" s="478"/>
      <c r="M21" s="531" t="s">
        <v>275</v>
      </c>
      <c r="N21" s="480" t="s">
        <v>265</v>
      </c>
      <c r="O21" s="478"/>
      <c r="P21" s="478"/>
      <c r="Q21" s="480" t="s">
        <v>269</v>
      </c>
    </row>
    <row r="22">
      <c r="A22" s="531" t="s">
        <v>292</v>
      </c>
      <c r="B22" s="479"/>
      <c r="C22" s="479"/>
      <c r="D22" s="479"/>
      <c r="E22" s="479"/>
      <c r="F22" s="479"/>
      <c r="G22" s="477">
        <v>0</v>
      </c>
      <c r="H22" s="481">
        <v>0</v>
      </c>
      <c r="I22" s="481">
        <v>0</v>
      </c>
      <c r="J22" s="481">
        <v>0</v>
      </c>
      <c r="K22" s="481">
        <v>0</v>
      </c>
      <c r="L22" s="478"/>
      <c r="M22" s="531" t="s">
        <v>268</v>
      </c>
      <c r="N22" s="480" t="s">
        <v>277</v>
      </c>
      <c r="O22" s="478"/>
      <c r="P22" s="478"/>
      <c r="Q22" s="480" t="s">
        <v>278</v>
      </c>
    </row>
    <row r="23">
      <c r="A23" s="531" t="s">
        <v>293</v>
      </c>
      <c r="B23" s="479"/>
      <c r="C23" s="479"/>
      <c r="D23" s="479"/>
      <c r="E23" s="479"/>
      <c r="F23" s="479"/>
      <c r="G23" s="477">
        <v>0.02</v>
      </c>
      <c r="H23" s="481">
        <v>0.02</v>
      </c>
      <c r="I23" s="481">
        <v>0.02</v>
      </c>
      <c r="J23" s="481">
        <v>0.02</v>
      </c>
      <c r="K23" s="481">
        <v>0.02</v>
      </c>
      <c r="L23" s="478"/>
      <c r="M23" s="531" t="s">
        <v>268</v>
      </c>
      <c r="N23" s="480" t="s">
        <v>294</v>
      </c>
      <c r="O23" s="478"/>
      <c r="P23" s="478"/>
      <c r="Q23" s="480" t="s">
        <v>278</v>
      </c>
    </row>
    <row r="24">
      <c r="A24" s="531" t="s">
        <v>295</v>
      </c>
      <c r="B24" s="479"/>
      <c r="C24" s="479"/>
      <c r="D24" s="479"/>
      <c r="E24" s="479"/>
      <c r="F24" s="479"/>
      <c r="G24" s="477">
        <v>0.04</v>
      </c>
      <c r="H24" s="481">
        <v>0.04</v>
      </c>
      <c r="I24" s="481">
        <v>0.04</v>
      </c>
      <c r="J24" s="481">
        <v>0.04</v>
      </c>
      <c r="K24" s="481">
        <v>0.04</v>
      </c>
      <c r="L24" s="478"/>
      <c r="M24" s="531" t="s">
        <v>268</v>
      </c>
      <c r="N24" s="480" t="s">
        <v>277</v>
      </c>
      <c r="O24" s="478"/>
      <c r="P24" s="478"/>
      <c r="Q24" s="480" t="s">
        <v>278</v>
      </c>
    </row>
    <row r="25">
      <c r="A25" s="531" t="s">
        <v>296</v>
      </c>
      <c r="B25" s="410">
        <v>61656121</v>
      </c>
      <c r="C25" s="410">
        <v>167727756</v>
      </c>
      <c r="D25" s="410">
        <v>146014874</v>
      </c>
      <c r="E25" s="410">
        <v>143014423</v>
      </c>
      <c r="F25" s="410">
        <v>144232867</v>
      </c>
      <c r="G25" s="483"/>
      <c r="H25" s="479"/>
      <c r="I25" s="479"/>
      <c r="J25" s="479"/>
      <c r="K25" s="479"/>
      <c r="L25" s="478"/>
      <c r="M25" s="531" t="s">
        <v>268</v>
      </c>
      <c r="N25" s="480" t="s">
        <v>297</v>
      </c>
      <c r="O25" s="478"/>
      <c r="P25" s="478"/>
      <c r="Q25" s="480" t="s">
        <v>266</v>
      </c>
    </row>
    <row r="26">
      <c r="A26" s="531" t="s">
        <v>298</v>
      </c>
      <c r="B26" s="482"/>
      <c r="C26" s="482"/>
      <c r="D26" s="482"/>
      <c r="E26" s="482"/>
      <c r="F26" s="482"/>
      <c r="G26" s="490">
        <f>CHOOSE($C$5,G28,G29,G27)</f>
        <v>0.01</v>
      </c>
      <c r="H26" s="482">
        <f>CHOOSE($C$5,H28,H29,H27)</f>
        <v>0.01</v>
      </c>
      <c r="I26" s="482">
        <f>CHOOSE($C$5,I28,I29,I27)</f>
        <v>0.01</v>
      </c>
      <c r="J26" s="482">
        <f>CHOOSE($C$5,J28,J29,J27)</f>
        <v>0.01</v>
      </c>
      <c r="K26" s="482">
        <f>CHOOSE($C$5,K28,K29,K27)</f>
        <v>0.01</v>
      </c>
      <c r="L26" s="478"/>
      <c r="M26" s="531" t="s">
        <v>275</v>
      </c>
      <c r="N26" s="480" t="s">
        <v>265</v>
      </c>
      <c r="O26" s="478"/>
      <c r="P26" s="478"/>
      <c r="Q26" s="480" t="s">
        <v>269</v>
      </c>
    </row>
    <row r="27">
      <c r="A27" s="531" t="s">
        <v>299</v>
      </c>
      <c r="B27" s="479"/>
      <c r="C27" s="479"/>
      <c r="D27" s="479"/>
      <c r="E27" s="479"/>
      <c r="F27" s="479"/>
      <c r="G27" s="477">
        <v>-0.01</v>
      </c>
      <c r="H27" s="481">
        <v>-0.01</v>
      </c>
      <c r="I27" s="481">
        <v>-0.01</v>
      </c>
      <c r="J27" s="481">
        <v>-0.01</v>
      </c>
      <c r="K27" s="481">
        <v>-0.01</v>
      </c>
      <c r="L27" s="478"/>
      <c r="M27" s="531" t="s">
        <v>268</v>
      </c>
      <c r="N27" s="480" t="s">
        <v>277</v>
      </c>
      <c r="O27" s="478"/>
      <c r="P27" s="478"/>
      <c r="Q27" s="480" t="s">
        <v>278</v>
      </c>
    </row>
    <row r="28">
      <c r="A28" s="531" t="s">
        <v>300</v>
      </c>
      <c r="B28" s="482"/>
      <c r="C28" s="482"/>
      <c r="D28" s="482"/>
      <c r="E28" s="482"/>
      <c r="F28" s="482"/>
      <c r="G28" s="416">
        <v>0.01</v>
      </c>
      <c r="H28" s="414">
        <v>0.01</v>
      </c>
      <c r="I28" s="414">
        <v>0.01</v>
      </c>
      <c r="J28" s="414">
        <v>0.01</v>
      </c>
      <c r="K28" s="414">
        <v>0.01</v>
      </c>
      <c r="L28" s="478"/>
      <c r="M28" s="531" t="s">
        <v>275</v>
      </c>
      <c r="N28" s="480" t="s">
        <v>301</v>
      </c>
      <c r="O28" s="478"/>
      <c r="P28" s="478"/>
      <c r="Q28" s="480" t="s">
        <v>278</v>
      </c>
    </row>
    <row r="29">
      <c r="A29" s="531" t="s">
        <v>302</v>
      </c>
      <c r="B29" s="479"/>
      <c r="C29" s="479"/>
      <c r="D29" s="479"/>
      <c r="E29" s="479"/>
      <c r="F29" s="479"/>
      <c r="G29" s="477">
        <v>0.03</v>
      </c>
      <c r="H29" s="481">
        <v>0.03</v>
      </c>
      <c r="I29" s="481">
        <v>0.03</v>
      </c>
      <c r="J29" s="481">
        <v>0.03</v>
      </c>
      <c r="K29" s="481">
        <v>0.03</v>
      </c>
      <c r="L29" s="478"/>
      <c r="M29" s="531" t="s">
        <v>268</v>
      </c>
      <c r="N29" s="480" t="s">
        <v>277</v>
      </c>
      <c r="O29" s="478"/>
      <c r="P29" s="478"/>
      <c r="Q29" s="480" t="s">
        <v>278</v>
      </c>
    </row>
    <row r="30">
      <c r="A30" s="531" t="s">
        <v>303</v>
      </c>
      <c r="B30" s="410">
        <v>173657281</v>
      </c>
      <c r="C30" s="410">
        <v>186524815</v>
      </c>
      <c r="D30" s="410">
        <v>186914880</v>
      </c>
      <c r="E30" s="410">
        <v>179451747</v>
      </c>
      <c r="F30" s="410">
        <v>178502998</v>
      </c>
      <c r="G30" s="483"/>
      <c r="H30" s="479"/>
      <c r="I30" s="479"/>
      <c r="J30" s="479"/>
      <c r="K30" s="479"/>
      <c r="L30" s="478"/>
      <c r="M30" s="531" t="s">
        <v>268</v>
      </c>
      <c r="N30" s="480" t="s">
        <v>304</v>
      </c>
      <c r="O30" s="478"/>
      <c r="P30" s="478"/>
      <c r="Q30" s="480" t="s">
        <v>266</v>
      </c>
    </row>
    <row r="31">
      <c r="A31" s="531" t="s">
        <v>305</v>
      </c>
      <c r="B31" s="482"/>
      <c r="C31" s="482"/>
      <c r="D31" s="482"/>
      <c r="E31" s="482"/>
      <c r="F31" s="482"/>
      <c r="G31" s="490">
        <f>CHOOSE($C$5,G33,G34,G32)</f>
        <v>0.005</v>
      </c>
      <c r="H31" s="482">
        <f>CHOOSE($C$5,H33,H34,H32)</f>
        <v>0.005</v>
      </c>
      <c r="I31" s="482">
        <f>CHOOSE($C$5,I33,I34,I32)</f>
        <v>0.005</v>
      </c>
      <c r="J31" s="482">
        <f>CHOOSE($C$5,J33,J34,J32)</f>
        <v>0.005</v>
      </c>
      <c r="K31" s="482">
        <f>CHOOSE($C$5,K33,K34,K32)</f>
        <v>0.005</v>
      </c>
      <c r="L31" s="478"/>
      <c r="M31" s="531" t="s">
        <v>275</v>
      </c>
      <c r="N31" s="480" t="s">
        <v>265</v>
      </c>
      <c r="O31" s="478"/>
      <c r="P31" s="478"/>
      <c r="Q31" s="480" t="s">
        <v>269</v>
      </c>
    </row>
    <row r="32">
      <c r="A32" s="531" t="s">
        <v>306</v>
      </c>
      <c r="B32" s="479"/>
      <c r="C32" s="479"/>
      <c r="D32" s="479"/>
      <c r="E32" s="479"/>
      <c r="F32" s="479"/>
      <c r="G32" s="477">
        <v>-0.005</v>
      </c>
      <c r="H32" s="481">
        <v>-0.005</v>
      </c>
      <c r="I32" s="481">
        <v>-0.005</v>
      </c>
      <c r="J32" s="481">
        <v>-0.005</v>
      </c>
      <c r="K32" s="481">
        <v>-0.005</v>
      </c>
      <c r="L32" s="478"/>
      <c r="M32" s="531" t="s">
        <v>268</v>
      </c>
      <c r="N32" s="480" t="s">
        <v>265</v>
      </c>
      <c r="O32" s="478"/>
      <c r="P32" s="478"/>
      <c r="Q32" s="480" t="s">
        <v>278</v>
      </c>
    </row>
    <row r="33">
      <c r="A33" s="531" t="s">
        <v>307</v>
      </c>
      <c r="B33" s="479"/>
      <c r="C33" s="479"/>
      <c r="D33" s="479"/>
      <c r="E33" s="479"/>
      <c r="F33" s="479"/>
      <c r="G33" s="477">
        <v>0.005</v>
      </c>
      <c r="H33" s="481">
        <v>0.005</v>
      </c>
      <c r="I33" s="481">
        <v>0.005</v>
      </c>
      <c r="J33" s="481">
        <v>0.005</v>
      </c>
      <c r="K33" s="481">
        <v>0.005</v>
      </c>
      <c r="L33" s="478"/>
      <c r="M33" s="531" t="s">
        <v>268</v>
      </c>
      <c r="N33" s="480" t="s">
        <v>265</v>
      </c>
      <c r="O33" s="478"/>
      <c r="P33" s="478"/>
      <c r="Q33" s="480" t="s">
        <v>278</v>
      </c>
    </row>
    <row r="34">
      <c r="A34" s="531" t="s">
        <v>308</v>
      </c>
      <c r="B34" s="479"/>
      <c r="C34" s="479"/>
      <c r="D34" s="479"/>
      <c r="E34" s="479"/>
      <c r="F34" s="479"/>
      <c r="G34" s="477">
        <v>0.015</v>
      </c>
      <c r="H34" s="481">
        <v>0.015</v>
      </c>
      <c r="I34" s="481">
        <v>0.015</v>
      </c>
      <c r="J34" s="481">
        <v>0.015</v>
      </c>
      <c r="K34" s="481">
        <v>0.015</v>
      </c>
      <c r="L34" s="478"/>
      <c r="M34" s="531" t="s">
        <v>268</v>
      </c>
      <c r="N34" s="480" t="s">
        <v>265</v>
      </c>
      <c r="O34" s="478"/>
      <c r="P34" s="478"/>
      <c r="Q34" s="480" t="s">
        <v>278</v>
      </c>
    </row>
    <row r="35">
      <c r="A35" s="531" t="s">
        <v>309</v>
      </c>
      <c r="B35" s="410">
        <v>115494188</v>
      </c>
      <c r="C35" s="410">
        <v>3075100</v>
      </c>
      <c r="D35" s="410">
        <v>3882455</v>
      </c>
      <c r="E35" s="410">
        <v>1654852</v>
      </c>
      <c r="F35" s="410">
        <v>4809248</v>
      </c>
      <c r="G35" s="483"/>
      <c r="H35" s="479"/>
      <c r="I35" s="479"/>
      <c r="J35" s="479"/>
      <c r="K35" s="479"/>
      <c r="L35" s="478"/>
      <c r="M35" s="531" t="s">
        <v>268</v>
      </c>
      <c r="N35" s="480" t="s">
        <v>265</v>
      </c>
      <c r="O35" s="478"/>
      <c r="P35" s="478"/>
      <c r="Q35" s="480" t="s">
        <v>266</v>
      </c>
    </row>
    <row r="36">
      <c r="A36" s="534" t="s">
        <v>310</v>
      </c>
      <c r="B36" s="487"/>
      <c r="C36" s="487"/>
      <c r="D36" s="487"/>
      <c r="E36" s="487"/>
      <c r="F36" s="487"/>
      <c r="G36" s="488"/>
      <c r="H36" s="491"/>
      <c r="I36" s="491"/>
      <c r="J36" s="491"/>
      <c r="K36" s="491"/>
      <c r="L36" s="478"/>
      <c r="M36" s="478"/>
      <c r="N36" s="478"/>
      <c r="O36" s="478"/>
      <c r="P36" s="478"/>
      <c r="Q36" s="478"/>
    </row>
    <row r="37">
      <c r="A37" s="531" t="s">
        <v>311</v>
      </c>
      <c r="B37" s="482"/>
      <c r="C37" s="482"/>
      <c r="D37" s="482"/>
      <c r="E37" s="482"/>
      <c r="F37" s="482"/>
      <c r="G37" s="490">
        <f>CHOOSE($C$5,G39,G40,G38)</f>
        <v>-0.161</v>
      </c>
      <c r="H37" s="482">
        <f>CHOOSE($C$5,H39,H40,H38)</f>
        <v>-0.161</v>
      </c>
      <c r="I37" s="482">
        <f>CHOOSE($C$5,I39,I40,I38)</f>
        <v>-0.161</v>
      </c>
      <c r="J37" s="482">
        <f>CHOOSE($C$5,J39,J40,J38)</f>
        <v>-0.161</v>
      </c>
      <c r="K37" s="482">
        <f>CHOOSE($C$5,K39,K40,K38)</f>
        <v>-0.161</v>
      </c>
      <c r="L37" s="478"/>
      <c r="M37" s="531" t="s">
        <v>275</v>
      </c>
      <c r="N37" s="480" t="s">
        <v>265</v>
      </c>
      <c r="O37" s="478"/>
      <c r="P37" s="478"/>
      <c r="Q37" s="480" t="s">
        <v>269</v>
      </c>
    </row>
    <row r="38">
      <c r="A38" s="531" t="s">
        <v>312</v>
      </c>
      <c r="B38" s="479"/>
      <c r="C38" s="479"/>
      <c r="D38" s="479"/>
      <c r="E38" s="479"/>
      <c r="F38" s="479"/>
      <c r="G38" s="477">
        <v>-0.17</v>
      </c>
      <c r="H38" s="481">
        <v>-0.17</v>
      </c>
      <c r="I38" s="481">
        <v>-0.17</v>
      </c>
      <c r="J38" s="481">
        <v>-0.17</v>
      </c>
      <c r="K38" s="481">
        <v>-0.17</v>
      </c>
      <c r="L38" s="478"/>
      <c r="M38" s="531" t="s">
        <v>268</v>
      </c>
      <c r="N38" s="480" t="s">
        <v>265</v>
      </c>
      <c r="O38" s="478"/>
      <c r="P38" s="478"/>
      <c r="Q38" s="480" t="s">
        <v>278</v>
      </c>
    </row>
    <row r="39">
      <c r="A39" s="531" t="s">
        <v>313</v>
      </c>
      <c r="B39" s="479"/>
      <c r="C39" s="479"/>
      <c r="D39" s="479"/>
      <c r="E39" s="479"/>
      <c r="F39" s="479"/>
      <c r="G39" s="477">
        <v>-0.161</v>
      </c>
      <c r="H39" s="481">
        <v>-0.161</v>
      </c>
      <c r="I39" s="481">
        <v>-0.161</v>
      </c>
      <c r="J39" s="481">
        <v>-0.161</v>
      </c>
      <c r="K39" s="481">
        <v>-0.161</v>
      </c>
      <c r="L39" s="478"/>
      <c r="M39" s="531" t="s">
        <v>268</v>
      </c>
      <c r="N39" s="480" t="s">
        <v>265</v>
      </c>
      <c r="O39" s="478"/>
      <c r="P39" s="478"/>
      <c r="Q39" s="480" t="s">
        <v>278</v>
      </c>
    </row>
    <row r="40">
      <c r="A40" s="531" t="s">
        <v>314</v>
      </c>
      <c r="B40" s="479"/>
      <c r="C40" s="479"/>
      <c r="D40" s="479"/>
      <c r="E40" s="479"/>
      <c r="F40" s="479"/>
      <c r="G40" s="477">
        <v>-0.15</v>
      </c>
      <c r="H40" s="481">
        <v>-0.15</v>
      </c>
      <c r="I40" s="481">
        <v>-0.15</v>
      </c>
      <c r="J40" s="481">
        <v>-0.15</v>
      </c>
      <c r="K40" s="481">
        <v>-0.15</v>
      </c>
      <c r="L40" s="478"/>
      <c r="M40" s="531" t="s">
        <v>268</v>
      </c>
      <c r="N40" s="480" t="s">
        <v>265</v>
      </c>
      <c r="O40" s="478"/>
      <c r="P40" s="478"/>
      <c r="Q40" s="480" t="s">
        <v>278</v>
      </c>
    </row>
    <row r="41">
      <c r="A41" s="531" t="s">
        <v>315</v>
      </c>
      <c r="B41" s="413">
        <f>EEFF!B10/EEFF!B7</f>
        <v>-0.23059055286476504</v>
      </c>
      <c r="C41" s="413">
        <f>EEFF!C10/EEFF!C7</f>
        <v>-0.19396710249334267</v>
      </c>
      <c r="D41" s="413">
        <f>EEFF!D10/EEFF!D7</f>
        <v>-0.18628319782084918</v>
      </c>
      <c r="E41" s="413">
        <f>EEFF!E10/EEFF!E7</f>
        <v>-0.18214670182877687</v>
      </c>
      <c r="F41" s="413">
        <f>EEFF!F10/EEFF!F7</f>
        <v>-0.16117217881166318</v>
      </c>
      <c r="G41" s="490"/>
      <c r="H41" s="482"/>
      <c r="I41" s="482"/>
      <c r="J41" s="482"/>
      <c r="K41" s="482"/>
      <c r="L41" s="478"/>
      <c r="M41" s="531" t="s">
        <v>275</v>
      </c>
      <c r="N41" s="480" t="s">
        <v>316</v>
      </c>
      <c r="O41" s="478"/>
      <c r="P41" s="478"/>
      <c r="Q41" s="480" t="s">
        <v>317</v>
      </c>
    </row>
    <row r="42">
      <c r="A42" s="531" t="s">
        <v>318</v>
      </c>
      <c r="B42" s="482"/>
      <c r="C42" s="482"/>
      <c r="D42" s="482"/>
      <c r="E42" s="482"/>
      <c r="F42" s="482"/>
      <c r="G42" s="490">
        <f>CHOOSE($C$5,G44,G45,G43)</f>
        <v>-0.189</v>
      </c>
      <c r="H42" s="482">
        <f>CHOOSE($C$5,H44,H45,H43)</f>
        <v>-0.189</v>
      </c>
      <c r="I42" s="482">
        <f>CHOOSE($C$5,I44,I45,I43)</f>
        <v>-0.189</v>
      </c>
      <c r="J42" s="482">
        <f>CHOOSE($C$5,J44,J45,J43)</f>
        <v>-0.189</v>
      </c>
      <c r="K42" s="482">
        <f>CHOOSE($C$5,K44,K45,K43)</f>
        <v>-0.189</v>
      </c>
      <c r="L42" s="478"/>
      <c r="M42" s="531" t="s">
        <v>275</v>
      </c>
      <c r="N42" s="480" t="s">
        <v>265</v>
      </c>
      <c r="O42" s="478"/>
      <c r="P42" s="478"/>
      <c r="Q42" s="480" t="s">
        <v>269</v>
      </c>
    </row>
    <row r="43">
      <c r="A43" s="531" t="s">
        <v>319</v>
      </c>
      <c r="B43" s="479"/>
      <c r="C43" s="479"/>
      <c r="D43" s="479"/>
      <c r="E43" s="479"/>
      <c r="F43" s="479"/>
      <c r="G43" s="477">
        <v>-0.195</v>
      </c>
      <c r="H43" s="481">
        <v>-0.195</v>
      </c>
      <c r="I43" s="481">
        <v>-0.195</v>
      </c>
      <c r="J43" s="481">
        <v>-0.195</v>
      </c>
      <c r="K43" s="481">
        <v>-0.195</v>
      </c>
      <c r="L43" s="478"/>
      <c r="M43" s="531" t="s">
        <v>268</v>
      </c>
      <c r="N43" s="480" t="s">
        <v>265</v>
      </c>
      <c r="O43" s="478"/>
      <c r="P43" s="478"/>
      <c r="Q43" s="480" t="s">
        <v>278</v>
      </c>
    </row>
    <row r="44">
      <c r="A44" s="531" t="s">
        <v>320</v>
      </c>
      <c r="B44" s="479"/>
      <c r="C44" s="479"/>
      <c r="D44" s="479"/>
      <c r="E44" s="479"/>
      <c r="F44" s="479"/>
      <c r="G44" s="477">
        <v>-0.189</v>
      </c>
      <c r="H44" s="481">
        <v>-0.189</v>
      </c>
      <c r="I44" s="481">
        <v>-0.189</v>
      </c>
      <c r="J44" s="481">
        <v>-0.189</v>
      </c>
      <c r="K44" s="481">
        <v>-0.189</v>
      </c>
      <c r="L44" s="478"/>
      <c r="M44" s="531" t="s">
        <v>268</v>
      </c>
      <c r="N44" s="480" t="s">
        <v>265</v>
      </c>
      <c r="O44" s="478"/>
      <c r="P44" s="478"/>
      <c r="Q44" s="480" t="s">
        <v>278</v>
      </c>
    </row>
    <row r="45">
      <c r="A45" s="531" t="s">
        <v>321</v>
      </c>
      <c r="B45" s="479"/>
      <c r="C45" s="479"/>
      <c r="D45" s="479"/>
      <c r="E45" s="479"/>
      <c r="F45" s="479"/>
      <c r="G45" s="477">
        <v>-0.18</v>
      </c>
      <c r="H45" s="481">
        <v>-0.18</v>
      </c>
      <c r="I45" s="481">
        <v>-0.18</v>
      </c>
      <c r="J45" s="481">
        <v>-0.18</v>
      </c>
      <c r="K45" s="481">
        <v>-0.18</v>
      </c>
      <c r="L45" s="478"/>
      <c r="M45" s="531" t="s">
        <v>268</v>
      </c>
      <c r="N45" s="480" t="s">
        <v>265</v>
      </c>
      <c r="O45" s="478"/>
      <c r="P45" s="478"/>
      <c r="Q45" s="480" t="s">
        <v>278</v>
      </c>
    </row>
    <row r="46">
      <c r="A46" s="531" t="s">
        <v>322</v>
      </c>
      <c r="B46" s="413">
        <f>EEFF!B11/EEFF!B7</f>
        <v>-0.17112869729221203</v>
      </c>
      <c r="C46" s="413">
        <f>EEFF!C11/EEFF!C7</f>
        <v>-0.16935938816532006</v>
      </c>
      <c r="D46" s="413">
        <f>EEFF!D11/EEFF!D7</f>
        <v>-0.17910673270988536</v>
      </c>
      <c r="E46" s="413">
        <f>EEFF!E11/EEFF!E7</f>
        <v>-0.1873787627050486</v>
      </c>
      <c r="F46" s="413">
        <f>EEFF!F11/EEFF!F7</f>
        <v>-0.18897752270759427</v>
      </c>
      <c r="G46" s="490"/>
      <c r="H46" s="482"/>
      <c r="I46" s="482"/>
      <c r="J46" s="482"/>
      <c r="K46" s="482"/>
      <c r="L46" s="478"/>
      <c r="M46" s="531" t="s">
        <v>275</v>
      </c>
      <c r="N46" s="480" t="s">
        <v>316</v>
      </c>
      <c r="O46" s="478"/>
      <c r="P46" s="478"/>
      <c r="Q46" s="480" t="s">
        <v>317</v>
      </c>
    </row>
    <row r="47">
      <c r="A47" s="531" t="s">
        <v>323</v>
      </c>
      <c r="B47" s="482"/>
      <c r="C47" s="482"/>
      <c r="D47" s="482"/>
      <c r="E47" s="482"/>
      <c r="F47" s="482"/>
      <c r="G47" s="490">
        <f>CHOOSE($C$5,G49,G50,G48)</f>
        <v>-0.161</v>
      </c>
      <c r="H47" s="482">
        <f>CHOOSE($C$5,H49,H50,H48)</f>
        <v>-0.161</v>
      </c>
      <c r="I47" s="482">
        <f>CHOOSE($C$5,I49,I50,I48)</f>
        <v>-0.161</v>
      </c>
      <c r="J47" s="482">
        <f>CHOOSE($C$5,J49,J50,J48)</f>
        <v>-0.161</v>
      </c>
      <c r="K47" s="482">
        <f>CHOOSE($C$5,K49,K50,K48)</f>
        <v>-0.161</v>
      </c>
      <c r="L47" s="478"/>
      <c r="M47" s="531" t="s">
        <v>275</v>
      </c>
      <c r="N47" s="480" t="s">
        <v>265</v>
      </c>
      <c r="O47" s="478"/>
      <c r="P47" s="478"/>
      <c r="Q47" s="480" t="s">
        <v>269</v>
      </c>
    </row>
    <row r="48">
      <c r="A48" s="531" t="s">
        <v>324</v>
      </c>
      <c r="B48" s="479"/>
      <c r="C48" s="479"/>
      <c r="D48" s="479"/>
      <c r="E48" s="479"/>
      <c r="F48" s="479"/>
      <c r="G48" s="477">
        <v>-0.166</v>
      </c>
      <c r="H48" s="481">
        <v>-0.166</v>
      </c>
      <c r="I48" s="481">
        <v>-0.166</v>
      </c>
      <c r="J48" s="481">
        <v>-0.166</v>
      </c>
      <c r="K48" s="481">
        <v>-0.166</v>
      </c>
      <c r="L48" s="478"/>
      <c r="M48" s="531" t="s">
        <v>268</v>
      </c>
      <c r="N48" s="480" t="s">
        <v>265</v>
      </c>
      <c r="O48" s="478"/>
      <c r="P48" s="478"/>
      <c r="Q48" s="480" t="s">
        <v>278</v>
      </c>
    </row>
    <row r="49">
      <c r="A49" s="531" t="s">
        <v>325</v>
      </c>
      <c r="B49" s="479"/>
      <c r="C49" s="479"/>
      <c r="D49" s="479"/>
      <c r="E49" s="479"/>
      <c r="F49" s="479"/>
      <c r="G49" s="477">
        <v>-0.161</v>
      </c>
      <c r="H49" s="481">
        <v>-0.161</v>
      </c>
      <c r="I49" s="481">
        <v>-0.161</v>
      </c>
      <c r="J49" s="481">
        <v>-0.161</v>
      </c>
      <c r="K49" s="481">
        <v>-0.161</v>
      </c>
      <c r="L49" s="478"/>
      <c r="M49" s="531" t="s">
        <v>268</v>
      </c>
      <c r="N49" s="480" t="s">
        <v>265</v>
      </c>
      <c r="O49" s="478"/>
      <c r="P49" s="478"/>
      <c r="Q49" s="480" t="s">
        <v>278</v>
      </c>
    </row>
    <row r="50">
      <c r="A50" s="531" t="s">
        <v>326</v>
      </c>
      <c r="B50" s="479"/>
      <c r="C50" s="479"/>
      <c r="D50" s="479"/>
      <c r="E50" s="479"/>
      <c r="F50" s="479"/>
      <c r="G50" s="477">
        <v>-0.155</v>
      </c>
      <c r="H50" s="481">
        <v>-0.155</v>
      </c>
      <c r="I50" s="481">
        <v>-0.155</v>
      </c>
      <c r="J50" s="481">
        <v>-0.155</v>
      </c>
      <c r="K50" s="481">
        <v>-0.155</v>
      </c>
      <c r="L50" s="478"/>
      <c r="M50" s="531" t="s">
        <v>268</v>
      </c>
      <c r="N50" s="480" t="s">
        <v>265</v>
      </c>
      <c r="O50" s="478"/>
      <c r="P50" s="478"/>
      <c r="Q50" s="480" t="s">
        <v>278</v>
      </c>
    </row>
    <row r="51">
      <c r="A51" s="531" t="s">
        <v>327</v>
      </c>
      <c r="B51" s="413">
        <f>EEFF!B15/EEFF!B7</f>
        <v>-0.14841878987047216</v>
      </c>
      <c r="C51" s="413">
        <f>EEFF!C15/EEFF!C7</f>
        <v>-0.15064067443709023</v>
      </c>
      <c r="D51" s="413">
        <f>EEFF!D15/EEFF!D7</f>
        <v>-0.17836489436951092</v>
      </c>
      <c r="E51" s="413">
        <f>EEFF!E15/EEFF!E7</f>
        <v>-0.16794155687948983</v>
      </c>
      <c r="F51" s="413">
        <f>EEFF!F15/EEFF!F7</f>
        <v>-0.1613373416511588</v>
      </c>
      <c r="G51" s="490"/>
      <c r="H51" s="482"/>
      <c r="I51" s="482"/>
      <c r="J51" s="482"/>
      <c r="K51" s="482"/>
      <c r="L51" s="478"/>
      <c r="M51" s="531" t="s">
        <v>275</v>
      </c>
      <c r="N51" s="480" t="s">
        <v>316</v>
      </c>
      <c r="O51" s="478"/>
      <c r="P51" s="478"/>
      <c r="Q51" s="480" t="s">
        <v>317</v>
      </c>
    </row>
    <row r="52">
      <c r="A52" s="531" t="s">
        <v>328</v>
      </c>
      <c r="B52" s="482"/>
      <c r="C52" s="482"/>
      <c r="D52" s="482"/>
      <c r="E52" s="482"/>
      <c r="F52" s="482"/>
      <c r="G52" s="490">
        <f>CHOOSE($C$5,G54,G55,G53)</f>
        <v>0.033</v>
      </c>
      <c r="H52" s="482">
        <f>CHOOSE($C$5,H54,H55,H53)</f>
        <v>0.033</v>
      </c>
      <c r="I52" s="482">
        <f>CHOOSE($C$5,I54,I55,I53)</f>
        <v>0.033</v>
      </c>
      <c r="J52" s="482">
        <f>CHOOSE($C$5,J54,J55,J53)</f>
        <v>0.033</v>
      </c>
      <c r="K52" s="482">
        <f>CHOOSE($C$5,K54,K55,K53)</f>
        <v>0.033</v>
      </c>
      <c r="L52" s="478"/>
      <c r="M52" s="531" t="s">
        <v>275</v>
      </c>
      <c r="N52" s="480" t="s">
        <v>265</v>
      </c>
      <c r="O52" s="478"/>
      <c r="P52" s="478"/>
      <c r="Q52" s="480" t="s">
        <v>269</v>
      </c>
    </row>
    <row r="53">
      <c r="A53" s="531" t="s">
        <v>329</v>
      </c>
      <c r="B53" s="479"/>
      <c r="C53" s="479"/>
      <c r="D53" s="479"/>
      <c r="E53" s="479"/>
      <c r="F53" s="479"/>
      <c r="G53" s="477">
        <v>0.04</v>
      </c>
      <c r="H53" s="481">
        <v>0.04</v>
      </c>
      <c r="I53" s="481">
        <v>0.04</v>
      </c>
      <c r="J53" s="481">
        <v>0.04</v>
      </c>
      <c r="K53" s="481">
        <v>0.04</v>
      </c>
      <c r="L53" s="478"/>
      <c r="M53" s="531" t="s">
        <v>268</v>
      </c>
      <c r="N53" s="480" t="s">
        <v>265</v>
      </c>
      <c r="O53" s="478"/>
      <c r="P53" s="478"/>
      <c r="Q53" s="480" t="s">
        <v>278</v>
      </c>
    </row>
    <row r="54">
      <c r="A54" s="531" t="s">
        <v>330</v>
      </c>
      <c r="B54" s="479"/>
      <c r="C54" s="479"/>
      <c r="D54" s="479"/>
      <c r="E54" s="479"/>
      <c r="F54" s="479"/>
      <c r="G54" s="477">
        <v>0.033</v>
      </c>
      <c r="H54" s="481">
        <v>0.033</v>
      </c>
      <c r="I54" s="481">
        <v>0.033</v>
      </c>
      <c r="J54" s="481">
        <v>0.033</v>
      </c>
      <c r="K54" s="481">
        <v>0.033</v>
      </c>
      <c r="L54" s="478"/>
      <c r="M54" s="531" t="s">
        <v>268</v>
      </c>
      <c r="N54" s="480" t="s">
        <v>331</v>
      </c>
      <c r="O54" s="478"/>
      <c r="P54" s="478"/>
      <c r="Q54" s="480" t="s">
        <v>278</v>
      </c>
    </row>
    <row r="55">
      <c r="A55" s="531" t="s">
        <v>332</v>
      </c>
      <c r="B55" s="479"/>
      <c r="C55" s="479"/>
      <c r="D55" s="479"/>
      <c r="E55" s="479"/>
      <c r="F55" s="479"/>
      <c r="G55" s="477">
        <v>0.03</v>
      </c>
      <c r="H55" s="481">
        <v>0.03</v>
      </c>
      <c r="I55" s="481">
        <v>0.03</v>
      </c>
      <c r="J55" s="481">
        <v>0.03</v>
      </c>
      <c r="K55" s="481">
        <v>0.03</v>
      </c>
      <c r="L55" s="478"/>
      <c r="M55" s="531" t="s">
        <v>268</v>
      </c>
      <c r="N55" s="480" t="s">
        <v>265</v>
      </c>
      <c r="O55" s="478"/>
      <c r="P55" s="478"/>
      <c r="Q55" s="480" t="s">
        <v>278</v>
      </c>
    </row>
    <row r="56">
      <c r="A56" s="531" t="s">
        <v>333</v>
      </c>
      <c r="B56" s="413">
        <f>ABS(EEFF!B122)/EEFF!B7</f>
        <v>0.01934573326317336</v>
      </c>
      <c r="C56" s="413">
        <f>ABS(EEFF!C122)/EEFF!C7</f>
        <v>0.026589226200552585</v>
      </c>
      <c r="D56" s="413">
        <f>ABS(EEFF!D122)/EEFF!D7</f>
        <v>0.03235958246579862</v>
      </c>
      <c r="E56" s="413">
        <f>ABS(EEFF!E122)/EEFF!E7</f>
        <v>0.032673290235373416</v>
      </c>
      <c r="F56" s="413">
        <f>ABS(EEFF!F122)/EEFF!F7</f>
        <v>0.03309314433214092</v>
      </c>
      <c r="G56" s="490"/>
      <c r="H56" s="482"/>
      <c r="I56" s="482"/>
      <c r="J56" s="482"/>
      <c r="K56" s="482"/>
      <c r="L56" s="478"/>
      <c r="M56" s="531" t="s">
        <v>275</v>
      </c>
      <c r="N56" s="480" t="s">
        <v>316</v>
      </c>
      <c r="O56" s="478"/>
      <c r="P56" s="478"/>
      <c r="Q56" s="480" t="s">
        <v>317</v>
      </c>
    </row>
    <row r="57">
      <c r="A57" s="531" t="s">
        <v>334</v>
      </c>
      <c r="B57" s="479"/>
      <c r="C57" s="479"/>
      <c r="D57" s="479"/>
      <c r="E57" s="479"/>
      <c r="F57" s="479"/>
      <c r="G57" s="522">
        <f>CHOOSE($C$5,G59,G60,G58)</f>
        <v>37</v>
      </c>
      <c r="H57" s="514">
        <f>CHOOSE($C$5,H59,H60,H58)</f>
        <v>37</v>
      </c>
      <c r="I57" s="514">
        <f>CHOOSE($C$5,I59,I60,I58)</f>
        <v>37</v>
      </c>
      <c r="J57" s="514">
        <f>CHOOSE($C$5,J59,J60,J58)</f>
        <v>37</v>
      </c>
      <c r="K57" s="514">
        <f>CHOOSE($C$5,K59,K60,K58)</f>
        <v>37</v>
      </c>
      <c r="L57" s="478"/>
      <c r="M57" s="531" t="s">
        <v>335</v>
      </c>
      <c r="N57" s="480" t="s">
        <v>265</v>
      </c>
      <c r="O57" s="478"/>
      <c r="P57" s="478"/>
      <c r="Q57" s="480" t="s">
        <v>269</v>
      </c>
    </row>
    <row r="58">
      <c r="A58" s="531" t="s">
        <v>336</v>
      </c>
      <c r="B58" s="479"/>
      <c r="C58" s="479"/>
      <c r="D58" s="479"/>
      <c r="E58" s="479"/>
      <c r="F58" s="479"/>
      <c r="G58" s="477">
        <v>42</v>
      </c>
      <c r="H58" s="481">
        <v>42</v>
      </c>
      <c r="I58" s="481">
        <v>42</v>
      </c>
      <c r="J58" s="481">
        <v>42</v>
      </c>
      <c r="K58" s="481">
        <v>42</v>
      </c>
      <c r="L58" s="478"/>
      <c r="M58" s="531" t="s">
        <v>268</v>
      </c>
      <c r="N58" s="480" t="s">
        <v>265</v>
      </c>
      <c r="O58" s="478"/>
      <c r="P58" s="478"/>
      <c r="Q58" s="480" t="s">
        <v>278</v>
      </c>
    </row>
    <row r="59">
      <c r="A59" s="531" t="s">
        <v>337</v>
      </c>
      <c r="B59" s="479"/>
      <c r="C59" s="479"/>
      <c r="D59" s="479"/>
      <c r="E59" s="479"/>
      <c r="F59" s="479"/>
      <c r="G59" s="477">
        <v>37</v>
      </c>
      <c r="H59" s="481">
        <v>37</v>
      </c>
      <c r="I59" s="481">
        <v>37</v>
      </c>
      <c r="J59" s="481">
        <v>37</v>
      </c>
      <c r="K59" s="481">
        <v>37</v>
      </c>
      <c r="L59" s="478"/>
      <c r="M59" s="531" t="s">
        <v>268</v>
      </c>
      <c r="N59" s="480" t="s">
        <v>265</v>
      </c>
      <c r="O59" s="478"/>
      <c r="P59" s="478"/>
      <c r="Q59" s="480" t="s">
        <v>278</v>
      </c>
    </row>
    <row r="60">
      <c r="A60" s="531" t="s">
        <v>338</v>
      </c>
      <c r="B60" s="479"/>
      <c r="C60" s="479"/>
      <c r="D60" s="479"/>
      <c r="E60" s="479"/>
      <c r="F60" s="479"/>
      <c r="G60" s="477">
        <v>34</v>
      </c>
      <c r="H60" s="481">
        <v>34</v>
      </c>
      <c r="I60" s="481">
        <v>34</v>
      </c>
      <c r="J60" s="481">
        <v>34</v>
      </c>
      <c r="K60" s="481">
        <v>34</v>
      </c>
      <c r="L60" s="478"/>
      <c r="M60" s="531" t="s">
        <v>268</v>
      </c>
      <c r="N60" s="480" t="s">
        <v>265</v>
      </c>
      <c r="O60" s="478"/>
      <c r="P60" s="478"/>
      <c r="Q60" s="480" t="s">
        <v>278</v>
      </c>
    </row>
    <row r="61">
      <c r="A61" s="531" t="s">
        <v>339</v>
      </c>
      <c r="B61" s="517">
        <f>EEFF!B36/EEFF!B7*365</f>
        <v>50.25777247383239</v>
      </c>
      <c r="C61" s="517">
        <f>EEFF!C36/EEFF!C7*365</f>
        <v>46.00632143467048</v>
      </c>
      <c r="D61" s="517">
        <f>EEFF!D36/EEFF!D7*365</f>
        <v>44.35714974531124</v>
      </c>
      <c r="E61" s="517">
        <f>EEFF!E36/EEFF!E7*365</f>
        <v>43.44745495962499</v>
      </c>
      <c r="F61" s="517">
        <f>EEFF!F36/EEFF!F7*365</f>
        <v>37.45357633463561</v>
      </c>
      <c r="G61" s="483"/>
      <c r="H61" s="479"/>
      <c r="I61" s="479"/>
      <c r="J61" s="479"/>
      <c r="K61" s="479"/>
      <c r="L61" s="478"/>
      <c r="M61" s="531" t="s">
        <v>335</v>
      </c>
      <c r="N61" s="480" t="s">
        <v>316</v>
      </c>
      <c r="O61" s="478"/>
      <c r="P61" s="478"/>
      <c r="Q61" s="480" t="s">
        <v>317</v>
      </c>
    </row>
    <row r="62">
      <c r="A62" s="531" t="s">
        <v>340</v>
      </c>
      <c r="B62" s="479"/>
      <c r="C62" s="479"/>
      <c r="D62" s="479"/>
      <c r="E62" s="479"/>
      <c r="F62" s="479"/>
      <c r="G62" s="522">
        <f>CHOOSE($C$5,G64,G65,G63)</f>
        <v>415</v>
      </c>
      <c r="H62" s="514">
        <f>CHOOSE($C$5,H64,H65,H63)</f>
        <v>415</v>
      </c>
      <c r="I62" s="514">
        <f>CHOOSE($C$5,I64,I65,I63)</f>
        <v>415</v>
      </c>
      <c r="J62" s="514">
        <f>CHOOSE($C$5,J64,J65,J63)</f>
        <v>415</v>
      </c>
      <c r="K62" s="514">
        <f>CHOOSE($C$5,K64,K65,K63)</f>
        <v>415</v>
      </c>
      <c r="L62" s="478"/>
      <c r="M62" s="531" t="s">
        <v>335</v>
      </c>
      <c r="N62" s="480" t="s">
        <v>265</v>
      </c>
      <c r="O62" s="478"/>
      <c r="P62" s="478"/>
      <c r="Q62" s="480" t="s">
        <v>269</v>
      </c>
    </row>
    <row r="63">
      <c r="A63" s="531" t="s">
        <v>341</v>
      </c>
      <c r="B63" s="479"/>
      <c r="C63" s="479"/>
      <c r="D63" s="479"/>
      <c r="E63" s="479"/>
      <c r="F63" s="479"/>
      <c r="G63" s="477">
        <v>430</v>
      </c>
      <c r="H63" s="481">
        <v>430</v>
      </c>
      <c r="I63" s="481">
        <v>430</v>
      </c>
      <c r="J63" s="481">
        <v>430</v>
      </c>
      <c r="K63" s="481">
        <v>430</v>
      </c>
      <c r="L63" s="478"/>
      <c r="M63" s="531" t="s">
        <v>335</v>
      </c>
      <c r="N63" s="480" t="s">
        <v>265</v>
      </c>
      <c r="O63" s="478"/>
      <c r="P63" s="478"/>
      <c r="Q63" s="480" t="s">
        <v>278</v>
      </c>
    </row>
    <row r="64">
      <c r="A64" s="531" t="s">
        <v>342</v>
      </c>
      <c r="B64" s="479"/>
      <c r="C64" s="479"/>
      <c r="D64" s="479"/>
      <c r="E64" s="479"/>
      <c r="F64" s="479"/>
      <c r="G64" s="477">
        <v>415</v>
      </c>
      <c r="H64" s="481">
        <v>415</v>
      </c>
      <c r="I64" s="481">
        <v>415</v>
      </c>
      <c r="J64" s="481">
        <v>415</v>
      </c>
      <c r="K64" s="481">
        <v>415</v>
      </c>
      <c r="L64" s="478"/>
      <c r="M64" s="531" t="s">
        <v>268</v>
      </c>
      <c r="N64" s="480" t="s">
        <v>265</v>
      </c>
      <c r="O64" s="478"/>
      <c r="P64" s="478"/>
      <c r="Q64" s="480" t="s">
        <v>278</v>
      </c>
    </row>
    <row r="65">
      <c r="A65" s="531" t="s">
        <v>343</v>
      </c>
      <c r="B65" s="479"/>
      <c r="C65" s="479"/>
      <c r="D65" s="479"/>
      <c r="E65" s="479"/>
      <c r="F65" s="479"/>
      <c r="G65" s="477">
        <v>390</v>
      </c>
      <c r="H65" s="481">
        <v>390</v>
      </c>
      <c r="I65" s="481">
        <v>390</v>
      </c>
      <c r="J65" s="481">
        <v>390</v>
      </c>
      <c r="K65" s="481">
        <v>390</v>
      </c>
      <c r="L65" s="478"/>
      <c r="M65" s="531" t="s">
        <v>335</v>
      </c>
      <c r="N65" s="480" t="s">
        <v>265</v>
      </c>
      <c r="O65" s="478"/>
      <c r="P65" s="478"/>
      <c r="Q65" s="480" t="s">
        <v>278</v>
      </c>
    </row>
    <row r="66">
      <c r="A66" s="531" t="s">
        <v>344</v>
      </c>
      <c r="B66" s="517">
        <f>EEFF!B37/ABS(EEFF!B10)*365</f>
        <v>318.56045477142436</v>
      </c>
      <c r="C66" s="517">
        <f>EEFF!C37/ABS(EEFF!C10)*365</f>
        <v>425.57719671442095</v>
      </c>
      <c r="D66" s="517">
        <f>EEFF!D37/ABS(EEFF!D10)*365</f>
        <v>461.2233388346519</v>
      </c>
      <c r="E66" s="517">
        <f>EEFF!E37/ABS(EEFF!E10)*365</f>
        <v>428.5196051060051</v>
      </c>
      <c r="F66" s="517">
        <f>EEFF!F37/ABS(EEFF!F10)*365</f>
        <v>414.4388297328897</v>
      </c>
      <c r="G66" s="483"/>
      <c r="H66" s="479"/>
      <c r="I66" s="479"/>
      <c r="J66" s="479"/>
      <c r="K66" s="479"/>
      <c r="L66" s="478"/>
      <c r="M66" s="531" t="s">
        <v>335</v>
      </c>
      <c r="N66" s="480" t="s">
        <v>316</v>
      </c>
      <c r="O66" s="478"/>
      <c r="P66" s="478"/>
      <c r="Q66" s="480" t="s">
        <v>317</v>
      </c>
    </row>
    <row r="67">
      <c r="A67" s="531" t="s">
        <v>345</v>
      </c>
      <c r="B67" s="479"/>
      <c r="C67" s="479"/>
      <c r="D67" s="479"/>
      <c r="E67" s="479"/>
      <c r="F67" s="479"/>
      <c r="G67" s="522">
        <f>CHOOSE($C$5,G69,G70,G68)</f>
        <v>154</v>
      </c>
      <c r="H67" s="514">
        <f>CHOOSE($C$5,H69,H70,H68)</f>
        <v>154</v>
      </c>
      <c r="I67" s="514">
        <f>CHOOSE($C$5,I69,I70,I68)</f>
        <v>154</v>
      </c>
      <c r="J67" s="514">
        <f>CHOOSE($C$5,J69,J70,J68)</f>
        <v>154</v>
      </c>
      <c r="K67" s="514">
        <f>CHOOSE($C$5,K69,K70,K68)</f>
        <v>154</v>
      </c>
      <c r="L67" s="478"/>
      <c r="M67" s="531" t="s">
        <v>268</v>
      </c>
      <c r="N67" s="480" t="s">
        <v>265</v>
      </c>
      <c r="O67" s="478"/>
      <c r="P67" s="478"/>
      <c r="Q67" s="480" t="s">
        <v>269</v>
      </c>
    </row>
    <row r="68">
      <c r="A68" s="531" t="s">
        <v>346</v>
      </c>
      <c r="B68" s="479"/>
      <c r="C68" s="479"/>
      <c r="D68" s="479"/>
      <c r="E68" s="479"/>
      <c r="F68" s="479"/>
      <c r="G68" s="477">
        <v>145</v>
      </c>
      <c r="H68" s="481">
        <v>145</v>
      </c>
      <c r="I68" s="481">
        <v>145</v>
      </c>
      <c r="J68" s="481">
        <v>145</v>
      </c>
      <c r="K68" s="481">
        <v>145</v>
      </c>
      <c r="L68" s="478"/>
      <c r="M68" s="531" t="s">
        <v>268</v>
      </c>
      <c r="N68" s="480" t="s">
        <v>265</v>
      </c>
      <c r="O68" s="478"/>
      <c r="P68" s="478"/>
      <c r="Q68" s="480" t="s">
        <v>278</v>
      </c>
    </row>
    <row r="69">
      <c r="A69" s="531" t="s">
        <v>347</v>
      </c>
      <c r="B69" s="479"/>
      <c r="C69" s="479"/>
      <c r="D69" s="479"/>
      <c r="E69" s="479"/>
      <c r="F69" s="479"/>
      <c r="G69" s="477">
        <v>154</v>
      </c>
      <c r="H69" s="481">
        <v>154</v>
      </c>
      <c r="I69" s="481">
        <v>154</v>
      </c>
      <c r="J69" s="481">
        <v>154</v>
      </c>
      <c r="K69" s="481">
        <v>154</v>
      </c>
      <c r="L69" s="478"/>
      <c r="M69" s="531" t="s">
        <v>268</v>
      </c>
      <c r="N69" s="480" t="s">
        <v>265</v>
      </c>
      <c r="O69" s="478"/>
      <c r="P69" s="478"/>
      <c r="Q69" s="480" t="s">
        <v>278</v>
      </c>
    </row>
    <row r="70">
      <c r="A70" s="531" t="s">
        <v>348</v>
      </c>
      <c r="B70" s="479"/>
      <c r="C70" s="479"/>
      <c r="D70" s="479"/>
      <c r="E70" s="479"/>
      <c r="F70" s="479"/>
      <c r="G70" s="477">
        <v>165</v>
      </c>
      <c r="H70" s="481">
        <v>165</v>
      </c>
      <c r="I70" s="481">
        <v>165</v>
      </c>
      <c r="J70" s="481">
        <v>165</v>
      </c>
      <c r="K70" s="481">
        <v>165</v>
      </c>
      <c r="L70" s="478"/>
      <c r="M70" s="531" t="s">
        <v>268</v>
      </c>
      <c r="N70" s="480" t="s">
        <v>265</v>
      </c>
      <c r="O70" s="478"/>
      <c r="P70" s="478"/>
      <c r="Q70" s="480" t="s">
        <v>278</v>
      </c>
    </row>
    <row r="71">
      <c r="A71" s="531" t="s">
        <v>349</v>
      </c>
      <c r="B71" s="413">
        <f>(EEFF!B65+EEFF!B67)/ABS(EEFF!B10)*365</f>
        <v>148.22161480373273</v>
      </c>
      <c r="C71" s="413">
        <f>(EEFF!C65+EEFF!C67)/ABS(EEFF!C10)*365</f>
        <v>186.93580552008714</v>
      </c>
      <c r="D71" s="413">
        <f>(EEFF!D65+EEFF!D67)/ABS(EEFF!D10)*365</f>
        <v>172.8633663366101</v>
      </c>
      <c r="E71" s="413">
        <f>(EEFF!E65+EEFF!E67)/ABS(EEFF!E10)*365</f>
        <v>156.49766503868673</v>
      </c>
      <c r="F71" s="413">
        <f>(EEFF!F65+EEFF!F67)/ABS(EEFF!F10)*365</f>
        <v>153.47053064399685</v>
      </c>
      <c r="G71" s="490"/>
      <c r="H71" s="482"/>
      <c r="I71" s="482"/>
      <c r="J71" s="482"/>
      <c r="K71" s="482"/>
      <c r="L71" s="478"/>
      <c r="M71" s="531" t="s">
        <v>275</v>
      </c>
      <c r="N71" s="480" t="s">
        <v>316</v>
      </c>
      <c r="O71" s="478"/>
      <c r="P71" s="478"/>
      <c r="Q71" s="480" t="s">
        <v>317</v>
      </c>
    </row>
    <row r="72">
      <c r="A72" s="411"/>
      <c r="B72" s="411"/>
      <c r="C72" s="411"/>
      <c r="D72" s="411"/>
      <c r="E72" s="411"/>
      <c r="F72" s="411"/>
      <c r="G72" s="418"/>
      <c r="H72" s="411"/>
      <c r="I72" s="411"/>
      <c r="J72" s="411"/>
      <c r="K72" s="411"/>
    </row>
  </sheetData>
</worksheet>
</file>

<file path=xl/worksheets/sheet4.xml><?xml version="1.0" encoding="utf-8"?>
<worksheet xmlns="http://schemas.openxmlformats.org/spreadsheetml/2006/main" xmlns:r="http://schemas.openxmlformats.org/officeDocument/2006/relationships">
  <dimension ref="A1:K162"/>
  <sheetViews>
    <sheetView showGridLines="0" workbookViewId="0"/>
  </sheetViews>
  <sheetFormatPr defaultColWidth="8.375" defaultRowHeight="15"/>
  <cols>
    <col min="1" max="1" width="43.125" customWidth="1"/>
    <col min="2" max="11" width="15.625" customWidth="1"/>
  </cols>
  <sheetData>
    <row r="1">
      <c r="A1" s="534" t="s">
        <v>0</v>
      </c>
      <c r="B1" s="506"/>
      <c r="C1" s="506"/>
      <c r="D1" s="506"/>
      <c r="E1" s="506"/>
      <c r="F1" s="506"/>
      <c r="G1" s="505"/>
      <c r="H1" s="503"/>
      <c r="I1" s="503"/>
      <c r="J1" s="503"/>
      <c r="K1" s="503"/>
    </row>
    <row r="2">
      <c r="A2" s="531" t="s">
        <v>1</v>
      </c>
      <c r="G2" s="509"/>
    </row>
    <row r="3">
      <c r="A3" s="531" t="s">
        <v>2</v>
      </c>
      <c r="G3" s="509"/>
    </row>
    <row r="4">
      <c r="A4" s="498"/>
      <c r="B4" s="498"/>
      <c r="C4" s="498"/>
      <c r="D4" s="498"/>
      <c r="E4" s="498"/>
      <c r="F4" s="498"/>
      <c r="G4" s="509"/>
      <c r="H4" s="498"/>
      <c r="I4" s="498"/>
      <c r="J4" s="498"/>
      <c r="K4" s="498"/>
    </row>
    <row r="5">
      <c r="A5" s="534" t="s">
        <v>3</v>
      </c>
      <c r="B5" s="535" t="s">
        <v>4</v>
      </c>
      <c r="C5" s="535" t="s">
        <v>5</v>
      </c>
      <c r="D5" s="535" t="s">
        <v>6</v>
      </c>
      <c r="E5" s="535" t="s">
        <v>7</v>
      </c>
      <c r="F5" s="535" t="s">
        <v>8</v>
      </c>
      <c r="G5" s="537" t="s">
        <v>9</v>
      </c>
      <c r="H5" s="536" t="s">
        <v>10</v>
      </c>
      <c r="I5" s="536" t="s">
        <v>11</v>
      </c>
      <c r="J5" s="536" t="s">
        <v>12</v>
      </c>
      <c r="K5" s="536" t="s">
        <v>13</v>
      </c>
    </row>
    <row r="6">
      <c r="A6" s="534" t="s">
        <v>14</v>
      </c>
      <c r="B6" s="497"/>
      <c r="C6" s="497"/>
      <c r="D6" s="497"/>
      <c r="E6" s="497"/>
      <c r="F6" s="497"/>
      <c r="G6" s="510"/>
      <c r="H6" s="499"/>
      <c r="I6" s="499"/>
      <c r="J6" s="499"/>
      <c r="K6" s="499"/>
    </row>
    <row r="7">
      <c r="A7" s="531" t="s">
        <v>15</v>
      </c>
      <c r="B7" s="517">
        <f>EEFF!B7</f>
        <v>438114952</v>
      </c>
      <c r="C7" s="517">
        <f>EEFF!C7</f>
        <v>467074668</v>
      </c>
      <c r="D7" s="517">
        <f>EEFF!D7</f>
        <v>451706230</v>
      </c>
      <c r="E7" s="517">
        <f>EEFF!E7</f>
        <v>460719410</v>
      </c>
      <c r="F7" s="517">
        <f>EEFF!F7</f>
        <v>470347932</v>
      </c>
      <c r="G7" s="521">
        <f>F7*(1+(Supuestos!G11*0.100094+Supuestos!G16*0.203517+Supuestos!G21*0.306651+Supuestos!G26*0.379513+Supuestos!G31*0.010225))</f>
        <v>479568971.50943905</v>
      </c>
      <c r="H7" s="517">
        <f>G7*(1+(Supuestos!H11*0.100094+Supuestos!H16*0.203517+Supuestos!H21*0.306651+Supuestos!H26*0.379513+Supuestos!H31*0.010225))</f>
        <v>488970786.9165696</v>
      </c>
      <c r="I7" s="517">
        <f>H7*(1+(Supuestos!I11*0.100094+Supuestos!I16*0.203517+Supuestos!I21*0.306651+Supuestos!I26*0.379513+Supuestos!I31*0.010225))</f>
        <v>498556922.2822486</v>
      </c>
      <c r="J7" s="517">
        <f>I7*(1+(Supuestos!J11*0.100094+Supuestos!J16*0.203517+Supuestos!J21*0.306651+Supuestos!J26*0.379513+Supuestos!J31*0.010225))</f>
        <v>508330991.1476539</v>
      </c>
      <c r="K7" s="517">
        <f>J7*(1+(Supuestos!K11*0.100094+Supuestos!K16*0.203517+Supuestos!K21*0.306651+Supuestos!K26*0.379513+Supuestos!K31*0.010225))</f>
        <v>518296677.89642614</v>
      </c>
    </row>
    <row r="8">
      <c r="A8" s="531" t="s">
        <v>16</v>
      </c>
      <c r="B8" s="517">
        <f>EEFF!B8</f>
        <v>3966219</v>
      </c>
      <c r="C8" s="517">
        <f>EEFF!C8</f>
        <v>4392200</v>
      </c>
      <c r="D8" s="517">
        <f>EEFF!D8</f>
        <v>11003710</v>
      </c>
      <c r="E8" s="517">
        <f>EEFF!E8</f>
        <v>3762535</v>
      </c>
      <c r="F8" s="517">
        <f>EEFF!F8</f>
        <v>3613091</v>
      </c>
      <c r="G8" s="522">
        <f>F8</f>
        <v>3613091</v>
      </c>
      <c r="H8" s="514">
        <f>G8</f>
        <v>3613091</v>
      </c>
      <c r="I8" s="514">
        <f>H8</f>
        <v>3613091</v>
      </c>
      <c r="J8" s="514">
        <f>I8</f>
        <v>3613091</v>
      </c>
      <c r="K8" s="514">
        <f>J8</f>
        <v>3613091</v>
      </c>
    </row>
    <row r="9">
      <c r="A9" s="531" t="s">
        <v>17</v>
      </c>
      <c r="B9" s="517">
        <f>EEFF!B9</f>
        <v>-150244827</v>
      </c>
      <c r="C9" s="517">
        <f>EEFF!C9</f>
        <v>-187077140</v>
      </c>
      <c r="D9" s="517">
        <f>EEFF!D9</f>
        <v>-173249606</v>
      </c>
      <c r="E9" s="517">
        <f>EEFF!E9</f>
        <v>-174005656</v>
      </c>
      <c r="F9" s="517">
        <f>EEFF!F9</f>
        <v>-188175458</v>
      </c>
      <c r="G9" s="522">
        <f>F9</f>
        <v>-188175458</v>
      </c>
      <c r="H9" s="514">
        <f>G9</f>
        <v>-188175458</v>
      </c>
      <c r="I9" s="514">
        <f>H9</f>
        <v>-188175458</v>
      </c>
      <c r="J9" s="514">
        <f>I9</f>
        <v>-188175458</v>
      </c>
      <c r="K9" s="514">
        <f>J9</f>
        <v>-188175458</v>
      </c>
    </row>
    <row r="10">
      <c r="A10" s="531" t="s">
        <v>18</v>
      </c>
      <c r="B10" s="517">
        <f>EEFF!B10</f>
        <v>-101025169</v>
      </c>
      <c r="C10" s="517">
        <f>EEFF!C10</f>
        <v>-90597120</v>
      </c>
      <c r="D10" s="517">
        <f>EEFF!D10</f>
        <v>-84145281</v>
      </c>
      <c r="E10" s="517">
        <f>EEFF!E10</f>
        <v>-83918521</v>
      </c>
      <c r="F10" s="517">
        <f>EEFF!F10</f>
        <v>-75807001</v>
      </c>
      <c r="G10" s="521">
        <f>G7*Supuestos!G37</f>
        <v>-77210604.41301969</v>
      </c>
      <c r="H10" s="517">
        <f>H7*Supuestos!H37</f>
        <v>-78724296.69356771</v>
      </c>
      <c r="I10" s="517">
        <f>I7*Supuestos!I37</f>
        <v>-80267664.48744203</v>
      </c>
      <c r="J10" s="517">
        <f>J7*Supuestos!J37</f>
        <v>-81841289.57477228</v>
      </c>
      <c r="K10" s="517">
        <f>K7*Supuestos!K37</f>
        <v>-83445765.14132461</v>
      </c>
    </row>
    <row r="11">
      <c r="A11" s="531" t="s">
        <v>19</v>
      </c>
      <c r="B11" s="517">
        <f>EEFF!B11</f>
        <v>-74974041</v>
      </c>
      <c r="C11" s="517">
        <f>EEFF!C11</f>
        <v>-79103480</v>
      </c>
      <c r="D11" s="517">
        <f>EEFF!D11</f>
        <v>-80903627</v>
      </c>
      <c r="E11" s="517">
        <f>EEFF!E11</f>
        <v>-86329033</v>
      </c>
      <c r="F11" s="517">
        <f>EEFF!F11</f>
        <v>-88885187</v>
      </c>
      <c r="G11" s="521">
        <f>G7*Supuestos!G42</f>
        <v>-90638535.61528398</v>
      </c>
      <c r="H11" s="517">
        <f>H7*Supuestos!H42</f>
        <v>-92415478.72723165</v>
      </c>
      <c r="I11" s="517">
        <f>I7*Supuestos!I42</f>
        <v>-94227258.311345</v>
      </c>
      <c r="J11" s="517">
        <f>J7*Supuestos!J42</f>
        <v>-96074557.32690658</v>
      </c>
      <c r="K11" s="517">
        <f>K7*Supuestos!K42</f>
        <v>-97958072.12242454</v>
      </c>
    </row>
    <row r="12">
      <c r="A12" s="531" t="s">
        <v>20</v>
      </c>
      <c r="B12" s="517">
        <f>EEFF!B12</f>
        <v>-13985672</v>
      </c>
      <c r="C12" s="517">
        <f>EEFF!C12</f>
        <v>-13342976</v>
      </c>
      <c r="D12" s="517">
        <f>EEFF!D12</f>
        <v>-14036279</v>
      </c>
      <c r="E12" s="517">
        <f>EEFF!E12</f>
        <v>-14828901</v>
      </c>
      <c r="F12" s="517">
        <f>EEFF!F12</f>
        <v>-15329288</v>
      </c>
      <c r="G12" s="522">
        <f>F12</f>
        <v>-15329288</v>
      </c>
      <c r="H12" s="514">
        <f>G12</f>
        <v>-15329288</v>
      </c>
      <c r="I12" s="514">
        <f>H12</f>
        <v>-15329288</v>
      </c>
      <c r="J12" s="514">
        <f>I12</f>
        <v>-15329288</v>
      </c>
      <c r="K12" s="514">
        <f>J12</f>
        <v>-15329288</v>
      </c>
    </row>
    <row r="13">
      <c r="A13" s="531" t="s">
        <v>21</v>
      </c>
      <c r="B13" s="517">
        <f>EEFF!B13</f>
        <v>-4161694</v>
      </c>
      <c r="C13" s="517">
        <f>EEFF!C13</f>
        <v>-3991659</v>
      </c>
      <c r="D13" s="517">
        <f>EEFF!D13</f>
        <v>-3696447</v>
      </c>
      <c r="E13" s="517">
        <f>EEFF!E13</f>
        <v>-4684964</v>
      </c>
      <c r="F13" s="517">
        <f>EEFF!F13</f>
        <v>-5404896</v>
      </c>
      <c r="G13" s="522">
        <f>F13</f>
        <v>-5404896</v>
      </c>
      <c r="H13" s="514">
        <f>G13</f>
        <v>-5404896</v>
      </c>
      <c r="I13" s="514">
        <f>H13</f>
        <v>-5404896</v>
      </c>
      <c r="J13" s="514">
        <f>I13</f>
        <v>-5404896</v>
      </c>
      <c r="K13" s="514">
        <f>J13</f>
        <v>-5404896</v>
      </c>
    </row>
    <row r="14">
      <c r="A14" s="531" t="s">
        <v>22</v>
      </c>
      <c r="B14" s="517">
        <f>EEFF!B14</f>
        <v>-967420</v>
      </c>
      <c r="C14" s="517">
        <f>EEFF!C14</f>
        <v>-425576</v>
      </c>
      <c r="D14" s="517">
        <f>EEFF!D14</f>
        <v>-1225588</v>
      </c>
      <c r="E14" s="517">
        <f>EEFF!E14</f>
        <v>-1314799</v>
      </c>
      <c r="F14" s="517">
        <f>EEFF!F14</f>
        <v>-467105</v>
      </c>
      <c r="G14" s="522">
        <f>F14</f>
        <v>-467105</v>
      </c>
      <c r="H14" s="514">
        <f>G14</f>
        <v>-467105</v>
      </c>
      <c r="I14" s="514">
        <f>H14</f>
        <v>-467105</v>
      </c>
      <c r="J14" s="514">
        <f>I14</f>
        <v>-467105</v>
      </c>
      <c r="K14" s="514">
        <f>J14</f>
        <v>-467105</v>
      </c>
    </row>
    <row r="15">
      <c r="A15" s="531" t="s">
        <v>23</v>
      </c>
      <c r="B15" s="517">
        <f>EEFF!B15</f>
        <v>-65024491</v>
      </c>
      <c r="C15" s="517">
        <f>EEFF!C15</f>
        <v>-70360443</v>
      </c>
      <c r="D15" s="517">
        <f>EEFF!D15</f>
        <v>-80568534</v>
      </c>
      <c r="E15" s="517">
        <f>EEFF!E15</f>
        <v>-77373935</v>
      </c>
      <c r="F15" s="517">
        <f>EEFF!F15</f>
        <v>-75884685</v>
      </c>
      <c r="G15" s="521">
        <f>G7*Supuestos!G47</f>
        <v>-77210604.41301969</v>
      </c>
      <c r="H15" s="517">
        <f>H7*Supuestos!H47</f>
        <v>-78724296.69356771</v>
      </c>
      <c r="I15" s="517">
        <f>I7*Supuestos!I47</f>
        <v>-80267664.48744203</v>
      </c>
      <c r="J15" s="517">
        <f>J7*Supuestos!J47</f>
        <v>-81841289.57477228</v>
      </c>
      <c r="K15" s="517">
        <f>K7*Supuestos!K47</f>
        <v>-83445765.14132461</v>
      </c>
    </row>
    <row r="16">
      <c r="A16" s="502" t="s">
        <v>24</v>
      </c>
      <c r="B16" s="496">
        <f>EEFF!B16</f>
        <v>31697857</v>
      </c>
      <c r="C16" s="496">
        <f>EEFF!C16</f>
        <v>26568474</v>
      </c>
      <c r="D16" s="496">
        <f>EEFF!D16</f>
        <v>24884578</v>
      </c>
      <c r="E16" s="496">
        <f>EEFF!E16</f>
        <v>22026136</v>
      </c>
      <c r="F16" s="496">
        <f>EEFF!F16</f>
        <v>24007403</v>
      </c>
      <c r="G16" s="511">
        <f>G7+G8+G9+G10+G11+G12+G13+G14+G15</f>
        <v>28745571.068115696</v>
      </c>
      <c r="H16" s="504">
        <f>H7+H8+H9+H10+H11+H12+H13+H14+H15</f>
        <v>33343058.802202538</v>
      </c>
      <c r="I16" s="504">
        <f>I7+I8+I9+I10+I11+I12+I13+I14+I15</f>
        <v>38030678.99601959</v>
      </c>
      <c r="J16" s="504">
        <f>J7+J8+J9+J10+J11+J12+J13+J14+J15</f>
        <v>42810198.671202734</v>
      </c>
      <c r="K16" s="504">
        <f>K7+K8+K9+K10+K11+K12+K13+K14+K15</f>
        <v>47683419.49135238</v>
      </c>
    </row>
    <row r="17">
      <c r="A17" s="498"/>
      <c r="B17" s="498"/>
      <c r="C17" s="498"/>
      <c r="D17" s="498"/>
      <c r="E17" s="498"/>
      <c r="F17" s="498"/>
      <c r="G17" s="509"/>
      <c r="H17" s="498"/>
      <c r="I17" s="498"/>
      <c r="J17" s="498"/>
      <c r="K17" s="498"/>
    </row>
    <row r="18">
      <c r="A18" s="534" t="s">
        <v>25</v>
      </c>
      <c r="B18" s="497"/>
      <c r="C18" s="497"/>
      <c r="D18" s="497"/>
      <c r="E18" s="497"/>
      <c r="F18" s="497"/>
      <c r="G18" s="510"/>
      <c r="H18" s="499"/>
      <c r="I18" s="499"/>
      <c r="J18" s="499"/>
      <c r="K18" s="499"/>
    </row>
    <row r="19">
      <c r="A19" s="531" t="s">
        <v>26</v>
      </c>
      <c r="B19" s="517">
        <f>EEFF!B18</f>
        <v>881939</v>
      </c>
      <c r="C19" s="517">
        <f>EEFF!C18</f>
        <v>783585</v>
      </c>
      <c r="D19" s="517">
        <f>EEFF!D18</f>
        <v>885958</v>
      </c>
      <c r="E19" s="517">
        <f>EEFF!E18</f>
        <v>1130662</v>
      </c>
      <c r="F19" s="517">
        <f>EEFF!F18</f>
        <v>1414749</v>
      </c>
      <c r="G19" s="522">
        <f>F19</f>
        <v>1414749</v>
      </c>
      <c r="H19" s="514">
        <f>G19</f>
        <v>1414749</v>
      </c>
      <c r="I19" s="514">
        <f>H19</f>
        <v>1414749</v>
      </c>
      <c r="J19" s="514">
        <f>I19</f>
        <v>1414749</v>
      </c>
      <c r="K19" s="514">
        <f>J19</f>
        <v>1414749</v>
      </c>
    </row>
    <row r="20">
      <c r="A20" s="531" t="s">
        <v>27</v>
      </c>
      <c r="B20" s="517">
        <f>EEFF!B19</f>
        <v>-968434</v>
      </c>
      <c r="C20" s="517">
        <f>EEFF!C19</f>
        <v>-882753</v>
      </c>
      <c r="D20" s="517">
        <f>EEFF!D19</f>
        <v>-792291</v>
      </c>
      <c r="E20" s="517">
        <f>EEFF!E19</f>
        <v>-956053</v>
      </c>
      <c r="F20" s="517">
        <f>EEFF!F19</f>
        <v>-1156672</v>
      </c>
      <c r="G20" s="522">
        <f>F20</f>
        <v>-1156672</v>
      </c>
      <c r="H20" s="514">
        <f>G20</f>
        <v>-1156672</v>
      </c>
      <c r="I20" s="514">
        <f>H20</f>
        <v>-1156672</v>
      </c>
      <c r="J20" s="514">
        <f>I20</f>
        <v>-1156672</v>
      </c>
      <c r="K20" s="514">
        <f>J20</f>
        <v>-1156672</v>
      </c>
    </row>
    <row r="21">
      <c r="A21" s="531" t="s">
        <v>28</v>
      </c>
      <c r="B21" s="517">
        <f>EEFF!B20</f>
        <v>-5019054</v>
      </c>
      <c r="C21" s="517">
        <f>EEFF!C20</f>
        <v>-3558962</v>
      </c>
      <c r="D21" s="517">
        <f>EEFF!D20</f>
        <v>-4663883</v>
      </c>
      <c r="E21" s="517">
        <f>EEFF!E20</f>
        <v>-4939562</v>
      </c>
      <c r="F21" s="517">
        <f>EEFF!F20</f>
        <v>-4478120</v>
      </c>
      <c r="G21" s="522">
        <f>F21</f>
        <v>-4478120</v>
      </c>
      <c r="H21" s="514">
        <f>G21</f>
        <v>-4478120</v>
      </c>
      <c r="I21" s="514">
        <f>H21</f>
        <v>-4478120</v>
      </c>
      <c r="J21" s="514">
        <f>I21</f>
        <v>-4478120</v>
      </c>
      <c r="K21" s="514">
        <f>J21</f>
        <v>-4478120</v>
      </c>
    </row>
    <row r="22">
      <c r="A22" s="502" t="s">
        <v>29</v>
      </c>
      <c r="B22" s="496">
        <f>EEFF!B21</f>
        <v>-5105549</v>
      </c>
      <c r="C22" s="496">
        <f>EEFF!C21</f>
        <v>-3658130</v>
      </c>
      <c r="D22" s="496">
        <f>EEFF!D21</f>
        <v>-4570216</v>
      </c>
      <c r="E22" s="496">
        <f>EEFF!E21</f>
        <v>-4764953</v>
      </c>
      <c r="F22" s="496">
        <f>EEFF!F21</f>
        <v>-4220043</v>
      </c>
      <c r="G22" s="511">
        <f>G19+G20+G21</f>
        <v>-4220043</v>
      </c>
      <c r="H22" s="504">
        <f>H19+H20+H21</f>
        <v>-4220043</v>
      </c>
      <c r="I22" s="504">
        <f>I19+I20+I21</f>
        <v>-4220043</v>
      </c>
      <c r="J22" s="504">
        <f>J19+J20+J21</f>
        <v>-4220043</v>
      </c>
      <c r="K22" s="504">
        <f>K19+K20+K21</f>
        <v>-4220043</v>
      </c>
    </row>
    <row r="23">
      <c r="A23" s="531" t="s">
        <v>30</v>
      </c>
      <c r="B23" s="517">
        <f>EEFF!B22</f>
        <v>539906</v>
      </c>
      <c r="C23" s="517">
        <f>EEFF!C22</f>
        <v>930830</v>
      </c>
      <c r="D23" s="517">
        <f>EEFF!D22</f>
        <v>1210952</v>
      </c>
      <c r="E23" s="517">
        <f>EEFF!E22</f>
        <v>869552</v>
      </c>
      <c r="F23" s="517">
        <f>EEFF!F22</f>
        <v>766156</v>
      </c>
      <c r="G23" s="522">
        <f>F23</f>
        <v>766156</v>
      </c>
      <c r="H23" s="514">
        <f>G23</f>
        <v>766156</v>
      </c>
      <c r="I23" s="514">
        <f>H23</f>
        <v>766156</v>
      </c>
      <c r="J23" s="514">
        <f>I23</f>
        <v>766156</v>
      </c>
      <c r="K23" s="514">
        <f>J23</f>
        <v>766156</v>
      </c>
    </row>
    <row r="24">
      <c r="A24" s="502" t="s">
        <v>31</v>
      </c>
      <c r="B24" s="496">
        <f>EEFF!B23</f>
        <v>27132214</v>
      </c>
      <c r="C24" s="496">
        <f>EEFF!C23</f>
        <v>23841174</v>
      </c>
      <c r="D24" s="496">
        <f>EEFF!D23</f>
        <v>21525314</v>
      </c>
      <c r="E24" s="496">
        <f>EEFF!E23</f>
        <v>18130735</v>
      </c>
      <c r="F24" s="496">
        <f>EEFF!F23</f>
        <v>20553516</v>
      </c>
      <c r="G24" s="511">
        <f>G16+G22+G23</f>
        <v>25291684.068115696</v>
      </c>
      <c r="H24" s="504">
        <f>H16+H22+H23</f>
        <v>29889171.802202538</v>
      </c>
      <c r="I24" s="504">
        <f>I16+I22+I23</f>
        <v>34576791.99601959</v>
      </c>
      <c r="J24" s="504">
        <f>J16+J22+J23</f>
        <v>39356311.671202734</v>
      </c>
      <c r="K24" s="504">
        <f>K16+K22+K23</f>
        <v>44229532.49135238</v>
      </c>
    </row>
    <row r="25">
      <c r="A25" s="531" t="s">
        <v>32</v>
      </c>
      <c r="B25" s="517">
        <f>EEFF!B24</f>
        <v>-6945729</v>
      </c>
      <c r="C25" s="517">
        <f>EEFF!C24</f>
        <v>-6379563</v>
      </c>
      <c r="D25" s="517">
        <f>EEFF!D24</f>
        <v>-3925237</v>
      </c>
      <c r="E25" s="517">
        <f>EEFF!E24</f>
        <v>-4602653</v>
      </c>
      <c r="F25" s="517">
        <f>EEFF!F24</f>
        <v>-5123047</v>
      </c>
      <c r="G25" s="522">
        <f>F25</f>
        <v>-5123047</v>
      </c>
      <c r="H25" s="514">
        <f>G25</f>
        <v>-5123047</v>
      </c>
      <c r="I25" s="514">
        <f>H25</f>
        <v>-5123047</v>
      </c>
      <c r="J25" s="514">
        <f>I25</f>
        <v>-5123047</v>
      </c>
      <c r="K25" s="514">
        <f>J25</f>
        <v>-5123047</v>
      </c>
    </row>
    <row r="26">
      <c r="A26" s="502" t="s">
        <v>33</v>
      </c>
      <c r="B26" s="496">
        <f>EEFF!B25</f>
        <v>20186485</v>
      </c>
      <c r="C26" s="496">
        <f>EEFF!C25</f>
        <v>17461611</v>
      </c>
      <c r="D26" s="496">
        <f>EEFF!D25</f>
        <v>17600077</v>
      </c>
      <c r="E26" s="496">
        <f>EEFF!E25</f>
        <v>13528082</v>
      </c>
      <c r="F26" s="496">
        <f>EEFF!F25</f>
        <v>15430469</v>
      </c>
      <c r="G26" s="511">
        <f>G24+G25</f>
        <v>20168637.068115696</v>
      </c>
      <c r="H26" s="504">
        <f>H24+H25</f>
        <v>24766124.802202538</v>
      </c>
      <c r="I26" s="504">
        <f>I24+I25</f>
        <v>29453744.996019587</v>
      </c>
      <c r="J26" s="504">
        <f>J24+J25</f>
        <v>34233264.671202734</v>
      </c>
      <c r="K26" s="504">
        <f>K24+K25</f>
        <v>39106485.49135238</v>
      </c>
    </row>
    <row r="27">
      <c r="A27" s="498"/>
      <c r="B27" s="498"/>
      <c r="C27" s="498"/>
      <c r="D27" s="498"/>
      <c r="E27" s="498"/>
      <c r="F27" s="498"/>
      <c r="G27" s="509"/>
      <c r="H27" s="498"/>
      <c r="I27" s="498"/>
      <c r="J27" s="498"/>
      <c r="K27" s="498"/>
    </row>
    <row r="28">
      <c r="A28" s="534" t="s">
        <v>34</v>
      </c>
      <c r="B28" s="497"/>
      <c r="C28" s="497"/>
      <c r="D28" s="497"/>
      <c r="E28" s="497"/>
      <c r="F28" s="497"/>
      <c r="G28" s="510"/>
      <c r="H28" s="499"/>
      <c r="I28" s="499"/>
      <c r="J28" s="499"/>
      <c r="K28" s="499"/>
    </row>
    <row r="29">
      <c r="A29" s="534" t="s">
        <v>35</v>
      </c>
      <c r="B29" s="497"/>
      <c r="C29" s="497"/>
      <c r="D29" s="497"/>
      <c r="E29" s="497"/>
      <c r="F29" s="497"/>
      <c r="G29" s="510"/>
      <c r="H29" s="499"/>
      <c r="I29" s="499"/>
      <c r="J29" s="499"/>
      <c r="K29" s="499"/>
    </row>
    <row r="30">
      <c r="A30" s="531" t="s">
        <v>36</v>
      </c>
      <c r="B30" s="517">
        <f>EEFF!B28</f>
        <v>-84705</v>
      </c>
      <c r="C30" s="517">
        <f>EEFF!C28</f>
        <v>107709</v>
      </c>
      <c r="D30" s="517">
        <f>EEFF!D28</f>
        <v>321093</v>
      </c>
      <c r="E30" s="517">
        <f>EEFF!E28</f>
        <v>79637</v>
      </c>
      <c r="F30" s="517">
        <f>EEFF!F28</f>
        <v>14817</v>
      </c>
      <c r="G30" s="522">
        <f>F30</f>
        <v>14817</v>
      </c>
      <c r="H30" s="514">
        <f>G30</f>
        <v>14817</v>
      </c>
      <c r="I30" s="514">
        <f>H30</f>
        <v>14817</v>
      </c>
      <c r="J30" s="514">
        <f>I30</f>
        <v>14817</v>
      </c>
      <c r="K30" s="514">
        <f>J30</f>
        <v>14817</v>
      </c>
    </row>
    <row r="31">
      <c r="A31" s="502" t="s">
        <v>37</v>
      </c>
      <c r="B31" s="496">
        <f>EEFF!B29</f>
        <v>-84705</v>
      </c>
      <c r="C31" s="496">
        <f>EEFF!C29</f>
        <v>107709</v>
      </c>
      <c r="D31" s="496">
        <f>EEFF!D29</f>
        <v>321093</v>
      </c>
      <c r="E31" s="496">
        <f>EEFF!E29</f>
        <v>79637</v>
      </c>
      <c r="F31" s="496">
        <f>EEFF!F29</f>
        <v>14817</v>
      </c>
      <c r="G31" s="511">
        <f>G30</f>
        <v>14817</v>
      </c>
      <c r="H31" s="504">
        <f>H30</f>
        <v>14817</v>
      </c>
      <c r="I31" s="504">
        <f>I30</f>
        <v>14817</v>
      </c>
      <c r="J31" s="504">
        <f>J30</f>
        <v>14817</v>
      </c>
      <c r="K31" s="504">
        <f>K30</f>
        <v>14817</v>
      </c>
    </row>
    <row r="32">
      <c r="A32" s="502" t="s">
        <v>38</v>
      </c>
      <c r="B32" s="496">
        <f>EEFF!B30</f>
        <v>20101780</v>
      </c>
      <c r="C32" s="496">
        <f>EEFF!C30</f>
        <v>17569320</v>
      </c>
      <c r="D32" s="496">
        <f>EEFF!D30</f>
        <v>17921170</v>
      </c>
      <c r="E32" s="496">
        <f>EEFF!E30</f>
        <v>13607719</v>
      </c>
      <c r="F32" s="496">
        <f>EEFF!F30</f>
        <v>15445286</v>
      </c>
      <c r="G32" s="511">
        <f>G26+G31</f>
        <v>20183454.068115696</v>
      </c>
      <c r="H32" s="504">
        <f>H26+H31</f>
        <v>24780941.802202538</v>
      </c>
      <c r="I32" s="504">
        <f>I26+I31</f>
        <v>29468561.996019587</v>
      </c>
      <c r="J32" s="504">
        <f>J26+J31</f>
        <v>34248081.671202734</v>
      </c>
      <c r="K32" s="504">
        <f>K26+K31</f>
        <v>39121302.49135238</v>
      </c>
    </row>
    <row r="33">
      <c r="A33" s="498"/>
      <c r="B33" s="498"/>
      <c r="C33" s="498"/>
      <c r="D33" s="498"/>
      <c r="E33" s="498"/>
      <c r="F33" s="498"/>
      <c r="G33" s="509"/>
      <c r="H33" s="498"/>
      <c r="I33" s="498"/>
      <c r="J33" s="498"/>
      <c r="K33" s="498"/>
    </row>
    <row r="34">
      <c r="A34" s="534" t="s">
        <v>3</v>
      </c>
      <c r="B34" s="535" t="s">
        <v>4</v>
      </c>
      <c r="C34" s="535" t="s">
        <v>5</v>
      </c>
      <c r="D34" s="535" t="s">
        <v>6</v>
      </c>
      <c r="E34" s="535" t="s">
        <v>7</v>
      </c>
      <c r="F34" s="535" t="s">
        <v>8</v>
      </c>
      <c r="G34" s="537" t="s">
        <v>9</v>
      </c>
      <c r="H34" s="536" t="s">
        <v>10</v>
      </c>
      <c r="I34" s="536" t="s">
        <v>11</v>
      </c>
      <c r="J34" s="536" t="s">
        <v>12</v>
      </c>
      <c r="K34" s="536" t="s">
        <v>13</v>
      </c>
    </row>
    <row r="35">
      <c r="A35" s="534" t="s">
        <v>39</v>
      </c>
      <c r="B35" s="497"/>
      <c r="C35" s="497"/>
      <c r="D35" s="497"/>
      <c r="E35" s="497"/>
      <c r="F35" s="497"/>
      <c r="G35" s="510"/>
      <c r="H35" s="499"/>
      <c r="I35" s="499"/>
      <c r="J35" s="499"/>
      <c r="K35" s="499"/>
    </row>
    <row r="36">
      <c r="A36" s="534" t="s">
        <v>40</v>
      </c>
      <c r="B36" s="497"/>
      <c r="C36" s="497"/>
      <c r="D36" s="497"/>
      <c r="E36" s="497"/>
      <c r="F36" s="497"/>
      <c r="G36" s="510"/>
      <c r="H36" s="499"/>
      <c r="I36" s="499"/>
      <c r="J36" s="499"/>
      <c r="K36" s="499"/>
    </row>
    <row r="37">
      <c r="A37" s="531" t="s">
        <v>350</v>
      </c>
      <c r="B37" s="514">
        <f>B39</f>
        <v>12172483</v>
      </c>
      <c r="C37" s="514">
        <f>C39</f>
        <v>8201026</v>
      </c>
      <c r="D37" s="514">
        <f>D39</f>
        <v>11881528</v>
      </c>
      <c r="E37" s="514">
        <f>E39-E38</f>
        <v>10820824</v>
      </c>
      <c r="F37" s="514">
        <f>F39-F38</f>
        <v>10492864</v>
      </c>
      <c r="G37" s="522">
        <f>G39-G38</f>
        <v>10492864</v>
      </c>
      <c r="H37" s="514">
        <f>H39-H38</f>
        <v>10492864</v>
      </c>
      <c r="I37" s="514">
        <f>I39-I38</f>
        <v>10492864</v>
      </c>
      <c r="J37" s="514">
        <f>J39-J38</f>
        <v>10492864</v>
      </c>
      <c r="K37" s="514">
        <f>K39-K38</f>
        <v>10492864</v>
      </c>
    </row>
    <row r="38">
      <c r="A38" s="531" t="s">
        <v>351</v>
      </c>
      <c r="B38" s="495"/>
      <c r="C38" s="495"/>
      <c r="D38" s="495"/>
      <c r="E38" s="514">
        <f>2000000</f>
        <v>2000000</v>
      </c>
      <c r="F38" s="514">
        <f>8000000</f>
        <v>8000000</v>
      </c>
      <c r="G38" s="522">
        <f>F38</f>
        <v>8000000</v>
      </c>
      <c r="H38" s="514">
        <f>G38</f>
        <v>8000000</v>
      </c>
      <c r="I38" s="514">
        <f>H38</f>
        <v>8000000</v>
      </c>
      <c r="J38" s="514">
        <f>I38</f>
        <v>8000000</v>
      </c>
      <c r="K38" s="514">
        <f>J38</f>
        <v>8000000</v>
      </c>
    </row>
    <row r="39">
      <c r="A39" s="531" t="s">
        <v>41</v>
      </c>
      <c r="B39" s="517">
        <f>EEFF!B35</f>
        <v>12172483</v>
      </c>
      <c r="C39" s="517">
        <f>EEFF!C35</f>
        <v>8201026</v>
      </c>
      <c r="D39" s="517">
        <f>EEFF!D35</f>
        <v>11881528</v>
      </c>
      <c r="E39" s="517">
        <f>EEFF!E35</f>
        <v>12820824</v>
      </c>
      <c r="F39" s="517">
        <f>EEFF!F35</f>
        <v>18492864</v>
      </c>
      <c r="G39" s="522">
        <f>F39</f>
        <v>18492864</v>
      </c>
      <c r="H39" s="514">
        <f>G39</f>
        <v>18492864</v>
      </c>
      <c r="I39" s="514">
        <f>H39</f>
        <v>18492864</v>
      </c>
      <c r="J39" s="514">
        <f>I39</f>
        <v>18492864</v>
      </c>
      <c r="K39" s="514">
        <f>J39</f>
        <v>18492864</v>
      </c>
    </row>
    <row r="40">
      <c r="A40" s="531" t="s">
        <v>42</v>
      </c>
      <c r="B40" s="517">
        <f>EEFF!B36</f>
        <v>60325155</v>
      </c>
      <c r="C40" s="517">
        <f>EEFF!C36</f>
        <v>58872294</v>
      </c>
      <c r="D40" s="517">
        <f>EEFF!D36</f>
        <v>54894249</v>
      </c>
      <c r="E40" s="517">
        <f>EEFF!E36</f>
        <v>54841331</v>
      </c>
      <c r="F40" s="517">
        <f>EEFF!F36</f>
        <v>48263595</v>
      </c>
      <c r="G40" s="522">
        <f>F40</f>
        <v>48263595</v>
      </c>
      <c r="H40" s="514">
        <f>G40</f>
        <v>48263595</v>
      </c>
      <c r="I40" s="514">
        <f>H40</f>
        <v>48263595</v>
      </c>
      <c r="J40" s="514">
        <f>I40</f>
        <v>48263595</v>
      </c>
      <c r="K40" s="514">
        <f>J40</f>
        <v>48263595</v>
      </c>
    </row>
    <row r="41">
      <c r="A41" s="531" t="s">
        <v>43</v>
      </c>
      <c r="B41" s="517">
        <f>EEFF!B37</f>
        <v>88171572</v>
      </c>
      <c r="C41" s="517">
        <f>EEFF!C37</f>
        <v>105633064</v>
      </c>
      <c r="D41" s="517">
        <f>EEFF!D37</f>
        <v>106328130</v>
      </c>
      <c r="E41" s="517">
        <f>EEFF!E37</f>
        <v>98522552</v>
      </c>
      <c r="F41" s="517">
        <f>EEFF!F37</f>
        <v>86074972</v>
      </c>
      <c r="G41" s="522">
        <f>F41</f>
        <v>86074972</v>
      </c>
      <c r="H41" s="514">
        <f>G41</f>
        <v>86074972</v>
      </c>
      <c r="I41" s="514">
        <f>H41</f>
        <v>86074972</v>
      </c>
      <c r="J41" s="514">
        <f>I41</f>
        <v>86074972</v>
      </c>
      <c r="K41" s="514">
        <f>J41</f>
        <v>86074972</v>
      </c>
    </row>
    <row r="42">
      <c r="A42" s="531" t="s">
        <v>44</v>
      </c>
      <c r="B42" s="517">
        <f>EEFF!B38</f>
        <v>4258589</v>
      </c>
      <c r="C42" s="517">
        <f>EEFF!C38</f>
        <v>5430871</v>
      </c>
      <c r="D42" s="517">
        <f>EEFF!D38</f>
        <v>5515664</v>
      </c>
      <c r="E42" s="517">
        <f>EEFF!E38</f>
        <v>6892253</v>
      </c>
      <c r="F42" s="517">
        <f>EEFF!F38</f>
        <v>7251432</v>
      </c>
      <c r="G42" s="522">
        <f>F42</f>
        <v>7251432</v>
      </c>
      <c r="H42" s="514">
        <f>G42</f>
        <v>7251432</v>
      </c>
      <c r="I42" s="514">
        <f>H42</f>
        <v>7251432</v>
      </c>
      <c r="J42" s="514">
        <f>I42</f>
        <v>7251432</v>
      </c>
      <c r="K42" s="514">
        <f>J42</f>
        <v>7251432</v>
      </c>
    </row>
    <row r="43">
      <c r="A43" s="531" t="s">
        <v>45</v>
      </c>
      <c r="B43" s="517">
        <f>EEFF!B39</f>
        <v>9533860</v>
      </c>
      <c r="C43" s="517">
        <f>EEFF!C39</f>
        <v>10662082</v>
      </c>
      <c r="D43" s="517">
        <f>EEFF!D39</f>
        <v>9971872</v>
      </c>
      <c r="E43" s="517">
        <f>EEFF!E39</f>
        <v>7465217</v>
      </c>
      <c r="F43" s="517">
        <f>EEFF!F39</f>
        <v>8437671</v>
      </c>
      <c r="G43" s="522">
        <f>F43</f>
        <v>8437671</v>
      </c>
      <c r="H43" s="514">
        <f>G43</f>
        <v>8437671</v>
      </c>
      <c r="I43" s="514">
        <f>H43</f>
        <v>8437671</v>
      </c>
      <c r="J43" s="514">
        <f>I43</f>
        <v>8437671</v>
      </c>
      <c r="K43" s="514">
        <f>J43</f>
        <v>8437671</v>
      </c>
    </row>
    <row r="44">
      <c r="A44" s="531" t="s">
        <v>46</v>
      </c>
      <c r="B44" s="517">
        <f>EEFF!B40</f>
        <v>6251470</v>
      </c>
      <c r="C44" s="517">
        <f>EEFF!C40</f>
        <v>4920799</v>
      </c>
      <c r="D44" s="517">
        <f>EEFF!D40</f>
        <v>11950319</v>
      </c>
      <c r="E44" s="517">
        <f>EEFF!E40</f>
        <v>15359479</v>
      </c>
      <c r="F44" s="517">
        <f>EEFF!F40</f>
        <v>20193108</v>
      </c>
      <c r="G44" s="522">
        <f>F44</f>
        <v>20193108</v>
      </c>
      <c r="H44" s="514">
        <f>G44</f>
        <v>20193108</v>
      </c>
      <c r="I44" s="514">
        <f>H44</f>
        <v>20193108</v>
      </c>
      <c r="J44" s="514">
        <f>I44</f>
        <v>20193108</v>
      </c>
      <c r="K44" s="514">
        <f>J44</f>
        <v>20193108</v>
      </c>
    </row>
    <row r="45">
      <c r="A45" s="531" t="s">
        <v>47</v>
      </c>
      <c r="B45" s="517">
        <f>EEFF!B41</f>
        <v>3864487</v>
      </c>
      <c r="C45" s="517">
        <f>EEFF!C41</f>
        <v>9230111</v>
      </c>
      <c r="D45" s="517">
        <f>EEFF!D41</f>
        <v>2040615</v>
      </c>
      <c r="E45" s="517">
        <f>EEFF!E41</f>
        <v>1624291</v>
      </c>
      <c r="F45" s="517">
        <f>EEFF!F41</f>
        <v>1437596</v>
      </c>
      <c r="G45" s="522">
        <f>F45</f>
        <v>1437596</v>
      </c>
      <c r="H45" s="514">
        <f>G45</f>
        <v>1437596</v>
      </c>
      <c r="I45" s="514">
        <f>H45</f>
        <v>1437596</v>
      </c>
      <c r="J45" s="514">
        <f>I45</f>
        <v>1437596</v>
      </c>
      <c r="K45" s="514">
        <f>J45</f>
        <v>1437596</v>
      </c>
    </row>
    <row r="46">
      <c r="A46" s="531" t="s">
        <v>48</v>
      </c>
      <c r="B46" s="517">
        <f>EEFF!B42</f>
        <v>425681</v>
      </c>
      <c r="C46" s="517">
        <f>EEFF!C42</f>
        <v>2555114</v>
      </c>
      <c r="D46" s="517">
        <f>EEFF!D42</f>
        <v>3378806</v>
      </c>
      <c r="E46" s="517">
        <f>EEFF!E42</f>
        <v>618474</v>
      </c>
      <c r="F46" s="517">
        <f>EEFF!F42</f>
        <v>1553236</v>
      </c>
      <c r="G46" s="522">
        <f>F46</f>
        <v>1553236</v>
      </c>
      <c r="H46" s="514">
        <f>G46</f>
        <v>1553236</v>
      </c>
      <c r="I46" s="514">
        <f>H46</f>
        <v>1553236</v>
      </c>
      <c r="J46" s="514">
        <f>I46</f>
        <v>1553236</v>
      </c>
      <c r="K46" s="514">
        <f>J46</f>
        <v>1553236</v>
      </c>
    </row>
    <row r="47">
      <c r="A47" s="531" t="s">
        <v>49</v>
      </c>
      <c r="B47" s="517">
        <f>EEFF!B43</f>
        <v>233838</v>
      </c>
      <c r="C47" s="517">
        <f>EEFF!C43</f>
        <v>214904</v>
      </c>
      <c r="D47" s="517">
        <f>EEFF!D43</f>
        <v>9308</v>
      </c>
      <c r="E47" s="517">
        <f>EEFF!E43</f>
        <v>9269</v>
      </c>
      <c r="F47" s="517">
        <f>EEFF!F43</f>
        <v>10371</v>
      </c>
      <c r="G47" s="522">
        <f>F47</f>
        <v>10371</v>
      </c>
      <c r="H47" s="514">
        <f>G47</f>
        <v>10371</v>
      </c>
      <c r="I47" s="514">
        <f>H47</f>
        <v>10371</v>
      </c>
      <c r="J47" s="514">
        <f>I47</f>
        <v>10371</v>
      </c>
      <c r="K47" s="514">
        <f>J47</f>
        <v>10371</v>
      </c>
    </row>
    <row r="48">
      <c r="A48" s="502" t="s">
        <v>50</v>
      </c>
      <c r="B48" s="496">
        <f>EEFF!B44</f>
        <v>185237135</v>
      </c>
      <c r="C48" s="496">
        <f>EEFF!C44</f>
        <v>205720265</v>
      </c>
      <c r="D48" s="496">
        <f>EEFF!D44</f>
        <v>205970491</v>
      </c>
      <c r="E48" s="496">
        <f>EEFF!E44</f>
        <v>198153690</v>
      </c>
      <c r="F48" s="496">
        <f>EEFF!F44</f>
        <v>191714845</v>
      </c>
      <c r="G48" s="511">
        <f>F48</f>
        <v>191714845</v>
      </c>
      <c r="H48" s="504">
        <f>G48</f>
        <v>191714845</v>
      </c>
      <c r="I48" s="504">
        <f>H48</f>
        <v>191714845</v>
      </c>
      <c r="J48" s="504">
        <f>I48</f>
        <v>191714845</v>
      </c>
      <c r="K48" s="504">
        <f>J48</f>
        <v>191714845</v>
      </c>
    </row>
    <row r="49">
      <c r="A49" s="498"/>
      <c r="B49" s="498"/>
      <c r="C49" s="498"/>
      <c r="D49" s="498"/>
      <c r="E49" s="498"/>
      <c r="F49" s="498"/>
      <c r="G49" s="509"/>
      <c r="H49" s="498"/>
      <c r="I49" s="498"/>
      <c r="J49" s="498"/>
      <c r="K49" s="498"/>
    </row>
    <row r="50">
      <c r="A50" s="534" t="s">
        <v>51</v>
      </c>
      <c r="B50" s="497"/>
      <c r="C50" s="497"/>
      <c r="D50" s="497"/>
      <c r="E50" s="497"/>
      <c r="F50" s="497"/>
      <c r="G50" s="510"/>
      <c r="H50" s="499"/>
      <c r="I50" s="499"/>
      <c r="J50" s="499"/>
      <c r="K50" s="499"/>
    </row>
    <row r="51">
      <c r="A51" s="531" t="s">
        <v>41</v>
      </c>
      <c r="B51" s="517">
        <f>EEFF!B46</f>
        <v>0</v>
      </c>
      <c r="C51" s="517">
        <f>EEFF!C46</f>
        <v>0</v>
      </c>
      <c r="D51" s="517">
        <f>EEFF!D46</f>
        <v>0</v>
      </c>
      <c r="E51" s="517">
        <f>EEFF!E46</f>
        <v>1400000</v>
      </c>
      <c r="F51" s="517">
        <f>EEFF!F46</f>
        <v>0</v>
      </c>
      <c r="G51" s="522">
        <f>F51</f>
        <v>0</v>
      </c>
      <c r="H51" s="514">
        <f>G51</f>
        <v>0</v>
      </c>
      <c r="I51" s="514">
        <f>H51</f>
        <v>0</v>
      </c>
      <c r="J51" s="514">
        <f>I51</f>
        <v>0</v>
      </c>
      <c r="K51" s="514">
        <f>J51</f>
        <v>0</v>
      </c>
    </row>
    <row r="52">
      <c r="A52" s="531" t="s">
        <v>44</v>
      </c>
      <c r="B52" s="517">
        <f>EEFF!B47</f>
        <v>311258</v>
      </c>
      <c r="C52" s="517">
        <f>EEFF!C47</f>
        <v>365289</v>
      </c>
      <c r="D52" s="517">
        <f>EEFF!D47</f>
        <v>364529</v>
      </c>
      <c r="E52" s="517">
        <f>EEFF!E47</f>
        <v>958317</v>
      </c>
      <c r="F52" s="517">
        <f>EEFF!F47</f>
        <v>936271</v>
      </c>
      <c r="G52" s="522">
        <f>F52</f>
        <v>936271</v>
      </c>
      <c r="H52" s="514">
        <f>G52</f>
        <v>936271</v>
      </c>
      <c r="I52" s="514">
        <f>H52</f>
        <v>936271</v>
      </c>
      <c r="J52" s="514">
        <f>I52</f>
        <v>936271</v>
      </c>
      <c r="K52" s="514">
        <f>J52</f>
        <v>936271</v>
      </c>
    </row>
    <row r="53">
      <c r="A53" s="531" t="s">
        <v>52</v>
      </c>
      <c r="B53" s="517">
        <f>EEFF!B48</f>
        <v>118176330</v>
      </c>
      <c r="C53" s="517">
        <f>EEFF!C48</f>
        <v>118021872</v>
      </c>
      <c r="D53" s="517">
        <f>EEFF!D48</f>
        <v>118793851</v>
      </c>
      <c r="E53" s="517">
        <f>EEFF!E48</f>
        <v>107205696</v>
      </c>
      <c r="F53" s="517">
        <f>EEFF!F48</f>
        <v>116379856</v>
      </c>
      <c r="G53" s="522">
        <f>F53</f>
        <v>116379856</v>
      </c>
      <c r="H53" s="514">
        <f>G53</f>
        <v>116379856</v>
      </c>
      <c r="I53" s="514">
        <f>H53</f>
        <v>116379856</v>
      </c>
      <c r="J53" s="514">
        <f>I53</f>
        <v>116379856</v>
      </c>
      <c r="K53" s="514">
        <f>J53</f>
        <v>116379856</v>
      </c>
    </row>
    <row r="54">
      <c r="A54" s="531" t="s">
        <v>53</v>
      </c>
      <c r="B54" s="517">
        <f>EEFF!B49</f>
        <v>0</v>
      </c>
      <c r="C54" s="517">
        <f>EEFF!C49</f>
        <v>0</v>
      </c>
      <c r="D54" s="517">
        <f>EEFF!D49</f>
        <v>0</v>
      </c>
      <c r="E54" s="517">
        <f>EEFF!E49</f>
        <v>7095327</v>
      </c>
      <c r="F54" s="517">
        <f>EEFF!F49</f>
        <v>6339823</v>
      </c>
      <c r="G54" s="522">
        <f>F54</f>
        <v>6339823</v>
      </c>
      <c r="H54" s="514">
        <f>G54</f>
        <v>6339823</v>
      </c>
      <c r="I54" s="514">
        <f>H54</f>
        <v>6339823</v>
      </c>
      <c r="J54" s="514">
        <f>I54</f>
        <v>6339823</v>
      </c>
      <c r="K54" s="514">
        <f>J54</f>
        <v>6339823</v>
      </c>
    </row>
    <row r="55">
      <c r="A55" s="531" t="s">
        <v>54</v>
      </c>
      <c r="B55" s="517">
        <f>EEFF!B50</f>
        <v>2092260</v>
      </c>
      <c r="C55" s="517">
        <f>EEFF!C50</f>
        <v>2003420</v>
      </c>
      <c r="D55" s="517">
        <f>EEFF!D50</f>
        <v>3633937</v>
      </c>
      <c r="E55" s="517">
        <f>EEFF!E50</f>
        <v>3477575</v>
      </c>
      <c r="F55" s="517">
        <f>EEFF!F50</f>
        <v>2378222</v>
      </c>
      <c r="G55" s="522">
        <f>F55</f>
        <v>2378222</v>
      </c>
      <c r="H55" s="514">
        <f>G55</f>
        <v>2378222</v>
      </c>
      <c r="I55" s="514">
        <f>H55</f>
        <v>2378222</v>
      </c>
      <c r="J55" s="514">
        <f>I55</f>
        <v>2378222</v>
      </c>
      <c r="K55" s="514">
        <f>J55</f>
        <v>2378222</v>
      </c>
    </row>
    <row r="56">
      <c r="A56" s="531" t="s">
        <v>55</v>
      </c>
      <c r="B56" s="517">
        <f>EEFF!B51</f>
        <v>15786574</v>
      </c>
      <c r="C56" s="517">
        <f>EEFF!C51</f>
        <v>15156793</v>
      </c>
      <c r="D56" s="517">
        <f>EEFF!D51</f>
        <v>13962183</v>
      </c>
      <c r="E56" s="517">
        <f>EEFF!E51</f>
        <v>17055964</v>
      </c>
      <c r="F56" s="517">
        <f>EEFF!F51</f>
        <v>18159806</v>
      </c>
      <c r="G56" s="522">
        <f>F56</f>
        <v>18159806</v>
      </c>
      <c r="H56" s="514">
        <f>G56</f>
        <v>18159806</v>
      </c>
      <c r="I56" s="514">
        <f>H56</f>
        <v>18159806</v>
      </c>
      <c r="J56" s="514">
        <f>I56</f>
        <v>18159806</v>
      </c>
      <c r="K56" s="514">
        <f>J56</f>
        <v>18159806</v>
      </c>
    </row>
    <row r="57">
      <c r="A57" s="531" t="s">
        <v>56</v>
      </c>
      <c r="B57" s="517">
        <f>EEFF!B52</f>
        <v>148371</v>
      </c>
      <c r="C57" s="517">
        <f>EEFF!C52</f>
        <v>261371</v>
      </c>
      <c r="D57" s="517">
        <f>EEFF!D52</f>
        <v>261371</v>
      </c>
      <c r="E57" s="517">
        <f>EEFF!E52</f>
        <v>261371</v>
      </c>
      <c r="F57" s="517">
        <f>EEFF!F52</f>
        <v>148371</v>
      </c>
      <c r="G57" s="522">
        <f>F57</f>
        <v>148371</v>
      </c>
      <c r="H57" s="514">
        <f>G57</f>
        <v>148371</v>
      </c>
      <c r="I57" s="514">
        <f>H57</f>
        <v>148371</v>
      </c>
      <c r="J57" s="514">
        <f>I57</f>
        <v>148371</v>
      </c>
      <c r="K57" s="514">
        <f>J57</f>
        <v>148371</v>
      </c>
    </row>
    <row r="58">
      <c r="A58" s="531" t="s">
        <v>57</v>
      </c>
      <c r="B58" s="517">
        <f>EEFF!B53</f>
        <v>31424</v>
      </c>
      <c r="C58" s="517">
        <f>EEFF!C53</f>
        <v>31424</v>
      </c>
      <c r="D58" s="517">
        <f>EEFF!D53</f>
        <v>31424</v>
      </c>
      <c r="E58" s="517">
        <f>EEFF!E53</f>
        <v>31424</v>
      </c>
      <c r="F58" s="517">
        <f>EEFF!F53</f>
        <v>31424</v>
      </c>
      <c r="G58" s="522">
        <f>F58</f>
        <v>31424</v>
      </c>
      <c r="H58" s="514">
        <f>G58</f>
        <v>31424</v>
      </c>
      <c r="I58" s="514">
        <f>H58</f>
        <v>31424</v>
      </c>
      <c r="J58" s="514">
        <f>I58</f>
        <v>31424</v>
      </c>
      <c r="K58" s="514">
        <f>J58</f>
        <v>31424</v>
      </c>
    </row>
    <row r="59">
      <c r="A59" s="531" t="s">
        <v>58</v>
      </c>
      <c r="B59" s="517">
        <f>EEFF!B54</f>
        <v>2861083</v>
      </c>
      <c r="C59" s="517">
        <f>EEFF!C54</f>
        <v>3638487</v>
      </c>
      <c r="D59" s="517">
        <f>EEFF!D54</f>
        <v>4547604</v>
      </c>
      <c r="E59" s="517">
        <f>EEFF!E54</f>
        <v>7400838</v>
      </c>
      <c r="F59" s="517">
        <f>EEFF!F54</f>
        <v>5634822</v>
      </c>
      <c r="G59" s="522">
        <f>F59</f>
        <v>5634822</v>
      </c>
      <c r="H59" s="514">
        <f>G59</f>
        <v>5634822</v>
      </c>
      <c r="I59" s="514">
        <f>H59</f>
        <v>5634822</v>
      </c>
      <c r="J59" s="514">
        <f>I59</f>
        <v>5634822</v>
      </c>
      <c r="K59" s="514">
        <f>J59</f>
        <v>5634822</v>
      </c>
    </row>
    <row r="60">
      <c r="A60" s="531" t="s">
        <v>45</v>
      </c>
      <c r="B60" s="517">
        <f>EEFF!B55</f>
        <v>8125114</v>
      </c>
      <c r="C60" s="517">
        <f>EEFF!C55</f>
        <v>7741648</v>
      </c>
      <c r="D60" s="517">
        <f>EEFF!D55</f>
        <v>9201413</v>
      </c>
      <c r="E60" s="517">
        <f>EEFF!E55</f>
        <v>9128819</v>
      </c>
      <c r="F60" s="517">
        <f>EEFF!F55</f>
        <v>9133839</v>
      </c>
      <c r="G60" s="522">
        <f>F60</f>
        <v>9133839</v>
      </c>
      <c r="H60" s="514">
        <f>G60</f>
        <v>9133839</v>
      </c>
      <c r="I60" s="514">
        <f>H60</f>
        <v>9133839</v>
      </c>
      <c r="J60" s="514">
        <f>I60</f>
        <v>9133839</v>
      </c>
      <c r="K60" s="514">
        <f>J60</f>
        <v>9133839</v>
      </c>
    </row>
    <row r="61">
      <c r="A61" s="531" t="s">
        <v>59</v>
      </c>
      <c r="B61" s="517">
        <f>EEFF!B56</f>
        <v>8635712</v>
      </c>
      <c r="C61" s="517">
        <f>EEFF!C56</f>
        <v>9721714</v>
      </c>
      <c r="D61" s="517">
        <f>EEFF!D56</f>
        <v>10105488</v>
      </c>
      <c r="E61" s="517">
        <f>EEFF!E56</f>
        <v>11118212</v>
      </c>
      <c r="F61" s="517">
        <f>EEFF!F56</f>
        <v>11778683</v>
      </c>
      <c r="G61" s="522">
        <f>F61</f>
        <v>11778683</v>
      </c>
      <c r="H61" s="514">
        <f>G61</f>
        <v>11778683</v>
      </c>
      <c r="I61" s="514">
        <f>H61</f>
        <v>11778683</v>
      </c>
      <c r="J61" s="514">
        <f>I61</f>
        <v>11778683</v>
      </c>
      <c r="K61" s="514">
        <f>J61</f>
        <v>11778683</v>
      </c>
    </row>
    <row r="62">
      <c r="A62" s="531" t="s">
        <v>60</v>
      </c>
      <c r="B62" s="517">
        <f>EEFF!B57</f>
        <v>1044908</v>
      </c>
      <c r="C62" s="517">
        <f>EEFF!C57</f>
        <v>1045572</v>
      </c>
      <c r="D62" s="517">
        <f>EEFF!D57</f>
        <v>1052947</v>
      </c>
      <c r="E62" s="517">
        <f>EEFF!E57</f>
        <v>686286</v>
      </c>
      <c r="F62" s="517">
        <f>EEFF!F57</f>
        <v>687558</v>
      </c>
      <c r="G62" s="522">
        <f>F62</f>
        <v>687558</v>
      </c>
      <c r="H62" s="514">
        <f>G62</f>
        <v>687558</v>
      </c>
      <c r="I62" s="514">
        <f>H62</f>
        <v>687558</v>
      </c>
      <c r="J62" s="514">
        <f>I62</f>
        <v>687558</v>
      </c>
      <c r="K62" s="514">
        <f>J62</f>
        <v>687558</v>
      </c>
    </row>
    <row r="63">
      <c r="A63" s="531" t="s">
        <v>49</v>
      </c>
      <c r="B63" s="517">
        <f>EEFF!B58</f>
        <v>557678</v>
      </c>
      <c r="C63" s="517">
        <f>EEFF!C58</f>
        <v>579758</v>
      </c>
      <c r="D63" s="517">
        <f>EEFF!D58</f>
        <v>614722</v>
      </c>
      <c r="E63" s="517">
        <f>EEFF!E58</f>
        <v>639691</v>
      </c>
      <c r="F63" s="517">
        <f>EEFF!F58</f>
        <v>654787</v>
      </c>
      <c r="G63" s="522">
        <f>F63</f>
        <v>654787</v>
      </c>
      <c r="H63" s="514">
        <f>G63</f>
        <v>654787</v>
      </c>
      <c r="I63" s="514">
        <f>H63</f>
        <v>654787</v>
      </c>
      <c r="J63" s="514">
        <f>I63</f>
        <v>654787</v>
      </c>
      <c r="K63" s="514">
        <f>J63</f>
        <v>654787</v>
      </c>
    </row>
    <row r="64">
      <c r="A64" s="502" t="s">
        <v>61</v>
      </c>
      <c r="B64" s="496">
        <f>EEFF!B59</f>
        <v>157770712</v>
      </c>
      <c r="C64" s="496">
        <f>EEFF!C59</f>
        <v>158567348</v>
      </c>
      <c r="D64" s="496">
        <f>EEFF!D59</f>
        <v>162569469</v>
      </c>
      <c r="E64" s="496">
        <f>EEFF!E59</f>
        <v>166459520</v>
      </c>
      <c r="F64" s="496">
        <f>EEFF!F59</f>
        <v>172263462</v>
      </c>
      <c r="G64" s="511">
        <f>F64</f>
        <v>172263462</v>
      </c>
      <c r="H64" s="504">
        <f>G64</f>
        <v>172263462</v>
      </c>
      <c r="I64" s="504">
        <f>H64</f>
        <v>172263462</v>
      </c>
      <c r="J64" s="504">
        <f>I64</f>
        <v>172263462</v>
      </c>
      <c r="K64" s="504">
        <f>J64</f>
        <v>172263462</v>
      </c>
    </row>
    <row r="65">
      <c r="A65" s="502" t="s">
        <v>62</v>
      </c>
      <c r="B65" s="496">
        <f>EEFF!B60</f>
        <v>343007847</v>
      </c>
      <c r="C65" s="496">
        <f>EEFF!C60</f>
        <v>364287613</v>
      </c>
      <c r="D65" s="496">
        <f>EEFF!D60</f>
        <v>368539960</v>
      </c>
      <c r="E65" s="496">
        <f>EEFF!E60</f>
        <v>364613210</v>
      </c>
      <c r="F65" s="496">
        <f>EEFF!F60</f>
        <v>363978307</v>
      </c>
      <c r="G65" s="511">
        <f>F65</f>
        <v>363978307</v>
      </c>
      <c r="H65" s="504">
        <f>G65</f>
        <v>363978307</v>
      </c>
      <c r="I65" s="504">
        <f>H65</f>
        <v>363978307</v>
      </c>
      <c r="J65" s="504">
        <f>I65</f>
        <v>363978307</v>
      </c>
      <c r="K65" s="504">
        <f>J65</f>
        <v>363978307</v>
      </c>
    </row>
    <row r="66">
      <c r="A66" s="498"/>
      <c r="B66" s="498"/>
      <c r="C66" s="498"/>
      <c r="D66" s="498"/>
      <c r="E66" s="498"/>
      <c r="F66" s="498"/>
      <c r="G66" s="509"/>
      <c r="H66" s="498"/>
      <c r="I66" s="498"/>
      <c r="J66" s="498"/>
      <c r="K66" s="498"/>
    </row>
    <row r="67">
      <c r="A67" s="534" t="s">
        <v>63</v>
      </c>
      <c r="B67" s="497"/>
      <c r="C67" s="497"/>
      <c r="D67" s="497"/>
      <c r="E67" s="497"/>
      <c r="F67" s="497"/>
      <c r="G67" s="510"/>
      <c r="H67" s="499"/>
      <c r="I67" s="499"/>
      <c r="J67" s="499"/>
      <c r="K67" s="499"/>
    </row>
    <row r="68">
      <c r="A68" s="531" t="s">
        <v>64</v>
      </c>
      <c r="B68" s="517">
        <f>EEFF!B62</f>
        <v>12760000</v>
      </c>
      <c r="C68" s="517">
        <f>EEFF!C62</f>
        <v>14000000</v>
      </c>
      <c r="D68" s="517">
        <f>EEFF!D62</f>
        <v>13639186</v>
      </c>
      <c r="E68" s="517">
        <f>EEFF!E62</f>
        <v>8000000</v>
      </c>
      <c r="F68" s="517">
        <f>EEFF!F62</f>
        <v>6900000</v>
      </c>
      <c r="G68" s="522">
        <f>F68</f>
        <v>6900000</v>
      </c>
      <c r="H68" s="514">
        <f>G68</f>
        <v>6900000</v>
      </c>
      <c r="I68" s="514">
        <f>H68</f>
        <v>6900000</v>
      </c>
      <c r="J68" s="514">
        <f>I68</f>
        <v>6900000</v>
      </c>
      <c r="K68" s="514">
        <f>J68</f>
        <v>6900000</v>
      </c>
    </row>
    <row r="69">
      <c r="A69" s="531" t="s">
        <v>65</v>
      </c>
      <c r="B69" s="517">
        <f>EEFF!B63</f>
        <v>20160000</v>
      </c>
      <c r="C69" s="517">
        <f>EEFF!C63</f>
        <v>15500000</v>
      </c>
      <c r="D69" s="517">
        <f>EEFF!D63</f>
        <v>16029000</v>
      </c>
      <c r="E69" s="517">
        <f>EEFF!E63</f>
        <v>13091000</v>
      </c>
      <c r="F69" s="517">
        <f>EEFF!F63</f>
        <v>16247000</v>
      </c>
      <c r="G69" s="522">
        <f>F69</f>
        <v>16247000</v>
      </c>
      <c r="H69" s="514">
        <f>G69</f>
        <v>16247000</v>
      </c>
      <c r="I69" s="514">
        <f>H69</f>
        <v>16247000</v>
      </c>
      <c r="J69" s="514">
        <f>I69</f>
        <v>16247000</v>
      </c>
      <c r="K69" s="514">
        <f>J69</f>
        <v>16247000</v>
      </c>
    </row>
    <row r="70">
      <c r="A70" s="531" t="s">
        <v>66</v>
      </c>
      <c r="B70" s="517">
        <f>EEFF!B64</f>
        <v>4224303</v>
      </c>
      <c r="C70" s="517">
        <f>EEFF!C64</f>
        <v>3785984</v>
      </c>
      <c r="D70" s="517">
        <f>EEFF!D64</f>
        <v>3552010</v>
      </c>
      <c r="E70" s="517">
        <f>EEFF!E64</f>
        <v>4221359</v>
      </c>
      <c r="F70" s="517">
        <f>EEFF!F64</f>
        <v>5155019</v>
      </c>
      <c r="G70" s="522">
        <f>F70</f>
        <v>5155019</v>
      </c>
      <c r="H70" s="514">
        <f>G70</f>
        <v>5155019</v>
      </c>
      <c r="I70" s="514">
        <f>H70</f>
        <v>5155019</v>
      </c>
      <c r="J70" s="514">
        <f>I70</f>
        <v>5155019</v>
      </c>
      <c r="K70" s="514">
        <f>J70</f>
        <v>5155019</v>
      </c>
    </row>
    <row r="71">
      <c r="A71" s="531" t="s">
        <v>67</v>
      </c>
      <c r="B71" s="517">
        <f>EEFF!B65</f>
        <v>38125871</v>
      </c>
      <c r="C71" s="517">
        <f>EEFF!C65</f>
        <v>43123997</v>
      </c>
      <c r="D71" s="517">
        <f>EEFF!D65</f>
        <v>36713984</v>
      </c>
      <c r="E71" s="517">
        <f>EEFF!E65</f>
        <v>32750402</v>
      </c>
      <c r="F71" s="517">
        <f>EEFF!F65</f>
        <v>29473014</v>
      </c>
      <c r="G71" s="522">
        <f>F71</f>
        <v>29473014</v>
      </c>
      <c r="H71" s="514">
        <f>G71</f>
        <v>29473014</v>
      </c>
      <c r="I71" s="514">
        <f>H71</f>
        <v>29473014</v>
      </c>
      <c r="J71" s="514">
        <f>I71</f>
        <v>29473014</v>
      </c>
      <c r="K71" s="514">
        <f>J71</f>
        <v>29473014</v>
      </c>
    </row>
    <row r="72">
      <c r="A72" s="531" t="s">
        <v>68</v>
      </c>
      <c r="B72" s="517">
        <f>EEFF!B66</f>
        <v>4071359</v>
      </c>
      <c r="C72" s="517">
        <f>EEFF!C66</f>
        <v>1852616</v>
      </c>
      <c r="D72" s="517">
        <f>EEFF!D66</f>
        <v>3808280</v>
      </c>
      <c r="E72" s="517">
        <f>EEFF!E66</f>
        <v>4437544</v>
      </c>
      <c r="F72" s="517">
        <f>EEFF!F66</f>
        <v>4357881</v>
      </c>
      <c r="G72" s="522">
        <f>F72</f>
        <v>4357881</v>
      </c>
      <c r="H72" s="514">
        <f>G72</f>
        <v>4357881</v>
      </c>
      <c r="I72" s="514">
        <f>H72</f>
        <v>4357881</v>
      </c>
      <c r="J72" s="514">
        <f>I72</f>
        <v>4357881</v>
      </c>
      <c r="K72" s="514">
        <f>J72</f>
        <v>4357881</v>
      </c>
    </row>
    <row r="73">
      <c r="A73" s="531" t="s">
        <v>69</v>
      </c>
      <c r="B73" s="517">
        <f>EEFF!B67</f>
        <v>2899098</v>
      </c>
      <c r="C73" s="517">
        <f>EEFF!C67</f>
        <v>3275580</v>
      </c>
      <c r="D73" s="517">
        <f>EEFF!D67</f>
        <v>3137075</v>
      </c>
      <c r="E73" s="517">
        <f>EEFF!E67</f>
        <v>3230564</v>
      </c>
      <c r="F73" s="517">
        <f>EEFF!F67</f>
        <v>2401344</v>
      </c>
      <c r="G73" s="522">
        <f>F73</f>
        <v>2401344</v>
      </c>
      <c r="H73" s="514">
        <f>G73</f>
        <v>2401344</v>
      </c>
      <c r="I73" s="514">
        <f>H73</f>
        <v>2401344</v>
      </c>
      <c r="J73" s="514">
        <f>I73</f>
        <v>2401344</v>
      </c>
      <c r="K73" s="514">
        <f>J73</f>
        <v>2401344</v>
      </c>
    </row>
    <row r="74">
      <c r="A74" s="531" t="s">
        <v>70</v>
      </c>
      <c r="B74" s="517">
        <f>EEFF!B68</f>
        <v>2908783</v>
      </c>
      <c r="C74" s="517">
        <f>EEFF!C68</f>
        <v>0</v>
      </c>
      <c r="D74" s="517">
        <f>EEFF!D68</f>
        <v>0</v>
      </c>
      <c r="E74" s="517">
        <f>EEFF!E68</f>
        <v>0</v>
      </c>
      <c r="F74" s="517">
        <f>EEFF!F68</f>
        <v>0</v>
      </c>
      <c r="G74" s="500"/>
      <c r="H74" s="495"/>
      <c r="I74" s="495"/>
      <c r="J74" s="495"/>
      <c r="K74" s="495"/>
    </row>
    <row r="75">
      <c r="A75" s="531" t="s">
        <v>71</v>
      </c>
      <c r="B75" s="517">
        <f>EEFF!B69</f>
        <v>6872985</v>
      </c>
      <c r="C75" s="517">
        <f>EEFF!C69</f>
        <v>6265107</v>
      </c>
      <c r="D75" s="517">
        <f>EEFF!D69</f>
        <v>5462939</v>
      </c>
      <c r="E75" s="517">
        <f>EEFF!E69</f>
        <v>6337692</v>
      </c>
      <c r="F75" s="517">
        <f>EEFF!F69</f>
        <v>5712859</v>
      </c>
      <c r="G75" s="522">
        <f>F75</f>
        <v>5712859</v>
      </c>
      <c r="H75" s="514">
        <f>G75</f>
        <v>5712859</v>
      </c>
      <c r="I75" s="514">
        <f>H75</f>
        <v>5712859</v>
      </c>
      <c r="J75" s="514">
        <f>I75</f>
        <v>5712859</v>
      </c>
      <c r="K75" s="514">
        <f>J75</f>
        <v>5712859</v>
      </c>
    </row>
    <row r="76">
      <c r="A76" s="502" t="s">
        <v>72</v>
      </c>
      <c r="B76" s="496">
        <f>EEFF!B70</f>
        <v>92022399</v>
      </c>
      <c r="C76" s="496">
        <f>EEFF!C70</f>
        <v>87803284</v>
      </c>
      <c r="D76" s="496">
        <f>EEFF!D70</f>
        <v>82342474</v>
      </c>
      <c r="E76" s="496">
        <f>EEFF!E70</f>
        <v>72068561</v>
      </c>
      <c r="F76" s="496">
        <f>EEFF!F70</f>
        <v>70247117</v>
      </c>
      <c r="G76" s="511">
        <f>F76</f>
        <v>70247117</v>
      </c>
      <c r="H76" s="504">
        <f>G76</f>
        <v>70247117</v>
      </c>
      <c r="I76" s="504">
        <f>H76</f>
        <v>70247117</v>
      </c>
      <c r="J76" s="504">
        <f>I76</f>
        <v>70247117</v>
      </c>
      <c r="K76" s="504">
        <f>J76</f>
        <v>70247117</v>
      </c>
    </row>
    <row r="77">
      <c r="A77" s="498"/>
      <c r="B77" s="498"/>
      <c r="C77" s="498"/>
      <c r="D77" s="498"/>
      <c r="E77" s="498"/>
      <c r="F77" s="498"/>
      <c r="G77" s="509"/>
      <c r="H77" s="498"/>
      <c r="I77" s="498"/>
      <c r="J77" s="498"/>
      <c r="K77" s="498"/>
    </row>
    <row r="78">
      <c r="A78" s="534" t="s">
        <v>73</v>
      </c>
      <c r="B78" s="497"/>
      <c r="C78" s="497"/>
      <c r="D78" s="497"/>
      <c r="E78" s="497"/>
      <c r="F78" s="497"/>
      <c r="G78" s="510"/>
      <c r="H78" s="499"/>
      <c r="I78" s="499"/>
      <c r="J78" s="499"/>
      <c r="K78" s="499"/>
    </row>
    <row r="79">
      <c r="A79" s="531" t="s">
        <v>64</v>
      </c>
      <c r="B79" s="517">
        <f>EEFF!B72</f>
        <v>0</v>
      </c>
      <c r="C79" s="517">
        <f>EEFF!C72</f>
        <v>0</v>
      </c>
      <c r="D79" s="517">
        <f>EEFF!D72</f>
        <v>0</v>
      </c>
      <c r="E79" s="517">
        <f>EEFF!E72</f>
        <v>2124600</v>
      </c>
      <c r="F79" s="517">
        <f>EEFF!F72</f>
        <v>2124600</v>
      </c>
      <c r="G79" s="522">
        <f>F79</f>
        <v>2124600</v>
      </c>
      <c r="H79" s="514">
        <f>G79</f>
        <v>2124600</v>
      </c>
      <c r="I79" s="514">
        <f>H79</f>
        <v>2124600</v>
      </c>
      <c r="J79" s="514">
        <f>I79</f>
        <v>2124600</v>
      </c>
      <c r="K79" s="514">
        <f>J79</f>
        <v>2124600</v>
      </c>
    </row>
    <row r="80">
      <c r="A80" s="531" t="s">
        <v>74</v>
      </c>
      <c r="B80" s="517">
        <f>EEFF!B73</f>
        <v>52466986</v>
      </c>
      <c r="C80" s="517">
        <f>EEFF!C73</f>
        <v>67427589</v>
      </c>
      <c r="D80" s="517">
        <f>EEFF!D73</f>
        <v>67388899</v>
      </c>
      <c r="E80" s="517">
        <f>EEFF!E73</f>
        <v>62350209</v>
      </c>
      <c r="F80" s="517">
        <f>EEFF!F73</f>
        <v>52311519</v>
      </c>
      <c r="G80" s="522">
        <f>F80</f>
        <v>52311519</v>
      </c>
      <c r="H80" s="514">
        <f>G80</f>
        <v>52311519</v>
      </c>
      <c r="I80" s="514">
        <f>H80</f>
        <v>52311519</v>
      </c>
      <c r="J80" s="514">
        <f>I80</f>
        <v>52311519</v>
      </c>
      <c r="K80" s="514">
        <f>J80</f>
        <v>52311519</v>
      </c>
    </row>
    <row r="81">
      <c r="A81" s="531" t="s">
        <v>66</v>
      </c>
      <c r="B81" s="517">
        <f>EEFF!B74</f>
        <v>13843602</v>
      </c>
      <c r="C81" s="517">
        <f>EEFF!C74</f>
        <v>13639753</v>
      </c>
      <c r="D81" s="517">
        <f>EEFF!D74</f>
        <v>12665832</v>
      </c>
      <c r="E81" s="517">
        <f>EEFF!E74</f>
        <v>15160872</v>
      </c>
      <c r="F81" s="517">
        <f>EEFF!F74</f>
        <v>15351662</v>
      </c>
      <c r="G81" s="522">
        <f>F81</f>
        <v>15351662</v>
      </c>
      <c r="H81" s="514">
        <f>G81</f>
        <v>15351662</v>
      </c>
      <c r="I81" s="514">
        <f>H81</f>
        <v>15351662</v>
      </c>
      <c r="J81" s="514">
        <f>I81</f>
        <v>15351662</v>
      </c>
      <c r="K81" s="514">
        <f>J81</f>
        <v>15351662</v>
      </c>
    </row>
    <row r="82">
      <c r="A82" s="531" t="s">
        <v>75</v>
      </c>
      <c r="B82" s="517">
        <f>EEFF!B75</f>
        <v>9043565</v>
      </c>
      <c r="C82" s="517">
        <f>EEFF!C75</f>
        <v>9664351</v>
      </c>
      <c r="D82" s="517">
        <f>EEFF!D75</f>
        <v>9909963</v>
      </c>
      <c r="E82" s="517">
        <f>EEFF!E75</f>
        <v>10236726</v>
      </c>
      <c r="F82" s="517">
        <f>EEFF!F75</f>
        <v>10533014</v>
      </c>
      <c r="G82" s="522">
        <f>F82</f>
        <v>10533014</v>
      </c>
      <c r="H82" s="514">
        <f>G82</f>
        <v>10533014</v>
      </c>
      <c r="I82" s="514">
        <f>H82</f>
        <v>10533014</v>
      </c>
      <c r="J82" s="514">
        <f>I82</f>
        <v>10533014</v>
      </c>
      <c r="K82" s="514">
        <f>J82</f>
        <v>10533014</v>
      </c>
    </row>
    <row r="83">
      <c r="A83" s="502" t="s">
        <v>76</v>
      </c>
      <c r="B83" s="496">
        <f>EEFF!B76</f>
        <v>75354153</v>
      </c>
      <c r="C83" s="496">
        <f>EEFF!C76</f>
        <v>90731693</v>
      </c>
      <c r="D83" s="496">
        <f>EEFF!D76</f>
        <v>89964694</v>
      </c>
      <c r="E83" s="496">
        <f>EEFF!E76</f>
        <v>89872407</v>
      </c>
      <c r="F83" s="496">
        <f>EEFF!F76</f>
        <v>80320795</v>
      </c>
      <c r="G83" s="511">
        <f>F83</f>
        <v>80320795</v>
      </c>
      <c r="H83" s="504">
        <f>G83</f>
        <v>80320795</v>
      </c>
      <c r="I83" s="504">
        <f>H83</f>
        <v>80320795</v>
      </c>
      <c r="J83" s="504">
        <f>I83</f>
        <v>80320795</v>
      </c>
      <c r="K83" s="504">
        <f>J83</f>
        <v>80320795</v>
      </c>
    </row>
    <row r="84">
      <c r="A84" s="502" t="s">
        <v>77</v>
      </c>
      <c r="B84" s="496">
        <f>EEFF!B77</f>
        <v>167376552</v>
      </c>
      <c r="C84" s="496">
        <f>EEFF!C77</f>
        <v>178534977</v>
      </c>
      <c r="D84" s="496">
        <f>EEFF!D77</f>
        <v>172307168</v>
      </c>
      <c r="E84" s="496">
        <f>EEFF!E77</f>
        <v>161940968</v>
      </c>
      <c r="F84" s="496">
        <f>EEFF!F77</f>
        <v>150567912</v>
      </c>
      <c r="G84" s="511">
        <f>F84</f>
        <v>150567912</v>
      </c>
      <c r="H84" s="504">
        <f>G84</f>
        <v>150567912</v>
      </c>
      <c r="I84" s="504">
        <f>H84</f>
        <v>150567912</v>
      </c>
      <c r="J84" s="504">
        <f>I84</f>
        <v>150567912</v>
      </c>
      <c r="K84" s="504">
        <f>J84</f>
        <v>150567912</v>
      </c>
    </row>
    <row r="85">
      <c r="A85" s="498"/>
      <c r="B85" s="498"/>
      <c r="C85" s="498"/>
      <c r="D85" s="498"/>
      <c r="E85" s="498"/>
      <c r="F85" s="498"/>
      <c r="G85" s="509"/>
      <c r="H85" s="498"/>
      <c r="I85" s="498"/>
      <c r="J85" s="498"/>
      <c r="K85" s="498"/>
    </row>
    <row r="86">
      <c r="A86" s="534" t="s">
        <v>78</v>
      </c>
      <c r="B86" s="497"/>
      <c r="C86" s="497"/>
      <c r="D86" s="497"/>
      <c r="E86" s="497"/>
      <c r="F86" s="497"/>
      <c r="G86" s="510"/>
      <c r="H86" s="499"/>
      <c r="I86" s="499"/>
      <c r="J86" s="499"/>
      <c r="K86" s="499"/>
    </row>
    <row r="87">
      <c r="A87" s="531" t="s">
        <v>79</v>
      </c>
      <c r="B87" s="517">
        <f>EEFF!B79</f>
        <v>31292259</v>
      </c>
      <c r="C87" s="517">
        <f>EEFF!C79</f>
        <v>32592259</v>
      </c>
      <c r="D87" s="517">
        <f>EEFF!D79</f>
        <v>32456289</v>
      </c>
      <c r="E87" s="517">
        <f>EEFF!E79</f>
        <v>32456289</v>
      </c>
      <c r="F87" s="517">
        <f>EEFF!F79</f>
        <v>33179964</v>
      </c>
      <c r="G87" s="522">
        <f>F87</f>
        <v>33179964</v>
      </c>
      <c r="H87" s="514">
        <f>G87</f>
        <v>33179964</v>
      </c>
      <c r="I87" s="514">
        <f>H87</f>
        <v>33179964</v>
      </c>
      <c r="J87" s="514">
        <f>I87</f>
        <v>33179964</v>
      </c>
      <c r="K87" s="514">
        <f>J87</f>
        <v>33179964</v>
      </c>
    </row>
    <row r="88">
      <c r="A88" s="531" t="s">
        <v>80</v>
      </c>
      <c r="B88" s="517">
        <f>EEFF!B80</f>
        <v>144629043</v>
      </c>
      <c r="C88" s="517">
        <f>EEFF!C80</f>
        <v>153342675</v>
      </c>
      <c r="D88" s="517">
        <f>EEFF!D80</f>
        <v>163637708</v>
      </c>
      <c r="E88" s="517">
        <f>EEFF!E80</f>
        <v>169997522</v>
      </c>
      <c r="F88" s="517">
        <f>EEFF!F80</f>
        <v>179997183</v>
      </c>
      <c r="G88" s="522">
        <f>F88</f>
        <v>179997183</v>
      </c>
      <c r="H88" s="514">
        <f>G88</f>
        <v>179997183</v>
      </c>
      <c r="I88" s="514">
        <f>H88</f>
        <v>179997183</v>
      </c>
      <c r="J88" s="514">
        <f>I88</f>
        <v>179997183</v>
      </c>
      <c r="K88" s="514">
        <f>J88</f>
        <v>179997183</v>
      </c>
    </row>
    <row r="89">
      <c r="A89" s="531" t="s">
        <v>81</v>
      </c>
      <c r="B89" s="517">
        <f>EEFF!B81</f>
        <v>-290007</v>
      </c>
      <c r="C89" s="517">
        <f>EEFF!C81</f>
        <v>-182298</v>
      </c>
      <c r="D89" s="517">
        <f>EEFF!D81</f>
        <v>138795</v>
      </c>
      <c r="E89" s="517">
        <f>EEFF!E81</f>
        <v>218431</v>
      </c>
      <c r="F89" s="517">
        <f>EEFF!F81</f>
        <v>233248</v>
      </c>
      <c r="G89" s="522">
        <f>F89</f>
        <v>233248</v>
      </c>
      <c r="H89" s="514">
        <f>G89</f>
        <v>233248</v>
      </c>
      <c r="I89" s="514">
        <f>H89</f>
        <v>233248</v>
      </c>
      <c r="J89" s="514">
        <f>I89</f>
        <v>233248</v>
      </c>
      <c r="K89" s="514">
        <f>J89</f>
        <v>233248</v>
      </c>
    </row>
    <row r="90">
      <c r="A90" s="502" t="s">
        <v>82</v>
      </c>
      <c r="B90" s="496">
        <f>EEFF!B82</f>
        <v>175631295</v>
      </c>
      <c r="C90" s="496">
        <f>EEFF!C82</f>
        <v>185752636</v>
      </c>
      <c r="D90" s="496">
        <f>EEFF!D82</f>
        <v>196232792</v>
      </c>
      <c r="E90" s="496">
        <f>EEFF!E82</f>
        <v>202672242</v>
      </c>
      <c r="F90" s="496">
        <f>EEFF!F82</f>
        <v>213410395</v>
      </c>
      <c r="G90" s="511">
        <f>F90</f>
        <v>213410395</v>
      </c>
      <c r="H90" s="504">
        <f>G90</f>
        <v>213410395</v>
      </c>
      <c r="I90" s="504">
        <f>H90</f>
        <v>213410395</v>
      </c>
      <c r="J90" s="504">
        <f>I90</f>
        <v>213410395</v>
      </c>
      <c r="K90" s="504">
        <f>J90</f>
        <v>213410395</v>
      </c>
    </row>
    <row r="91">
      <c r="A91" s="502" t="s">
        <v>83</v>
      </c>
      <c r="B91" s="496">
        <f>EEFF!B83</f>
        <v>343007847</v>
      </c>
      <c r="C91" s="496">
        <f>EEFF!C83</f>
        <v>364287613</v>
      </c>
      <c r="D91" s="496">
        <f>EEFF!D83</f>
        <v>368539960</v>
      </c>
      <c r="E91" s="496">
        <f>EEFF!E83</f>
        <v>364613210</v>
      </c>
      <c r="F91" s="496">
        <f>EEFF!F83</f>
        <v>363978307</v>
      </c>
      <c r="G91" s="511">
        <f>F91</f>
        <v>363978307</v>
      </c>
      <c r="H91" s="504">
        <f>G91</f>
        <v>363978307</v>
      </c>
      <c r="I91" s="504">
        <f>H91</f>
        <v>363978307</v>
      </c>
      <c r="J91" s="504">
        <f>I91</f>
        <v>363978307</v>
      </c>
      <c r="K91" s="504">
        <f>J91</f>
        <v>363978307</v>
      </c>
    </row>
    <row r="92">
      <c r="A92" s="498"/>
      <c r="B92" s="498"/>
      <c r="C92" s="498"/>
      <c r="D92" s="498"/>
      <c r="E92" s="498"/>
      <c r="F92" s="498"/>
      <c r="G92" s="509"/>
      <c r="H92" s="498"/>
      <c r="I92" s="498"/>
      <c r="J92" s="498"/>
      <c r="K92" s="498"/>
    </row>
    <row r="93">
      <c r="A93" s="534" t="s">
        <v>3</v>
      </c>
      <c r="B93" s="535" t="s">
        <v>4</v>
      </c>
      <c r="C93" s="535" t="s">
        <v>5</v>
      </c>
      <c r="D93" s="535" t="s">
        <v>6</v>
      </c>
      <c r="E93" s="535" t="s">
        <v>7</v>
      </c>
      <c r="F93" s="535" t="s">
        <v>8</v>
      </c>
      <c r="G93" s="537" t="s">
        <v>9</v>
      </c>
      <c r="H93" s="536" t="s">
        <v>10</v>
      </c>
      <c r="I93" s="536" t="s">
        <v>11</v>
      </c>
      <c r="J93" s="536" t="s">
        <v>12</v>
      </c>
      <c r="K93" s="536" t="s">
        <v>13</v>
      </c>
    </row>
    <row r="94">
      <c r="A94" s="534" t="s">
        <v>84</v>
      </c>
      <c r="B94" s="497"/>
      <c r="C94" s="497"/>
      <c r="D94" s="497"/>
      <c r="E94" s="497"/>
      <c r="F94" s="497"/>
      <c r="G94" s="510"/>
      <c r="H94" s="499"/>
      <c r="I94" s="499"/>
      <c r="J94" s="499"/>
      <c r="K94" s="499"/>
    </row>
    <row r="95">
      <c r="A95" s="534" t="s">
        <v>85</v>
      </c>
      <c r="B95" s="497"/>
      <c r="C95" s="497"/>
      <c r="D95" s="497"/>
      <c r="E95" s="497"/>
      <c r="F95" s="497"/>
      <c r="G95" s="510"/>
      <c r="H95" s="499"/>
      <c r="I95" s="499"/>
      <c r="J95" s="499"/>
      <c r="K95" s="499"/>
    </row>
    <row r="96">
      <c r="A96" s="502" t="s">
        <v>33</v>
      </c>
      <c r="B96" s="496">
        <f>EEFF!B88</f>
        <v>20186485</v>
      </c>
      <c r="C96" s="496">
        <f>EEFF!C88</f>
        <v>17461611</v>
      </c>
      <c r="D96" s="496">
        <f>EEFF!D88</f>
        <v>17600077</v>
      </c>
      <c r="E96" s="496">
        <f>EEFF!E88</f>
        <v>13528082</v>
      </c>
      <c r="F96" s="496">
        <f>EEFF!F88</f>
        <v>15430469</v>
      </c>
      <c r="G96" s="511">
        <f>F96</f>
        <v>15430469</v>
      </c>
      <c r="H96" s="504">
        <f>G96</f>
        <v>15430469</v>
      </c>
      <c r="I96" s="504">
        <f>H96</f>
        <v>15430469</v>
      </c>
      <c r="J96" s="504">
        <f>I96</f>
        <v>15430469</v>
      </c>
      <c r="K96" s="504">
        <f>J96</f>
        <v>15430469</v>
      </c>
    </row>
    <row r="97">
      <c r="A97" s="498"/>
      <c r="B97" s="498"/>
      <c r="C97" s="498"/>
      <c r="D97" s="498"/>
      <c r="E97" s="498"/>
      <c r="F97" s="498"/>
      <c r="G97" s="509"/>
      <c r="H97" s="498"/>
      <c r="I97" s="498"/>
      <c r="J97" s="498"/>
      <c r="K97" s="498"/>
    </row>
    <row r="98">
      <c r="A98" s="534" t="s">
        <v>86</v>
      </c>
      <c r="B98" s="497"/>
      <c r="C98" s="497"/>
      <c r="D98" s="497"/>
      <c r="E98" s="497"/>
      <c r="F98" s="497"/>
      <c r="G98" s="510"/>
      <c r="H98" s="499"/>
      <c r="I98" s="499"/>
      <c r="J98" s="499"/>
      <c r="K98" s="499"/>
    </row>
    <row r="99">
      <c r="A99" s="531" t="s">
        <v>87</v>
      </c>
      <c r="B99" s="517">
        <f>EEFF!B90</f>
        <v>-539906</v>
      </c>
      <c r="C99" s="517">
        <f>EEFF!C90</f>
        <v>-930830</v>
      </c>
      <c r="D99" s="517">
        <f>EEFF!D90</f>
        <v>-1210952</v>
      </c>
      <c r="E99" s="517">
        <f>EEFF!E90</f>
        <v>-869552</v>
      </c>
      <c r="F99" s="517">
        <f>EEFF!F90</f>
        <v>-766156</v>
      </c>
      <c r="G99" s="522">
        <f>F99</f>
        <v>-766156</v>
      </c>
      <c r="H99" s="514">
        <f>G99</f>
        <v>-766156</v>
      </c>
      <c r="I99" s="514">
        <f>H99</f>
        <v>-766156</v>
      </c>
      <c r="J99" s="514">
        <f>I99</f>
        <v>-766156</v>
      </c>
      <c r="K99" s="514">
        <f>J99</f>
        <v>-766156</v>
      </c>
    </row>
    <row r="100">
      <c r="A100" s="531" t="s">
        <v>88</v>
      </c>
      <c r="B100" s="517">
        <f>EEFF!B91</f>
        <v>12893750</v>
      </c>
      <c r="C100" s="517">
        <f>EEFF!C91</f>
        <v>12462508</v>
      </c>
      <c r="D100" s="517">
        <f>EEFF!D91</f>
        <v>13066774</v>
      </c>
      <c r="E100" s="517">
        <f>EEFF!E91</f>
        <v>13312735</v>
      </c>
      <c r="F100" s="517">
        <f>EEFF!F91</f>
        <v>13402269</v>
      </c>
      <c r="G100" s="522">
        <f>F100</f>
        <v>13402269</v>
      </c>
      <c r="H100" s="514">
        <f>G100</f>
        <v>13402269</v>
      </c>
      <c r="I100" s="514">
        <f>H100</f>
        <v>13402269</v>
      </c>
      <c r="J100" s="514">
        <f>I100</f>
        <v>13402269</v>
      </c>
      <c r="K100" s="514">
        <f>J100</f>
        <v>13402269</v>
      </c>
    </row>
    <row r="101">
      <c r="A101" s="531" t="s">
        <v>89</v>
      </c>
      <c r="B101" s="517">
        <f>EEFF!B92</f>
        <v>0</v>
      </c>
      <c r="C101" s="517">
        <f>EEFF!C92</f>
        <v>0</v>
      </c>
      <c r="D101" s="517">
        <f>EEFF!D92</f>
        <v>0</v>
      </c>
      <c r="E101" s="517">
        <f>EEFF!E92</f>
        <v>182380</v>
      </c>
      <c r="F101" s="517">
        <f>EEFF!F92</f>
        <v>763104</v>
      </c>
      <c r="G101" s="522">
        <f>F101</f>
        <v>763104</v>
      </c>
      <c r="H101" s="514">
        <f>G101</f>
        <v>763104</v>
      </c>
      <c r="I101" s="514">
        <f>H101</f>
        <v>763104</v>
      </c>
      <c r="J101" s="514">
        <f>I101</f>
        <v>763104</v>
      </c>
      <c r="K101" s="514">
        <f>J101</f>
        <v>763104</v>
      </c>
    </row>
    <row r="102">
      <c r="A102" s="531" t="s">
        <v>90</v>
      </c>
      <c r="B102" s="517">
        <f>EEFF!B93</f>
        <v>1091922</v>
      </c>
      <c r="C102" s="517">
        <f>EEFF!C93</f>
        <v>880468</v>
      </c>
      <c r="D102" s="517">
        <f>EEFF!D93</f>
        <v>973473</v>
      </c>
      <c r="E102" s="517">
        <f>EEFF!E93</f>
        <v>1264783</v>
      </c>
      <c r="F102" s="517">
        <f>EEFF!F93</f>
        <v>1163915</v>
      </c>
      <c r="G102" s="522">
        <f>F102</f>
        <v>1163915</v>
      </c>
      <c r="H102" s="514">
        <f>G102</f>
        <v>1163915</v>
      </c>
      <c r="I102" s="514">
        <f>H102</f>
        <v>1163915</v>
      </c>
      <c r="J102" s="514">
        <f>I102</f>
        <v>1163915</v>
      </c>
      <c r="K102" s="514">
        <f>J102</f>
        <v>1163915</v>
      </c>
    </row>
    <row r="103">
      <c r="A103" s="531" t="s">
        <v>91</v>
      </c>
      <c r="B103" s="517">
        <f>EEFF!B94</f>
        <v>4161694</v>
      </c>
      <c r="C103" s="517">
        <f>EEFF!C94</f>
        <v>3991659</v>
      </c>
      <c r="D103" s="517">
        <f>EEFF!D94</f>
        <v>3696447</v>
      </c>
      <c r="E103" s="517">
        <f>EEFF!E94</f>
        <v>4684964</v>
      </c>
      <c r="F103" s="517">
        <f>EEFF!F94</f>
        <v>5404896</v>
      </c>
      <c r="G103" s="522">
        <f>F103</f>
        <v>5404896</v>
      </c>
      <c r="H103" s="514">
        <f>G103</f>
        <v>5404896</v>
      </c>
      <c r="I103" s="514">
        <f>H103</f>
        <v>5404896</v>
      </c>
      <c r="J103" s="514">
        <f>I103</f>
        <v>5404896</v>
      </c>
      <c r="K103" s="514">
        <f>J103</f>
        <v>5404896</v>
      </c>
    </row>
    <row r="104">
      <c r="A104" s="531" t="s">
        <v>92</v>
      </c>
      <c r="B104" s="517">
        <f>EEFF!B95</f>
        <v>49192</v>
      </c>
      <c r="C104" s="517">
        <f>EEFF!C95</f>
        <v>-44332</v>
      </c>
      <c r="D104" s="517">
        <f>EEFF!D95</f>
        <v>-219350</v>
      </c>
      <c r="E104" s="517">
        <f>EEFF!E95</f>
        <v>4678</v>
      </c>
      <c r="F104" s="517">
        <f>EEFF!F95</f>
        <v>66377</v>
      </c>
      <c r="G104" s="522">
        <f>F104</f>
        <v>66377</v>
      </c>
      <c r="H104" s="514">
        <f>G104</f>
        <v>66377</v>
      </c>
      <c r="I104" s="514">
        <f>H104</f>
        <v>66377</v>
      </c>
      <c r="J104" s="514">
        <f>I104</f>
        <v>66377</v>
      </c>
      <c r="K104" s="514">
        <f>J104</f>
        <v>66377</v>
      </c>
    </row>
    <row r="105">
      <c r="A105" s="531" t="s">
        <v>93</v>
      </c>
      <c r="B105" s="517">
        <f>EEFF!B96</f>
        <v>0</v>
      </c>
      <c r="C105" s="517">
        <f>EEFF!C96</f>
        <v>0</v>
      </c>
      <c r="D105" s="517">
        <f>EEFF!D96</f>
        <v>-6443146</v>
      </c>
      <c r="E105" s="517">
        <f>EEFF!E96</f>
        <v>0</v>
      </c>
      <c r="F105" s="517">
        <f>EEFF!F96</f>
        <v>0</v>
      </c>
      <c r="G105" s="500"/>
      <c r="H105" s="495"/>
      <c r="I105" s="495"/>
      <c r="J105" s="495"/>
      <c r="K105" s="495"/>
    </row>
    <row r="106">
      <c r="A106" s="531" t="s">
        <v>94</v>
      </c>
      <c r="B106" s="517">
        <f>EEFF!B97</f>
        <v>-720417</v>
      </c>
      <c r="C106" s="517">
        <f>EEFF!C97</f>
        <v>-109142</v>
      </c>
      <c r="D106" s="517">
        <f>EEFF!D97</f>
        <v>-42504</v>
      </c>
      <c r="E106" s="517">
        <f>EEFF!E97</f>
        <v>-15072</v>
      </c>
      <c r="F106" s="517">
        <f>EEFF!F97</f>
        <v>0</v>
      </c>
      <c r="G106" s="522">
        <f>F106</f>
        <v>0</v>
      </c>
      <c r="H106" s="514">
        <f>G106</f>
        <v>0</v>
      </c>
      <c r="I106" s="514">
        <f>H106</f>
        <v>0</v>
      </c>
      <c r="J106" s="514">
        <f>I106</f>
        <v>0</v>
      </c>
      <c r="K106" s="514">
        <f>J106</f>
        <v>0</v>
      </c>
    </row>
    <row r="107">
      <c r="A107" s="531" t="s">
        <v>95</v>
      </c>
      <c r="B107" s="517">
        <f>EEFF!B98</f>
        <v>0</v>
      </c>
      <c r="C107" s="517">
        <f>EEFF!C98</f>
        <v>0</v>
      </c>
      <c r="D107" s="517">
        <f>EEFF!D98</f>
        <v>0</v>
      </c>
      <c r="E107" s="517">
        <f>EEFF!E98</f>
        <v>0</v>
      </c>
      <c r="F107" s="517">
        <f>EEFF!F98</f>
        <v>8000</v>
      </c>
      <c r="G107" s="522">
        <f>F107</f>
        <v>8000</v>
      </c>
      <c r="H107" s="514">
        <f>G107</f>
        <v>8000</v>
      </c>
      <c r="I107" s="514">
        <f>H107</f>
        <v>8000</v>
      </c>
      <c r="J107" s="514">
        <f>I107</f>
        <v>8000</v>
      </c>
      <c r="K107" s="514">
        <f>J107</f>
        <v>8000</v>
      </c>
    </row>
    <row r="108">
      <c r="A108" s="531" t="s">
        <v>75</v>
      </c>
      <c r="B108" s="517">
        <f>EEFF!B99</f>
        <v>1664489</v>
      </c>
      <c r="C108" s="517">
        <f>EEFF!C99</f>
        <v>1965660</v>
      </c>
      <c r="D108" s="517">
        <f>EEFF!D99</f>
        <v>1148953</v>
      </c>
      <c r="E108" s="517">
        <f>EEFF!E99</f>
        <v>1202654</v>
      </c>
      <c r="F108" s="517">
        <f>EEFF!F99</f>
        <v>1226427</v>
      </c>
      <c r="G108" s="522">
        <f>F108</f>
        <v>1226427</v>
      </c>
      <c r="H108" s="514">
        <f>G108</f>
        <v>1226427</v>
      </c>
      <c r="I108" s="514">
        <f>H108</f>
        <v>1226427</v>
      </c>
      <c r="J108" s="514">
        <f>I108</f>
        <v>1226427</v>
      </c>
      <c r="K108" s="514">
        <f>J108</f>
        <v>1226427</v>
      </c>
    </row>
    <row r="109">
      <c r="A109" s="531" t="s">
        <v>22</v>
      </c>
      <c r="B109" s="517">
        <f>EEFF!B100</f>
        <v>0</v>
      </c>
      <c r="C109" s="517">
        <f>EEFF!C100</f>
        <v>0</v>
      </c>
      <c r="D109" s="517">
        <f>EEFF!D100</f>
        <v>0</v>
      </c>
      <c r="E109" s="517">
        <f>EEFF!E100</f>
        <v>1314799</v>
      </c>
      <c r="F109" s="517">
        <f>EEFF!F100</f>
        <v>467105</v>
      </c>
      <c r="G109" s="522">
        <f>F109</f>
        <v>467105</v>
      </c>
      <c r="H109" s="514">
        <f>G109</f>
        <v>467105</v>
      </c>
      <c r="I109" s="514">
        <f>H109</f>
        <v>467105</v>
      </c>
      <c r="J109" s="514">
        <f>I109</f>
        <v>467105</v>
      </c>
      <c r="K109" s="514">
        <f>J109</f>
        <v>467105</v>
      </c>
    </row>
    <row r="110">
      <c r="A110" s="531" t="s">
        <v>29</v>
      </c>
      <c r="B110" s="517">
        <f>EEFF!B101</f>
        <v>5105549</v>
      </c>
      <c r="C110" s="517">
        <f>EEFF!C101</f>
        <v>3658130</v>
      </c>
      <c r="D110" s="517">
        <f>EEFF!D101</f>
        <v>4570216</v>
      </c>
      <c r="E110" s="517">
        <f>EEFF!E101</f>
        <v>4764953</v>
      </c>
      <c r="F110" s="517">
        <f>EEFF!F101</f>
        <v>4220043</v>
      </c>
      <c r="G110" s="522">
        <f>F110</f>
        <v>4220043</v>
      </c>
      <c r="H110" s="514">
        <f>G110</f>
        <v>4220043</v>
      </c>
      <c r="I110" s="514">
        <f>H110</f>
        <v>4220043</v>
      </c>
      <c r="J110" s="514">
        <f>I110</f>
        <v>4220043</v>
      </c>
      <c r="K110" s="514">
        <f>J110</f>
        <v>4220043</v>
      </c>
    </row>
    <row r="111">
      <c r="A111" s="531" t="s">
        <v>32</v>
      </c>
      <c r="B111" s="517">
        <f>EEFF!B102</f>
        <v>6945729</v>
      </c>
      <c r="C111" s="517">
        <f>EEFF!C102</f>
        <v>6379563</v>
      </c>
      <c r="D111" s="517">
        <f>EEFF!D102</f>
        <v>3925237</v>
      </c>
      <c r="E111" s="517">
        <f>EEFF!E102</f>
        <v>4602653</v>
      </c>
      <c r="F111" s="517">
        <f>EEFF!F102</f>
        <v>5123047</v>
      </c>
      <c r="G111" s="522">
        <f>F111</f>
        <v>5123047</v>
      </c>
      <c r="H111" s="514">
        <f>G111</f>
        <v>5123047</v>
      </c>
      <c r="I111" s="514">
        <f>H111</f>
        <v>5123047</v>
      </c>
      <c r="J111" s="514">
        <f>I111</f>
        <v>5123047</v>
      </c>
      <c r="K111" s="514">
        <f>J111</f>
        <v>5123047</v>
      </c>
    </row>
    <row r="112">
      <c r="A112" s="498"/>
      <c r="B112" s="498"/>
      <c r="C112" s="498"/>
      <c r="D112" s="498"/>
      <c r="E112" s="498"/>
      <c r="F112" s="498"/>
      <c r="G112" s="509"/>
      <c r="H112" s="498"/>
      <c r="I112" s="498"/>
      <c r="J112" s="498"/>
      <c r="K112" s="498"/>
    </row>
    <row r="113">
      <c r="A113" s="534" t="s">
        <v>96</v>
      </c>
      <c r="B113" s="497"/>
      <c r="C113" s="497"/>
      <c r="D113" s="497"/>
      <c r="E113" s="497"/>
      <c r="F113" s="497"/>
      <c r="G113" s="510"/>
      <c r="H113" s="499"/>
      <c r="I113" s="499"/>
      <c r="J113" s="499"/>
      <c r="K113" s="499"/>
    </row>
    <row r="114">
      <c r="A114" s="531" t="s">
        <v>97</v>
      </c>
      <c r="B114" s="517">
        <f>EEFF!B104</f>
        <v>1724444</v>
      </c>
      <c r="C114" s="517">
        <f>EEFF!C104</f>
        <v>1452861</v>
      </c>
      <c r="D114" s="517">
        <f>EEFF!D104</f>
        <v>6412036</v>
      </c>
      <c r="E114" s="517">
        <f>EEFF!E104</f>
        <v>2397427</v>
      </c>
      <c r="F114" s="517">
        <f>EEFF!F104</f>
        <v>1513800</v>
      </c>
      <c r="G114" s="521">
        <f>F40-(G7*Supuestos!G57/365)</f>
        <v>-350245.9475321695</v>
      </c>
      <c r="H114" s="517">
        <f>G40-(H7*Supuestos!H57/365)</f>
        <v>-1303306.687433079</v>
      </c>
      <c r="I114" s="517">
        <f>H40-(I7*Supuestos!I57/365)</f>
        <v>-2275051.9162827358</v>
      </c>
      <c r="J114" s="517">
        <f>I40-(J7*Supuestos!J57/365)</f>
        <v>-3265847.9382553175</v>
      </c>
      <c r="K114" s="517">
        <f>J40-(K7*Supuestos!K57/365)</f>
        <v>-4276068.238815799</v>
      </c>
    </row>
    <row r="115">
      <c r="A115" s="531" t="s">
        <v>43</v>
      </c>
      <c r="B115" s="517">
        <f>EEFF!B105</f>
        <v>-12391203</v>
      </c>
      <c r="C115" s="517">
        <f>EEFF!C105</f>
        <v>-17257646</v>
      </c>
      <c r="D115" s="517">
        <f>EEFF!D105</f>
        <v>-1053361</v>
      </c>
      <c r="E115" s="517">
        <f>EEFF!E105</f>
        <v>8896392</v>
      </c>
      <c r="F115" s="517">
        <f>EEFF!F105</f>
        <v>13109347</v>
      </c>
      <c r="G115" s="521">
        <f>F41-(ABS(G10)*Supuestos!G62/365)</f>
        <v>-1712427.5380908847</v>
      </c>
      <c r="H115" s="517">
        <f>G41-(ABS(H10)*Supuestos!H62/365)</f>
        <v>-3433474.9255632907</v>
      </c>
      <c r="I115" s="517">
        <f>H41-(ABS(I10)*Supuestos!I62/365)</f>
        <v>-5188262.965173826</v>
      </c>
      <c r="J115" s="517">
        <f>I41-(ABS(J10)*Supuestos!J62/365)</f>
        <v>-6977453.132960275</v>
      </c>
      <c r="K115" s="517">
        <f>J41-(ABS(K10)*Supuestos!K62/365)</f>
        <v>-8801719.873012915</v>
      </c>
    </row>
    <row r="116">
      <c r="A116" s="531" t="s">
        <v>44</v>
      </c>
      <c r="B116" s="517">
        <f>EEFF!B106</f>
        <v>-50110</v>
      </c>
      <c r="C116" s="517">
        <f>EEFF!C106</f>
        <v>-1226583</v>
      </c>
      <c r="D116" s="517">
        <f>EEFF!D106</f>
        <v>-84033</v>
      </c>
      <c r="E116" s="517">
        <f>EEFF!E106</f>
        <v>-1970377</v>
      </c>
      <c r="F116" s="517">
        <f>EEFF!F106</f>
        <v>-337133</v>
      </c>
      <c r="G116" s="522">
        <f>F116</f>
        <v>-337133</v>
      </c>
      <c r="H116" s="514">
        <f>G116</f>
        <v>-337133</v>
      </c>
      <c r="I116" s="514">
        <f>H116</f>
        <v>-337133</v>
      </c>
      <c r="J116" s="514">
        <f>I116</f>
        <v>-337133</v>
      </c>
      <c r="K116" s="514">
        <f>J116</f>
        <v>-337133</v>
      </c>
    </row>
    <row r="117">
      <c r="A117" s="531" t="s">
        <v>45</v>
      </c>
      <c r="B117" s="517">
        <f>EEFF!B107</f>
        <v>-2396086</v>
      </c>
      <c r="C117" s="517">
        <f>EEFF!C107</f>
        <v>-961778</v>
      </c>
      <c r="D117" s="517">
        <f>EEFF!D107</f>
        <v>18290</v>
      </c>
      <c r="E117" s="517">
        <f>EEFF!E107</f>
        <v>1974022</v>
      </c>
      <c r="F117" s="517">
        <f>EEFF!F107</f>
        <v>-977474</v>
      </c>
      <c r="G117" s="522">
        <f>F117</f>
        <v>-977474</v>
      </c>
      <c r="H117" s="514">
        <f>G117</f>
        <v>-977474</v>
      </c>
      <c r="I117" s="514">
        <f>H117</f>
        <v>-977474</v>
      </c>
      <c r="J117" s="514">
        <f>I117</f>
        <v>-977474</v>
      </c>
      <c r="K117" s="514">
        <f>J117</f>
        <v>-977474</v>
      </c>
    </row>
    <row r="118">
      <c r="A118" s="531" t="s">
        <v>98</v>
      </c>
      <c r="B118" s="517">
        <f>EEFF!B108</f>
        <v>-2307941</v>
      </c>
      <c r="C118" s="517">
        <f>EEFF!C108</f>
        <v>1330671</v>
      </c>
      <c r="D118" s="517">
        <f>EEFF!D108</f>
        <v>-7029521</v>
      </c>
      <c r="E118" s="517">
        <f>EEFF!E108</f>
        <v>-3409160</v>
      </c>
      <c r="F118" s="517">
        <f>EEFF!F108</f>
        <v>-4833629</v>
      </c>
      <c r="G118" s="522">
        <f>F118</f>
        <v>-4833629</v>
      </c>
      <c r="H118" s="514">
        <f>G118</f>
        <v>-4833629</v>
      </c>
      <c r="I118" s="514">
        <f>H118</f>
        <v>-4833629</v>
      </c>
      <c r="J118" s="514">
        <f>I118</f>
        <v>-4833629</v>
      </c>
      <c r="K118" s="514">
        <f>J118</f>
        <v>-4833629</v>
      </c>
    </row>
    <row r="119">
      <c r="A119" s="531" t="s">
        <v>47</v>
      </c>
      <c r="B119" s="517">
        <f>EEFF!B109</f>
        <v>-3091159</v>
      </c>
      <c r="C119" s="517">
        <f>EEFF!C109</f>
        <v>-5365624</v>
      </c>
      <c r="D119" s="517">
        <f>EEFF!D109</f>
        <v>7189497</v>
      </c>
      <c r="E119" s="517">
        <f>EEFF!E109</f>
        <v>416324</v>
      </c>
      <c r="F119" s="517">
        <f>EEFF!F109</f>
        <v>186695</v>
      </c>
      <c r="G119" s="522">
        <f>F119</f>
        <v>186695</v>
      </c>
      <c r="H119" s="514">
        <f>G119</f>
        <v>186695</v>
      </c>
      <c r="I119" s="514">
        <f>H119</f>
        <v>186695</v>
      </c>
      <c r="J119" s="514">
        <f>I119</f>
        <v>186695</v>
      </c>
      <c r="K119" s="514">
        <f>J119</f>
        <v>186695</v>
      </c>
    </row>
    <row r="120">
      <c r="A120" s="531" t="s">
        <v>49</v>
      </c>
      <c r="B120" s="517">
        <f>EEFF!B110</f>
        <v>84599</v>
      </c>
      <c r="C120" s="517">
        <f>EEFF!C110</f>
        <v>-3146</v>
      </c>
      <c r="D120" s="517">
        <f>EEFF!D110</f>
        <v>170632</v>
      </c>
      <c r="E120" s="517">
        <f>EEFF!E110</f>
        <v>-24930</v>
      </c>
      <c r="F120" s="517">
        <f>EEFF!F110</f>
        <v>-16200</v>
      </c>
      <c r="G120" s="522">
        <f>F120</f>
        <v>-16200</v>
      </c>
      <c r="H120" s="514">
        <f>G120</f>
        <v>-16200</v>
      </c>
      <c r="I120" s="514">
        <f>H120</f>
        <v>-16200</v>
      </c>
      <c r="J120" s="514">
        <f>I120</f>
        <v>-16200</v>
      </c>
      <c r="K120" s="514">
        <f>J120</f>
        <v>-16200</v>
      </c>
    </row>
    <row r="121">
      <c r="A121" s="531" t="s">
        <v>99</v>
      </c>
      <c r="B121" s="517">
        <f>EEFF!B111</f>
        <v>18644394</v>
      </c>
      <c r="C121" s="517">
        <f>EEFF!C111</f>
        <v>5374608</v>
      </c>
      <c r="D121" s="517">
        <f>EEFF!D111</f>
        <v>-6548518</v>
      </c>
      <c r="E121" s="517">
        <f>EEFF!E111</f>
        <v>-3870204</v>
      </c>
      <c r="F121" s="517">
        <f>EEFF!F111</f>
        <v>-4106608</v>
      </c>
      <c r="G121" s="521">
        <f>(ABS(G10)*Supuestos!G67/365)-(F71+F73)</f>
        <v>702170.9852192663</v>
      </c>
      <c r="H121" s="517">
        <f>(ABS(H10)*Supuestos!H67/365)-(G71+G73)</f>
        <v>1340824.714546375</v>
      </c>
      <c r="I121" s="517">
        <f>(ABS(I10)*Supuestos!I67/365)-(H71+H73)</f>
        <v>1991999.071413897</v>
      </c>
      <c r="J121" s="517">
        <f>(ABS(J10)*Supuestos!J67/365)-(I71+I73)</f>
        <v>2655939.5192189887</v>
      </c>
      <c r="K121" s="517">
        <f>(ABS(K10)*Supuestos!K67/365)-(J71+J73)</f>
        <v>3332896.333599977</v>
      </c>
    </row>
    <row r="122">
      <c r="A122" s="531" t="s">
        <v>68</v>
      </c>
      <c r="B122" s="517">
        <f>EEFF!B112</f>
        <v>2304144</v>
      </c>
      <c r="C122" s="517">
        <f>EEFF!C112</f>
        <v>-2216743</v>
      </c>
      <c r="D122" s="517">
        <f>EEFF!D112</f>
        <v>1955664</v>
      </c>
      <c r="E122" s="517">
        <f>EEFF!E112</f>
        <v>629264</v>
      </c>
      <c r="F122" s="517">
        <f>EEFF!F112</f>
        <v>-79663</v>
      </c>
      <c r="G122" s="522">
        <f>F122</f>
        <v>-79663</v>
      </c>
      <c r="H122" s="514">
        <f>G122</f>
        <v>-79663</v>
      </c>
      <c r="I122" s="514">
        <f>H122</f>
        <v>-79663</v>
      </c>
      <c r="J122" s="514">
        <f>I122</f>
        <v>-79663</v>
      </c>
      <c r="K122" s="514">
        <f>J122</f>
        <v>-79663</v>
      </c>
    </row>
    <row r="123">
      <c r="A123" s="531" t="s">
        <v>71</v>
      </c>
      <c r="B123" s="517">
        <f>EEFF!B113</f>
        <v>1951260</v>
      </c>
      <c r="C123" s="517">
        <f>EEFF!C113</f>
        <v>-666588</v>
      </c>
      <c r="D123" s="517">
        <f>EEFF!D113</f>
        <v>-905010</v>
      </c>
      <c r="E123" s="517">
        <f>EEFF!E113</f>
        <v>513724</v>
      </c>
      <c r="F123" s="517">
        <f>EEFF!F113</f>
        <v>-950006</v>
      </c>
      <c r="G123" s="522">
        <f>F123</f>
        <v>-950006</v>
      </c>
      <c r="H123" s="514">
        <f>G123</f>
        <v>-950006</v>
      </c>
      <c r="I123" s="514">
        <f>H123</f>
        <v>-950006</v>
      </c>
      <c r="J123" s="514">
        <f>I123</f>
        <v>-950006</v>
      </c>
      <c r="K123" s="514">
        <f>J123</f>
        <v>-950006</v>
      </c>
    </row>
    <row r="124">
      <c r="A124" s="502" t="s">
        <v>100</v>
      </c>
      <c r="B124" s="496">
        <f>EEFF!B114</f>
        <v>55310829</v>
      </c>
      <c r="C124" s="496">
        <f>EEFF!C114</f>
        <v>26543327</v>
      </c>
      <c r="D124" s="496">
        <f>EEFF!D114</f>
        <v>37190901</v>
      </c>
      <c r="E124" s="496">
        <f>EEFF!E114</f>
        <v>49530539</v>
      </c>
      <c r="F124" s="496">
        <f>EEFF!F114</f>
        <v>50018625</v>
      </c>
      <c r="G124" s="511">
        <f>F124</f>
        <v>50018625</v>
      </c>
      <c r="H124" s="504">
        <f>G124</f>
        <v>50018625</v>
      </c>
      <c r="I124" s="504">
        <f>H124</f>
        <v>50018625</v>
      </c>
      <c r="J124" s="504">
        <f>I124</f>
        <v>50018625</v>
      </c>
      <c r="K124" s="504">
        <f>J124</f>
        <v>50018625</v>
      </c>
    </row>
    <row r="125">
      <c r="A125" s="531" t="s">
        <v>101</v>
      </c>
      <c r="B125" s="517">
        <f>EEFF!B115</f>
        <v>-1245467</v>
      </c>
      <c r="C125" s="517">
        <f>EEFF!C115</f>
        <v>-1344874</v>
      </c>
      <c r="D125" s="517">
        <f>EEFF!D115</f>
        <v>-903340</v>
      </c>
      <c r="E125" s="517">
        <f>EEFF!E115</f>
        <v>-875891</v>
      </c>
      <c r="F125" s="517">
        <f>EEFF!F115</f>
        <v>-930139</v>
      </c>
      <c r="G125" s="522">
        <f>F125</f>
        <v>-930139</v>
      </c>
      <c r="H125" s="514">
        <f>G125</f>
        <v>-930139</v>
      </c>
      <c r="I125" s="514">
        <f>H125</f>
        <v>-930139</v>
      </c>
      <c r="J125" s="514">
        <f>I125</f>
        <v>-930139</v>
      </c>
      <c r="K125" s="514">
        <f>J125</f>
        <v>-930139</v>
      </c>
    </row>
    <row r="126">
      <c r="A126" s="531" t="s">
        <v>102</v>
      </c>
      <c r="B126" s="517">
        <f>EEFF!B116</f>
        <v>-5987486</v>
      </c>
      <c r="C126" s="517">
        <f>EEFF!C116</f>
        <v>-3558962</v>
      </c>
      <c r="D126" s="517">
        <f>EEFF!D116</f>
        <v>-4702574</v>
      </c>
      <c r="E126" s="517">
        <f>EEFF!E116</f>
        <v>-4569271</v>
      </c>
      <c r="F126" s="517">
        <f>EEFF!F116</f>
        <v>-4181690</v>
      </c>
      <c r="G126" s="522">
        <f>F126</f>
        <v>-4181690</v>
      </c>
      <c r="H126" s="514">
        <f>G126</f>
        <v>-4181690</v>
      </c>
      <c r="I126" s="514">
        <f>H126</f>
        <v>-4181690</v>
      </c>
      <c r="J126" s="514">
        <f>I126</f>
        <v>-4181690</v>
      </c>
      <c r="K126" s="514">
        <f>J126</f>
        <v>-4181690</v>
      </c>
    </row>
    <row r="127">
      <c r="A127" s="531" t="s">
        <v>103</v>
      </c>
      <c r="B127" s="517">
        <f>EEFF!B117</f>
        <v>-118836</v>
      </c>
      <c r="C127" s="517">
        <f>EEFF!C117</f>
        <v>-11418452</v>
      </c>
      <c r="D127" s="517">
        <f>EEFF!D117</f>
        <v>-4756304</v>
      </c>
      <c r="E127" s="517">
        <f>EEFF!E117</f>
        <v>-519294</v>
      </c>
      <c r="F127" s="517">
        <f>EEFF!F117</f>
        <v>-8054898</v>
      </c>
      <c r="G127" s="522">
        <f>F127</f>
        <v>-8054898</v>
      </c>
      <c r="H127" s="514">
        <f>G127</f>
        <v>-8054898</v>
      </c>
      <c r="I127" s="514">
        <f>H127</f>
        <v>-8054898</v>
      </c>
      <c r="J127" s="514">
        <f>I127</f>
        <v>-8054898</v>
      </c>
      <c r="K127" s="514">
        <f>J127</f>
        <v>-8054898</v>
      </c>
    </row>
    <row r="128">
      <c r="A128" s="502" t="s">
        <v>104</v>
      </c>
      <c r="B128" s="496">
        <f>EEFF!B118</f>
        <v>47959040</v>
      </c>
      <c r="C128" s="496">
        <f>EEFF!C118</f>
        <v>10221039</v>
      </c>
      <c r="D128" s="496">
        <f>EEFF!D118</f>
        <v>26828683</v>
      </c>
      <c r="E128" s="496">
        <f>EEFF!E118</f>
        <v>43566083</v>
      </c>
      <c r="F128" s="496">
        <f>EEFF!F118</f>
        <v>38851900</v>
      </c>
      <c r="G128" s="511">
        <f>F128</f>
        <v>38851900</v>
      </c>
      <c r="H128" s="504">
        <f>G128</f>
        <v>38851900</v>
      </c>
      <c r="I128" s="504">
        <f>H128</f>
        <v>38851900</v>
      </c>
      <c r="J128" s="504">
        <f>I128</f>
        <v>38851900</v>
      </c>
      <c r="K128" s="504">
        <f>J128</f>
        <v>38851900</v>
      </c>
    </row>
    <row r="129">
      <c r="A129" s="498"/>
      <c r="B129" s="498"/>
      <c r="C129" s="498"/>
      <c r="D129" s="498"/>
      <c r="E129" s="498"/>
      <c r="F129" s="498"/>
      <c r="G129" s="509"/>
      <c r="H129" s="498"/>
      <c r="I129" s="498"/>
      <c r="J129" s="498"/>
      <c r="K129" s="498"/>
    </row>
    <row r="130">
      <c r="A130" s="534" t="s">
        <v>105</v>
      </c>
      <c r="B130" s="497"/>
      <c r="C130" s="497"/>
      <c r="D130" s="497"/>
      <c r="E130" s="497"/>
      <c r="F130" s="497"/>
      <c r="G130" s="510"/>
      <c r="H130" s="499"/>
      <c r="I130" s="499"/>
      <c r="J130" s="499"/>
      <c r="K130" s="499"/>
    </row>
    <row r="131">
      <c r="A131" s="531" t="s">
        <v>106</v>
      </c>
      <c r="B131" s="517">
        <f>EEFF!B120</f>
        <v>968434</v>
      </c>
      <c r="C131" s="517">
        <f>EEFF!C120</f>
        <v>783585</v>
      </c>
      <c r="D131" s="517">
        <f>EEFF!D120</f>
        <v>885958</v>
      </c>
      <c r="E131" s="517">
        <f>EEFF!E120</f>
        <v>1130662</v>
      </c>
      <c r="F131" s="517">
        <f>EEFF!F120</f>
        <v>1414749</v>
      </c>
      <c r="G131" s="522">
        <f>F131</f>
        <v>1414749</v>
      </c>
      <c r="H131" s="514">
        <f>G131</f>
        <v>1414749</v>
      </c>
      <c r="I131" s="514">
        <f>H131</f>
        <v>1414749</v>
      </c>
      <c r="J131" s="514">
        <f>I131</f>
        <v>1414749</v>
      </c>
      <c r="K131" s="514">
        <f>J131</f>
        <v>1414749</v>
      </c>
    </row>
    <row r="132">
      <c r="A132" s="531" t="s">
        <v>107</v>
      </c>
      <c r="B132" s="517">
        <f>EEFF!B121</f>
        <v>-1058</v>
      </c>
      <c r="C132" s="517">
        <f>EEFF!C121</f>
        <v>-1086002</v>
      </c>
      <c r="D132" s="517">
        <f>EEFF!D121</f>
        <v>-383774</v>
      </c>
      <c r="E132" s="517">
        <f>EEFF!E121</f>
        <v>-1012724</v>
      </c>
      <c r="F132" s="517">
        <f>EEFF!F121</f>
        <v>-660471</v>
      </c>
      <c r="G132" s="522">
        <f>F132</f>
        <v>-660471</v>
      </c>
      <c r="H132" s="514">
        <f>G132</f>
        <v>-660471</v>
      </c>
      <c r="I132" s="514">
        <f>H132</f>
        <v>-660471</v>
      </c>
      <c r="J132" s="514">
        <f>I132</f>
        <v>-660471</v>
      </c>
      <c r="K132" s="514">
        <f>J132</f>
        <v>-660471</v>
      </c>
    </row>
    <row r="133">
      <c r="A133" s="531" t="s">
        <v>108</v>
      </c>
      <c r="B133" s="517">
        <f>EEFF!B122</f>
        <v>-8475655</v>
      </c>
      <c r="C133" s="517">
        <f>EEFF!C122</f>
        <v>-12419154</v>
      </c>
      <c r="D133" s="517">
        <f>EEFF!D122</f>
        <v>-14617025</v>
      </c>
      <c r="E133" s="517">
        <f>EEFF!E122</f>
        <v>-15053219</v>
      </c>
      <c r="F133" s="517">
        <f>EEFF!F122</f>
        <v>-15565292</v>
      </c>
      <c r="G133" s="521">
        <f>-G7*Supuestos!G52</f>
        <v>-15825776.05981149</v>
      </c>
      <c r="H133" s="517">
        <f>-H7*Supuestos!H52</f>
        <v>-16136035.968246797</v>
      </c>
      <c r="I133" s="517">
        <f>-I7*Supuestos!I52</f>
        <v>-16452378.435314205</v>
      </c>
      <c r="J133" s="517">
        <f>-J7*Supuestos!J52</f>
        <v>-16774922.707872579</v>
      </c>
      <c r="K133" s="517">
        <f>-K7*Supuestos!K52</f>
        <v>-17103790.370582063</v>
      </c>
    </row>
    <row r="134">
      <c r="A134" s="531" t="s">
        <v>109</v>
      </c>
      <c r="B134" s="517">
        <f>EEFF!B123</f>
        <v>440153</v>
      </c>
      <c r="C134" s="517">
        <f>EEFF!C123</f>
        <v>141517</v>
      </c>
      <c r="D134" s="517">
        <f>EEFF!D123</f>
        <v>261652</v>
      </c>
      <c r="E134" s="517">
        <f>EEFF!E123</f>
        <v>4545</v>
      </c>
      <c r="F134" s="517">
        <f>EEFF!F123</f>
        <v>9141</v>
      </c>
      <c r="G134" s="522">
        <f>F134</f>
        <v>9141</v>
      </c>
      <c r="H134" s="514">
        <f>G134</f>
        <v>9141</v>
      </c>
      <c r="I134" s="514">
        <f>H134</f>
        <v>9141</v>
      </c>
      <c r="J134" s="514">
        <f>I134</f>
        <v>9141</v>
      </c>
      <c r="K134" s="514">
        <f>J134</f>
        <v>9141</v>
      </c>
    </row>
    <row r="135">
      <c r="A135" s="531" t="s">
        <v>110</v>
      </c>
      <c r="B135" s="517">
        <f>EEFF!B124</f>
        <v>-310772</v>
      </c>
      <c r="C135" s="517">
        <f>EEFF!C124</f>
        <v>-965474</v>
      </c>
      <c r="D135" s="517">
        <f>EEFF!D124</f>
        <v>-2850922</v>
      </c>
      <c r="E135" s="517">
        <f>EEFF!E124</f>
        <v>-1511496</v>
      </c>
      <c r="F135" s="517">
        <f>EEFF!F124</f>
        <v>-612571</v>
      </c>
      <c r="G135" s="522">
        <f>F135</f>
        <v>-612571</v>
      </c>
      <c r="H135" s="514">
        <f>G135</f>
        <v>-612571</v>
      </c>
      <c r="I135" s="514">
        <f>H135</f>
        <v>-612571</v>
      </c>
      <c r="J135" s="514">
        <f>I135</f>
        <v>-612571</v>
      </c>
      <c r="K135" s="514">
        <f>J135</f>
        <v>-612571</v>
      </c>
    </row>
    <row r="136">
      <c r="A136" s="531" t="s">
        <v>111</v>
      </c>
      <c r="B136" s="517">
        <f>EEFF!B125</f>
        <v>0</v>
      </c>
      <c r="C136" s="517">
        <f>EEFF!C125</f>
        <v>0</v>
      </c>
      <c r="D136" s="517">
        <f>EEFF!D125</f>
        <v>0</v>
      </c>
      <c r="E136" s="517">
        <f>EEFF!E125</f>
        <v>0</v>
      </c>
      <c r="F136" s="517">
        <f>EEFF!F125</f>
        <v>-7600</v>
      </c>
      <c r="G136" s="522">
        <f>F136</f>
        <v>-7600</v>
      </c>
      <c r="H136" s="514">
        <f>G136</f>
        <v>-7600</v>
      </c>
      <c r="I136" s="514">
        <f>H136</f>
        <v>-7600</v>
      </c>
      <c r="J136" s="514">
        <f>I136</f>
        <v>-7600</v>
      </c>
      <c r="K136" s="514">
        <f>J136</f>
        <v>-7600</v>
      </c>
    </row>
    <row r="137">
      <c r="A137" s="531" t="s">
        <v>112</v>
      </c>
      <c r="B137" s="517">
        <f>EEFF!B126</f>
        <v>103730</v>
      </c>
      <c r="C137" s="517">
        <f>EEFF!C126</f>
        <v>153426</v>
      </c>
      <c r="D137" s="517">
        <f>EEFF!D126</f>
        <v>301635</v>
      </c>
      <c r="E137" s="517">
        <f>EEFF!E126</f>
        <v>268366</v>
      </c>
      <c r="F137" s="517">
        <f>EEFF!F126</f>
        <v>247274</v>
      </c>
      <c r="G137" s="522">
        <f>F137</f>
        <v>247274</v>
      </c>
      <c r="H137" s="514">
        <f>G137</f>
        <v>247274</v>
      </c>
      <c r="I137" s="514">
        <f>H137</f>
        <v>247274</v>
      </c>
      <c r="J137" s="514">
        <f>I137</f>
        <v>247274</v>
      </c>
      <c r="K137" s="514">
        <f>J137</f>
        <v>247274</v>
      </c>
    </row>
    <row r="138">
      <c r="A138" s="531" t="s">
        <v>113</v>
      </c>
      <c r="B138" s="517">
        <f>EEFF!B127</f>
        <v>-165254</v>
      </c>
      <c r="C138" s="517">
        <f>EEFF!C127</f>
        <v>-182978</v>
      </c>
      <c r="D138" s="517">
        <f>EEFF!D127</f>
        <v>-182818</v>
      </c>
      <c r="E138" s="517">
        <f>EEFF!E127</f>
        <v>0</v>
      </c>
      <c r="F138" s="517">
        <f>EEFF!F127</f>
        <v>0</v>
      </c>
      <c r="G138" s="500"/>
      <c r="H138" s="495"/>
      <c r="I138" s="495"/>
      <c r="J138" s="495"/>
      <c r="K138" s="495"/>
    </row>
    <row r="139">
      <c r="A139" s="531" t="s">
        <v>114</v>
      </c>
      <c r="B139" s="517">
        <f>EEFF!B128</f>
        <v>0</v>
      </c>
      <c r="C139" s="517">
        <f>EEFF!C128</f>
        <v>0</v>
      </c>
      <c r="D139" s="517">
        <f>EEFF!D128</f>
        <v>0</v>
      </c>
      <c r="E139" s="517">
        <f>EEFF!E128</f>
        <v>0</v>
      </c>
      <c r="F139" s="517">
        <f>EEFF!F128</f>
        <v>105000</v>
      </c>
      <c r="G139" s="522">
        <f>F139</f>
        <v>105000</v>
      </c>
      <c r="H139" s="514">
        <f>G139</f>
        <v>105000</v>
      </c>
      <c r="I139" s="514">
        <f>H139</f>
        <v>105000</v>
      </c>
      <c r="J139" s="514">
        <f>I139</f>
        <v>105000</v>
      </c>
      <c r="K139" s="514">
        <f>J139</f>
        <v>105000</v>
      </c>
    </row>
    <row r="140">
      <c r="A140" s="531" t="s">
        <v>115</v>
      </c>
      <c r="B140" s="517">
        <f>EEFF!B129</f>
        <v>0</v>
      </c>
      <c r="C140" s="517">
        <f>EEFF!C129</f>
        <v>-113000</v>
      </c>
      <c r="D140" s="517">
        <f>EEFF!D129</f>
        <v>0</v>
      </c>
      <c r="E140" s="517">
        <f>EEFF!E129</f>
        <v>0</v>
      </c>
      <c r="F140" s="517">
        <f>EEFF!F129</f>
        <v>0</v>
      </c>
      <c r="G140" s="500"/>
      <c r="H140" s="495"/>
      <c r="I140" s="495"/>
      <c r="J140" s="495"/>
      <c r="K140" s="495"/>
    </row>
    <row r="141">
      <c r="A141" s="531" t="s">
        <v>116</v>
      </c>
      <c r="B141" s="517">
        <f>EEFF!B130</f>
        <v>0</v>
      </c>
      <c r="C141" s="517">
        <f>EEFF!C130</f>
        <v>0</v>
      </c>
      <c r="D141" s="517">
        <f>EEFF!D130</f>
        <v>4009155</v>
      </c>
      <c r="E141" s="517">
        <f>EEFF!E130</f>
        <v>0</v>
      </c>
      <c r="F141" s="517">
        <f>EEFF!F130</f>
        <v>0</v>
      </c>
      <c r="G141" s="500"/>
      <c r="H141" s="495"/>
      <c r="I141" s="495"/>
      <c r="J141" s="495"/>
      <c r="K141" s="495"/>
    </row>
    <row r="142">
      <c r="A142" s="531" t="s">
        <v>117</v>
      </c>
      <c r="B142" s="517">
        <f>EEFF!B131</f>
        <v>0</v>
      </c>
      <c r="C142" s="517">
        <f>EEFF!C131</f>
        <v>0</v>
      </c>
      <c r="D142" s="517">
        <f>EEFF!D131</f>
        <v>0</v>
      </c>
      <c r="E142" s="517">
        <f>EEFF!E131</f>
        <v>-3400000</v>
      </c>
      <c r="F142" s="517">
        <f>EEFF!F131</f>
        <v>-4600000</v>
      </c>
      <c r="G142" s="522">
        <f>F142</f>
        <v>-4600000</v>
      </c>
      <c r="H142" s="514">
        <f>G142</f>
        <v>-4600000</v>
      </c>
      <c r="I142" s="514">
        <f>H142</f>
        <v>-4600000</v>
      </c>
      <c r="J142" s="514">
        <f>I142</f>
        <v>-4600000</v>
      </c>
      <c r="K142" s="514">
        <f>J142</f>
        <v>-4600000</v>
      </c>
    </row>
    <row r="143">
      <c r="A143" s="502" t="s">
        <v>118</v>
      </c>
      <c r="B143" s="496">
        <f>EEFF!B132</f>
        <v>-7440422</v>
      </c>
      <c r="C143" s="496">
        <f>EEFF!C132</f>
        <v>-13688080</v>
      </c>
      <c r="D143" s="496">
        <f>EEFF!D132</f>
        <v>-12575739</v>
      </c>
      <c r="E143" s="496">
        <f>EEFF!E132</f>
        <v>-19573866</v>
      </c>
      <c r="F143" s="496">
        <f>EEFF!F132</f>
        <v>-19669770</v>
      </c>
      <c r="G143" s="511">
        <f>F143</f>
        <v>-19669770</v>
      </c>
      <c r="H143" s="504">
        <f>G143</f>
        <v>-19669770</v>
      </c>
      <c r="I143" s="504">
        <f>H143</f>
        <v>-19669770</v>
      </c>
      <c r="J143" s="504">
        <f>I143</f>
        <v>-19669770</v>
      </c>
      <c r="K143" s="504">
        <f>J143</f>
        <v>-19669770</v>
      </c>
    </row>
    <row r="144">
      <c r="A144" s="498"/>
      <c r="B144" s="498"/>
      <c r="C144" s="498"/>
      <c r="D144" s="498"/>
      <c r="E144" s="498"/>
      <c r="F144" s="498"/>
      <c r="G144" s="509"/>
      <c r="H144" s="498"/>
      <c r="I144" s="498"/>
      <c r="J144" s="498"/>
      <c r="K144" s="498"/>
    </row>
    <row r="145">
      <c r="A145" s="534" t="s">
        <v>119</v>
      </c>
      <c r="B145" s="497"/>
      <c r="C145" s="497"/>
      <c r="D145" s="497"/>
      <c r="E145" s="497"/>
      <c r="F145" s="497"/>
      <c r="G145" s="510"/>
      <c r="H145" s="499"/>
      <c r="I145" s="499"/>
      <c r="J145" s="499"/>
      <c r="K145" s="499"/>
    </row>
    <row r="146">
      <c r="A146" s="531" t="s">
        <v>120</v>
      </c>
      <c r="B146" s="517">
        <f>EEFF!B134</f>
        <v>-11696530</v>
      </c>
      <c r="C146" s="517">
        <f>EEFF!C134</f>
        <v>-34808648</v>
      </c>
      <c r="D146" s="517">
        <f>EEFF!D134</f>
        <v>-33673089</v>
      </c>
      <c r="E146" s="517">
        <f>EEFF!E134</f>
        <v>-26539186</v>
      </c>
      <c r="F146" s="517">
        <f>EEFF!F134</f>
        <v>-23847912</v>
      </c>
      <c r="G146" s="522">
        <f>F146</f>
        <v>-23847912</v>
      </c>
      <c r="H146" s="514">
        <f>G146</f>
        <v>-23847912</v>
      </c>
      <c r="I146" s="514">
        <f>H146</f>
        <v>-23847912</v>
      </c>
      <c r="J146" s="514">
        <f>I146</f>
        <v>-23847912</v>
      </c>
      <c r="K146" s="514">
        <f>J146</f>
        <v>-23847912</v>
      </c>
    </row>
    <row r="147">
      <c r="A147" s="531" t="s">
        <v>121</v>
      </c>
      <c r="B147" s="517">
        <f>EEFF!B135</f>
        <v>16760000</v>
      </c>
      <c r="C147" s="517">
        <f>EEFF!C135</f>
        <v>36048648</v>
      </c>
      <c r="D147" s="517">
        <f>EEFF!D135</f>
        <v>33312275</v>
      </c>
      <c r="E147" s="517">
        <f>EEFF!E135</f>
        <v>23024600</v>
      </c>
      <c r="F147" s="517">
        <f>EEFF!F135</f>
        <v>22747912</v>
      </c>
      <c r="G147" s="522">
        <f>F147</f>
        <v>22747912</v>
      </c>
      <c r="H147" s="514">
        <f>G147</f>
        <v>22747912</v>
      </c>
      <c r="I147" s="514">
        <f>H147</f>
        <v>22747912</v>
      </c>
      <c r="J147" s="514">
        <f>I147</f>
        <v>22747912</v>
      </c>
      <c r="K147" s="514">
        <f>J147</f>
        <v>22747912</v>
      </c>
    </row>
    <row r="148">
      <c r="A148" s="531" t="s">
        <v>122</v>
      </c>
      <c r="B148" s="517">
        <f>EEFF!B136</f>
        <v>20160000</v>
      </c>
      <c r="C148" s="517">
        <f>EEFF!C136</f>
        <v>15500000</v>
      </c>
      <c r="D148" s="517">
        <f>EEFF!D136</f>
        <v>16029000</v>
      </c>
      <c r="E148" s="517">
        <f>EEFF!E136</f>
        <v>13111000</v>
      </c>
      <c r="F148" s="517">
        <f>EEFF!F136</f>
        <v>16247000</v>
      </c>
      <c r="G148" s="522">
        <f>F148</f>
        <v>16247000</v>
      </c>
      <c r="H148" s="514">
        <f>G148</f>
        <v>16247000</v>
      </c>
      <c r="I148" s="514">
        <f>H148</f>
        <v>16247000</v>
      </c>
      <c r="J148" s="514">
        <f>I148</f>
        <v>16247000</v>
      </c>
      <c r="K148" s="514">
        <f>J148</f>
        <v>16247000</v>
      </c>
    </row>
    <row r="149">
      <c r="A149" s="531" t="s">
        <v>123</v>
      </c>
      <c r="B149" s="517">
        <f>EEFF!B137</f>
        <v>-28240000</v>
      </c>
      <c r="C149" s="517">
        <f>EEFF!C137</f>
        <v>-20160000</v>
      </c>
      <c r="D149" s="517">
        <f>EEFF!D137</f>
        <v>-15500000</v>
      </c>
      <c r="E149" s="517">
        <f>EEFF!E137</f>
        <v>-16049000</v>
      </c>
      <c r="F149" s="517">
        <f>EEFF!F137</f>
        <v>-13091000</v>
      </c>
      <c r="G149" s="522">
        <f>F149</f>
        <v>-13091000</v>
      </c>
      <c r="H149" s="514">
        <f>G149</f>
        <v>-13091000</v>
      </c>
      <c r="I149" s="514">
        <f>H149</f>
        <v>-13091000</v>
      </c>
      <c r="J149" s="514">
        <f>I149</f>
        <v>-13091000</v>
      </c>
      <c r="K149" s="514">
        <f>J149</f>
        <v>-13091000</v>
      </c>
    </row>
    <row r="150">
      <c r="A150" s="531" t="s">
        <v>124</v>
      </c>
      <c r="B150" s="517">
        <f>EEFF!B138</f>
        <v>-3362515</v>
      </c>
      <c r="C150" s="517">
        <f>EEFF!C138</f>
        <v>-4744145</v>
      </c>
      <c r="D150" s="517">
        <f>EEFF!D138</f>
        <v>-4356877</v>
      </c>
      <c r="E150" s="517">
        <f>EEFF!E138</f>
        <v>-6511704</v>
      </c>
      <c r="F150" s="517">
        <f>EEFF!F138</f>
        <v>-6562894</v>
      </c>
      <c r="G150" s="522">
        <f>F150</f>
        <v>-6562894</v>
      </c>
      <c r="H150" s="514">
        <f>G150</f>
        <v>-6562894</v>
      </c>
      <c r="I150" s="514">
        <f>H150</f>
        <v>-6562894</v>
      </c>
      <c r="J150" s="514">
        <f>I150</f>
        <v>-6562894</v>
      </c>
      <c r="K150" s="514">
        <f>J150</f>
        <v>-6562894</v>
      </c>
    </row>
    <row r="151">
      <c r="A151" s="531" t="s">
        <v>125</v>
      </c>
      <c r="B151" s="517">
        <f>EEFF!B139</f>
        <v>28000000</v>
      </c>
      <c r="C151" s="517">
        <f>EEFF!C139</f>
        <v>15000000</v>
      </c>
      <c r="D151" s="517">
        <f>EEFF!D139</f>
        <v>0</v>
      </c>
      <c r="E151" s="517">
        <f>EEFF!E139</f>
        <v>0</v>
      </c>
      <c r="F151" s="517">
        <f>EEFF!F139</f>
        <v>0</v>
      </c>
      <c r="G151" s="500"/>
      <c r="H151" s="495"/>
      <c r="I151" s="495"/>
      <c r="J151" s="495"/>
      <c r="K151" s="495"/>
    </row>
    <row r="152">
      <c r="A152" s="531" t="s">
        <v>126</v>
      </c>
      <c r="B152" s="517">
        <f>EEFF!B140</f>
        <v>-57649000</v>
      </c>
      <c r="C152" s="517">
        <f>EEFF!C140</f>
        <v>0</v>
      </c>
      <c r="D152" s="517">
        <f>EEFF!D140</f>
        <v>0</v>
      </c>
      <c r="E152" s="517">
        <f>EEFF!E140</f>
        <v>-5000000</v>
      </c>
      <c r="F152" s="517">
        <f>EEFF!F140</f>
        <v>-10000000</v>
      </c>
      <c r="G152" s="522">
        <f>F152</f>
        <v>-10000000</v>
      </c>
      <c r="H152" s="514">
        <f>G152</f>
        <v>-10000000</v>
      </c>
      <c r="I152" s="514">
        <f>H152</f>
        <v>-10000000</v>
      </c>
      <c r="J152" s="514">
        <f>I152</f>
        <v>-10000000</v>
      </c>
      <c r="K152" s="514">
        <f>J152</f>
        <v>-10000000</v>
      </c>
    </row>
    <row r="153">
      <c r="A153" s="531" t="s">
        <v>127</v>
      </c>
      <c r="B153" s="517">
        <f>EEFF!B141</f>
        <v>466986</v>
      </c>
      <c r="C153" s="517">
        <f>EEFF!C141</f>
        <v>0</v>
      </c>
      <c r="D153" s="517">
        <f>EEFF!D141</f>
        <v>0</v>
      </c>
      <c r="E153" s="517">
        <f>EEFF!E141</f>
        <v>0</v>
      </c>
      <c r="F153" s="517">
        <f>EEFF!F141</f>
        <v>0</v>
      </c>
      <c r="G153" s="500"/>
      <c r="H153" s="495"/>
      <c r="I153" s="495"/>
      <c r="J153" s="495"/>
      <c r="K153" s="495"/>
    </row>
    <row r="154">
      <c r="A154" s="531" t="s">
        <v>128</v>
      </c>
      <c r="B154" s="517">
        <f>EEFF!B142</f>
        <v>-10000000</v>
      </c>
      <c r="C154" s="517">
        <f>EEFF!C142</f>
        <v>0</v>
      </c>
      <c r="D154" s="517">
        <f>EEFF!D142</f>
        <v>0</v>
      </c>
      <c r="E154" s="517">
        <f>EEFF!E142</f>
        <v>0</v>
      </c>
      <c r="F154" s="517">
        <f>EEFF!F142</f>
        <v>0</v>
      </c>
      <c r="G154" s="500"/>
      <c r="H154" s="495"/>
      <c r="I154" s="495"/>
      <c r="J154" s="495"/>
      <c r="K154" s="495"/>
    </row>
    <row r="155">
      <c r="A155" s="531" t="s">
        <v>129</v>
      </c>
      <c r="B155" s="517">
        <f>EEFF!B143</f>
        <v>1535000</v>
      </c>
      <c r="C155" s="517">
        <f>EEFF!C143</f>
        <v>1300000</v>
      </c>
      <c r="D155" s="517">
        <f>EEFF!D143</f>
        <v>600000</v>
      </c>
      <c r="E155" s="517">
        <f>EEFF!E143</f>
        <v>0</v>
      </c>
      <c r="F155" s="517">
        <f>EEFF!F143</f>
        <v>500000</v>
      </c>
      <c r="G155" s="522">
        <f>F155</f>
        <v>500000</v>
      </c>
      <c r="H155" s="514">
        <f>G155</f>
        <v>500000</v>
      </c>
      <c r="I155" s="514">
        <f>H155</f>
        <v>500000</v>
      </c>
      <c r="J155" s="514">
        <f>I155</f>
        <v>500000</v>
      </c>
      <c r="K155" s="514">
        <f>J155</f>
        <v>500000</v>
      </c>
    </row>
    <row r="156">
      <c r="A156" s="531" t="s">
        <v>130</v>
      </c>
      <c r="B156" s="517">
        <f>EEFF!B144</f>
        <v>-4272837</v>
      </c>
      <c r="C156" s="517">
        <f>EEFF!C144</f>
        <v>-8747979</v>
      </c>
      <c r="D156" s="517">
        <f>EEFF!D144</f>
        <v>-7355044</v>
      </c>
      <c r="E156" s="517">
        <f>EEFF!E144</f>
        <v>-7168268</v>
      </c>
      <c r="F156" s="517">
        <f>EEFF!F144</f>
        <v>-5518013</v>
      </c>
      <c r="G156" s="522">
        <f>F156</f>
        <v>-5518013</v>
      </c>
      <c r="H156" s="514">
        <f>G156</f>
        <v>-5518013</v>
      </c>
      <c r="I156" s="514">
        <f>H156</f>
        <v>-5518013</v>
      </c>
      <c r="J156" s="514">
        <f>I156</f>
        <v>-5518013</v>
      </c>
      <c r="K156" s="514">
        <f>J156</f>
        <v>-5518013</v>
      </c>
    </row>
    <row r="157">
      <c r="A157" s="502" t="s">
        <v>131</v>
      </c>
      <c r="B157" s="496">
        <f>EEFF!B145</f>
        <v>-48298896</v>
      </c>
      <c r="C157" s="496">
        <f>EEFF!C145</f>
        <v>-612124</v>
      </c>
      <c r="D157" s="496">
        <f>EEFF!D145</f>
        <v>-10893535</v>
      </c>
      <c r="E157" s="496">
        <f>EEFF!E145</f>
        <v>-25132558</v>
      </c>
      <c r="F157" s="496">
        <f>EEFF!F145</f>
        <v>-19524907</v>
      </c>
      <c r="G157" s="511">
        <f>F157</f>
        <v>-19524907</v>
      </c>
      <c r="H157" s="504">
        <f>G157</f>
        <v>-19524907</v>
      </c>
      <c r="I157" s="504">
        <f>H157</f>
        <v>-19524907</v>
      </c>
      <c r="J157" s="504">
        <f>I157</f>
        <v>-19524907</v>
      </c>
      <c r="K157" s="504">
        <f>J157</f>
        <v>-19524907</v>
      </c>
    </row>
    <row r="158">
      <c r="A158" s="531" t="s">
        <v>132</v>
      </c>
      <c r="B158" s="517">
        <f>EEFF!B146</f>
        <v>-7780278</v>
      </c>
      <c r="C158" s="517">
        <f>EEFF!C146</f>
        <v>-4079165</v>
      </c>
      <c r="D158" s="517">
        <f>EEFF!D146</f>
        <v>3359409</v>
      </c>
      <c r="E158" s="517">
        <f>EEFF!E146</f>
        <v>-1140341</v>
      </c>
      <c r="F158" s="517">
        <f>EEFF!F146</f>
        <v>-342777</v>
      </c>
      <c r="G158" s="522">
        <f>F158</f>
        <v>-342777</v>
      </c>
      <c r="H158" s="514">
        <f>G158</f>
        <v>-342777</v>
      </c>
      <c r="I158" s="514">
        <f>H158</f>
        <v>-342777</v>
      </c>
      <c r="J158" s="514">
        <f>I158</f>
        <v>-342777</v>
      </c>
      <c r="K158" s="514">
        <f>J158</f>
        <v>-342777</v>
      </c>
    </row>
    <row r="159">
      <c r="A159" s="531" t="s">
        <v>133</v>
      </c>
      <c r="B159" s="517">
        <f>EEFF!B147</f>
        <v>20037581</v>
      </c>
      <c r="C159" s="517">
        <f>EEFF!C147</f>
        <v>12172483</v>
      </c>
      <c r="D159" s="517">
        <f>EEFF!D147</f>
        <v>8201026</v>
      </c>
      <c r="E159" s="517">
        <f>EEFF!E147</f>
        <v>11881528</v>
      </c>
      <c r="F159" s="517">
        <f>EEFF!F147</f>
        <v>10820824</v>
      </c>
      <c r="G159" s="522">
        <f>F159</f>
        <v>10820824</v>
      </c>
      <c r="H159" s="514">
        <f>G159</f>
        <v>10820824</v>
      </c>
      <c r="I159" s="514">
        <f>H159</f>
        <v>10820824</v>
      </c>
      <c r="J159" s="514">
        <f>I159</f>
        <v>10820824</v>
      </c>
      <c r="K159" s="514">
        <f>J159</f>
        <v>10820824</v>
      </c>
    </row>
    <row r="160">
      <c r="A160" s="531" t="s">
        <v>134</v>
      </c>
      <c r="B160" s="517">
        <f>EEFF!B148</f>
        <v>-84820</v>
      </c>
      <c r="C160" s="517">
        <f>EEFF!C148</f>
        <v>107708</v>
      </c>
      <c r="D160" s="517">
        <f>EEFF!D148</f>
        <v>321093</v>
      </c>
      <c r="E160" s="517">
        <f>EEFF!E148</f>
        <v>79637</v>
      </c>
      <c r="F160" s="517">
        <f>EEFF!F148</f>
        <v>14817</v>
      </c>
      <c r="G160" s="522">
        <f>F160</f>
        <v>14817</v>
      </c>
      <c r="H160" s="514">
        <f>G160</f>
        <v>14817</v>
      </c>
      <c r="I160" s="514">
        <f>H160</f>
        <v>14817</v>
      </c>
      <c r="J160" s="514">
        <f>I160</f>
        <v>14817</v>
      </c>
      <c r="K160" s="514">
        <f>J160</f>
        <v>14817</v>
      </c>
    </row>
    <row r="161">
      <c r="A161" s="502" t="s">
        <v>135</v>
      </c>
      <c r="B161" s="496">
        <f>EEFF!B149</f>
        <v>12172483</v>
      </c>
      <c r="C161" s="496">
        <f>EEFF!C149</f>
        <v>8201026</v>
      </c>
      <c r="D161" s="496">
        <f>EEFF!D149</f>
        <v>11881528</v>
      </c>
      <c r="E161" s="496">
        <f>EEFF!E149</f>
        <v>10820824</v>
      </c>
      <c r="F161" s="496">
        <f>EEFF!F149</f>
        <v>10492864</v>
      </c>
      <c r="G161" s="511">
        <f>F161</f>
        <v>10492864</v>
      </c>
      <c r="H161" s="504">
        <f>G161</f>
        <v>10492864</v>
      </c>
      <c r="I161" s="504">
        <f>H161</f>
        <v>10492864</v>
      </c>
      <c r="J161" s="504">
        <f>I161</f>
        <v>10492864</v>
      </c>
      <c r="K161" s="504">
        <f>J161</f>
        <v>10492864</v>
      </c>
    </row>
    <row r="162">
      <c r="A162" s="498"/>
      <c r="B162" s="498"/>
      <c r="C162" s="498"/>
      <c r="D162" s="498"/>
      <c r="E162" s="498"/>
      <c r="F162" s="498"/>
      <c r="G162" s="509"/>
      <c r="H162" s="498"/>
      <c r="I162" s="498"/>
      <c r="J162" s="498"/>
      <c r="K162" s="498"/>
    </row>
  </sheetData>
</worksheet>
</file>

<file path=xl/worksheets/sheet5.xml><?xml version="1.0" encoding="utf-8"?>
<worksheet xmlns="http://schemas.openxmlformats.org/spreadsheetml/2006/main" xmlns:r="http://schemas.openxmlformats.org/officeDocument/2006/relationships">
  <dimension ref="A1:Q29"/>
  <sheetViews>
    <sheetView showGridLines="0" workbookViewId="0"/>
  </sheetViews>
  <sheetFormatPr defaultColWidth="8.375" defaultRowHeight="15"/>
  <cols>
    <col min="1" max="1" width="23.125" customWidth="1"/>
    <col min="2" max="2" width="64.375" customWidth="1"/>
    <col min="3" max="3" width="18.125" customWidth="1"/>
    <col min="4" max="4" width="10.625" customWidth="1"/>
    <col min="5" max="5" width="14.375" customWidth="1"/>
    <col min="6" max="6" width="19.375" customWidth="1"/>
    <col min="7" max="7" width="64.375" customWidth="1"/>
    <col min="8" max="17" width="15.625" customWidth="1"/>
  </cols>
  <sheetData>
    <row r="1">
      <c r="A1" s="534" t="s">
        <v>0</v>
      </c>
      <c r="B1" s="518"/>
      <c r="C1" s="518"/>
      <c r="D1" s="518"/>
      <c r="E1" s="518"/>
      <c r="F1" s="518"/>
      <c r="G1" s="518"/>
      <c r="H1" s="518"/>
      <c r="I1" s="518"/>
      <c r="J1" s="518"/>
      <c r="K1" s="518"/>
      <c r="L1" s="518"/>
      <c r="M1" s="516"/>
      <c r="N1" s="516"/>
      <c r="O1" s="516"/>
      <c r="P1" s="516"/>
      <c r="Q1" s="516"/>
    </row>
    <row r="2">
      <c r="A2" s="525" t="s">
        <v>352</v>
      </c>
      <c r="B2" s="513"/>
      <c r="C2" s="513"/>
      <c r="D2" s="513"/>
      <c r="E2" s="513"/>
      <c r="F2" s="513"/>
      <c r="G2" s="513"/>
      <c r="H2" s="513"/>
      <c r="I2" s="513"/>
      <c r="J2" s="513"/>
      <c r="K2" s="513"/>
      <c r="L2" s="513"/>
      <c r="M2" s="513"/>
      <c r="N2" s="513"/>
      <c r="O2" s="513"/>
      <c r="P2" s="513"/>
      <c r="Q2" s="513"/>
    </row>
    <row r="3">
      <c r="A3" s="525" t="s">
        <v>353</v>
      </c>
      <c r="B3" s="513"/>
      <c r="C3" s="513"/>
      <c r="D3" s="513"/>
      <c r="E3" s="513"/>
      <c r="F3" s="513"/>
      <c r="G3" s="513"/>
      <c r="H3" s="513"/>
      <c r="I3" s="513"/>
      <c r="J3" s="513"/>
      <c r="K3" s="513"/>
      <c r="L3" s="513"/>
      <c r="M3" s="513"/>
      <c r="N3" s="513"/>
      <c r="O3" s="513"/>
      <c r="P3" s="513"/>
      <c r="Q3" s="513"/>
    </row>
    <row r="4">
      <c r="A4" s="524" t="s">
        <v>354</v>
      </c>
      <c r="B4" s="524" t="s">
        <v>355</v>
      </c>
      <c r="C4" s="526" t="str">
        <f>IF(COUNTIF($C$6:$C$29,"FAIL")=0,"PASS","FAIL")</f>
        <v>PASS</v>
      </c>
      <c r="D4" s="513"/>
      <c r="E4" s="513"/>
      <c r="F4" s="513"/>
      <c r="G4" s="525" t="s">
        <v>356</v>
      </c>
      <c r="H4" s="513"/>
      <c r="I4" s="513"/>
      <c r="J4" s="513"/>
      <c r="K4" s="513"/>
      <c r="L4" s="513"/>
      <c r="M4" s="513"/>
      <c r="N4" s="513"/>
      <c r="O4" s="513"/>
      <c r="P4" s="513"/>
      <c r="Q4" s="513"/>
    </row>
    <row r="5">
      <c r="A5" s="534" t="s">
        <v>357</v>
      </c>
      <c r="B5" s="534" t="s">
        <v>358</v>
      </c>
      <c r="C5" s="534" t="s">
        <v>359</v>
      </c>
      <c r="D5" s="534" t="s">
        <v>360</v>
      </c>
      <c r="E5" s="534" t="s">
        <v>361</v>
      </c>
      <c r="F5" s="534" t="s">
        <v>362</v>
      </c>
      <c r="G5" s="534" t="s">
        <v>363</v>
      </c>
      <c r="H5" s="534" t="s">
        <v>4</v>
      </c>
      <c r="I5" s="534" t="s">
        <v>5</v>
      </c>
      <c r="J5" s="534" t="s">
        <v>6</v>
      </c>
      <c r="K5" s="534" t="s">
        <v>7</v>
      </c>
      <c r="L5" s="534" t="s">
        <v>8</v>
      </c>
      <c r="M5" s="519" t="s">
        <v>9</v>
      </c>
      <c r="N5" s="519" t="s">
        <v>10</v>
      </c>
      <c r="O5" s="519" t="s">
        <v>11</v>
      </c>
      <c r="P5" s="519" t="s">
        <v>12</v>
      </c>
      <c r="Q5" s="519" t="s">
        <v>13</v>
      </c>
    </row>
    <row r="6">
      <c r="A6" s="513"/>
      <c r="B6" s="513"/>
      <c r="C6" s="513"/>
      <c r="D6" s="513"/>
      <c r="E6" s="513"/>
      <c r="F6" s="513"/>
      <c r="G6" s="513"/>
      <c r="H6" s="513"/>
      <c r="I6" s="513"/>
      <c r="J6" s="513"/>
      <c r="K6" s="513"/>
      <c r="L6" s="513"/>
      <c r="M6" s="513"/>
      <c r="N6" s="513"/>
      <c r="O6" s="513"/>
      <c r="P6" s="513"/>
      <c r="Q6" s="513"/>
    </row>
    <row r="7">
      <c r="A7" s="534" t="s">
        <v>364</v>
      </c>
      <c r="B7" s="518"/>
      <c r="C7" s="518"/>
      <c r="D7" s="518"/>
      <c r="E7" s="518"/>
      <c r="F7" s="518"/>
      <c r="G7" s="518"/>
      <c r="H7" s="518"/>
      <c r="I7" s="518"/>
      <c r="J7" s="518"/>
      <c r="K7" s="518"/>
      <c r="L7" s="518"/>
      <c r="M7" s="516"/>
      <c r="N7" s="516"/>
      <c r="O7" s="516"/>
      <c r="P7" s="516"/>
      <c r="Q7" s="516"/>
    </row>
    <row r="8">
      <c r="A8" s="531" t="s">
        <v>365</v>
      </c>
      <c r="B8" s="531" t="s">
        <v>366</v>
      </c>
      <c r="C8" s="515" t="str">
        <f>IF(SUMPRODUCT((ABS(H8:Q8)&gt;1000)*1)=0,"PASS","FAIL")</f>
        <v>PASS</v>
      </c>
      <c r="D8" s="531" t="s">
        <v>367</v>
      </c>
      <c r="E8" s="531" t="s">
        <v>368</v>
      </c>
      <c r="F8" s="531">
        <v>0</v>
      </c>
      <c r="G8" s="531" t="s">
        <v>369</v>
      </c>
      <c r="H8" s="517">
        <f>ModeloFinanciero!B65-ModeloFinanciero!B91</f>
        <v>0</v>
      </c>
      <c r="I8" s="517">
        <f>ModeloFinanciero!C65-ModeloFinanciero!C91</f>
        <v>0</v>
      </c>
      <c r="J8" s="517">
        <f>ModeloFinanciero!D65-ModeloFinanciero!D91</f>
        <v>0</v>
      </c>
      <c r="K8" s="517">
        <f>ModeloFinanciero!E65-ModeloFinanciero!E91</f>
        <v>0</v>
      </c>
      <c r="L8" s="517">
        <f>ModeloFinanciero!F65-ModeloFinanciero!F91</f>
        <v>0</v>
      </c>
      <c r="M8" s="521">
        <f>ModeloFinanciero!G65-ModeloFinanciero!G91</f>
        <v>0</v>
      </c>
      <c r="N8" s="517">
        <f>ModeloFinanciero!H65-ModeloFinanciero!H91</f>
        <v>0</v>
      </c>
      <c r="O8" s="517">
        <f>ModeloFinanciero!I65-ModeloFinanciero!I91</f>
        <v>0</v>
      </c>
      <c r="P8" s="517">
        <f>ModeloFinanciero!J65-ModeloFinanciero!J91</f>
        <v>0</v>
      </c>
      <c r="Q8" s="517">
        <f>ModeloFinanciero!K65-ModeloFinanciero!K91</f>
        <v>0</v>
      </c>
    </row>
    <row r="9">
      <c r="A9" s="531" t="s">
        <v>370</v>
      </c>
      <c r="B9" s="531" t="s">
        <v>371</v>
      </c>
      <c r="C9" s="515" t="s">
        <v>372</v>
      </c>
      <c r="D9" s="531" t="s">
        <v>367</v>
      </c>
      <c r="E9" s="531" t="s">
        <v>368</v>
      </c>
      <c r="F9" s="531">
        <v>0</v>
      </c>
      <c r="G9" s="531" t="s">
        <v>373</v>
      </c>
      <c r="H9" s="514">
        <f>0</f>
        <v>0</v>
      </c>
      <c r="I9" s="514">
        <f>0</f>
        <v>0</v>
      </c>
      <c r="J9" s="514">
        <f>0</f>
        <v>0</v>
      </c>
      <c r="K9" s="514">
        <f>0</f>
        <v>0</v>
      </c>
      <c r="L9" s="514">
        <f>0</f>
        <v>0</v>
      </c>
      <c r="M9" s="522">
        <f>0</f>
        <v>0</v>
      </c>
      <c r="N9" s="514">
        <f>0</f>
        <v>0</v>
      </c>
      <c r="O9" s="514">
        <f>0</f>
        <v>0</v>
      </c>
      <c r="P9" s="514">
        <f>0</f>
        <v>0</v>
      </c>
      <c r="Q9" s="514">
        <f>0</f>
        <v>0</v>
      </c>
    </row>
    <row r="10">
      <c r="A10" s="531" t="s">
        <v>374</v>
      </c>
      <c r="B10" s="531" t="s">
        <v>375</v>
      </c>
      <c r="C10" s="515" t="s">
        <v>372</v>
      </c>
      <c r="D10" s="531" t="s">
        <v>367</v>
      </c>
      <c r="E10" s="531" t="s">
        <v>368</v>
      </c>
      <c r="F10" s="531">
        <v>0</v>
      </c>
      <c r="G10" s="531" t="s">
        <v>376</v>
      </c>
      <c r="H10" s="514">
        <f>0</f>
        <v>0</v>
      </c>
      <c r="I10" s="514">
        <f>0</f>
        <v>0</v>
      </c>
      <c r="J10" s="514">
        <f>0</f>
        <v>0</v>
      </c>
      <c r="K10" s="514">
        <f>0</f>
        <v>0</v>
      </c>
      <c r="L10" s="514">
        <f>0</f>
        <v>0</v>
      </c>
      <c r="M10" s="522">
        <f>0</f>
        <v>0</v>
      </c>
      <c r="N10" s="514">
        <f>0</f>
        <v>0</v>
      </c>
      <c r="O10" s="514">
        <f>0</f>
        <v>0</v>
      </c>
      <c r="P10" s="514">
        <f>0</f>
        <v>0</v>
      </c>
      <c r="Q10" s="514">
        <f>0</f>
        <v>0</v>
      </c>
    </row>
    <row r="11">
      <c r="A11" s="531" t="s">
        <v>377</v>
      </c>
      <c r="B11" s="531" t="s">
        <v>378</v>
      </c>
      <c r="C11" s="515" t="str">
        <f>IF(SUMPRODUCT((ABS(H11:Q11)&gt;1000)*1)=0,"PASS","FAIL")</f>
        <v>PASS</v>
      </c>
      <c r="D11" s="531" t="s">
        <v>367</v>
      </c>
      <c r="E11" s="531" t="s">
        <v>368</v>
      </c>
      <c r="F11" s="531">
        <v>0</v>
      </c>
      <c r="G11" s="531" t="s">
        <v>379</v>
      </c>
      <c r="H11" s="517">
        <f>ModeloFinanciero!B26-ModeloFinanciero!B96</f>
        <v>0</v>
      </c>
      <c r="I11" s="517">
        <f>ModeloFinanciero!C26-ModeloFinanciero!C96</f>
        <v>0</v>
      </c>
      <c r="J11" s="517">
        <f>ModeloFinanciero!D26-ModeloFinanciero!D96</f>
        <v>0</v>
      </c>
      <c r="K11" s="517">
        <f>ModeloFinanciero!E26-ModeloFinanciero!E96</f>
        <v>0</v>
      </c>
      <c r="L11" s="517">
        <f>ModeloFinanciero!F26-ModeloFinanciero!F96</f>
        <v>0</v>
      </c>
      <c r="M11" s="522"/>
      <c r="N11" s="514"/>
      <c r="O11" s="514"/>
      <c r="P11" s="514"/>
      <c r="Q11" s="514"/>
    </row>
    <row r="12">
      <c r="A12" s="531" t="s">
        <v>380</v>
      </c>
      <c r="B12" s="531" t="s">
        <v>381</v>
      </c>
      <c r="C12" s="515" t="s">
        <v>372</v>
      </c>
      <c r="D12" s="531" t="s">
        <v>367</v>
      </c>
      <c r="E12" s="531" t="s">
        <v>368</v>
      </c>
      <c r="F12" s="531">
        <v>0</v>
      </c>
      <c r="G12" s="531" t="s">
        <v>382</v>
      </c>
      <c r="H12" s="517">
        <f>ModeloFinanciero!B26-(ModeloFinanciero!B24-ABS(ModeloFinanciero!B25))</f>
        <v>0</v>
      </c>
      <c r="I12" s="517">
        <f>ModeloFinanciero!C26-(ModeloFinanciero!C24-ABS(ModeloFinanciero!C25))</f>
        <v>0</v>
      </c>
      <c r="J12" s="517">
        <f>ModeloFinanciero!D26-(ModeloFinanciero!D24-ABS(ModeloFinanciero!D25))</f>
        <v>0</v>
      </c>
      <c r="K12" s="517">
        <f>ModeloFinanciero!E26-(ModeloFinanciero!E24-ABS(ModeloFinanciero!E25))</f>
        <v>0</v>
      </c>
      <c r="L12" s="517">
        <f>ModeloFinanciero!F26-(ModeloFinanciero!F24-ABS(ModeloFinanciero!F25))</f>
        <v>0</v>
      </c>
      <c r="M12" s="521">
        <f>ModeloFinanciero!G26-(ModeloFinanciero!G24-ABS(ModeloFinanciero!G25))</f>
        <v>0</v>
      </c>
      <c r="N12" s="517">
        <f>ModeloFinanciero!H26-(ModeloFinanciero!H24-ABS(ModeloFinanciero!H25))</f>
        <v>0</v>
      </c>
      <c r="O12" s="517">
        <f>ModeloFinanciero!I26-(ModeloFinanciero!I24-ABS(ModeloFinanciero!I25))</f>
        <v>0</v>
      </c>
      <c r="P12" s="517">
        <f>ModeloFinanciero!J26-(ModeloFinanciero!J24-ABS(ModeloFinanciero!J25))</f>
        <v>0</v>
      </c>
      <c r="Q12" s="517">
        <f>ModeloFinanciero!K26-(ModeloFinanciero!K24-ABS(ModeloFinanciero!K25))</f>
        <v>0</v>
      </c>
    </row>
    <row r="13">
      <c r="A13" s="531" t="s">
        <v>383</v>
      </c>
      <c r="B13" s="531" t="s">
        <v>384</v>
      </c>
      <c r="C13" s="515" t="s">
        <v>385</v>
      </c>
      <c r="D13" s="531" t="s">
        <v>367</v>
      </c>
      <c r="E13" s="531" t="s">
        <v>368</v>
      </c>
      <c r="F13" s="520" t="s">
        <v>386</v>
      </c>
      <c r="G13" s="531" t="s">
        <v>387</v>
      </c>
      <c r="H13" s="514"/>
      <c r="I13" s="517">
        <f>EEFF!C80-EEFF!B80-(EEFF!C25+EEFF!C144)</f>
        <v>0</v>
      </c>
      <c r="J13" s="517">
        <f>EEFF!D80-EEFF!C80-(EEFF!D25+EEFF!D144)</f>
        <v>50000</v>
      </c>
      <c r="K13" s="517">
        <f>EEFF!E80-EEFF!D80-(EEFF!E25+EEFF!E144)</f>
        <v>0</v>
      </c>
      <c r="L13" s="517">
        <f>EEFF!F80-EEFF!E80-(EEFF!F25+EEFF!F144)</f>
        <v>87205</v>
      </c>
      <c r="M13" s="522"/>
      <c r="N13" s="514"/>
      <c r="O13" s="514"/>
      <c r="P13" s="514"/>
      <c r="Q13" s="514"/>
    </row>
    <row r="14">
      <c r="A14" s="531" t="s">
        <v>388</v>
      </c>
      <c r="B14" s="531" t="s">
        <v>378</v>
      </c>
      <c r="C14" s="515" t="str">
        <f>IF(SUMPRODUCT((ABS(H14:Q14)&gt;1000)*1)=0,"PASS","FAIL")</f>
        <v>PASS</v>
      </c>
      <c r="D14" s="531" t="s">
        <v>367</v>
      </c>
      <c r="E14" s="531" t="s">
        <v>368</v>
      </c>
      <c r="F14" s="531">
        <v>0</v>
      </c>
      <c r="G14" s="531" t="s">
        <v>379</v>
      </c>
      <c r="H14" s="517">
        <f>SUM(ModeloFinanciero!B87,ModeloFinanciero!B88,ModeloFinanciero!B89)-ModeloFinanciero!B90</f>
        <v>0</v>
      </c>
      <c r="I14" s="517">
        <f>SUM(ModeloFinanciero!C87,ModeloFinanciero!C88,ModeloFinanciero!C89)-ModeloFinanciero!C90</f>
        <v>0</v>
      </c>
      <c r="J14" s="517">
        <f>SUM(ModeloFinanciero!D87,ModeloFinanciero!D88,ModeloFinanciero!D89)-ModeloFinanciero!D90</f>
        <v>0</v>
      </c>
      <c r="K14" s="517">
        <f>SUM(ModeloFinanciero!E87,ModeloFinanciero!E88,ModeloFinanciero!E89)-ModeloFinanciero!E90</f>
        <v>0</v>
      </c>
      <c r="L14" s="517">
        <f>SUM(ModeloFinanciero!F87,ModeloFinanciero!F88,ModeloFinanciero!F89)-ModeloFinanciero!F90</f>
        <v>0</v>
      </c>
      <c r="M14" s="521">
        <f>SUM(ModeloFinanciero!G87,ModeloFinanciero!G88,ModeloFinanciero!G89)-ModeloFinanciero!G90</f>
        <v>0</v>
      </c>
      <c r="N14" s="517">
        <f>SUM(ModeloFinanciero!H87,ModeloFinanciero!H88,ModeloFinanciero!H89)-ModeloFinanciero!H90</f>
        <v>0</v>
      </c>
      <c r="O14" s="517">
        <f>SUM(ModeloFinanciero!I87,ModeloFinanciero!I88,ModeloFinanciero!I89)-ModeloFinanciero!I90</f>
        <v>0</v>
      </c>
      <c r="P14" s="517">
        <f>SUM(ModeloFinanciero!J87,ModeloFinanciero!J88,ModeloFinanciero!J89)-ModeloFinanciero!J90</f>
        <v>0</v>
      </c>
      <c r="Q14" s="517">
        <f>SUM(ModeloFinanciero!K87,ModeloFinanciero!K88,ModeloFinanciero!K89)-ModeloFinanciero!K90</f>
        <v>0</v>
      </c>
    </row>
    <row r="15">
      <c r="A15" s="531" t="s">
        <v>389</v>
      </c>
      <c r="B15" s="531" t="s">
        <v>378</v>
      </c>
      <c r="C15" s="515" t="str">
        <f>IF(SUMPRODUCT((ABS(H15:Q15)&gt;1000)*1)=0,"PASS","FAIL")</f>
        <v>PASS</v>
      </c>
      <c r="D15" s="531" t="s">
        <v>367</v>
      </c>
      <c r="E15" s="531" t="s">
        <v>368</v>
      </c>
      <c r="F15" s="531">
        <v>0</v>
      </c>
      <c r="G15" s="531" t="s">
        <v>379</v>
      </c>
      <c r="H15" s="517">
        <f>SUM(ModeloFinanciero!B48,ModeloFinanciero!B64)-ModeloFinanciero!B65</f>
        <v>0</v>
      </c>
      <c r="I15" s="517">
        <f>SUM(ModeloFinanciero!C48,ModeloFinanciero!C64)-ModeloFinanciero!C65</f>
        <v>0</v>
      </c>
      <c r="J15" s="517">
        <f>SUM(ModeloFinanciero!D48,ModeloFinanciero!D64)-ModeloFinanciero!D65</f>
        <v>0</v>
      </c>
      <c r="K15" s="517">
        <f>SUM(ModeloFinanciero!E48,ModeloFinanciero!E64)-ModeloFinanciero!E65</f>
        <v>0</v>
      </c>
      <c r="L15" s="517">
        <f>SUM(ModeloFinanciero!F48,ModeloFinanciero!F64)-ModeloFinanciero!F65</f>
        <v>0</v>
      </c>
      <c r="M15" s="521">
        <f>SUM(ModeloFinanciero!G48,ModeloFinanciero!G64)-ModeloFinanciero!G65</f>
        <v>0</v>
      </c>
      <c r="N15" s="517">
        <f>SUM(ModeloFinanciero!H48,ModeloFinanciero!H64)-ModeloFinanciero!H65</f>
        <v>0</v>
      </c>
      <c r="O15" s="517">
        <f>SUM(ModeloFinanciero!I48,ModeloFinanciero!I64)-ModeloFinanciero!I65</f>
        <v>0</v>
      </c>
      <c r="P15" s="517">
        <f>SUM(ModeloFinanciero!J48,ModeloFinanciero!J64)-ModeloFinanciero!J65</f>
        <v>0</v>
      </c>
      <c r="Q15" s="517">
        <f>SUM(ModeloFinanciero!K48,ModeloFinanciero!K64)-ModeloFinanciero!K65</f>
        <v>0</v>
      </c>
    </row>
    <row r="16">
      <c r="A16" s="531" t="s">
        <v>390</v>
      </c>
      <c r="B16" s="531" t="s">
        <v>378</v>
      </c>
      <c r="C16" s="515" t="str">
        <f>IF(SUMPRODUCT((ABS(H16:Q16)&gt;1000)*1)=0,"PASS","FAIL")</f>
        <v>PASS</v>
      </c>
      <c r="D16" s="531" t="s">
        <v>367</v>
      </c>
      <c r="E16" s="531" t="s">
        <v>368</v>
      </c>
      <c r="F16" s="531">
        <v>0</v>
      </c>
      <c r="G16" s="531" t="s">
        <v>379</v>
      </c>
      <c r="H16" s="517">
        <f>ModeloFinanciero!B84+ModeloFinanciero!B90-ModeloFinanciero!B91</f>
        <v>0</v>
      </c>
      <c r="I16" s="517">
        <f>ModeloFinanciero!C84+ModeloFinanciero!C90-ModeloFinanciero!C91</f>
        <v>0</v>
      </c>
      <c r="J16" s="517">
        <f>ModeloFinanciero!D84+ModeloFinanciero!D90-ModeloFinanciero!D91</f>
        <v>0</v>
      </c>
      <c r="K16" s="517">
        <f>ModeloFinanciero!E84+ModeloFinanciero!E90-ModeloFinanciero!E91</f>
        <v>0</v>
      </c>
      <c r="L16" s="517">
        <f>ModeloFinanciero!F84+ModeloFinanciero!F90-ModeloFinanciero!F91</f>
        <v>0</v>
      </c>
      <c r="M16" s="521">
        <f>ModeloFinanciero!G84+ModeloFinanciero!G90-ModeloFinanciero!G91</f>
        <v>0</v>
      </c>
      <c r="N16" s="517">
        <f>ModeloFinanciero!H84+ModeloFinanciero!H90-ModeloFinanciero!H91</f>
        <v>0</v>
      </c>
      <c r="O16" s="517">
        <f>ModeloFinanciero!I84+ModeloFinanciero!I90-ModeloFinanciero!I91</f>
        <v>0</v>
      </c>
      <c r="P16" s="517">
        <f>ModeloFinanciero!J84+ModeloFinanciero!J90-ModeloFinanciero!J91</f>
        <v>0</v>
      </c>
      <c r="Q16" s="517">
        <f>ModeloFinanciero!K84+ModeloFinanciero!K90-ModeloFinanciero!K91</f>
        <v>0</v>
      </c>
    </row>
    <row r="17">
      <c r="A17" s="531" t="s">
        <v>391</v>
      </c>
      <c r="B17" s="531" t="s">
        <v>392</v>
      </c>
      <c r="C17" s="515" t="str">
        <f>IF(SUMPRODUCT((ABS(H17:Q17)&gt;100000)*1)=0,"PASS","FAIL")</f>
        <v>PASS</v>
      </c>
      <c r="D17" s="531" t="s">
        <v>367</v>
      </c>
      <c r="E17" s="531" t="s">
        <v>393</v>
      </c>
      <c r="F17" s="531">
        <v>0</v>
      </c>
      <c r="G17" s="531" t="s">
        <v>394</v>
      </c>
      <c r="H17" s="517">
        <f>ModeloFinanciero!B65-EEFF!B60</f>
        <v>0</v>
      </c>
      <c r="I17" s="517">
        <f>ModeloFinanciero!C65-EEFF!C60</f>
        <v>0</v>
      </c>
      <c r="J17" s="517">
        <f>ModeloFinanciero!D65-EEFF!D60</f>
        <v>0</v>
      </c>
      <c r="K17" s="517">
        <f>ModeloFinanciero!E65-EEFF!E60</f>
        <v>0</v>
      </c>
      <c r="L17" s="517">
        <f>ModeloFinanciero!F65-EEFF!F60</f>
        <v>0</v>
      </c>
      <c r="M17" s="522"/>
      <c r="N17" s="514"/>
      <c r="O17" s="514"/>
      <c r="P17" s="514"/>
      <c r="Q17" s="514"/>
    </row>
    <row r="18">
      <c r="A18" s="531" t="s">
        <v>395</v>
      </c>
      <c r="B18" s="531" t="s">
        <v>396</v>
      </c>
      <c r="C18" s="515" t="str">
        <f>IF(SUMPRODUCT((ABS(H18:Q18)&gt;0)*1)=0,"PASS","FAIL")</f>
        <v>PASS</v>
      </c>
      <c r="D18" s="531" t="s">
        <v>367</v>
      </c>
      <c r="E18" s="531" t="s">
        <v>397</v>
      </c>
      <c r="F18" s="531" t="s">
        <v>397</v>
      </c>
      <c r="G18" s="531" t="s">
        <v>398</v>
      </c>
      <c r="H18" s="514">
        <f>0</f>
        <v>0</v>
      </c>
      <c r="I18" s="514">
        <f>0</f>
        <v>0</v>
      </c>
      <c r="J18" s="514">
        <f>0</f>
        <v>0</v>
      </c>
      <c r="K18" s="514">
        <f>0</f>
        <v>0</v>
      </c>
      <c r="L18" s="514">
        <f>0</f>
        <v>0</v>
      </c>
      <c r="M18" s="522">
        <f>0</f>
        <v>0</v>
      </c>
      <c r="N18" s="514">
        <f>0</f>
        <v>0</v>
      </c>
      <c r="O18" s="514">
        <f>0</f>
        <v>0</v>
      </c>
      <c r="P18" s="514">
        <f>0</f>
        <v>0</v>
      </c>
      <c r="Q18" s="514">
        <f>0</f>
        <v>0</v>
      </c>
    </row>
    <row r="19">
      <c r="A19" s="531" t="s">
        <v>399</v>
      </c>
      <c r="B19" s="531" t="s">
        <v>400</v>
      </c>
      <c r="C19" s="515" t="str">
        <f>IF(SUMPRODUCT((ABS(H19:Q19)&gt;0)*1)=0,"PASS","FAIL")</f>
        <v>PASS</v>
      </c>
      <c r="D19" s="531" t="s">
        <v>367</v>
      </c>
      <c r="E19" s="531" t="s">
        <v>397</v>
      </c>
      <c r="F19" s="531" t="s">
        <v>397</v>
      </c>
      <c r="G19" s="531" t="s">
        <v>401</v>
      </c>
      <c r="H19" s="514">
        <f>COUNTIF($C$6:$C$18,"FAIL")+COUNTIF($C$20:$C$29,"FAIL")</f>
        <v>0</v>
      </c>
      <c r="I19" s="514">
        <f>COUNTIF($C$6:$C$18,"FAIL")+COUNTIF($C$20:$C$29,"FAIL")</f>
        <v>0</v>
      </c>
      <c r="J19" s="514">
        <f>COUNTIF($C$6:$C$18,"FAIL")+COUNTIF($C$20:$C$29,"FAIL")</f>
        <v>0</v>
      </c>
      <c r="K19" s="514">
        <f>COUNTIF($C$6:$C$18,"FAIL")+COUNTIF($C$20:$C$29,"FAIL")</f>
        <v>0</v>
      </c>
      <c r="L19" s="514">
        <f>COUNTIF($C$6:$C$18,"FAIL")+COUNTIF($C$20:$C$29,"FAIL")</f>
        <v>0</v>
      </c>
      <c r="M19" s="522">
        <f>COUNTIF($C$6:$C$18,"FAIL")+COUNTIF($C$20:$C$29,"FAIL")</f>
        <v>0</v>
      </c>
      <c r="N19" s="514">
        <f>COUNTIF($C$6:$C$18,"FAIL")+COUNTIF($C$20:$C$29,"FAIL")</f>
        <v>0</v>
      </c>
      <c r="O19" s="514">
        <f>COUNTIF($C$6:$C$18,"FAIL")+COUNTIF($C$20:$C$29,"FAIL")</f>
        <v>0</v>
      </c>
      <c r="P19" s="514">
        <f>COUNTIF($C$6:$C$18,"FAIL")+COUNTIF($C$20:$C$29,"FAIL")</f>
        <v>0</v>
      </c>
      <c r="Q19" s="514">
        <f>COUNTIF($C$6:$C$18,"FAIL")+COUNTIF($C$20:$C$29,"FAIL")</f>
        <v>0</v>
      </c>
    </row>
    <row r="20">
      <c r="A20" s="513"/>
      <c r="B20" s="513"/>
      <c r="C20" s="513"/>
      <c r="D20" s="513"/>
      <c r="E20" s="513"/>
      <c r="F20" s="513"/>
      <c r="G20" s="513"/>
      <c r="H20" s="513"/>
      <c r="I20" s="513"/>
      <c r="J20" s="513"/>
      <c r="K20" s="513"/>
      <c r="L20" s="513"/>
      <c r="M20" s="513"/>
      <c r="N20" s="513"/>
      <c r="O20" s="513"/>
      <c r="P20" s="513"/>
      <c r="Q20" s="513"/>
    </row>
    <row r="21">
      <c r="A21" s="534" t="s">
        <v>402</v>
      </c>
      <c r="B21" s="518"/>
      <c r="C21" s="518"/>
      <c r="D21" s="518"/>
      <c r="E21" s="518"/>
      <c r="F21" s="518"/>
      <c r="G21" s="518"/>
      <c r="H21" s="518"/>
      <c r="I21" s="518"/>
      <c r="J21" s="518"/>
      <c r="K21" s="518"/>
      <c r="L21" s="518"/>
      <c r="M21" s="516"/>
      <c r="N21" s="516"/>
      <c r="O21" s="516"/>
      <c r="P21" s="516"/>
      <c r="Q21" s="516"/>
    </row>
    <row r="22">
      <c r="A22" s="531" t="s">
        <v>403</v>
      </c>
      <c r="B22" s="531" t="s">
        <v>404</v>
      </c>
      <c r="C22" s="515" t="s">
        <v>372</v>
      </c>
      <c r="D22" s="531" t="s">
        <v>367</v>
      </c>
      <c r="E22" s="531" t="s">
        <v>368</v>
      </c>
      <c r="F22" s="531">
        <v>0</v>
      </c>
      <c r="G22" s="531" t="s">
        <v>405</v>
      </c>
      <c r="H22" s="514">
        <f>0</f>
        <v>0</v>
      </c>
      <c r="I22" s="514">
        <f>0</f>
        <v>0</v>
      </c>
      <c r="J22" s="514">
        <f>0</f>
        <v>0</v>
      </c>
      <c r="K22" s="514">
        <f>0</f>
        <v>0</v>
      </c>
      <c r="L22" s="514">
        <f>0</f>
        <v>0</v>
      </c>
      <c r="M22" s="522">
        <f>0</f>
        <v>0</v>
      </c>
      <c r="N22" s="514">
        <f>0</f>
        <v>0</v>
      </c>
      <c r="O22" s="514">
        <f>0</f>
        <v>0</v>
      </c>
      <c r="P22" s="514">
        <f>0</f>
        <v>0</v>
      </c>
      <c r="Q22" s="514">
        <f>0</f>
        <v>0</v>
      </c>
    </row>
    <row r="23">
      <c r="A23" s="531" t="s">
        <v>406</v>
      </c>
      <c r="B23" s="531" t="s">
        <v>407</v>
      </c>
      <c r="C23" s="515" t="s">
        <v>372</v>
      </c>
      <c r="D23" s="531" t="s">
        <v>367</v>
      </c>
      <c r="E23" s="531" t="s">
        <v>368</v>
      </c>
      <c r="F23" s="531">
        <v>0</v>
      </c>
      <c r="G23" s="531" t="s">
        <v>408</v>
      </c>
      <c r="H23" s="514">
        <f>0</f>
        <v>0</v>
      </c>
      <c r="I23" s="514">
        <f>0</f>
        <v>0</v>
      </c>
      <c r="J23" s="514">
        <f>0</f>
        <v>0</v>
      </c>
      <c r="K23" s="514">
        <f>0</f>
        <v>0</v>
      </c>
      <c r="L23" s="514">
        <f>0</f>
        <v>0</v>
      </c>
      <c r="M23" s="522">
        <f>0</f>
        <v>0</v>
      </c>
      <c r="N23" s="514">
        <f>0</f>
        <v>0</v>
      </c>
      <c r="O23" s="514">
        <f>0</f>
        <v>0</v>
      </c>
      <c r="P23" s="514">
        <f>0</f>
        <v>0</v>
      </c>
      <c r="Q23" s="514">
        <f>0</f>
        <v>0</v>
      </c>
    </row>
    <row r="24">
      <c r="A24" s="531" t="s">
        <v>409</v>
      </c>
      <c r="B24" s="531" t="s">
        <v>410</v>
      </c>
      <c r="C24" s="515" t="s">
        <v>372</v>
      </c>
      <c r="D24" s="531" t="s">
        <v>367</v>
      </c>
      <c r="E24" s="531" t="s">
        <v>368</v>
      </c>
      <c r="F24" s="531">
        <v>0</v>
      </c>
      <c r="G24" s="531" t="s">
        <v>411</v>
      </c>
      <c r="H24" s="514">
        <f>0</f>
        <v>0</v>
      </c>
      <c r="I24" s="514">
        <f>0</f>
        <v>0</v>
      </c>
      <c r="J24" s="514">
        <f>0</f>
        <v>0</v>
      </c>
      <c r="K24" s="514">
        <f>0</f>
        <v>0</v>
      </c>
      <c r="L24" s="514">
        <f>0</f>
        <v>0</v>
      </c>
      <c r="M24" s="522">
        <f>0</f>
        <v>0</v>
      </c>
      <c r="N24" s="514">
        <f>0</f>
        <v>0</v>
      </c>
      <c r="O24" s="514">
        <f>0</f>
        <v>0</v>
      </c>
      <c r="P24" s="514">
        <f>0</f>
        <v>0</v>
      </c>
      <c r="Q24" s="514">
        <f>0</f>
        <v>0</v>
      </c>
    </row>
    <row r="25">
      <c r="A25" s="513"/>
      <c r="B25" s="513"/>
      <c r="C25" s="513"/>
      <c r="D25" s="513"/>
      <c r="E25" s="513"/>
      <c r="F25" s="513"/>
      <c r="G25" s="513"/>
      <c r="H25" s="513"/>
      <c r="I25" s="513"/>
      <c r="J25" s="513"/>
      <c r="K25" s="513"/>
      <c r="L25" s="513"/>
      <c r="M25" s="513"/>
      <c r="N25" s="513"/>
      <c r="O25" s="513"/>
      <c r="P25" s="513"/>
      <c r="Q25" s="513"/>
    </row>
    <row r="26">
      <c r="A26" s="534" t="s">
        <v>412</v>
      </c>
      <c r="B26" s="518"/>
      <c r="C26" s="518"/>
      <c r="D26" s="518"/>
      <c r="E26" s="518"/>
      <c r="F26" s="518"/>
      <c r="G26" s="518"/>
      <c r="H26" s="518"/>
      <c r="I26" s="518"/>
      <c r="J26" s="518"/>
      <c r="K26" s="518"/>
      <c r="L26" s="518"/>
      <c r="M26" s="516"/>
      <c r="N26" s="516"/>
      <c r="O26" s="516"/>
      <c r="P26" s="516"/>
      <c r="Q26" s="516"/>
    </row>
    <row r="27">
      <c r="A27" s="531" t="s">
        <v>413</v>
      </c>
      <c r="B27" s="531" t="s">
        <v>414</v>
      </c>
      <c r="C27" s="515" t="s">
        <v>372</v>
      </c>
      <c r="D27" s="531" t="s">
        <v>367</v>
      </c>
      <c r="E27" s="531" t="s">
        <v>368</v>
      </c>
      <c r="F27" s="531">
        <v>0</v>
      </c>
      <c r="G27" s="531" t="s">
        <v>415</v>
      </c>
      <c r="H27" s="514">
        <f>0</f>
        <v>0</v>
      </c>
      <c r="I27" s="514">
        <f>0</f>
        <v>0</v>
      </c>
      <c r="J27" s="514">
        <f>0</f>
        <v>0</v>
      </c>
      <c r="K27" s="514">
        <f>0</f>
        <v>0</v>
      </c>
      <c r="L27" s="514">
        <f>0</f>
        <v>0</v>
      </c>
      <c r="M27" s="522">
        <f>0</f>
        <v>0</v>
      </c>
      <c r="N27" s="514">
        <f>0</f>
        <v>0</v>
      </c>
      <c r="O27" s="514">
        <f>0</f>
        <v>0</v>
      </c>
      <c r="P27" s="514">
        <f>0</f>
        <v>0</v>
      </c>
      <c r="Q27" s="514">
        <f>0</f>
        <v>0</v>
      </c>
    </row>
    <row r="28">
      <c r="A28" s="531" t="s">
        <v>416</v>
      </c>
      <c r="B28" s="531" t="s">
        <v>417</v>
      </c>
      <c r="C28" s="515" t="s">
        <v>372</v>
      </c>
      <c r="D28" s="531" t="s">
        <v>367</v>
      </c>
      <c r="E28" s="531" t="s">
        <v>368</v>
      </c>
      <c r="F28" s="531">
        <v>0</v>
      </c>
      <c r="G28" s="531" t="s">
        <v>418</v>
      </c>
      <c r="H28" s="514">
        <f>0</f>
        <v>0</v>
      </c>
      <c r="I28" s="514">
        <f>0</f>
        <v>0</v>
      </c>
      <c r="J28" s="514">
        <f>0</f>
        <v>0</v>
      </c>
      <c r="K28" s="514">
        <f>0</f>
        <v>0</v>
      </c>
      <c r="L28" s="514">
        <f>0</f>
        <v>0</v>
      </c>
      <c r="M28" s="522">
        <f>0</f>
        <v>0</v>
      </c>
      <c r="N28" s="514">
        <f>0</f>
        <v>0</v>
      </c>
      <c r="O28" s="514">
        <f>0</f>
        <v>0</v>
      </c>
      <c r="P28" s="514">
        <f>0</f>
        <v>0</v>
      </c>
      <c r="Q28" s="514">
        <f>0</f>
        <v>0</v>
      </c>
    </row>
    <row r="29">
      <c r="A29" s="531" t="s">
        <v>419</v>
      </c>
      <c r="B29" s="531" t="s">
        <v>420</v>
      </c>
      <c r="C29" s="515" t="s">
        <v>372</v>
      </c>
      <c r="D29" s="531" t="s">
        <v>367</v>
      </c>
      <c r="E29" s="531" t="s">
        <v>368</v>
      </c>
      <c r="F29" s="531">
        <v>0</v>
      </c>
      <c r="G29" s="531" t="s">
        <v>421</v>
      </c>
      <c r="H29" s="514">
        <f>0</f>
        <v>0</v>
      </c>
      <c r="I29" s="514">
        <f>0</f>
        <v>0</v>
      </c>
      <c r="J29" s="514">
        <f>0</f>
        <v>0</v>
      </c>
      <c r="K29" s="514">
        <f>0</f>
        <v>0</v>
      </c>
      <c r="L29" s="514">
        <f>0</f>
        <v>0</v>
      </c>
      <c r="M29" s="522">
        <f>0</f>
        <v>0</v>
      </c>
      <c r="N29" s="514">
        <f>0</f>
        <v>0</v>
      </c>
      <c r="O29" s="514">
        <f>0</f>
        <v>0</v>
      </c>
      <c r="P29" s="514">
        <f>0</f>
        <v>0</v>
      </c>
      <c r="Q29" s="514">
        <f>0</f>
        <v>0</v>
      </c>
    </row>
  </sheetData>
</worksheet>
</file>

<file path=xl/worksheets/sheet6.xml><?xml version="1.0" encoding="utf-8"?>
<worksheet xmlns="http://schemas.openxmlformats.org/spreadsheetml/2006/main" xmlns:r="http://schemas.openxmlformats.org/officeDocument/2006/relationships">
  <dimension ref="A1:M134"/>
  <sheetViews>
    <sheetView showGridLines="0" workbookViewId="0"/>
  </sheetViews>
  <sheetFormatPr defaultColWidth="8.375" defaultRowHeight="15"/>
  <cols>
    <col min="1" max="8" width="16.875" customWidth="1"/>
    <col min="9" max="9" width="39.375" customWidth="1"/>
    <col min="10" max="12" width="16.875" customWidth="1"/>
    <col min="13" max="13" width="59.375" customWidth="1"/>
  </cols>
  <sheetData>
    <row r="1">
      <c r="A1" s="528" t="s">
        <v>0</v>
      </c>
      <c r="B1" s="525"/>
      <c r="C1" s="525"/>
      <c r="D1" s="525"/>
      <c r="E1" s="525"/>
      <c r="F1" s="525"/>
      <c r="G1" s="525"/>
      <c r="H1" s="525"/>
      <c r="I1" s="525"/>
      <c r="J1" s="525"/>
      <c r="K1" s="525"/>
      <c r="L1" s="525"/>
      <c r="M1" s="525"/>
    </row>
    <row r="2">
      <c r="A2" s="525" t="s">
        <v>422</v>
      </c>
      <c r="B2" s="525"/>
      <c r="C2" s="525"/>
      <c r="D2" s="525"/>
      <c r="E2" s="525"/>
      <c r="F2" s="525"/>
      <c r="G2" s="525"/>
      <c r="H2" s="525"/>
      <c r="I2" s="525"/>
      <c r="J2" s="525"/>
      <c r="K2" s="525"/>
      <c r="L2" s="525"/>
      <c r="M2" s="525"/>
    </row>
    <row r="3">
      <c r="A3" s="525" t="s">
        <v>423</v>
      </c>
      <c r="B3" s="525"/>
      <c r="C3" s="525"/>
      <c r="D3" s="525"/>
      <c r="E3" s="525"/>
      <c r="F3" s="525"/>
      <c r="G3" s="525"/>
      <c r="H3" s="525"/>
      <c r="I3" s="525"/>
      <c r="J3" s="525"/>
      <c r="K3" s="525"/>
      <c r="L3" s="525"/>
      <c r="M3" s="525"/>
    </row>
    <row r="4">
      <c r="A4" s="526" t="s">
        <v>424</v>
      </c>
      <c r="B4" s="526" t="s">
        <v>425</v>
      </c>
      <c r="C4" s="526" t="s">
        <v>426</v>
      </c>
      <c r="D4" s="526" t="s">
        <v>427</v>
      </c>
      <c r="E4" s="526" t="s">
        <v>428</v>
      </c>
      <c r="F4" s="526" t="s">
        <v>429</v>
      </c>
      <c r="G4" s="526" t="s">
        <v>430</v>
      </c>
      <c r="H4" s="526" t="s">
        <v>431</v>
      </c>
      <c r="I4" s="526" t="s">
        <v>432</v>
      </c>
      <c r="J4" s="526" t="s">
        <v>433</v>
      </c>
      <c r="K4" s="526" t="s">
        <v>359</v>
      </c>
      <c r="L4" s="526" t="s">
        <v>434</v>
      </c>
      <c r="M4" s="526" t="s">
        <v>363</v>
      </c>
    </row>
    <row r="5">
      <c r="A5" s="525" t="s">
        <v>435</v>
      </c>
      <c r="B5" s="525" t="s">
        <v>436</v>
      </c>
      <c r="C5" s="525" t="s">
        <v>437</v>
      </c>
      <c r="D5" s="525"/>
      <c r="E5" s="525"/>
      <c r="F5" s="525"/>
      <c r="G5" s="525"/>
      <c r="H5" s="525" t="s">
        <v>438</v>
      </c>
      <c r="I5" s="525" t="s">
        <v>439</v>
      </c>
      <c r="J5" s="525" t="s">
        <v>265</v>
      </c>
      <c r="K5" s="529" t="s">
        <v>166</v>
      </c>
      <c r="L5" s="525" t="s">
        <v>162</v>
      </c>
      <c r="M5" s="525" t="s">
        <v>440</v>
      </c>
    </row>
    <row r="6">
      <c r="A6" s="525" t="s">
        <v>441</v>
      </c>
      <c r="B6" s="525" t="s">
        <v>442</v>
      </c>
      <c r="C6" s="525" t="s">
        <v>437</v>
      </c>
      <c r="D6" s="525" t="s">
        <v>159</v>
      </c>
      <c r="E6" s="525" t="s">
        <v>158</v>
      </c>
      <c r="F6" s="525"/>
      <c r="G6" s="525" t="s">
        <v>161</v>
      </c>
      <c r="H6" s="525" t="s">
        <v>443</v>
      </c>
      <c r="I6" s="525" t="s">
        <v>444</v>
      </c>
      <c r="J6" s="525" t="s">
        <v>445</v>
      </c>
      <c r="K6" s="529" t="s">
        <v>166</v>
      </c>
      <c r="L6" s="525" t="s">
        <v>446</v>
      </c>
      <c r="M6" s="525" t="s">
        <v>447</v>
      </c>
    </row>
    <row r="7">
      <c r="A7" s="525" t="s">
        <v>448</v>
      </c>
      <c r="B7" s="525" t="s">
        <v>442</v>
      </c>
      <c r="C7" s="525" t="s">
        <v>437</v>
      </c>
      <c r="D7" s="525" t="s">
        <v>213</v>
      </c>
      <c r="E7" s="525" t="s">
        <v>212</v>
      </c>
      <c r="F7" s="525"/>
      <c r="G7" s="525" t="s">
        <v>161</v>
      </c>
      <c r="H7" s="525" t="s">
        <v>443</v>
      </c>
      <c r="I7" s="525" t="s">
        <v>444</v>
      </c>
      <c r="J7" s="525" t="s">
        <v>449</v>
      </c>
      <c r="K7" s="529" t="s">
        <v>166</v>
      </c>
      <c r="L7" s="525" t="s">
        <v>450</v>
      </c>
      <c r="M7" s="525" t="s">
        <v>451</v>
      </c>
    </row>
    <row r="8">
      <c r="A8" s="525" t="s">
        <v>452</v>
      </c>
      <c r="B8" s="525" t="s">
        <v>442</v>
      </c>
      <c r="C8" s="525" t="s">
        <v>437</v>
      </c>
      <c r="D8" s="525" t="s">
        <v>229</v>
      </c>
      <c r="E8" s="525" t="s">
        <v>228</v>
      </c>
      <c r="F8" s="525"/>
      <c r="G8" s="525" t="s">
        <v>161</v>
      </c>
      <c r="H8" s="525" t="s">
        <v>443</v>
      </c>
      <c r="I8" s="525" t="s">
        <v>444</v>
      </c>
      <c r="J8" s="525" t="s">
        <v>453</v>
      </c>
      <c r="K8" s="529" t="s">
        <v>166</v>
      </c>
      <c r="L8" s="525" t="s">
        <v>450</v>
      </c>
      <c r="M8" s="525" t="s">
        <v>454</v>
      </c>
    </row>
    <row r="9">
      <c r="A9" s="525" t="s">
        <v>455</v>
      </c>
      <c r="B9" s="525" t="s">
        <v>442</v>
      </c>
      <c r="C9" s="525" t="s">
        <v>437</v>
      </c>
      <c r="D9" s="525" t="s">
        <v>242</v>
      </c>
      <c r="E9" s="525" t="s">
        <v>241</v>
      </c>
      <c r="F9" s="525"/>
      <c r="G9" s="525" t="s">
        <v>161</v>
      </c>
      <c r="H9" s="525" t="s">
        <v>443</v>
      </c>
      <c r="I9" s="525" t="s">
        <v>444</v>
      </c>
      <c r="J9" s="525" t="s">
        <v>456</v>
      </c>
      <c r="K9" s="529" t="s">
        <v>166</v>
      </c>
      <c r="L9" s="525" t="s">
        <v>450</v>
      </c>
      <c r="M9" s="525" t="s">
        <v>457</v>
      </c>
    </row>
    <row r="10">
      <c r="A10" s="525" t="s">
        <v>458</v>
      </c>
      <c r="B10" s="525" t="s">
        <v>459</v>
      </c>
      <c r="C10" s="525" t="s">
        <v>437</v>
      </c>
      <c r="D10" s="525" t="s">
        <v>159</v>
      </c>
      <c r="E10" s="525" t="s">
        <v>158</v>
      </c>
      <c r="F10" s="525" t="s">
        <v>162</v>
      </c>
      <c r="G10" s="525" t="s">
        <v>161</v>
      </c>
      <c r="H10" s="525" t="s">
        <v>460</v>
      </c>
      <c r="I10" s="525" t="s">
        <v>163</v>
      </c>
      <c r="J10" s="525" t="s">
        <v>445</v>
      </c>
      <c r="K10" s="529" t="s">
        <v>166</v>
      </c>
      <c r="L10" s="525" t="s">
        <v>461</v>
      </c>
      <c r="M10" s="525"/>
    </row>
    <row r="11">
      <c r="A11" s="525" t="s">
        <v>462</v>
      </c>
      <c r="B11" s="525" t="s">
        <v>459</v>
      </c>
      <c r="C11" s="525" t="s">
        <v>437</v>
      </c>
      <c r="D11" s="525" t="s">
        <v>159</v>
      </c>
      <c r="E11" s="525" t="s">
        <v>158</v>
      </c>
      <c r="F11" s="525" t="s">
        <v>463</v>
      </c>
      <c r="G11" s="525" t="s">
        <v>464</v>
      </c>
      <c r="H11" s="525" t="s">
        <v>460</v>
      </c>
      <c r="I11" s="525" t="s">
        <v>465</v>
      </c>
      <c r="J11" s="525" t="s">
        <v>445</v>
      </c>
      <c r="K11" s="529" t="s">
        <v>166</v>
      </c>
      <c r="L11" s="525" t="s">
        <v>463</v>
      </c>
      <c r="M11" s="525"/>
    </row>
    <row r="12">
      <c r="A12" s="525" t="s">
        <v>466</v>
      </c>
      <c r="B12" s="525" t="s">
        <v>459</v>
      </c>
      <c r="C12" s="525" t="s">
        <v>437</v>
      </c>
      <c r="D12" s="525" t="s">
        <v>159</v>
      </c>
      <c r="E12" s="525" t="s">
        <v>158</v>
      </c>
      <c r="F12" s="525" t="s">
        <v>467</v>
      </c>
      <c r="G12" s="525" t="s">
        <v>468</v>
      </c>
      <c r="H12" s="525" t="s">
        <v>460</v>
      </c>
      <c r="I12" s="525" t="s">
        <v>469</v>
      </c>
      <c r="J12" s="525" t="s">
        <v>445</v>
      </c>
      <c r="K12" s="529" t="s">
        <v>166</v>
      </c>
      <c r="L12" s="525" t="s">
        <v>185</v>
      </c>
      <c r="M12" s="525"/>
    </row>
    <row r="13">
      <c r="A13" s="525" t="s">
        <v>470</v>
      </c>
      <c r="B13" s="525" t="s">
        <v>459</v>
      </c>
      <c r="C13" s="525" t="s">
        <v>437</v>
      </c>
      <c r="D13" s="525" t="s">
        <v>159</v>
      </c>
      <c r="E13" s="525" t="s">
        <v>158</v>
      </c>
      <c r="F13" s="525" t="s">
        <v>471</v>
      </c>
      <c r="G13" s="525" t="s">
        <v>472</v>
      </c>
      <c r="H13" s="525" t="s">
        <v>460</v>
      </c>
      <c r="I13" s="525" t="s">
        <v>473</v>
      </c>
      <c r="J13" s="525" t="s">
        <v>445</v>
      </c>
      <c r="K13" s="529" t="s">
        <v>166</v>
      </c>
      <c r="L13" s="525" t="s">
        <v>474</v>
      </c>
      <c r="M13" s="525"/>
    </row>
    <row r="14">
      <c r="A14" s="525" t="s">
        <v>475</v>
      </c>
      <c r="B14" s="525" t="s">
        <v>459</v>
      </c>
      <c r="C14" s="525" t="s">
        <v>437</v>
      </c>
      <c r="D14" s="525" t="s">
        <v>159</v>
      </c>
      <c r="E14" s="525" t="s">
        <v>158</v>
      </c>
      <c r="F14" s="525" t="s">
        <v>476</v>
      </c>
      <c r="G14" s="525" t="s">
        <v>477</v>
      </c>
      <c r="H14" s="525" t="s">
        <v>460</v>
      </c>
      <c r="I14" s="525" t="s">
        <v>478</v>
      </c>
      <c r="J14" s="525" t="s">
        <v>445</v>
      </c>
      <c r="K14" s="529" t="s">
        <v>166</v>
      </c>
      <c r="L14" s="525" t="s">
        <v>199</v>
      </c>
      <c r="M14" s="525"/>
    </row>
    <row r="15">
      <c r="A15" s="525" t="s">
        <v>479</v>
      </c>
      <c r="B15" s="525" t="s">
        <v>459</v>
      </c>
      <c r="C15" s="525" t="s">
        <v>437</v>
      </c>
      <c r="D15" s="525" t="s">
        <v>159</v>
      </c>
      <c r="E15" s="525" t="s">
        <v>158</v>
      </c>
      <c r="F15" s="525" t="s">
        <v>480</v>
      </c>
      <c r="G15" s="525" t="s">
        <v>481</v>
      </c>
      <c r="H15" s="525" t="s">
        <v>460</v>
      </c>
      <c r="I15" s="525" t="s">
        <v>482</v>
      </c>
      <c r="J15" s="525" t="s">
        <v>445</v>
      </c>
      <c r="K15" s="529" t="s">
        <v>166</v>
      </c>
      <c r="L15" s="525" t="s">
        <v>205</v>
      </c>
      <c r="M15" s="525"/>
    </row>
    <row r="16">
      <c r="A16" s="525" t="s">
        <v>483</v>
      </c>
      <c r="B16" s="525" t="s">
        <v>459</v>
      </c>
      <c r="C16" s="525" t="s">
        <v>437</v>
      </c>
      <c r="D16" s="525" t="s">
        <v>159</v>
      </c>
      <c r="E16" s="525" t="s">
        <v>158</v>
      </c>
      <c r="F16" s="525" t="s">
        <v>474</v>
      </c>
      <c r="G16" s="525" t="s">
        <v>484</v>
      </c>
      <c r="H16" s="525" t="s">
        <v>460</v>
      </c>
      <c r="I16" s="525" t="s">
        <v>485</v>
      </c>
      <c r="J16" s="525" t="s">
        <v>445</v>
      </c>
      <c r="K16" s="529" t="s">
        <v>166</v>
      </c>
      <c r="L16" s="525" t="s">
        <v>185</v>
      </c>
      <c r="M16" s="525"/>
    </row>
    <row r="17">
      <c r="A17" s="525" t="s">
        <v>486</v>
      </c>
      <c r="B17" s="525" t="s">
        <v>459</v>
      </c>
      <c r="C17" s="525" t="s">
        <v>437</v>
      </c>
      <c r="D17" s="525" t="s">
        <v>159</v>
      </c>
      <c r="E17" s="525" t="s">
        <v>158</v>
      </c>
      <c r="F17" s="525" t="s">
        <v>487</v>
      </c>
      <c r="G17" s="525" t="s">
        <v>488</v>
      </c>
      <c r="H17" s="525" t="s">
        <v>460</v>
      </c>
      <c r="I17" s="525" t="s">
        <v>489</v>
      </c>
      <c r="J17" s="525" t="s">
        <v>445</v>
      </c>
      <c r="K17" s="529" t="s">
        <v>166</v>
      </c>
      <c r="L17" s="525" t="s">
        <v>185</v>
      </c>
      <c r="M17" s="525"/>
    </row>
    <row r="18">
      <c r="A18" s="525" t="s">
        <v>490</v>
      </c>
      <c r="B18" s="525" t="s">
        <v>459</v>
      </c>
      <c r="C18" s="525" t="s">
        <v>437</v>
      </c>
      <c r="D18" s="525" t="s">
        <v>159</v>
      </c>
      <c r="E18" s="525" t="s">
        <v>158</v>
      </c>
      <c r="F18" s="525" t="s">
        <v>491</v>
      </c>
      <c r="G18" s="525" t="s">
        <v>492</v>
      </c>
      <c r="H18" s="525" t="s">
        <v>460</v>
      </c>
      <c r="I18" s="525" t="s">
        <v>493</v>
      </c>
      <c r="J18" s="525" t="s">
        <v>445</v>
      </c>
      <c r="K18" s="529" t="s">
        <v>166</v>
      </c>
      <c r="L18" s="525" t="s">
        <v>494</v>
      </c>
      <c r="M18" s="525"/>
    </row>
    <row r="19">
      <c r="A19" s="525" t="s">
        <v>495</v>
      </c>
      <c r="B19" s="525" t="s">
        <v>459</v>
      </c>
      <c r="C19" s="525" t="s">
        <v>437</v>
      </c>
      <c r="D19" s="525" t="s">
        <v>159</v>
      </c>
      <c r="E19" s="525" t="s">
        <v>158</v>
      </c>
      <c r="F19" s="525" t="s">
        <v>496</v>
      </c>
      <c r="G19" s="525" t="s">
        <v>497</v>
      </c>
      <c r="H19" s="525" t="s">
        <v>460</v>
      </c>
      <c r="I19" s="525" t="s">
        <v>498</v>
      </c>
      <c r="J19" s="525" t="s">
        <v>445</v>
      </c>
      <c r="K19" s="529" t="s">
        <v>166</v>
      </c>
      <c r="L19" s="525" t="s">
        <v>463</v>
      </c>
      <c r="M19" s="525"/>
    </row>
    <row r="20">
      <c r="A20" s="525" t="s">
        <v>499</v>
      </c>
      <c r="B20" s="525" t="s">
        <v>459</v>
      </c>
      <c r="C20" s="525" t="s">
        <v>437</v>
      </c>
      <c r="D20" s="525" t="s">
        <v>159</v>
      </c>
      <c r="E20" s="525" t="s">
        <v>158</v>
      </c>
      <c r="F20" s="525" t="s">
        <v>500</v>
      </c>
      <c r="G20" s="525" t="s">
        <v>501</v>
      </c>
      <c r="H20" s="525" t="s">
        <v>460</v>
      </c>
      <c r="I20" s="525" t="s">
        <v>502</v>
      </c>
      <c r="J20" s="525" t="s">
        <v>445</v>
      </c>
      <c r="K20" s="529" t="s">
        <v>166</v>
      </c>
      <c r="L20" s="525" t="s">
        <v>503</v>
      </c>
      <c r="M20" s="525"/>
    </row>
    <row r="21">
      <c r="A21" s="525" t="s">
        <v>504</v>
      </c>
      <c r="B21" s="525" t="s">
        <v>459</v>
      </c>
      <c r="C21" s="525" t="s">
        <v>437</v>
      </c>
      <c r="D21" s="525" t="s">
        <v>159</v>
      </c>
      <c r="E21" s="525" t="s">
        <v>158</v>
      </c>
      <c r="F21" s="525" t="s">
        <v>179</v>
      </c>
      <c r="G21" s="525" t="s">
        <v>161</v>
      </c>
      <c r="H21" s="525" t="s">
        <v>460</v>
      </c>
      <c r="I21" s="525" t="s">
        <v>505</v>
      </c>
      <c r="J21" s="525" t="s">
        <v>445</v>
      </c>
      <c r="K21" s="529" t="s">
        <v>166</v>
      </c>
      <c r="L21" s="525" t="s">
        <v>185</v>
      </c>
      <c r="M21" s="525"/>
    </row>
    <row r="22">
      <c r="A22" s="525" t="s">
        <v>506</v>
      </c>
      <c r="B22" s="525" t="s">
        <v>459</v>
      </c>
      <c r="C22" s="525" t="s">
        <v>437</v>
      </c>
      <c r="D22" s="525" t="s">
        <v>159</v>
      </c>
      <c r="E22" s="525" t="s">
        <v>158</v>
      </c>
      <c r="F22" s="525" t="s">
        <v>461</v>
      </c>
      <c r="G22" s="525" t="s">
        <v>507</v>
      </c>
      <c r="H22" s="525" t="s">
        <v>460</v>
      </c>
      <c r="I22" s="525" t="s">
        <v>508</v>
      </c>
      <c r="J22" s="525" t="s">
        <v>445</v>
      </c>
      <c r="K22" s="529" t="s">
        <v>166</v>
      </c>
      <c r="L22" s="525" t="s">
        <v>509</v>
      </c>
      <c r="M22" s="525"/>
    </row>
    <row r="23">
      <c r="A23" s="525" t="s">
        <v>510</v>
      </c>
      <c r="B23" s="525" t="s">
        <v>459</v>
      </c>
      <c r="C23" s="525" t="s">
        <v>437</v>
      </c>
      <c r="D23" s="525" t="s">
        <v>159</v>
      </c>
      <c r="E23" s="525" t="s">
        <v>158</v>
      </c>
      <c r="F23" s="525" t="s">
        <v>511</v>
      </c>
      <c r="G23" s="525" t="s">
        <v>512</v>
      </c>
      <c r="H23" s="525" t="s">
        <v>460</v>
      </c>
      <c r="I23" s="525" t="s">
        <v>513</v>
      </c>
      <c r="J23" s="525" t="s">
        <v>445</v>
      </c>
      <c r="K23" s="529" t="s">
        <v>166</v>
      </c>
      <c r="L23" s="525" t="s">
        <v>185</v>
      </c>
      <c r="M23" s="525"/>
    </row>
    <row r="24">
      <c r="A24" s="525" t="s">
        <v>514</v>
      </c>
      <c r="B24" s="525" t="s">
        <v>459</v>
      </c>
      <c r="C24" s="525" t="s">
        <v>437</v>
      </c>
      <c r="D24" s="525" t="s">
        <v>159</v>
      </c>
      <c r="E24" s="525" t="s">
        <v>158</v>
      </c>
      <c r="F24" s="525" t="s">
        <v>515</v>
      </c>
      <c r="G24" s="525" t="s">
        <v>161</v>
      </c>
      <c r="H24" s="525" t="s">
        <v>460</v>
      </c>
      <c r="I24" s="525" t="s">
        <v>516</v>
      </c>
      <c r="J24" s="525" t="s">
        <v>445</v>
      </c>
      <c r="K24" s="529" t="s">
        <v>166</v>
      </c>
      <c r="L24" s="525" t="s">
        <v>162</v>
      </c>
      <c r="M24" s="525"/>
    </row>
    <row r="25">
      <c r="A25" s="525" t="s">
        <v>517</v>
      </c>
      <c r="B25" s="525" t="s">
        <v>459</v>
      </c>
      <c r="C25" s="525" t="s">
        <v>437</v>
      </c>
      <c r="D25" s="525" t="s">
        <v>159</v>
      </c>
      <c r="E25" s="525" t="s">
        <v>158</v>
      </c>
      <c r="F25" s="525" t="s">
        <v>518</v>
      </c>
      <c r="G25" s="525" t="s">
        <v>519</v>
      </c>
      <c r="H25" s="525" t="s">
        <v>460</v>
      </c>
      <c r="I25" s="525" t="s">
        <v>520</v>
      </c>
      <c r="J25" s="525" t="s">
        <v>445</v>
      </c>
      <c r="K25" s="529" t="s">
        <v>166</v>
      </c>
      <c r="L25" s="525" t="s">
        <v>185</v>
      </c>
      <c r="M25" s="525"/>
    </row>
    <row r="26">
      <c r="A26" s="525" t="s">
        <v>521</v>
      </c>
      <c r="B26" s="525" t="s">
        <v>459</v>
      </c>
      <c r="C26" s="525" t="s">
        <v>437</v>
      </c>
      <c r="D26" s="525" t="s">
        <v>159</v>
      </c>
      <c r="E26" s="525" t="s">
        <v>158</v>
      </c>
      <c r="F26" s="525" t="s">
        <v>522</v>
      </c>
      <c r="G26" s="525" t="s">
        <v>523</v>
      </c>
      <c r="H26" s="525" t="s">
        <v>460</v>
      </c>
      <c r="I26" s="525" t="s">
        <v>524</v>
      </c>
      <c r="J26" s="525" t="s">
        <v>445</v>
      </c>
      <c r="K26" s="529" t="s">
        <v>166</v>
      </c>
      <c r="L26" s="525" t="s">
        <v>185</v>
      </c>
      <c r="M26" s="525"/>
    </row>
    <row r="27">
      <c r="A27" s="525" t="s">
        <v>525</v>
      </c>
      <c r="B27" s="525" t="s">
        <v>459</v>
      </c>
      <c r="C27" s="525" t="s">
        <v>437</v>
      </c>
      <c r="D27" s="525" t="s">
        <v>159</v>
      </c>
      <c r="E27" s="525" t="s">
        <v>158</v>
      </c>
      <c r="F27" s="525" t="s">
        <v>526</v>
      </c>
      <c r="G27" s="525" t="s">
        <v>527</v>
      </c>
      <c r="H27" s="525" t="s">
        <v>460</v>
      </c>
      <c r="I27" s="525" t="s">
        <v>528</v>
      </c>
      <c r="J27" s="525" t="s">
        <v>445</v>
      </c>
      <c r="K27" s="529" t="s">
        <v>166</v>
      </c>
      <c r="L27" s="525" t="s">
        <v>487</v>
      </c>
      <c r="M27" s="525"/>
    </row>
    <row r="28">
      <c r="A28" s="525" t="s">
        <v>529</v>
      </c>
      <c r="B28" s="525" t="s">
        <v>459</v>
      </c>
      <c r="C28" s="525" t="s">
        <v>437</v>
      </c>
      <c r="D28" s="525" t="s">
        <v>159</v>
      </c>
      <c r="E28" s="525" t="s">
        <v>158</v>
      </c>
      <c r="F28" s="525" t="s">
        <v>530</v>
      </c>
      <c r="G28" s="525" t="s">
        <v>531</v>
      </c>
      <c r="H28" s="525" t="s">
        <v>460</v>
      </c>
      <c r="I28" s="525" t="s">
        <v>532</v>
      </c>
      <c r="J28" s="525" t="s">
        <v>445</v>
      </c>
      <c r="K28" s="529" t="s">
        <v>166</v>
      </c>
      <c r="L28" s="525" t="s">
        <v>179</v>
      </c>
      <c r="M28" s="525"/>
    </row>
    <row r="29">
      <c r="A29" s="525" t="s">
        <v>533</v>
      </c>
      <c r="B29" s="525" t="s">
        <v>459</v>
      </c>
      <c r="C29" s="525" t="s">
        <v>437</v>
      </c>
      <c r="D29" s="525" t="s">
        <v>159</v>
      </c>
      <c r="E29" s="525" t="s">
        <v>158</v>
      </c>
      <c r="F29" s="525" t="s">
        <v>534</v>
      </c>
      <c r="G29" s="525" t="s">
        <v>535</v>
      </c>
      <c r="H29" s="525" t="s">
        <v>460</v>
      </c>
      <c r="I29" s="525" t="s">
        <v>536</v>
      </c>
      <c r="J29" s="525" t="s">
        <v>445</v>
      </c>
      <c r="K29" s="529" t="s">
        <v>166</v>
      </c>
      <c r="L29" s="525" t="s">
        <v>185</v>
      </c>
      <c r="M29" s="525"/>
    </row>
    <row r="30">
      <c r="A30" s="525" t="s">
        <v>537</v>
      </c>
      <c r="B30" s="525" t="s">
        <v>459</v>
      </c>
      <c r="C30" s="525" t="s">
        <v>437</v>
      </c>
      <c r="D30" s="525" t="s">
        <v>159</v>
      </c>
      <c r="E30" s="525" t="s">
        <v>158</v>
      </c>
      <c r="F30" s="525" t="s">
        <v>538</v>
      </c>
      <c r="G30" s="525" t="s">
        <v>539</v>
      </c>
      <c r="H30" s="525" t="s">
        <v>460</v>
      </c>
      <c r="I30" s="525" t="s">
        <v>540</v>
      </c>
      <c r="J30" s="525" t="s">
        <v>445</v>
      </c>
      <c r="K30" s="529" t="s">
        <v>166</v>
      </c>
      <c r="L30" s="525" t="s">
        <v>185</v>
      </c>
      <c r="M30" s="525"/>
    </row>
    <row r="31">
      <c r="A31" s="525" t="s">
        <v>541</v>
      </c>
      <c r="B31" s="525" t="s">
        <v>459</v>
      </c>
      <c r="C31" s="525" t="s">
        <v>437</v>
      </c>
      <c r="D31" s="525" t="s">
        <v>159</v>
      </c>
      <c r="E31" s="525" t="s">
        <v>158</v>
      </c>
      <c r="F31" s="525" t="s">
        <v>542</v>
      </c>
      <c r="G31" s="525" t="s">
        <v>543</v>
      </c>
      <c r="H31" s="525" t="s">
        <v>460</v>
      </c>
      <c r="I31" s="525" t="s">
        <v>544</v>
      </c>
      <c r="J31" s="525" t="s">
        <v>445</v>
      </c>
      <c r="K31" s="529" t="s">
        <v>166</v>
      </c>
      <c r="L31" s="525" t="s">
        <v>480</v>
      </c>
      <c r="M31" s="525"/>
    </row>
    <row r="32">
      <c r="A32" s="525" t="s">
        <v>545</v>
      </c>
      <c r="B32" s="525" t="s">
        <v>459</v>
      </c>
      <c r="C32" s="525" t="s">
        <v>437</v>
      </c>
      <c r="D32" s="525" t="s">
        <v>159</v>
      </c>
      <c r="E32" s="525" t="s">
        <v>158</v>
      </c>
      <c r="F32" s="525" t="s">
        <v>185</v>
      </c>
      <c r="G32" s="525" t="s">
        <v>161</v>
      </c>
      <c r="H32" s="525" t="s">
        <v>460</v>
      </c>
      <c r="I32" s="525" t="s">
        <v>546</v>
      </c>
      <c r="J32" s="525" t="s">
        <v>445</v>
      </c>
      <c r="K32" s="529" t="s">
        <v>166</v>
      </c>
      <c r="L32" s="525" t="s">
        <v>547</v>
      </c>
      <c r="M32" s="525"/>
    </row>
    <row r="33">
      <c r="A33" s="525" t="s">
        <v>548</v>
      </c>
      <c r="B33" s="525" t="s">
        <v>459</v>
      </c>
      <c r="C33" s="525" t="s">
        <v>437</v>
      </c>
      <c r="D33" s="525" t="s">
        <v>159</v>
      </c>
      <c r="E33" s="525" t="s">
        <v>158</v>
      </c>
      <c r="F33" s="525" t="s">
        <v>549</v>
      </c>
      <c r="G33" s="525" t="s">
        <v>550</v>
      </c>
      <c r="H33" s="525" t="s">
        <v>460</v>
      </c>
      <c r="I33" s="525" t="s">
        <v>551</v>
      </c>
      <c r="J33" s="525" t="s">
        <v>445</v>
      </c>
      <c r="K33" s="529" t="s">
        <v>166</v>
      </c>
      <c r="L33" s="525" t="s">
        <v>179</v>
      </c>
      <c r="M33" s="525"/>
    </row>
    <row r="34">
      <c r="A34" s="525" t="s">
        <v>552</v>
      </c>
      <c r="B34" s="525" t="s">
        <v>459</v>
      </c>
      <c r="C34" s="525" t="s">
        <v>437</v>
      </c>
      <c r="D34" s="525" t="s">
        <v>159</v>
      </c>
      <c r="E34" s="525" t="s">
        <v>158</v>
      </c>
      <c r="F34" s="525" t="s">
        <v>553</v>
      </c>
      <c r="G34" s="525" t="s">
        <v>554</v>
      </c>
      <c r="H34" s="525" t="s">
        <v>460</v>
      </c>
      <c r="I34" s="525" t="s">
        <v>555</v>
      </c>
      <c r="J34" s="525" t="s">
        <v>445</v>
      </c>
      <c r="K34" s="529" t="s">
        <v>166</v>
      </c>
      <c r="L34" s="525" t="s">
        <v>556</v>
      </c>
      <c r="M34" s="525"/>
    </row>
    <row r="35">
      <c r="A35" s="525" t="s">
        <v>557</v>
      </c>
      <c r="B35" s="525" t="s">
        <v>459</v>
      </c>
      <c r="C35" s="525" t="s">
        <v>437</v>
      </c>
      <c r="D35" s="525" t="s">
        <v>159</v>
      </c>
      <c r="E35" s="525" t="s">
        <v>158</v>
      </c>
      <c r="F35" s="525" t="s">
        <v>558</v>
      </c>
      <c r="G35" s="525" t="s">
        <v>161</v>
      </c>
      <c r="H35" s="525" t="s">
        <v>460</v>
      </c>
      <c r="I35" s="525" t="s">
        <v>559</v>
      </c>
      <c r="J35" s="525" t="s">
        <v>445</v>
      </c>
      <c r="K35" s="529" t="s">
        <v>166</v>
      </c>
      <c r="L35" s="525" t="s">
        <v>179</v>
      </c>
      <c r="M35" s="525"/>
    </row>
    <row r="36">
      <c r="A36" s="525" t="s">
        <v>560</v>
      </c>
      <c r="B36" s="525" t="s">
        <v>459</v>
      </c>
      <c r="C36" s="525" t="s">
        <v>437</v>
      </c>
      <c r="D36" s="525" t="s">
        <v>159</v>
      </c>
      <c r="E36" s="525" t="s">
        <v>158</v>
      </c>
      <c r="F36" s="525" t="s">
        <v>561</v>
      </c>
      <c r="G36" s="525" t="s">
        <v>562</v>
      </c>
      <c r="H36" s="525" t="s">
        <v>460</v>
      </c>
      <c r="I36" s="525" t="s">
        <v>563</v>
      </c>
      <c r="J36" s="525" t="s">
        <v>445</v>
      </c>
      <c r="K36" s="529" t="s">
        <v>166</v>
      </c>
      <c r="L36" s="525" t="s">
        <v>185</v>
      </c>
      <c r="M36" s="525"/>
    </row>
    <row r="37">
      <c r="A37" s="525" t="s">
        <v>564</v>
      </c>
      <c r="B37" s="525" t="s">
        <v>459</v>
      </c>
      <c r="C37" s="525" t="s">
        <v>437</v>
      </c>
      <c r="D37" s="525" t="s">
        <v>159</v>
      </c>
      <c r="E37" s="525" t="s">
        <v>158</v>
      </c>
      <c r="F37" s="525" t="s">
        <v>565</v>
      </c>
      <c r="G37" s="525" t="s">
        <v>566</v>
      </c>
      <c r="H37" s="525" t="s">
        <v>460</v>
      </c>
      <c r="I37" s="525" t="s">
        <v>567</v>
      </c>
      <c r="J37" s="525" t="s">
        <v>445</v>
      </c>
      <c r="K37" s="529" t="s">
        <v>166</v>
      </c>
      <c r="L37" s="525" t="s">
        <v>534</v>
      </c>
      <c r="M37" s="525"/>
    </row>
    <row r="38">
      <c r="A38" s="525" t="s">
        <v>568</v>
      </c>
      <c r="B38" s="525" t="s">
        <v>459</v>
      </c>
      <c r="C38" s="525" t="s">
        <v>437</v>
      </c>
      <c r="D38" s="525" t="s">
        <v>159</v>
      </c>
      <c r="E38" s="525" t="s">
        <v>158</v>
      </c>
      <c r="F38" s="525" t="s">
        <v>199</v>
      </c>
      <c r="G38" s="525" t="s">
        <v>569</v>
      </c>
      <c r="H38" s="525" t="s">
        <v>460</v>
      </c>
      <c r="I38" s="525" t="s">
        <v>570</v>
      </c>
      <c r="J38" s="525" t="s">
        <v>445</v>
      </c>
      <c r="K38" s="529" t="s">
        <v>166</v>
      </c>
      <c r="L38" s="525" t="s">
        <v>571</v>
      </c>
      <c r="M38" s="525"/>
    </row>
    <row r="39">
      <c r="A39" s="525" t="s">
        <v>572</v>
      </c>
      <c r="B39" s="525" t="s">
        <v>459</v>
      </c>
      <c r="C39" s="525" t="s">
        <v>437</v>
      </c>
      <c r="D39" s="525" t="s">
        <v>159</v>
      </c>
      <c r="E39" s="525" t="s">
        <v>158</v>
      </c>
      <c r="F39" s="525" t="s">
        <v>205</v>
      </c>
      <c r="G39" s="525" t="s">
        <v>573</v>
      </c>
      <c r="H39" s="525" t="s">
        <v>460</v>
      </c>
      <c r="I39" s="525" t="s">
        <v>206</v>
      </c>
      <c r="J39" s="525" t="s">
        <v>445</v>
      </c>
      <c r="K39" s="529" t="s">
        <v>166</v>
      </c>
      <c r="L39" s="525" t="s">
        <v>574</v>
      </c>
      <c r="M39" s="525"/>
    </row>
    <row r="40">
      <c r="A40" s="525" t="s">
        <v>575</v>
      </c>
      <c r="B40" s="525" t="s">
        <v>459</v>
      </c>
      <c r="C40" s="525" t="s">
        <v>437</v>
      </c>
      <c r="D40" s="525" t="s">
        <v>159</v>
      </c>
      <c r="E40" s="525" t="s">
        <v>158</v>
      </c>
      <c r="F40" s="525" t="s">
        <v>509</v>
      </c>
      <c r="G40" s="525" t="s">
        <v>576</v>
      </c>
      <c r="H40" s="525" t="s">
        <v>460</v>
      </c>
      <c r="I40" s="525" t="s">
        <v>577</v>
      </c>
      <c r="J40" s="525" t="s">
        <v>445</v>
      </c>
      <c r="K40" s="529" t="s">
        <v>166</v>
      </c>
      <c r="L40" s="525" t="s">
        <v>185</v>
      </c>
      <c r="M40" s="525"/>
    </row>
    <row r="41">
      <c r="A41" s="525" t="s">
        <v>578</v>
      </c>
      <c r="B41" s="525" t="s">
        <v>459</v>
      </c>
      <c r="C41" s="525" t="s">
        <v>437</v>
      </c>
      <c r="D41" s="525" t="s">
        <v>159</v>
      </c>
      <c r="E41" s="525" t="s">
        <v>158</v>
      </c>
      <c r="F41" s="525" t="s">
        <v>503</v>
      </c>
      <c r="G41" s="525" t="s">
        <v>579</v>
      </c>
      <c r="H41" s="525" t="s">
        <v>460</v>
      </c>
      <c r="I41" s="525" t="s">
        <v>580</v>
      </c>
      <c r="J41" s="525" t="s">
        <v>445</v>
      </c>
      <c r="K41" s="529" t="s">
        <v>166</v>
      </c>
      <c r="L41" s="525" t="s">
        <v>471</v>
      </c>
      <c r="M41" s="525"/>
    </row>
    <row r="42">
      <c r="A42" s="525" t="s">
        <v>581</v>
      </c>
      <c r="B42" s="525" t="s">
        <v>459</v>
      </c>
      <c r="C42" s="525" t="s">
        <v>437</v>
      </c>
      <c r="D42" s="525" t="s">
        <v>159</v>
      </c>
      <c r="E42" s="525" t="s">
        <v>158</v>
      </c>
      <c r="F42" s="525" t="s">
        <v>582</v>
      </c>
      <c r="G42" s="525" t="s">
        <v>583</v>
      </c>
      <c r="H42" s="525" t="s">
        <v>460</v>
      </c>
      <c r="I42" s="525" t="s">
        <v>584</v>
      </c>
      <c r="J42" s="525" t="s">
        <v>445</v>
      </c>
      <c r="K42" s="529" t="s">
        <v>166</v>
      </c>
      <c r="L42" s="525" t="s">
        <v>185</v>
      </c>
      <c r="M42" s="525"/>
    </row>
    <row r="43">
      <c r="A43" s="525" t="s">
        <v>585</v>
      </c>
      <c r="B43" s="525" t="s">
        <v>459</v>
      </c>
      <c r="C43" s="525" t="s">
        <v>437</v>
      </c>
      <c r="D43" s="525" t="s">
        <v>159</v>
      </c>
      <c r="E43" s="525" t="s">
        <v>158</v>
      </c>
      <c r="F43" s="525" t="s">
        <v>494</v>
      </c>
      <c r="G43" s="525" t="s">
        <v>586</v>
      </c>
      <c r="H43" s="525" t="s">
        <v>460</v>
      </c>
      <c r="I43" s="525" t="s">
        <v>587</v>
      </c>
      <c r="J43" s="525" t="s">
        <v>445</v>
      </c>
      <c r="K43" s="529" t="s">
        <v>166</v>
      </c>
      <c r="L43" s="525" t="s">
        <v>185</v>
      </c>
      <c r="M43" s="525"/>
    </row>
    <row r="44">
      <c r="A44" s="525" t="s">
        <v>588</v>
      </c>
      <c r="B44" s="525" t="s">
        <v>459</v>
      </c>
      <c r="C44" s="525" t="s">
        <v>437</v>
      </c>
      <c r="D44" s="525" t="s">
        <v>213</v>
      </c>
      <c r="E44" s="525" t="s">
        <v>212</v>
      </c>
      <c r="F44" s="525" t="s">
        <v>162</v>
      </c>
      <c r="G44" s="525" t="s">
        <v>161</v>
      </c>
      <c r="H44" s="525" t="s">
        <v>460</v>
      </c>
      <c r="I44" s="525" t="s">
        <v>163</v>
      </c>
      <c r="J44" s="525" t="s">
        <v>449</v>
      </c>
      <c r="K44" s="529" t="s">
        <v>166</v>
      </c>
      <c r="L44" s="525" t="s">
        <v>480</v>
      </c>
      <c r="M44" s="525"/>
    </row>
    <row r="45">
      <c r="A45" s="525" t="s">
        <v>589</v>
      </c>
      <c r="B45" s="525" t="s">
        <v>459</v>
      </c>
      <c r="C45" s="525" t="s">
        <v>437</v>
      </c>
      <c r="D45" s="525" t="s">
        <v>213</v>
      </c>
      <c r="E45" s="525" t="s">
        <v>212</v>
      </c>
      <c r="F45" s="525" t="s">
        <v>179</v>
      </c>
      <c r="G45" s="525" t="s">
        <v>161</v>
      </c>
      <c r="H45" s="525" t="s">
        <v>460</v>
      </c>
      <c r="I45" s="525" t="s">
        <v>180</v>
      </c>
      <c r="J45" s="525" t="s">
        <v>449</v>
      </c>
      <c r="K45" s="529" t="s">
        <v>166</v>
      </c>
      <c r="L45" s="525" t="s">
        <v>199</v>
      </c>
      <c r="M45" s="525"/>
    </row>
    <row r="46">
      <c r="A46" s="525" t="s">
        <v>590</v>
      </c>
      <c r="B46" s="525" t="s">
        <v>459</v>
      </c>
      <c r="C46" s="525" t="s">
        <v>437</v>
      </c>
      <c r="D46" s="525" t="s">
        <v>213</v>
      </c>
      <c r="E46" s="525" t="s">
        <v>212</v>
      </c>
      <c r="F46" s="525" t="s">
        <v>185</v>
      </c>
      <c r="G46" s="525" t="s">
        <v>161</v>
      </c>
      <c r="H46" s="525" t="s">
        <v>460</v>
      </c>
      <c r="I46" s="525" t="s">
        <v>186</v>
      </c>
      <c r="J46" s="525" t="s">
        <v>449</v>
      </c>
      <c r="K46" s="529" t="s">
        <v>166</v>
      </c>
      <c r="L46" s="525" t="s">
        <v>494</v>
      </c>
      <c r="M46" s="525"/>
    </row>
    <row r="47">
      <c r="A47" s="525" t="s">
        <v>591</v>
      </c>
      <c r="B47" s="525" t="s">
        <v>459</v>
      </c>
      <c r="C47" s="525" t="s">
        <v>437</v>
      </c>
      <c r="D47" s="525" t="s">
        <v>213</v>
      </c>
      <c r="E47" s="525" t="s">
        <v>212</v>
      </c>
      <c r="F47" s="525" t="s">
        <v>199</v>
      </c>
      <c r="G47" s="525" t="s">
        <v>592</v>
      </c>
      <c r="H47" s="525" t="s">
        <v>460</v>
      </c>
      <c r="I47" s="525" t="s">
        <v>200</v>
      </c>
      <c r="J47" s="525" t="s">
        <v>449</v>
      </c>
      <c r="K47" s="529" t="s">
        <v>166</v>
      </c>
      <c r="L47" s="525" t="s">
        <v>199</v>
      </c>
      <c r="M47" s="525"/>
    </row>
    <row r="48">
      <c r="A48" s="525" t="s">
        <v>593</v>
      </c>
      <c r="B48" s="525" t="s">
        <v>459</v>
      </c>
      <c r="C48" s="525" t="s">
        <v>437</v>
      </c>
      <c r="D48" s="525" t="s">
        <v>213</v>
      </c>
      <c r="E48" s="525" t="s">
        <v>212</v>
      </c>
      <c r="F48" s="525" t="s">
        <v>205</v>
      </c>
      <c r="G48" s="525" t="s">
        <v>161</v>
      </c>
      <c r="H48" s="525" t="s">
        <v>460</v>
      </c>
      <c r="I48" s="525" t="s">
        <v>206</v>
      </c>
      <c r="J48" s="525" t="s">
        <v>449</v>
      </c>
      <c r="K48" s="529" t="s">
        <v>166</v>
      </c>
      <c r="L48" s="525" t="s">
        <v>474</v>
      </c>
      <c r="M48" s="525"/>
    </row>
    <row r="49">
      <c r="A49" s="525" t="s">
        <v>594</v>
      </c>
      <c r="B49" s="525" t="s">
        <v>459</v>
      </c>
      <c r="C49" s="525" t="s">
        <v>437</v>
      </c>
      <c r="D49" s="525" t="s">
        <v>229</v>
      </c>
      <c r="E49" s="525" t="s">
        <v>228</v>
      </c>
      <c r="F49" s="525" t="s">
        <v>162</v>
      </c>
      <c r="G49" s="525" t="s">
        <v>161</v>
      </c>
      <c r="H49" s="525" t="s">
        <v>460</v>
      </c>
      <c r="I49" s="525" t="s">
        <v>163</v>
      </c>
      <c r="J49" s="525" t="s">
        <v>453</v>
      </c>
      <c r="K49" s="529" t="s">
        <v>166</v>
      </c>
      <c r="L49" s="525" t="s">
        <v>522</v>
      </c>
      <c r="M49" s="525"/>
    </row>
    <row r="50">
      <c r="A50" s="525" t="s">
        <v>595</v>
      </c>
      <c r="B50" s="525" t="s">
        <v>459</v>
      </c>
      <c r="C50" s="525" t="s">
        <v>437</v>
      </c>
      <c r="D50" s="525" t="s">
        <v>229</v>
      </c>
      <c r="E50" s="525" t="s">
        <v>228</v>
      </c>
      <c r="F50" s="525" t="s">
        <v>463</v>
      </c>
      <c r="G50" s="525" t="s">
        <v>596</v>
      </c>
      <c r="H50" s="525" t="s">
        <v>460</v>
      </c>
      <c r="I50" s="525" t="s">
        <v>597</v>
      </c>
      <c r="J50" s="525" t="s">
        <v>453</v>
      </c>
      <c r="K50" s="529" t="s">
        <v>166</v>
      </c>
      <c r="L50" s="525" t="s">
        <v>185</v>
      </c>
      <c r="M50" s="525"/>
    </row>
    <row r="51">
      <c r="A51" s="525" t="s">
        <v>598</v>
      </c>
      <c r="B51" s="525" t="s">
        <v>459</v>
      </c>
      <c r="C51" s="525" t="s">
        <v>437</v>
      </c>
      <c r="D51" s="525" t="s">
        <v>229</v>
      </c>
      <c r="E51" s="525" t="s">
        <v>228</v>
      </c>
      <c r="F51" s="525" t="s">
        <v>467</v>
      </c>
      <c r="G51" s="525" t="s">
        <v>599</v>
      </c>
      <c r="H51" s="525" t="s">
        <v>460</v>
      </c>
      <c r="I51" s="525" t="s">
        <v>600</v>
      </c>
      <c r="J51" s="525" t="s">
        <v>453</v>
      </c>
      <c r="K51" s="529" t="s">
        <v>166</v>
      </c>
      <c r="L51" s="525" t="s">
        <v>185</v>
      </c>
      <c r="M51" s="525"/>
    </row>
    <row r="52">
      <c r="A52" s="525" t="s">
        <v>601</v>
      </c>
      <c r="B52" s="525" t="s">
        <v>459</v>
      </c>
      <c r="C52" s="525" t="s">
        <v>437</v>
      </c>
      <c r="D52" s="525" t="s">
        <v>229</v>
      </c>
      <c r="E52" s="525" t="s">
        <v>228</v>
      </c>
      <c r="F52" s="525" t="s">
        <v>471</v>
      </c>
      <c r="G52" s="525" t="s">
        <v>602</v>
      </c>
      <c r="H52" s="525" t="s">
        <v>460</v>
      </c>
      <c r="I52" s="525" t="s">
        <v>603</v>
      </c>
      <c r="J52" s="525" t="s">
        <v>453</v>
      </c>
      <c r="K52" s="529" t="s">
        <v>166</v>
      </c>
      <c r="L52" s="525" t="s">
        <v>463</v>
      </c>
      <c r="M52" s="525"/>
    </row>
    <row r="53">
      <c r="A53" s="525" t="s">
        <v>604</v>
      </c>
      <c r="B53" s="525" t="s">
        <v>459</v>
      </c>
      <c r="C53" s="525" t="s">
        <v>437</v>
      </c>
      <c r="D53" s="525" t="s">
        <v>229</v>
      </c>
      <c r="E53" s="525" t="s">
        <v>228</v>
      </c>
      <c r="F53" s="525" t="s">
        <v>476</v>
      </c>
      <c r="G53" s="525" t="s">
        <v>605</v>
      </c>
      <c r="H53" s="525" t="s">
        <v>460</v>
      </c>
      <c r="I53" s="525" t="s">
        <v>606</v>
      </c>
      <c r="J53" s="525" t="s">
        <v>453</v>
      </c>
      <c r="K53" s="529" t="s">
        <v>166</v>
      </c>
      <c r="L53" s="525" t="s">
        <v>179</v>
      </c>
      <c r="M53" s="525"/>
    </row>
    <row r="54">
      <c r="A54" s="525" t="s">
        <v>607</v>
      </c>
      <c r="B54" s="525" t="s">
        <v>459</v>
      </c>
      <c r="C54" s="525" t="s">
        <v>437</v>
      </c>
      <c r="D54" s="525" t="s">
        <v>229</v>
      </c>
      <c r="E54" s="525" t="s">
        <v>228</v>
      </c>
      <c r="F54" s="525" t="s">
        <v>480</v>
      </c>
      <c r="G54" s="525" t="s">
        <v>608</v>
      </c>
      <c r="H54" s="525" t="s">
        <v>460</v>
      </c>
      <c r="I54" s="525" t="s">
        <v>609</v>
      </c>
      <c r="J54" s="525" t="s">
        <v>453</v>
      </c>
      <c r="K54" s="529" t="s">
        <v>166</v>
      </c>
      <c r="L54" s="525" t="s">
        <v>491</v>
      </c>
      <c r="M54" s="525"/>
    </row>
    <row r="55">
      <c r="A55" s="525" t="s">
        <v>610</v>
      </c>
      <c r="B55" s="525" t="s">
        <v>459</v>
      </c>
      <c r="C55" s="525" t="s">
        <v>437</v>
      </c>
      <c r="D55" s="525" t="s">
        <v>229</v>
      </c>
      <c r="E55" s="525" t="s">
        <v>228</v>
      </c>
      <c r="F55" s="525" t="s">
        <v>474</v>
      </c>
      <c r="G55" s="525" t="s">
        <v>586</v>
      </c>
      <c r="H55" s="525" t="s">
        <v>460</v>
      </c>
      <c r="I55" s="525" t="s">
        <v>611</v>
      </c>
      <c r="J55" s="525" t="s">
        <v>453</v>
      </c>
      <c r="K55" s="529" t="s">
        <v>166</v>
      </c>
      <c r="L55" s="525" t="s">
        <v>185</v>
      </c>
      <c r="M55" s="525"/>
    </row>
    <row r="56">
      <c r="A56" s="525" t="s">
        <v>612</v>
      </c>
      <c r="B56" s="525" t="s">
        <v>459</v>
      </c>
      <c r="C56" s="525" t="s">
        <v>437</v>
      </c>
      <c r="D56" s="525" t="s">
        <v>229</v>
      </c>
      <c r="E56" s="525" t="s">
        <v>228</v>
      </c>
      <c r="F56" s="525" t="s">
        <v>487</v>
      </c>
      <c r="G56" s="525" t="s">
        <v>613</v>
      </c>
      <c r="H56" s="525" t="s">
        <v>460</v>
      </c>
      <c r="I56" s="525" t="s">
        <v>614</v>
      </c>
      <c r="J56" s="525" t="s">
        <v>453</v>
      </c>
      <c r="K56" s="529" t="s">
        <v>166</v>
      </c>
      <c r="L56" s="525" t="s">
        <v>509</v>
      </c>
      <c r="M56" s="525"/>
    </row>
    <row r="57">
      <c r="A57" s="525" t="s">
        <v>615</v>
      </c>
      <c r="B57" s="525" t="s">
        <v>459</v>
      </c>
      <c r="C57" s="525" t="s">
        <v>437</v>
      </c>
      <c r="D57" s="525" t="s">
        <v>229</v>
      </c>
      <c r="E57" s="525" t="s">
        <v>228</v>
      </c>
      <c r="F57" s="525" t="s">
        <v>491</v>
      </c>
      <c r="G57" s="525" t="s">
        <v>616</v>
      </c>
      <c r="H57" s="525" t="s">
        <v>460</v>
      </c>
      <c r="I57" s="525" t="s">
        <v>617</v>
      </c>
      <c r="J57" s="525" t="s">
        <v>453</v>
      </c>
      <c r="K57" s="529" t="s">
        <v>166</v>
      </c>
      <c r="L57" s="525" t="s">
        <v>185</v>
      </c>
      <c r="M57" s="525"/>
    </row>
    <row r="58">
      <c r="A58" s="525" t="s">
        <v>618</v>
      </c>
      <c r="B58" s="525" t="s">
        <v>459</v>
      </c>
      <c r="C58" s="525" t="s">
        <v>437</v>
      </c>
      <c r="D58" s="525" t="s">
        <v>229</v>
      </c>
      <c r="E58" s="525" t="s">
        <v>228</v>
      </c>
      <c r="F58" s="525" t="s">
        <v>496</v>
      </c>
      <c r="G58" s="525" t="s">
        <v>468</v>
      </c>
      <c r="H58" s="525" t="s">
        <v>460</v>
      </c>
      <c r="I58" s="525" t="s">
        <v>619</v>
      </c>
      <c r="J58" s="525" t="s">
        <v>453</v>
      </c>
      <c r="K58" s="529" t="s">
        <v>166</v>
      </c>
      <c r="L58" s="525" t="s">
        <v>185</v>
      </c>
      <c r="M58" s="525"/>
    </row>
    <row r="59">
      <c r="A59" s="525" t="s">
        <v>620</v>
      </c>
      <c r="B59" s="525" t="s">
        <v>459</v>
      </c>
      <c r="C59" s="525" t="s">
        <v>437</v>
      </c>
      <c r="D59" s="525" t="s">
        <v>229</v>
      </c>
      <c r="E59" s="525" t="s">
        <v>228</v>
      </c>
      <c r="F59" s="525" t="s">
        <v>500</v>
      </c>
      <c r="G59" s="525" t="s">
        <v>621</v>
      </c>
      <c r="H59" s="525" t="s">
        <v>460</v>
      </c>
      <c r="I59" s="525" t="s">
        <v>622</v>
      </c>
      <c r="J59" s="525" t="s">
        <v>453</v>
      </c>
      <c r="K59" s="529" t="s">
        <v>166</v>
      </c>
      <c r="L59" s="525" t="s">
        <v>185</v>
      </c>
      <c r="M59" s="525"/>
    </row>
    <row r="60">
      <c r="A60" s="525" t="s">
        <v>623</v>
      </c>
      <c r="B60" s="525" t="s">
        <v>459</v>
      </c>
      <c r="C60" s="525" t="s">
        <v>437</v>
      </c>
      <c r="D60" s="525" t="s">
        <v>229</v>
      </c>
      <c r="E60" s="525" t="s">
        <v>228</v>
      </c>
      <c r="F60" s="525" t="s">
        <v>179</v>
      </c>
      <c r="G60" s="525" t="s">
        <v>161</v>
      </c>
      <c r="H60" s="525" t="s">
        <v>460</v>
      </c>
      <c r="I60" s="525" t="s">
        <v>624</v>
      </c>
      <c r="J60" s="525" t="s">
        <v>453</v>
      </c>
      <c r="K60" s="529" t="s">
        <v>166</v>
      </c>
      <c r="L60" s="525" t="s">
        <v>185</v>
      </c>
      <c r="M60" s="525"/>
    </row>
    <row r="61">
      <c r="A61" s="525" t="s">
        <v>625</v>
      </c>
      <c r="B61" s="525" t="s">
        <v>459</v>
      </c>
      <c r="C61" s="525" t="s">
        <v>437</v>
      </c>
      <c r="D61" s="525" t="s">
        <v>229</v>
      </c>
      <c r="E61" s="525" t="s">
        <v>228</v>
      </c>
      <c r="F61" s="525" t="s">
        <v>461</v>
      </c>
      <c r="G61" s="525" t="s">
        <v>626</v>
      </c>
      <c r="H61" s="525" t="s">
        <v>460</v>
      </c>
      <c r="I61" s="525" t="s">
        <v>627</v>
      </c>
      <c r="J61" s="525" t="s">
        <v>453</v>
      </c>
      <c r="K61" s="529" t="s">
        <v>166</v>
      </c>
      <c r="L61" s="525" t="s">
        <v>494</v>
      </c>
      <c r="M61" s="525"/>
    </row>
    <row r="62">
      <c r="A62" s="525" t="s">
        <v>628</v>
      </c>
      <c r="B62" s="525" t="s">
        <v>459</v>
      </c>
      <c r="C62" s="525" t="s">
        <v>437</v>
      </c>
      <c r="D62" s="525" t="s">
        <v>229</v>
      </c>
      <c r="E62" s="525" t="s">
        <v>228</v>
      </c>
      <c r="F62" s="525" t="s">
        <v>511</v>
      </c>
      <c r="G62" s="525" t="s">
        <v>629</v>
      </c>
      <c r="H62" s="525" t="s">
        <v>460</v>
      </c>
      <c r="I62" s="525" t="s">
        <v>630</v>
      </c>
      <c r="J62" s="525" t="s">
        <v>453</v>
      </c>
      <c r="K62" s="529" t="s">
        <v>166</v>
      </c>
      <c r="L62" s="525" t="s">
        <v>463</v>
      </c>
      <c r="M62" s="525"/>
    </row>
    <row r="63">
      <c r="A63" s="525" t="s">
        <v>631</v>
      </c>
      <c r="B63" s="525" t="s">
        <v>459</v>
      </c>
      <c r="C63" s="525" t="s">
        <v>437</v>
      </c>
      <c r="D63" s="525" t="s">
        <v>229</v>
      </c>
      <c r="E63" s="525" t="s">
        <v>228</v>
      </c>
      <c r="F63" s="525" t="s">
        <v>515</v>
      </c>
      <c r="G63" s="525" t="s">
        <v>632</v>
      </c>
      <c r="H63" s="525" t="s">
        <v>460</v>
      </c>
      <c r="I63" s="525" t="s">
        <v>633</v>
      </c>
      <c r="J63" s="525" t="s">
        <v>453</v>
      </c>
      <c r="K63" s="529" t="s">
        <v>166</v>
      </c>
      <c r="L63" s="525" t="s">
        <v>509</v>
      </c>
      <c r="M63" s="525"/>
    </row>
    <row r="64">
      <c r="A64" s="525" t="s">
        <v>634</v>
      </c>
      <c r="B64" s="525" t="s">
        <v>459</v>
      </c>
      <c r="C64" s="525" t="s">
        <v>437</v>
      </c>
      <c r="D64" s="525" t="s">
        <v>229</v>
      </c>
      <c r="E64" s="525" t="s">
        <v>228</v>
      </c>
      <c r="F64" s="525" t="s">
        <v>518</v>
      </c>
      <c r="G64" s="525" t="s">
        <v>635</v>
      </c>
      <c r="H64" s="525" t="s">
        <v>460</v>
      </c>
      <c r="I64" s="525" t="s">
        <v>636</v>
      </c>
      <c r="J64" s="525" t="s">
        <v>453</v>
      </c>
      <c r="K64" s="529" t="s">
        <v>166</v>
      </c>
      <c r="L64" s="525" t="s">
        <v>503</v>
      </c>
      <c r="M64" s="525"/>
    </row>
    <row r="65">
      <c r="A65" s="525" t="s">
        <v>637</v>
      </c>
      <c r="B65" s="525" t="s">
        <v>459</v>
      </c>
      <c r="C65" s="525" t="s">
        <v>437</v>
      </c>
      <c r="D65" s="525" t="s">
        <v>229</v>
      </c>
      <c r="E65" s="525" t="s">
        <v>228</v>
      </c>
      <c r="F65" s="525" t="s">
        <v>522</v>
      </c>
      <c r="G65" s="525" t="s">
        <v>638</v>
      </c>
      <c r="H65" s="525" t="s">
        <v>460</v>
      </c>
      <c r="I65" s="525" t="s">
        <v>639</v>
      </c>
      <c r="J65" s="525" t="s">
        <v>453</v>
      </c>
      <c r="K65" s="529" t="s">
        <v>166</v>
      </c>
      <c r="L65" s="525" t="s">
        <v>185</v>
      </c>
      <c r="M65" s="525"/>
    </row>
    <row r="66">
      <c r="A66" s="525" t="s">
        <v>640</v>
      </c>
      <c r="B66" s="525" t="s">
        <v>459</v>
      </c>
      <c r="C66" s="525" t="s">
        <v>437</v>
      </c>
      <c r="D66" s="525" t="s">
        <v>229</v>
      </c>
      <c r="E66" s="525" t="s">
        <v>228</v>
      </c>
      <c r="F66" s="525" t="s">
        <v>526</v>
      </c>
      <c r="G66" s="525" t="s">
        <v>161</v>
      </c>
      <c r="H66" s="525" t="s">
        <v>460</v>
      </c>
      <c r="I66" s="525" t="s">
        <v>641</v>
      </c>
      <c r="J66" s="525" t="s">
        <v>453</v>
      </c>
      <c r="K66" s="529" t="s">
        <v>166</v>
      </c>
      <c r="L66" s="525" t="s">
        <v>162</v>
      </c>
      <c r="M66" s="525"/>
    </row>
    <row r="67">
      <c r="A67" s="525" t="s">
        <v>642</v>
      </c>
      <c r="B67" s="525" t="s">
        <v>459</v>
      </c>
      <c r="C67" s="525" t="s">
        <v>437</v>
      </c>
      <c r="D67" s="525" t="s">
        <v>229</v>
      </c>
      <c r="E67" s="525" t="s">
        <v>228</v>
      </c>
      <c r="F67" s="525" t="s">
        <v>530</v>
      </c>
      <c r="G67" s="525" t="s">
        <v>643</v>
      </c>
      <c r="H67" s="525" t="s">
        <v>460</v>
      </c>
      <c r="I67" s="525" t="s">
        <v>644</v>
      </c>
      <c r="J67" s="525" t="s">
        <v>453</v>
      </c>
      <c r="K67" s="529" t="s">
        <v>166</v>
      </c>
      <c r="L67" s="525" t="s">
        <v>185</v>
      </c>
      <c r="M67" s="525"/>
    </row>
    <row r="68">
      <c r="A68" s="525" t="s">
        <v>645</v>
      </c>
      <c r="B68" s="525" t="s">
        <v>459</v>
      </c>
      <c r="C68" s="525" t="s">
        <v>437</v>
      </c>
      <c r="D68" s="525" t="s">
        <v>229</v>
      </c>
      <c r="E68" s="525" t="s">
        <v>228</v>
      </c>
      <c r="F68" s="525" t="s">
        <v>534</v>
      </c>
      <c r="G68" s="525" t="s">
        <v>646</v>
      </c>
      <c r="H68" s="525" t="s">
        <v>460</v>
      </c>
      <c r="I68" s="525" t="s">
        <v>647</v>
      </c>
      <c r="J68" s="525" t="s">
        <v>453</v>
      </c>
      <c r="K68" s="529" t="s">
        <v>166</v>
      </c>
      <c r="L68" s="525" t="s">
        <v>185</v>
      </c>
      <c r="M68" s="525"/>
    </row>
    <row r="69">
      <c r="A69" s="525" t="s">
        <v>648</v>
      </c>
      <c r="B69" s="525" t="s">
        <v>459</v>
      </c>
      <c r="C69" s="525" t="s">
        <v>437</v>
      </c>
      <c r="D69" s="525" t="s">
        <v>229</v>
      </c>
      <c r="E69" s="525" t="s">
        <v>228</v>
      </c>
      <c r="F69" s="525" t="s">
        <v>538</v>
      </c>
      <c r="G69" s="525" t="s">
        <v>649</v>
      </c>
      <c r="H69" s="525" t="s">
        <v>460</v>
      </c>
      <c r="I69" s="525" t="s">
        <v>650</v>
      </c>
      <c r="J69" s="525" t="s">
        <v>453</v>
      </c>
      <c r="K69" s="529" t="s">
        <v>166</v>
      </c>
      <c r="L69" s="525" t="s">
        <v>487</v>
      </c>
      <c r="M69" s="525"/>
    </row>
    <row r="70">
      <c r="A70" s="525" t="s">
        <v>651</v>
      </c>
      <c r="B70" s="525" t="s">
        <v>459</v>
      </c>
      <c r="C70" s="525" t="s">
        <v>437</v>
      </c>
      <c r="D70" s="525" t="s">
        <v>229</v>
      </c>
      <c r="E70" s="525" t="s">
        <v>228</v>
      </c>
      <c r="F70" s="525" t="s">
        <v>542</v>
      </c>
      <c r="G70" s="525" t="s">
        <v>512</v>
      </c>
      <c r="H70" s="525" t="s">
        <v>460</v>
      </c>
      <c r="I70" s="525" t="s">
        <v>652</v>
      </c>
      <c r="J70" s="525" t="s">
        <v>453</v>
      </c>
      <c r="K70" s="529" t="s">
        <v>166</v>
      </c>
      <c r="L70" s="525" t="s">
        <v>185</v>
      </c>
      <c r="M70" s="525"/>
    </row>
    <row r="71">
      <c r="A71" s="525" t="s">
        <v>653</v>
      </c>
      <c r="B71" s="525" t="s">
        <v>459</v>
      </c>
      <c r="C71" s="525" t="s">
        <v>437</v>
      </c>
      <c r="D71" s="525" t="s">
        <v>229</v>
      </c>
      <c r="E71" s="525" t="s">
        <v>228</v>
      </c>
      <c r="F71" s="525" t="s">
        <v>185</v>
      </c>
      <c r="G71" s="525" t="s">
        <v>161</v>
      </c>
      <c r="H71" s="525" t="s">
        <v>460</v>
      </c>
      <c r="I71" s="525" t="s">
        <v>654</v>
      </c>
      <c r="J71" s="525" t="s">
        <v>453</v>
      </c>
      <c r="K71" s="529" t="s">
        <v>166</v>
      </c>
      <c r="L71" s="525" t="s">
        <v>162</v>
      </c>
      <c r="M71" s="525"/>
    </row>
    <row r="72">
      <c r="A72" s="525" t="s">
        <v>655</v>
      </c>
      <c r="B72" s="525" t="s">
        <v>459</v>
      </c>
      <c r="C72" s="525" t="s">
        <v>437</v>
      </c>
      <c r="D72" s="525" t="s">
        <v>229</v>
      </c>
      <c r="E72" s="525" t="s">
        <v>228</v>
      </c>
      <c r="F72" s="525" t="s">
        <v>549</v>
      </c>
      <c r="G72" s="525" t="s">
        <v>519</v>
      </c>
      <c r="H72" s="525" t="s">
        <v>460</v>
      </c>
      <c r="I72" s="525" t="s">
        <v>656</v>
      </c>
      <c r="J72" s="525" t="s">
        <v>453</v>
      </c>
      <c r="K72" s="529" t="s">
        <v>166</v>
      </c>
      <c r="L72" s="525" t="s">
        <v>185</v>
      </c>
      <c r="M72" s="525"/>
    </row>
    <row r="73">
      <c r="A73" s="525" t="s">
        <v>657</v>
      </c>
      <c r="B73" s="525" t="s">
        <v>459</v>
      </c>
      <c r="C73" s="525" t="s">
        <v>437</v>
      </c>
      <c r="D73" s="525" t="s">
        <v>229</v>
      </c>
      <c r="E73" s="525" t="s">
        <v>228</v>
      </c>
      <c r="F73" s="525" t="s">
        <v>553</v>
      </c>
      <c r="G73" s="525" t="s">
        <v>523</v>
      </c>
      <c r="H73" s="525" t="s">
        <v>460</v>
      </c>
      <c r="I73" s="525" t="s">
        <v>658</v>
      </c>
      <c r="J73" s="525" t="s">
        <v>453</v>
      </c>
      <c r="K73" s="529" t="s">
        <v>166</v>
      </c>
      <c r="L73" s="525" t="s">
        <v>185</v>
      </c>
      <c r="M73" s="525"/>
    </row>
    <row r="74">
      <c r="A74" s="525" t="s">
        <v>659</v>
      </c>
      <c r="B74" s="525" t="s">
        <v>459</v>
      </c>
      <c r="C74" s="525" t="s">
        <v>437</v>
      </c>
      <c r="D74" s="525" t="s">
        <v>229</v>
      </c>
      <c r="E74" s="525" t="s">
        <v>228</v>
      </c>
      <c r="F74" s="525" t="s">
        <v>558</v>
      </c>
      <c r="G74" s="525" t="s">
        <v>660</v>
      </c>
      <c r="H74" s="525" t="s">
        <v>460</v>
      </c>
      <c r="I74" s="525" t="s">
        <v>661</v>
      </c>
      <c r="J74" s="525" t="s">
        <v>453</v>
      </c>
      <c r="K74" s="529" t="s">
        <v>166</v>
      </c>
      <c r="L74" s="525" t="s">
        <v>491</v>
      </c>
      <c r="M74" s="525"/>
    </row>
    <row r="75">
      <c r="A75" s="525" t="s">
        <v>662</v>
      </c>
      <c r="B75" s="525" t="s">
        <v>459</v>
      </c>
      <c r="C75" s="525" t="s">
        <v>437</v>
      </c>
      <c r="D75" s="525" t="s">
        <v>229</v>
      </c>
      <c r="E75" s="525" t="s">
        <v>228</v>
      </c>
      <c r="F75" s="525" t="s">
        <v>561</v>
      </c>
      <c r="G75" s="525" t="s">
        <v>161</v>
      </c>
      <c r="H75" s="525" t="s">
        <v>460</v>
      </c>
      <c r="I75" s="525" t="s">
        <v>663</v>
      </c>
      <c r="J75" s="525" t="s">
        <v>453</v>
      </c>
      <c r="K75" s="529" t="s">
        <v>166</v>
      </c>
      <c r="L75" s="525" t="s">
        <v>185</v>
      </c>
      <c r="M75" s="525"/>
    </row>
    <row r="76">
      <c r="A76" s="525" t="s">
        <v>664</v>
      </c>
      <c r="B76" s="525" t="s">
        <v>459</v>
      </c>
      <c r="C76" s="525" t="s">
        <v>437</v>
      </c>
      <c r="D76" s="525" t="s">
        <v>229</v>
      </c>
      <c r="E76" s="525" t="s">
        <v>228</v>
      </c>
      <c r="F76" s="525" t="s">
        <v>565</v>
      </c>
      <c r="G76" s="525" t="s">
        <v>665</v>
      </c>
      <c r="H76" s="525" t="s">
        <v>460</v>
      </c>
      <c r="I76" s="525" t="s">
        <v>666</v>
      </c>
      <c r="J76" s="525" t="s">
        <v>453</v>
      </c>
      <c r="K76" s="529" t="s">
        <v>166</v>
      </c>
      <c r="L76" s="525" t="s">
        <v>185</v>
      </c>
      <c r="M76" s="525"/>
    </row>
    <row r="77">
      <c r="A77" s="525" t="s">
        <v>667</v>
      </c>
      <c r="B77" s="525" t="s">
        <v>459</v>
      </c>
      <c r="C77" s="525" t="s">
        <v>437</v>
      </c>
      <c r="D77" s="525" t="s">
        <v>229</v>
      </c>
      <c r="E77" s="525" t="s">
        <v>228</v>
      </c>
      <c r="F77" s="525" t="s">
        <v>547</v>
      </c>
      <c r="G77" s="525" t="s">
        <v>668</v>
      </c>
      <c r="H77" s="525" t="s">
        <v>460</v>
      </c>
      <c r="I77" s="525" t="s">
        <v>669</v>
      </c>
      <c r="J77" s="525" t="s">
        <v>453</v>
      </c>
      <c r="K77" s="529" t="s">
        <v>166</v>
      </c>
      <c r="L77" s="525" t="s">
        <v>670</v>
      </c>
      <c r="M77" s="525"/>
    </row>
    <row r="78">
      <c r="A78" s="525" t="s">
        <v>671</v>
      </c>
      <c r="B78" s="525" t="s">
        <v>459</v>
      </c>
      <c r="C78" s="525" t="s">
        <v>437</v>
      </c>
      <c r="D78" s="525" t="s">
        <v>229</v>
      </c>
      <c r="E78" s="525" t="s">
        <v>228</v>
      </c>
      <c r="F78" s="525" t="s">
        <v>672</v>
      </c>
      <c r="G78" s="525" t="s">
        <v>161</v>
      </c>
      <c r="H78" s="525" t="s">
        <v>460</v>
      </c>
      <c r="I78" s="525" t="s">
        <v>673</v>
      </c>
      <c r="J78" s="525" t="s">
        <v>453</v>
      </c>
      <c r="K78" s="529" t="s">
        <v>166</v>
      </c>
      <c r="L78" s="525" t="s">
        <v>179</v>
      </c>
      <c r="M78" s="525"/>
    </row>
    <row r="79">
      <c r="A79" s="525" t="s">
        <v>674</v>
      </c>
      <c r="B79" s="525" t="s">
        <v>459</v>
      </c>
      <c r="C79" s="525" t="s">
        <v>437</v>
      </c>
      <c r="D79" s="525" t="s">
        <v>229</v>
      </c>
      <c r="E79" s="525" t="s">
        <v>228</v>
      </c>
      <c r="F79" s="525" t="s">
        <v>675</v>
      </c>
      <c r="G79" s="525" t="s">
        <v>676</v>
      </c>
      <c r="H79" s="525" t="s">
        <v>460</v>
      </c>
      <c r="I79" s="525" t="s">
        <v>677</v>
      </c>
      <c r="J79" s="525" t="s">
        <v>453</v>
      </c>
      <c r="K79" s="529" t="s">
        <v>166</v>
      </c>
      <c r="L79" s="525" t="s">
        <v>491</v>
      </c>
      <c r="M79" s="525"/>
    </row>
    <row r="80">
      <c r="A80" s="525" t="s">
        <v>678</v>
      </c>
      <c r="B80" s="525" t="s">
        <v>459</v>
      </c>
      <c r="C80" s="525" t="s">
        <v>437</v>
      </c>
      <c r="D80" s="525" t="s">
        <v>229</v>
      </c>
      <c r="E80" s="525" t="s">
        <v>228</v>
      </c>
      <c r="F80" s="525" t="s">
        <v>199</v>
      </c>
      <c r="G80" s="525" t="s">
        <v>679</v>
      </c>
      <c r="H80" s="525" t="s">
        <v>460</v>
      </c>
      <c r="I80" s="525" t="s">
        <v>680</v>
      </c>
      <c r="J80" s="525" t="s">
        <v>453</v>
      </c>
      <c r="K80" s="529" t="s">
        <v>166</v>
      </c>
      <c r="L80" s="525" t="s">
        <v>511</v>
      </c>
      <c r="M80" s="525"/>
    </row>
    <row r="81">
      <c r="A81" s="525" t="s">
        <v>681</v>
      </c>
      <c r="B81" s="525" t="s">
        <v>459</v>
      </c>
      <c r="C81" s="525" t="s">
        <v>437</v>
      </c>
      <c r="D81" s="525" t="s">
        <v>229</v>
      </c>
      <c r="E81" s="525" t="s">
        <v>228</v>
      </c>
      <c r="F81" s="525" t="s">
        <v>205</v>
      </c>
      <c r="G81" s="525" t="s">
        <v>682</v>
      </c>
      <c r="H81" s="525" t="s">
        <v>460</v>
      </c>
      <c r="I81" s="525" t="s">
        <v>206</v>
      </c>
      <c r="J81" s="525" t="s">
        <v>453</v>
      </c>
      <c r="K81" s="529" t="s">
        <v>166</v>
      </c>
      <c r="L81" s="525" t="s">
        <v>683</v>
      </c>
      <c r="M81" s="525"/>
    </row>
    <row r="82">
      <c r="A82" s="525" t="s">
        <v>684</v>
      </c>
      <c r="B82" s="525" t="s">
        <v>459</v>
      </c>
      <c r="C82" s="525" t="s">
        <v>437</v>
      </c>
      <c r="D82" s="525" t="s">
        <v>229</v>
      </c>
      <c r="E82" s="525" t="s">
        <v>228</v>
      </c>
      <c r="F82" s="525" t="s">
        <v>509</v>
      </c>
      <c r="G82" s="525" t="s">
        <v>685</v>
      </c>
      <c r="H82" s="525" t="s">
        <v>460</v>
      </c>
      <c r="I82" s="525" t="s">
        <v>686</v>
      </c>
      <c r="J82" s="525" t="s">
        <v>453</v>
      </c>
      <c r="K82" s="529" t="s">
        <v>166</v>
      </c>
      <c r="L82" s="525" t="s">
        <v>687</v>
      </c>
      <c r="M82" s="525"/>
    </row>
    <row r="83">
      <c r="A83" s="525" t="s">
        <v>688</v>
      </c>
      <c r="B83" s="525" t="s">
        <v>459</v>
      </c>
      <c r="C83" s="525" t="s">
        <v>437</v>
      </c>
      <c r="D83" s="525" t="s">
        <v>229</v>
      </c>
      <c r="E83" s="525" t="s">
        <v>228</v>
      </c>
      <c r="F83" s="525" t="s">
        <v>503</v>
      </c>
      <c r="G83" s="525" t="s">
        <v>689</v>
      </c>
      <c r="H83" s="525" t="s">
        <v>460</v>
      </c>
      <c r="I83" s="525" t="s">
        <v>690</v>
      </c>
      <c r="J83" s="525" t="s">
        <v>453</v>
      </c>
      <c r="K83" s="529" t="s">
        <v>166</v>
      </c>
      <c r="L83" s="525" t="s">
        <v>474</v>
      </c>
      <c r="M83" s="525"/>
    </row>
    <row r="84">
      <c r="A84" s="525" t="s">
        <v>691</v>
      </c>
      <c r="B84" s="525" t="s">
        <v>459</v>
      </c>
      <c r="C84" s="525" t="s">
        <v>437</v>
      </c>
      <c r="D84" s="525" t="s">
        <v>229</v>
      </c>
      <c r="E84" s="525" t="s">
        <v>228</v>
      </c>
      <c r="F84" s="525" t="s">
        <v>582</v>
      </c>
      <c r="G84" s="525" t="s">
        <v>692</v>
      </c>
      <c r="H84" s="525" t="s">
        <v>460</v>
      </c>
      <c r="I84" s="525" t="s">
        <v>693</v>
      </c>
      <c r="J84" s="525" t="s">
        <v>453</v>
      </c>
      <c r="K84" s="529" t="s">
        <v>166</v>
      </c>
      <c r="L84" s="525" t="s">
        <v>205</v>
      </c>
      <c r="M84" s="525"/>
    </row>
    <row r="85">
      <c r="A85" s="525" t="s">
        <v>694</v>
      </c>
      <c r="B85" s="525" t="s">
        <v>459</v>
      </c>
      <c r="C85" s="525" t="s">
        <v>437</v>
      </c>
      <c r="D85" s="525" t="s">
        <v>229</v>
      </c>
      <c r="E85" s="525" t="s">
        <v>228</v>
      </c>
      <c r="F85" s="525" t="s">
        <v>494</v>
      </c>
      <c r="G85" s="525" t="s">
        <v>695</v>
      </c>
      <c r="H85" s="525" t="s">
        <v>460</v>
      </c>
      <c r="I85" s="525" t="s">
        <v>696</v>
      </c>
      <c r="J85" s="525" t="s">
        <v>453</v>
      </c>
      <c r="K85" s="529" t="s">
        <v>166</v>
      </c>
      <c r="L85" s="525" t="s">
        <v>471</v>
      </c>
      <c r="M85" s="525"/>
    </row>
    <row r="86">
      <c r="A86" s="525" t="s">
        <v>697</v>
      </c>
      <c r="B86" s="525" t="s">
        <v>459</v>
      </c>
      <c r="C86" s="525" t="s">
        <v>437</v>
      </c>
      <c r="D86" s="525" t="s">
        <v>242</v>
      </c>
      <c r="E86" s="525" t="s">
        <v>241</v>
      </c>
      <c r="F86" s="525" t="s">
        <v>162</v>
      </c>
      <c r="G86" s="525" t="s">
        <v>161</v>
      </c>
      <c r="H86" s="525" t="s">
        <v>460</v>
      </c>
      <c r="I86" s="525" t="s">
        <v>163</v>
      </c>
      <c r="J86" s="525" t="s">
        <v>456</v>
      </c>
      <c r="K86" s="529" t="s">
        <v>166</v>
      </c>
      <c r="L86" s="525" t="s">
        <v>518</v>
      </c>
      <c r="M86" s="525"/>
    </row>
    <row r="87">
      <c r="A87" s="525" t="s">
        <v>698</v>
      </c>
      <c r="B87" s="525" t="s">
        <v>459</v>
      </c>
      <c r="C87" s="525" t="s">
        <v>437</v>
      </c>
      <c r="D87" s="525" t="s">
        <v>242</v>
      </c>
      <c r="E87" s="525" t="s">
        <v>241</v>
      </c>
      <c r="F87" s="525" t="s">
        <v>463</v>
      </c>
      <c r="G87" s="525" t="s">
        <v>699</v>
      </c>
      <c r="H87" s="525" t="s">
        <v>460</v>
      </c>
      <c r="I87" s="525" t="s">
        <v>597</v>
      </c>
      <c r="J87" s="525" t="s">
        <v>456</v>
      </c>
      <c r="K87" s="529" t="s">
        <v>166</v>
      </c>
      <c r="L87" s="525" t="s">
        <v>185</v>
      </c>
      <c r="M87" s="525"/>
    </row>
    <row r="88">
      <c r="A88" s="525" t="s">
        <v>700</v>
      </c>
      <c r="B88" s="525" t="s">
        <v>459</v>
      </c>
      <c r="C88" s="525" t="s">
        <v>437</v>
      </c>
      <c r="D88" s="525" t="s">
        <v>242</v>
      </c>
      <c r="E88" s="525" t="s">
        <v>241</v>
      </c>
      <c r="F88" s="525" t="s">
        <v>467</v>
      </c>
      <c r="G88" s="525" t="s">
        <v>596</v>
      </c>
      <c r="H88" s="525" t="s">
        <v>460</v>
      </c>
      <c r="I88" s="525" t="s">
        <v>600</v>
      </c>
      <c r="J88" s="525" t="s">
        <v>456</v>
      </c>
      <c r="K88" s="529" t="s">
        <v>166</v>
      </c>
      <c r="L88" s="525" t="s">
        <v>179</v>
      </c>
      <c r="M88" s="525"/>
    </row>
    <row r="89">
      <c r="A89" s="525" t="s">
        <v>701</v>
      </c>
      <c r="B89" s="525" t="s">
        <v>459</v>
      </c>
      <c r="C89" s="525" t="s">
        <v>437</v>
      </c>
      <c r="D89" s="525" t="s">
        <v>242</v>
      </c>
      <c r="E89" s="525" t="s">
        <v>241</v>
      </c>
      <c r="F89" s="525" t="s">
        <v>471</v>
      </c>
      <c r="G89" s="525" t="s">
        <v>702</v>
      </c>
      <c r="H89" s="525" t="s">
        <v>460</v>
      </c>
      <c r="I89" s="525" t="s">
        <v>603</v>
      </c>
      <c r="J89" s="525" t="s">
        <v>456</v>
      </c>
      <c r="K89" s="529" t="s">
        <v>166</v>
      </c>
      <c r="L89" s="525" t="s">
        <v>467</v>
      </c>
      <c r="M89" s="525"/>
    </row>
    <row r="90">
      <c r="A90" s="525" t="s">
        <v>703</v>
      </c>
      <c r="B90" s="525" t="s">
        <v>459</v>
      </c>
      <c r="C90" s="525" t="s">
        <v>437</v>
      </c>
      <c r="D90" s="525" t="s">
        <v>242</v>
      </c>
      <c r="E90" s="525" t="s">
        <v>241</v>
      </c>
      <c r="F90" s="525" t="s">
        <v>476</v>
      </c>
      <c r="G90" s="525" t="s">
        <v>704</v>
      </c>
      <c r="H90" s="525" t="s">
        <v>460</v>
      </c>
      <c r="I90" s="525" t="s">
        <v>606</v>
      </c>
      <c r="J90" s="525" t="s">
        <v>456</v>
      </c>
      <c r="K90" s="529" t="s">
        <v>166</v>
      </c>
      <c r="L90" s="525" t="s">
        <v>179</v>
      </c>
      <c r="M90" s="525"/>
    </row>
    <row r="91">
      <c r="A91" s="525" t="s">
        <v>705</v>
      </c>
      <c r="B91" s="525" t="s">
        <v>459</v>
      </c>
      <c r="C91" s="525" t="s">
        <v>437</v>
      </c>
      <c r="D91" s="525" t="s">
        <v>242</v>
      </c>
      <c r="E91" s="525" t="s">
        <v>241</v>
      </c>
      <c r="F91" s="525" t="s">
        <v>480</v>
      </c>
      <c r="G91" s="525" t="s">
        <v>706</v>
      </c>
      <c r="H91" s="525" t="s">
        <v>460</v>
      </c>
      <c r="I91" s="525" t="s">
        <v>609</v>
      </c>
      <c r="J91" s="525" t="s">
        <v>456</v>
      </c>
      <c r="K91" s="529" t="s">
        <v>166</v>
      </c>
      <c r="L91" s="525" t="s">
        <v>496</v>
      </c>
      <c r="M91" s="525"/>
    </row>
    <row r="92">
      <c r="A92" s="525" t="s">
        <v>707</v>
      </c>
      <c r="B92" s="525" t="s">
        <v>459</v>
      </c>
      <c r="C92" s="525" t="s">
        <v>437</v>
      </c>
      <c r="D92" s="525" t="s">
        <v>242</v>
      </c>
      <c r="E92" s="525" t="s">
        <v>241</v>
      </c>
      <c r="F92" s="525" t="s">
        <v>474</v>
      </c>
      <c r="G92" s="525" t="s">
        <v>583</v>
      </c>
      <c r="H92" s="525" t="s">
        <v>460</v>
      </c>
      <c r="I92" s="525" t="s">
        <v>611</v>
      </c>
      <c r="J92" s="525" t="s">
        <v>456</v>
      </c>
      <c r="K92" s="529" t="s">
        <v>166</v>
      </c>
      <c r="L92" s="525" t="s">
        <v>185</v>
      </c>
      <c r="M92" s="525"/>
    </row>
    <row r="93">
      <c r="A93" s="525" t="s">
        <v>708</v>
      </c>
      <c r="B93" s="525" t="s">
        <v>459</v>
      </c>
      <c r="C93" s="525" t="s">
        <v>437</v>
      </c>
      <c r="D93" s="525" t="s">
        <v>242</v>
      </c>
      <c r="E93" s="525" t="s">
        <v>241</v>
      </c>
      <c r="F93" s="525" t="s">
        <v>487</v>
      </c>
      <c r="G93" s="525" t="s">
        <v>586</v>
      </c>
      <c r="H93" s="525" t="s">
        <v>460</v>
      </c>
      <c r="I93" s="525" t="s">
        <v>709</v>
      </c>
      <c r="J93" s="525" t="s">
        <v>456</v>
      </c>
      <c r="K93" s="529" t="s">
        <v>166</v>
      </c>
      <c r="L93" s="525" t="s">
        <v>503</v>
      </c>
      <c r="M93" s="525"/>
    </row>
    <row r="94">
      <c r="A94" s="525" t="s">
        <v>710</v>
      </c>
      <c r="B94" s="525" t="s">
        <v>459</v>
      </c>
      <c r="C94" s="525" t="s">
        <v>437</v>
      </c>
      <c r="D94" s="525" t="s">
        <v>242</v>
      </c>
      <c r="E94" s="525" t="s">
        <v>241</v>
      </c>
      <c r="F94" s="525" t="s">
        <v>491</v>
      </c>
      <c r="G94" s="525" t="s">
        <v>613</v>
      </c>
      <c r="H94" s="525" t="s">
        <v>460</v>
      </c>
      <c r="I94" s="525" t="s">
        <v>617</v>
      </c>
      <c r="J94" s="525" t="s">
        <v>456</v>
      </c>
      <c r="K94" s="529" t="s">
        <v>166</v>
      </c>
      <c r="L94" s="525" t="s">
        <v>185</v>
      </c>
      <c r="M94" s="525"/>
    </row>
    <row r="95">
      <c r="A95" s="525" t="s">
        <v>711</v>
      </c>
      <c r="B95" s="525" t="s">
        <v>459</v>
      </c>
      <c r="C95" s="525" t="s">
        <v>437</v>
      </c>
      <c r="D95" s="525" t="s">
        <v>242</v>
      </c>
      <c r="E95" s="525" t="s">
        <v>241</v>
      </c>
      <c r="F95" s="525" t="s">
        <v>496</v>
      </c>
      <c r="G95" s="525" t="s">
        <v>616</v>
      </c>
      <c r="H95" s="525" t="s">
        <v>460</v>
      </c>
      <c r="I95" s="525" t="s">
        <v>619</v>
      </c>
      <c r="J95" s="525" t="s">
        <v>456</v>
      </c>
      <c r="K95" s="529" t="s">
        <v>166</v>
      </c>
      <c r="L95" s="525" t="s">
        <v>185</v>
      </c>
      <c r="M95" s="525"/>
    </row>
    <row r="96">
      <c r="A96" s="525" t="s">
        <v>712</v>
      </c>
      <c r="B96" s="525" t="s">
        <v>459</v>
      </c>
      <c r="C96" s="525" t="s">
        <v>437</v>
      </c>
      <c r="D96" s="525" t="s">
        <v>242</v>
      </c>
      <c r="E96" s="525" t="s">
        <v>241</v>
      </c>
      <c r="F96" s="525" t="s">
        <v>500</v>
      </c>
      <c r="G96" s="525" t="s">
        <v>468</v>
      </c>
      <c r="H96" s="525" t="s">
        <v>460</v>
      </c>
      <c r="I96" s="525" t="s">
        <v>622</v>
      </c>
      <c r="J96" s="525" t="s">
        <v>456</v>
      </c>
      <c r="K96" s="529" t="s">
        <v>166</v>
      </c>
      <c r="L96" s="525" t="s">
        <v>185</v>
      </c>
      <c r="M96" s="525"/>
    </row>
    <row r="97">
      <c r="A97" s="525" t="s">
        <v>713</v>
      </c>
      <c r="B97" s="525" t="s">
        <v>459</v>
      </c>
      <c r="C97" s="525" t="s">
        <v>437</v>
      </c>
      <c r="D97" s="525" t="s">
        <v>242</v>
      </c>
      <c r="E97" s="525" t="s">
        <v>241</v>
      </c>
      <c r="F97" s="525" t="s">
        <v>179</v>
      </c>
      <c r="G97" s="525" t="s">
        <v>161</v>
      </c>
      <c r="H97" s="525" t="s">
        <v>460</v>
      </c>
      <c r="I97" s="525" t="s">
        <v>624</v>
      </c>
      <c r="J97" s="525" t="s">
        <v>456</v>
      </c>
      <c r="K97" s="529" t="s">
        <v>166</v>
      </c>
      <c r="L97" s="525" t="s">
        <v>185</v>
      </c>
      <c r="M97" s="525"/>
    </row>
    <row r="98">
      <c r="A98" s="525" t="s">
        <v>714</v>
      </c>
      <c r="B98" s="525" t="s">
        <v>459</v>
      </c>
      <c r="C98" s="525" t="s">
        <v>437</v>
      </c>
      <c r="D98" s="525" t="s">
        <v>242</v>
      </c>
      <c r="E98" s="525" t="s">
        <v>241</v>
      </c>
      <c r="F98" s="525" t="s">
        <v>461</v>
      </c>
      <c r="G98" s="525" t="s">
        <v>715</v>
      </c>
      <c r="H98" s="525" t="s">
        <v>460</v>
      </c>
      <c r="I98" s="525" t="s">
        <v>627</v>
      </c>
      <c r="J98" s="525" t="s">
        <v>456</v>
      </c>
      <c r="K98" s="529" t="s">
        <v>166</v>
      </c>
      <c r="L98" s="525" t="s">
        <v>494</v>
      </c>
      <c r="M98" s="525"/>
    </row>
    <row r="99">
      <c r="A99" s="525" t="s">
        <v>716</v>
      </c>
      <c r="B99" s="525" t="s">
        <v>459</v>
      </c>
      <c r="C99" s="525" t="s">
        <v>437</v>
      </c>
      <c r="D99" s="525" t="s">
        <v>242</v>
      </c>
      <c r="E99" s="525" t="s">
        <v>241</v>
      </c>
      <c r="F99" s="525" t="s">
        <v>511</v>
      </c>
      <c r="G99" s="525" t="s">
        <v>717</v>
      </c>
      <c r="H99" s="525" t="s">
        <v>460</v>
      </c>
      <c r="I99" s="525" t="s">
        <v>630</v>
      </c>
      <c r="J99" s="525" t="s">
        <v>456</v>
      </c>
      <c r="K99" s="529" t="s">
        <v>166</v>
      </c>
      <c r="L99" s="525" t="s">
        <v>467</v>
      </c>
      <c r="M99" s="525"/>
    </row>
    <row r="100">
      <c r="A100" s="525" t="s">
        <v>718</v>
      </c>
      <c r="B100" s="525" t="s">
        <v>459</v>
      </c>
      <c r="C100" s="525" t="s">
        <v>437</v>
      </c>
      <c r="D100" s="525" t="s">
        <v>242</v>
      </c>
      <c r="E100" s="525" t="s">
        <v>241</v>
      </c>
      <c r="F100" s="525" t="s">
        <v>515</v>
      </c>
      <c r="G100" s="525" t="s">
        <v>488</v>
      </c>
      <c r="H100" s="525" t="s">
        <v>460</v>
      </c>
      <c r="I100" s="525" t="s">
        <v>633</v>
      </c>
      <c r="J100" s="525" t="s">
        <v>456</v>
      </c>
      <c r="K100" s="529" t="s">
        <v>166</v>
      </c>
      <c r="L100" s="525" t="s">
        <v>509</v>
      </c>
      <c r="M100" s="525"/>
    </row>
    <row r="101">
      <c r="A101" s="525" t="s">
        <v>719</v>
      </c>
      <c r="B101" s="525" t="s">
        <v>459</v>
      </c>
      <c r="C101" s="525" t="s">
        <v>437</v>
      </c>
      <c r="D101" s="525" t="s">
        <v>242</v>
      </c>
      <c r="E101" s="525" t="s">
        <v>241</v>
      </c>
      <c r="F101" s="525" t="s">
        <v>518</v>
      </c>
      <c r="G101" s="525" t="s">
        <v>720</v>
      </c>
      <c r="H101" s="525" t="s">
        <v>460</v>
      </c>
      <c r="I101" s="525" t="s">
        <v>636</v>
      </c>
      <c r="J101" s="525" t="s">
        <v>456</v>
      </c>
      <c r="K101" s="529" t="s">
        <v>166</v>
      </c>
      <c r="L101" s="525" t="s">
        <v>509</v>
      </c>
      <c r="M101" s="525"/>
    </row>
    <row r="102">
      <c r="A102" s="525" t="s">
        <v>721</v>
      </c>
      <c r="B102" s="525" t="s">
        <v>459</v>
      </c>
      <c r="C102" s="525" t="s">
        <v>437</v>
      </c>
      <c r="D102" s="525" t="s">
        <v>242</v>
      </c>
      <c r="E102" s="525" t="s">
        <v>241</v>
      </c>
      <c r="F102" s="525" t="s">
        <v>522</v>
      </c>
      <c r="G102" s="525" t="s">
        <v>722</v>
      </c>
      <c r="H102" s="525" t="s">
        <v>460</v>
      </c>
      <c r="I102" s="525" t="s">
        <v>639</v>
      </c>
      <c r="J102" s="525" t="s">
        <v>456</v>
      </c>
      <c r="K102" s="529" t="s">
        <v>166</v>
      </c>
      <c r="L102" s="525" t="s">
        <v>185</v>
      </c>
      <c r="M102" s="525"/>
    </row>
    <row r="103">
      <c r="A103" s="525" t="s">
        <v>723</v>
      </c>
      <c r="B103" s="525" t="s">
        <v>459</v>
      </c>
      <c r="C103" s="525" t="s">
        <v>437</v>
      </c>
      <c r="D103" s="525" t="s">
        <v>242</v>
      </c>
      <c r="E103" s="525" t="s">
        <v>241</v>
      </c>
      <c r="F103" s="525" t="s">
        <v>526</v>
      </c>
      <c r="G103" s="525" t="s">
        <v>161</v>
      </c>
      <c r="H103" s="525" t="s">
        <v>460</v>
      </c>
      <c r="I103" s="525" t="s">
        <v>641</v>
      </c>
      <c r="J103" s="525" t="s">
        <v>456</v>
      </c>
      <c r="K103" s="529" t="s">
        <v>166</v>
      </c>
      <c r="L103" s="525" t="s">
        <v>162</v>
      </c>
      <c r="M103" s="525"/>
    </row>
    <row r="104">
      <c r="A104" s="525" t="s">
        <v>724</v>
      </c>
      <c r="B104" s="525" t="s">
        <v>459</v>
      </c>
      <c r="C104" s="525" t="s">
        <v>437</v>
      </c>
      <c r="D104" s="525" t="s">
        <v>242</v>
      </c>
      <c r="E104" s="525" t="s">
        <v>241</v>
      </c>
      <c r="F104" s="525" t="s">
        <v>530</v>
      </c>
      <c r="G104" s="525" t="s">
        <v>638</v>
      </c>
      <c r="H104" s="525" t="s">
        <v>460</v>
      </c>
      <c r="I104" s="525" t="s">
        <v>644</v>
      </c>
      <c r="J104" s="525" t="s">
        <v>456</v>
      </c>
      <c r="K104" s="529" t="s">
        <v>166</v>
      </c>
      <c r="L104" s="525" t="s">
        <v>185</v>
      </c>
      <c r="M104" s="525"/>
    </row>
    <row r="105">
      <c r="A105" s="525" t="s">
        <v>725</v>
      </c>
      <c r="B105" s="525" t="s">
        <v>459</v>
      </c>
      <c r="C105" s="525" t="s">
        <v>437</v>
      </c>
      <c r="D105" s="525" t="s">
        <v>242</v>
      </c>
      <c r="E105" s="525" t="s">
        <v>241</v>
      </c>
      <c r="F105" s="525" t="s">
        <v>534</v>
      </c>
      <c r="G105" s="525" t="s">
        <v>643</v>
      </c>
      <c r="H105" s="525" t="s">
        <v>460</v>
      </c>
      <c r="I105" s="525" t="s">
        <v>647</v>
      </c>
      <c r="J105" s="525" t="s">
        <v>456</v>
      </c>
      <c r="K105" s="529" t="s">
        <v>166</v>
      </c>
      <c r="L105" s="525" t="s">
        <v>185</v>
      </c>
      <c r="M105" s="525"/>
    </row>
    <row r="106">
      <c r="A106" s="525" t="s">
        <v>726</v>
      </c>
      <c r="B106" s="525" t="s">
        <v>459</v>
      </c>
      <c r="C106" s="525" t="s">
        <v>437</v>
      </c>
      <c r="D106" s="525" t="s">
        <v>242</v>
      </c>
      <c r="E106" s="525" t="s">
        <v>241</v>
      </c>
      <c r="F106" s="525" t="s">
        <v>538</v>
      </c>
      <c r="G106" s="525" t="s">
        <v>727</v>
      </c>
      <c r="H106" s="525" t="s">
        <v>460</v>
      </c>
      <c r="I106" s="525" t="s">
        <v>728</v>
      </c>
      <c r="J106" s="525" t="s">
        <v>456</v>
      </c>
      <c r="K106" s="529" t="s">
        <v>166</v>
      </c>
      <c r="L106" s="525" t="s">
        <v>474</v>
      </c>
      <c r="M106" s="525"/>
    </row>
    <row r="107">
      <c r="A107" s="525" t="s">
        <v>729</v>
      </c>
      <c r="B107" s="525" t="s">
        <v>459</v>
      </c>
      <c r="C107" s="525" t="s">
        <v>437</v>
      </c>
      <c r="D107" s="525" t="s">
        <v>242</v>
      </c>
      <c r="E107" s="525" t="s">
        <v>241</v>
      </c>
      <c r="F107" s="525" t="s">
        <v>542</v>
      </c>
      <c r="G107" s="525" t="s">
        <v>730</v>
      </c>
      <c r="H107" s="525" t="s">
        <v>460</v>
      </c>
      <c r="I107" s="525" t="s">
        <v>652</v>
      </c>
      <c r="J107" s="525" t="s">
        <v>456</v>
      </c>
      <c r="K107" s="529" t="s">
        <v>166</v>
      </c>
      <c r="L107" s="525" t="s">
        <v>185</v>
      </c>
      <c r="M107" s="525"/>
    </row>
    <row r="108">
      <c r="A108" s="525" t="s">
        <v>731</v>
      </c>
      <c r="B108" s="525" t="s">
        <v>459</v>
      </c>
      <c r="C108" s="525" t="s">
        <v>437</v>
      </c>
      <c r="D108" s="525" t="s">
        <v>242</v>
      </c>
      <c r="E108" s="525" t="s">
        <v>241</v>
      </c>
      <c r="F108" s="525" t="s">
        <v>185</v>
      </c>
      <c r="G108" s="525" t="s">
        <v>161</v>
      </c>
      <c r="H108" s="525" t="s">
        <v>460</v>
      </c>
      <c r="I108" s="525" t="s">
        <v>654</v>
      </c>
      <c r="J108" s="525" t="s">
        <v>456</v>
      </c>
      <c r="K108" s="529" t="s">
        <v>166</v>
      </c>
      <c r="L108" s="525" t="s">
        <v>162</v>
      </c>
      <c r="M108" s="525"/>
    </row>
    <row r="109">
      <c r="A109" s="525" t="s">
        <v>732</v>
      </c>
      <c r="B109" s="525" t="s">
        <v>459</v>
      </c>
      <c r="C109" s="525" t="s">
        <v>437</v>
      </c>
      <c r="D109" s="525" t="s">
        <v>242</v>
      </c>
      <c r="E109" s="525" t="s">
        <v>241</v>
      </c>
      <c r="F109" s="525" t="s">
        <v>549</v>
      </c>
      <c r="G109" s="525" t="s">
        <v>512</v>
      </c>
      <c r="H109" s="525" t="s">
        <v>460</v>
      </c>
      <c r="I109" s="525" t="s">
        <v>656</v>
      </c>
      <c r="J109" s="525" t="s">
        <v>456</v>
      </c>
      <c r="K109" s="529" t="s">
        <v>166</v>
      </c>
      <c r="L109" s="525" t="s">
        <v>185</v>
      </c>
      <c r="M109" s="525"/>
    </row>
    <row r="110">
      <c r="A110" s="525" t="s">
        <v>733</v>
      </c>
      <c r="B110" s="525" t="s">
        <v>459</v>
      </c>
      <c r="C110" s="525" t="s">
        <v>437</v>
      </c>
      <c r="D110" s="525" t="s">
        <v>242</v>
      </c>
      <c r="E110" s="525" t="s">
        <v>241</v>
      </c>
      <c r="F110" s="525" t="s">
        <v>553</v>
      </c>
      <c r="G110" s="525" t="s">
        <v>519</v>
      </c>
      <c r="H110" s="525" t="s">
        <v>460</v>
      </c>
      <c r="I110" s="525" t="s">
        <v>658</v>
      </c>
      <c r="J110" s="525" t="s">
        <v>456</v>
      </c>
      <c r="K110" s="529" t="s">
        <v>166</v>
      </c>
      <c r="L110" s="525" t="s">
        <v>185</v>
      </c>
      <c r="M110" s="525"/>
    </row>
    <row r="111">
      <c r="A111" s="525" t="s">
        <v>734</v>
      </c>
      <c r="B111" s="525" t="s">
        <v>459</v>
      </c>
      <c r="C111" s="525" t="s">
        <v>437</v>
      </c>
      <c r="D111" s="525" t="s">
        <v>242</v>
      </c>
      <c r="E111" s="525" t="s">
        <v>241</v>
      </c>
      <c r="F111" s="525" t="s">
        <v>558</v>
      </c>
      <c r="G111" s="525" t="s">
        <v>735</v>
      </c>
      <c r="H111" s="525" t="s">
        <v>460</v>
      </c>
      <c r="I111" s="525" t="s">
        <v>736</v>
      </c>
      <c r="J111" s="525" t="s">
        <v>456</v>
      </c>
      <c r="K111" s="529" t="s">
        <v>166</v>
      </c>
      <c r="L111" s="525" t="s">
        <v>491</v>
      </c>
      <c r="M111" s="525"/>
    </row>
    <row r="112">
      <c r="A112" s="525" t="s">
        <v>737</v>
      </c>
      <c r="B112" s="525" t="s">
        <v>459</v>
      </c>
      <c r="C112" s="525" t="s">
        <v>437</v>
      </c>
      <c r="D112" s="525" t="s">
        <v>242</v>
      </c>
      <c r="E112" s="525" t="s">
        <v>241</v>
      </c>
      <c r="F112" s="525" t="s">
        <v>561</v>
      </c>
      <c r="G112" s="525" t="s">
        <v>161</v>
      </c>
      <c r="H112" s="525" t="s">
        <v>460</v>
      </c>
      <c r="I112" s="525" t="s">
        <v>663</v>
      </c>
      <c r="J112" s="525" t="s">
        <v>456</v>
      </c>
      <c r="K112" s="529" t="s">
        <v>166</v>
      </c>
      <c r="L112" s="525" t="s">
        <v>185</v>
      </c>
      <c r="M112" s="525"/>
    </row>
    <row r="113">
      <c r="A113" s="525" t="s">
        <v>738</v>
      </c>
      <c r="B113" s="525" t="s">
        <v>459</v>
      </c>
      <c r="C113" s="525" t="s">
        <v>437</v>
      </c>
      <c r="D113" s="525" t="s">
        <v>242</v>
      </c>
      <c r="E113" s="525" t="s">
        <v>241</v>
      </c>
      <c r="F113" s="525" t="s">
        <v>565</v>
      </c>
      <c r="G113" s="525" t="s">
        <v>739</v>
      </c>
      <c r="H113" s="525" t="s">
        <v>460</v>
      </c>
      <c r="I113" s="525" t="s">
        <v>666</v>
      </c>
      <c r="J113" s="525" t="s">
        <v>456</v>
      </c>
      <c r="K113" s="529" t="s">
        <v>166</v>
      </c>
      <c r="L113" s="525" t="s">
        <v>185</v>
      </c>
      <c r="M113" s="525"/>
    </row>
    <row r="114">
      <c r="A114" s="525" t="s">
        <v>740</v>
      </c>
      <c r="B114" s="525" t="s">
        <v>459</v>
      </c>
      <c r="C114" s="525" t="s">
        <v>437</v>
      </c>
      <c r="D114" s="525" t="s">
        <v>242</v>
      </c>
      <c r="E114" s="525" t="s">
        <v>241</v>
      </c>
      <c r="F114" s="525" t="s">
        <v>547</v>
      </c>
      <c r="G114" s="525" t="s">
        <v>741</v>
      </c>
      <c r="H114" s="525" t="s">
        <v>460</v>
      </c>
      <c r="I114" s="525" t="s">
        <v>669</v>
      </c>
      <c r="J114" s="525" t="s">
        <v>456</v>
      </c>
      <c r="K114" s="529" t="s">
        <v>166</v>
      </c>
      <c r="L114" s="525" t="s">
        <v>742</v>
      </c>
      <c r="M114" s="525"/>
    </row>
    <row r="115">
      <c r="A115" s="525" t="s">
        <v>743</v>
      </c>
      <c r="B115" s="525" t="s">
        <v>459</v>
      </c>
      <c r="C115" s="525" t="s">
        <v>437</v>
      </c>
      <c r="D115" s="525" t="s">
        <v>242</v>
      </c>
      <c r="E115" s="525" t="s">
        <v>241</v>
      </c>
      <c r="F115" s="525" t="s">
        <v>672</v>
      </c>
      <c r="G115" s="525" t="s">
        <v>161</v>
      </c>
      <c r="H115" s="525" t="s">
        <v>460</v>
      </c>
      <c r="I115" s="525" t="s">
        <v>673</v>
      </c>
      <c r="J115" s="525" t="s">
        <v>456</v>
      </c>
      <c r="K115" s="529" t="s">
        <v>166</v>
      </c>
      <c r="L115" s="525" t="s">
        <v>179</v>
      </c>
      <c r="M115" s="525"/>
    </row>
    <row r="116">
      <c r="A116" s="525" t="s">
        <v>744</v>
      </c>
      <c r="B116" s="525" t="s">
        <v>459</v>
      </c>
      <c r="C116" s="525" t="s">
        <v>437</v>
      </c>
      <c r="D116" s="525" t="s">
        <v>242</v>
      </c>
      <c r="E116" s="525" t="s">
        <v>241</v>
      </c>
      <c r="F116" s="525" t="s">
        <v>675</v>
      </c>
      <c r="G116" s="525" t="s">
        <v>745</v>
      </c>
      <c r="H116" s="525" t="s">
        <v>460</v>
      </c>
      <c r="I116" s="525" t="s">
        <v>677</v>
      </c>
      <c r="J116" s="525" t="s">
        <v>456</v>
      </c>
      <c r="K116" s="529" t="s">
        <v>166</v>
      </c>
      <c r="L116" s="525" t="s">
        <v>542</v>
      </c>
      <c r="M116" s="525"/>
    </row>
    <row r="117">
      <c r="A117" s="525" t="s">
        <v>746</v>
      </c>
      <c r="B117" s="525" t="s">
        <v>459</v>
      </c>
      <c r="C117" s="525" t="s">
        <v>437</v>
      </c>
      <c r="D117" s="525" t="s">
        <v>242</v>
      </c>
      <c r="E117" s="525" t="s">
        <v>241</v>
      </c>
      <c r="F117" s="525" t="s">
        <v>199</v>
      </c>
      <c r="G117" s="525" t="s">
        <v>747</v>
      </c>
      <c r="H117" s="525" t="s">
        <v>460</v>
      </c>
      <c r="I117" s="525" t="s">
        <v>680</v>
      </c>
      <c r="J117" s="525" t="s">
        <v>456</v>
      </c>
      <c r="K117" s="529" t="s">
        <v>166</v>
      </c>
      <c r="L117" s="525" t="s">
        <v>522</v>
      </c>
      <c r="M117" s="525"/>
    </row>
    <row r="118">
      <c r="A118" s="525" t="s">
        <v>748</v>
      </c>
      <c r="B118" s="525" t="s">
        <v>459</v>
      </c>
      <c r="C118" s="525" t="s">
        <v>437</v>
      </c>
      <c r="D118" s="525" t="s">
        <v>242</v>
      </c>
      <c r="E118" s="525" t="s">
        <v>241</v>
      </c>
      <c r="F118" s="525" t="s">
        <v>205</v>
      </c>
      <c r="G118" s="525" t="s">
        <v>749</v>
      </c>
      <c r="H118" s="525" t="s">
        <v>460</v>
      </c>
      <c r="I118" s="525" t="s">
        <v>206</v>
      </c>
      <c r="J118" s="525" t="s">
        <v>456</v>
      </c>
      <c r="K118" s="529" t="s">
        <v>166</v>
      </c>
      <c r="L118" s="525" t="s">
        <v>750</v>
      </c>
      <c r="M118" s="525"/>
    </row>
    <row r="119">
      <c r="A119" s="525" t="s">
        <v>751</v>
      </c>
      <c r="B119" s="525" t="s">
        <v>459</v>
      </c>
      <c r="C119" s="525" t="s">
        <v>437</v>
      </c>
      <c r="D119" s="525" t="s">
        <v>242</v>
      </c>
      <c r="E119" s="525" t="s">
        <v>241</v>
      </c>
      <c r="F119" s="525" t="s">
        <v>509</v>
      </c>
      <c r="G119" s="525" t="s">
        <v>752</v>
      </c>
      <c r="H119" s="525" t="s">
        <v>460</v>
      </c>
      <c r="I119" s="525" t="s">
        <v>686</v>
      </c>
      <c r="J119" s="525" t="s">
        <v>456</v>
      </c>
      <c r="K119" s="529" t="s">
        <v>166</v>
      </c>
      <c r="L119" s="525" t="s">
        <v>753</v>
      </c>
      <c r="M119" s="525"/>
    </row>
    <row r="120">
      <c r="A120" s="525" t="s">
        <v>754</v>
      </c>
      <c r="B120" s="525" t="s">
        <v>459</v>
      </c>
      <c r="C120" s="525" t="s">
        <v>437</v>
      </c>
      <c r="D120" s="525" t="s">
        <v>242</v>
      </c>
      <c r="E120" s="525" t="s">
        <v>241</v>
      </c>
      <c r="F120" s="525" t="s">
        <v>503</v>
      </c>
      <c r="G120" s="525" t="s">
        <v>755</v>
      </c>
      <c r="H120" s="525" t="s">
        <v>460</v>
      </c>
      <c r="I120" s="525" t="s">
        <v>690</v>
      </c>
      <c r="J120" s="525" t="s">
        <v>456</v>
      </c>
      <c r="K120" s="529" t="s">
        <v>166</v>
      </c>
      <c r="L120" s="525" t="s">
        <v>480</v>
      </c>
      <c r="M120" s="525"/>
    </row>
    <row r="121">
      <c r="A121" s="525" t="s">
        <v>756</v>
      </c>
      <c r="B121" s="525" t="s">
        <v>459</v>
      </c>
      <c r="C121" s="525" t="s">
        <v>437</v>
      </c>
      <c r="D121" s="525" t="s">
        <v>242</v>
      </c>
      <c r="E121" s="525" t="s">
        <v>241</v>
      </c>
      <c r="F121" s="525" t="s">
        <v>582</v>
      </c>
      <c r="G121" s="525" t="s">
        <v>757</v>
      </c>
      <c r="H121" s="525" t="s">
        <v>460</v>
      </c>
      <c r="I121" s="525" t="s">
        <v>693</v>
      </c>
      <c r="J121" s="525" t="s">
        <v>456</v>
      </c>
      <c r="K121" s="529" t="s">
        <v>166</v>
      </c>
      <c r="L121" s="525" t="s">
        <v>205</v>
      </c>
      <c r="M121" s="525"/>
    </row>
    <row r="122">
      <c r="A122" s="525" t="s">
        <v>758</v>
      </c>
      <c r="B122" s="525" t="s">
        <v>459</v>
      </c>
      <c r="C122" s="525" t="s">
        <v>437</v>
      </c>
      <c r="D122" s="525" t="s">
        <v>242</v>
      </c>
      <c r="E122" s="525" t="s">
        <v>241</v>
      </c>
      <c r="F122" s="525" t="s">
        <v>494</v>
      </c>
      <c r="G122" s="525" t="s">
        <v>759</v>
      </c>
      <c r="H122" s="525" t="s">
        <v>460</v>
      </c>
      <c r="I122" s="525" t="s">
        <v>696</v>
      </c>
      <c r="J122" s="525" t="s">
        <v>456</v>
      </c>
      <c r="K122" s="529" t="s">
        <v>166</v>
      </c>
      <c r="L122" s="525" t="s">
        <v>467</v>
      </c>
      <c r="M122" s="525"/>
    </row>
    <row r="123">
      <c r="A123" s="525" t="s">
        <v>760</v>
      </c>
      <c r="B123" s="525" t="s">
        <v>761</v>
      </c>
      <c r="C123" s="525" t="s">
        <v>437</v>
      </c>
      <c r="D123" s="525"/>
      <c r="E123" s="525"/>
      <c r="F123" s="525"/>
      <c r="G123" s="525"/>
      <c r="H123" s="525" t="s">
        <v>762</v>
      </c>
      <c r="I123" s="525" t="s">
        <v>763</v>
      </c>
      <c r="J123" s="525" t="s">
        <v>265</v>
      </c>
      <c r="K123" s="526" t="s">
        <v>372</v>
      </c>
      <c r="L123" s="525" t="s">
        <v>582</v>
      </c>
      <c r="M123" s="525" t="s">
        <v>764</v>
      </c>
    </row>
    <row r="124">
      <c r="A124" s="525" t="s">
        <v>765</v>
      </c>
      <c r="B124" s="525" t="s">
        <v>761</v>
      </c>
      <c r="C124" s="525" t="s">
        <v>437</v>
      </c>
      <c r="D124" s="525"/>
      <c r="E124" s="525"/>
      <c r="F124" s="525"/>
      <c r="G124" s="525"/>
      <c r="H124" s="525" t="s">
        <v>762</v>
      </c>
      <c r="I124" s="525" t="s">
        <v>766</v>
      </c>
      <c r="J124" s="525" t="s">
        <v>265</v>
      </c>
      <c r="K124" s="526" t="s">
        <v>372</v>
      </c>
      <c r="L124" s="525" t="s">
        <v>503</v>
      </c>
      <c r="M124" s="525" t="s">
        <v>767</v>
      </c>
    </row>
    <row r="125">
      <c r="A125" s="525" t="s">
        <v>768</v>
      </c>
      <c r="B125" s="525" t="s">
        <v>761</v>
      </c>
      <c r="C125" s="525" t="s">
        <v>437</v>
      </c>
      <c r="D125" s="525"/>
      <c r="E125" s="525"/>
      <c r="F125" s="525"/>
      <c r="G125" s="525"/>
      <c r="H125" s="525" t="s">
        <v>762</v>
      </c>
      <c r="I125" s="525" t="s">
        <v>769</v>
      </c>
      <c r="J125" s="525" t="s">
        <v>265</v>
      </c>
      <c r="K125" s="526" t="s">
        <v>372</v>
      </c>
      <c r="L125" s="525" t="s">
        <v>770</v>
      </c>
      <c r="M125" s="525" t="s">
        <v>771</v>
      </c>
    </row>
    <row r="126">
      <c r="A126" s="525" t="s">
        <v>772</v>
      </c>
      <c r="B126" s="525" t="s">
        <v>761</v>
      </c>
      <c r="C126" s="525" t="s">
        <v>437</v>
      </c>
      <c r="D126" s="525"/>
      <c r="E126" s="525"/>
      <c r="F126" s="525"/>
      <c r="G126" s="525"/>
      <c r="H126" s="525" t="s">
        <v>762</v>
      </c>
      <c r="I126" s="525" t="s">
        <v>773</v>
      </c>
      <c r="J126" s="525" t="s">
        <v>265</v>
      </c>
      <c r="K126" s="526" t="s">
        <v>372</v>
      </c>
      <c r="L126" s="525" t="s">
        <v>162</v>
      </c>
      <c r="M126" s="525" t="s">
        <v>774</v>
      </c>
    </row>
    <row r="127">
      <c r="A127" s="525" t="s">
        <v>775</v>
      </c>
      <c r="B127" s="525" t="s">
        <v>761</v>
      </c>
      <c r="C127" s="525" t="s">
        <v>437</v>
      </c>
      <c r="D127" s="525"/>
      <c r="E127" s="525"/>
      <c r="F127" s="525"/>
      <c r="G127" s="525"/>
      <c r="H127" s="525" t="s">
        <v>762</v>
      </c>
      <c r="I127" s="525" t="s">
        <v>776</v>
      </c>
      <c r="J127" s="525" t="s">
        <v>265</v>
      </c>
      <c r="K127" s="526" t="s">
        <v>372</v>
      </c>
      <c r="L127" s="525" t="s">
        <v>162</v>
      </c>
      <c r="M127" s="525" t="s">
        <v>777</v>
      </c>
    </row>
    <row r="128">
      <c r="A128" s="525" t="s">
        <v>778</v>
      </c>
      <c r="B128" s="525" t="s">
        <v>761</v>
      </c>
      <c r="C128" s="525" t="s">
        <v>437</v>
      </c>
      <c r="D128" s="525"/>
      <c r="E128" s="525"/>
      <c r="F128" s="525"/>
      <c r="G128" s="525"/>
      <c r="H128" s="525" t="s">
        <v>762</v>
      </c>
      <c r="I128" s="525" t="s">
        <v>779</v>
      </c>
      <c r="J128" s="525" t="s">
        <v>265</v>
      </c>
      <c r="K128" s="526" t="s">
        <v>372</v>
      </c>
      <c r="L128" s="525" t="s">
        <v>162</v>
      </c>
      <c r="M128" s="525" t="s">
        <v>780</v>
      </c>
    </row>
    <row r="129">
      <c r="A129" s="525" t="s">
        <v>781</v>
      </c>
      <c r="B129" s="525" t="s">
        <v>761</v>
      </c>
      <c r="C129" s="525" t="s">
        <v>437</v>
      </c>
      <c r="D129" s="525"/>
      <c r="E129" s="525"/>
      <c r="F129" s="525"/>
      <c r="G129" s="525"/>
      <c r="H129" s="525" t="s">
        <v>762</v>
      </c>
      <c r="I129" s="525" t="s">
        <v>782</v>
      </c>
      <c r="J129" s="525" t="s">
        <v>265</v>
      </c>
      <c r="K129" s="526" t="s">
        <v>372</v>
      </c>
      <c r="L129" s="525" t="s">
        <v>162</v>
      </c>
      <c r="M129" s="525" t="s">
        <v>783</v>
      </c>
    </row>
    <row r="130">
      <c r="A130" s="525" t="s">
        <v>784</v>
      </c>
      <c r="B130" s="525" t="s">
        <v>761</v>
      </c>
      <c r="C130" s="525" t="s">
        <v>437</v>
      </c>
      <c r="D130" s="525"/>
      <c r="E130" s="525"/>
      <c r="F130" s="525"/>
      <c r="G130" s="525"/>
      <c r="H130" s="525" t="s">
        <v>762</v>
      </c>
      <c r="I130" s="525" t="s">
        <v>785</v>
      </c>
      <c r="J130" s="525" t="s">
        <v>265</v>
      </c>
      <c r="K130" s="526" t="s">
        <v>372</v>
      </c>
      <c r="L130" s="525" t="s">
        <v>162</v>
      </c>
      <c r="M130" s="525" t="s">
        <v>786</v>
      </c>
    </row>
    <row r="131">
      <c r="A131" s="525" t="s">
        <v>787</v>
      </c>
      <c r="B131" s="525" t="s">
        <v>761</v>
      </c>
      <c r="C131" s="525" t="s">
        <v>437</v>
      </c>
      <c r="D131" s="525"/>
      <c r="E131" s="525"/>
      <c r="F131" s="525"/>
      <c r="G131" s="525"/>
      <c r="H131" s="525" t="s">
        <v>762</v>
      </c>
      <c r="I131" s="525" t="s">
        <v>788</v>
      </c>
      <c r="J131" s="525" t="s">
        <v>265</v>
      </c>
      <c r="K131" s="526" t="s">
        <v>372</v>
      </c>
      <c r="L131" s="525" t="s">
        <v>162</v>
      </c>
      <c r="M131" s="525" t="s">
        <v>789</v>
      </c>
    </row>
    <row r="132">
      <c r="A132" s="525" t="s">
        <v>790</v>
      </c>
      <c r="B132" s="525" t="s">
        <v>761</v>
      </c>
      <c r="C132" s="525" t="s">
        <v>437</v>
      </c>
      <c r="D132" s="525"/>
      <c r="E132" s="525"/>
      <c r="F132" s="525"/>
      <c r="G132" s="525"/>
      <c r="H132" s="525" t="s">
        <v>762</v>
      </c>
      <c r="I132" s="525" t="s">
        <v>763</v>
      </c>
      <c r="J132" s="525" t="s">
        <v>265</v>
      </c>
      <c r="K132" s="526" t="s">
        <v>372</v>
      </c>
      <c r="L132" s="525" t="s">
        <v>162</v>
      </c>
      <c r="M132" s="525" t="s">
        <v>791</v>
      </c>
    </row>
    <row r="133">
      <c r="A133" s="525" t="s">
        <v>792</v>
      </c>
      <c r="B133" s="525" t="s">
        <v>761</v>
      </c>
      <c r="C133" s="525" t="s">
        <v>437</v>
      </c>
      <c r="D133" s="525"/>
      <c r="E133" s="525"/>
      <c r="F133" s="525"/>
      <c r="G133" s="525"/>
      <c r="H133" s="525" t="s">
        <v>762</v>
      </c>
      <c r="I133" s="525" t="s">
        <v>793</v>
      </c>
      <c r="J133" s="525" t="s">
        <v>265</v>
      </c>
      <c r="K133" s="526" t="s">
        <v>372</v>
      </c>
      <c r="L133" s="525" t="s">
        <v>162</v>
      </c>
      <c r="M133" s="525" t="s">
        <v>794</v>
      </c>
    </row>
    <row r="134">
      <c r="A134" s="525" t="s">
        <v>795</v>
      </c>
      <c r="B134" s="525" t="s">
        <v>761</v>
      </c>
      <c r="C134" s="525" t="s">
        <v>437</v>
      </c>
      <c r="D134" s="525"/>
      <c r="E134" s="525"/>
      <c r="F134" s="525"/>
      <c r="G134" s="525"/>
      <c r="H134" s="525" t="s">
        <v>762</v>
      </c>
      <c r="I134" s="525" t="s">
        <v>796</v>
      </c>
      <c r="J134" s="525" t="s">
        <v>265</v>
      </c>
      <c r="K134" s="526" t="s">
        <v>372</v>
      </c>
      <c r="L134" s="525" t="s">
        <v>162</v>
      </c>
      <c r="M134" s="525" t="s">
        <v>797</v>
      </c>
    </row>
  </sheetData>
</worksheet>
</file>

<file path=xl/worksheets/sheet7.xml><?xml version="1.0" encoding="utf-8"?>
<worksheet xmlns="http://schemas.openxmlformats.org/spreadsheetml/2006/main" xmlns:r="http://schemas.openxmlformats.org/officeDocument/2006/relationships">
  <dimension ref="A1:H33"/>
  <sheetViews>
    <sheetView showGridLines="0" workbookViewId="0"/>
  </sheetViews>
  <sheetFormatPr defaultColWidth="8.375" defaultRowHeight="15"/>
  <cols>
    <col min="1" max="4" width="16.875" customWidth="1"/>
    <col min="5" max="5" width="59.375" customWidth="1"/>
    <col min="6" max="8" width="16.875" customWidth="1"/>
  </cols>
  <sheetData>
    <row r="1">
      <c r="A1" s="528" t="s">
        <v>0</v>
      </c>
      <c r="B1" s="525"/>
      <c r="C1" s="525"/>
      <c r="D1" s="525"/>
      <c r="E1" s="525"/>
      <c r="F1" s="525"/>
      <c r="G1" s="525"/>
      <c r="H1" s="525"/>
    </row>
    <row r="2">
      <c r="A2" s="525" t="s">
        <v>798</v>
      </c>
      <c r="B2" s="525"/>
      <c r="C2" s="525"/>
      <c r="D2" s="525"/>
      <c r="E2" s="525"/>
      <c r="F2" s="525"/>
      <c r="G2" s="525"/>
      <c r="H2" s="525"/>
    </row>
    <row r="3">
      <c r="A3" s="526" t="s">
        <v>799</v>
      </c>
      <c r="B3" s="526"/>
      <c r="C3" s="526"/>
      <c r="D3" s="526"/>
      <c r="E3" s="526"/>
      <c r="F3" s="526"/>
      <c r="G3" s="526"/>
      <c r="H3" s="526"/>
    </row>
    <row r="4">
      <c r="A4" s="525"/>
      <c r="B4" s="525"/>
      <c r="C4" s="525"/>
      <c r="D4" s="525"/>
      <c r="E4" s="525"/>
      <c r="F4" s="525"/>
      <c r="G4" s="525"/>
      <c r="H4" s="525"/>
    </row>
    <row r="5">
      <c r="A5" s="525"/>
      <c r="B5" s="525"/>
      <c r="C5" s="525"/>
      <c r="D5" s="525"/>
      <c r="E5" s="525"/>
      <c r="F5" s="525"/>
      <c r="G5" s="525"/>
      <c r="H5" s="525"/>
    </row>
    <row r="6">
      <c r="A6" s="525"/>
      <c r="B6" s="525"/>
      <c r="C6" s="525"/>
      <c r="D6" s="525"/>
      <c r="E6" s="525"/>
      <c r="F6" s="525"/>
      <c r="G6" s="525"/>
      <c r="H6" s="525"/>
    </row>
    <row r="7">
      <c r="A7" s="525"/>
      <c r="B7" s="525"/>
      <c r="C7" s="525"/>
      <c r="D7" s="525"/>
      <c r="E7" s="525"/>
      <c r="F7" s="525"/>
      <c r="G7" s="525"/>
      <c r="H7" s="525"/>
    </row>
    <row r="8">
      <c r="A8" s="525"/>
      <c r="B8" s="525"/>
      <c r="C8" s="525"/>
      <c r="D8" s="525"/>
      <c r="E8" s="525"/>
      <c r="F8" s="525"/>
      <c r="G8" s="525"/>
      <c r="H8" s="525"/>
    </row>
    <row r="9">
      <c r="A9" s="525"/>
      <c r="B9" s="525"/>
      <c r="C9" s="525"/>
      <c r="D9" s="525"/>
      <c r="E9" s="525"/>
      <c r="F9" s="525"/>
      <c r="G9" s="525"/>
      <c r="H9" s="525"/>
    </row>
    <row r="10">
      <c r="A10" s="525"/>
      <c r="B10" s="525"/>
      <c r="C10" s="525"/>
      <c r="D10" s="525"/>
      <c r="E10" s="525"/>
      <c r="F10" s="525"/>
      <c r="G10" s="525"/>
      <c r="H10" s="525"/>
    </row>
    <row r="11">
      <c r="A11" s="525"/>
      <c r="B11" s="525"/>
      <c r="C11" s="525"/>
      <c r="D11" s="525"/>
      <c r="E11" s="525"/>
      <c r="F11" s="525"/>
      <c r="G11" s="525"/>
      <c r="H11" s="525"/>
    </row>
    <row r="12">
      <c r="A12" s="525"/>
      <c r="B12" s="525"/>
      <c r="C12" s="525"/>
      <c r="D12" s="525"/>
      <c r="E12" s="525"/>
      <c r="F12" s="525"/>
      <c r="G12" s="525"/>
      <c r="H12" s="525"/>
    </row>
    <row r="13">
      <c r="A13" s="525"/>
      <c r="B13" s="525"/>
      <c r="C13" s="525"/>
      <c r="D13" s="525"/>
      <c r="E13" s="525"/>
      <c r="F13" s="525"/>
      <c r="G13" s="525"/>
      <c r="H13" s="525"/>
    </row>
    <row r="14">
      <c r="A14" s="525"/>
      <c r="B14" s="525"/>
      <c r="C14" s="525"/>
      <c r="D14" s="525"/>
      <c r="E14" s="525"/>
      <c r="F14" s="525"/>
      <c r="G14" s="525"/>
      <c r="H14" s="525"/>
    </row>
    <row r="15">
      <c r="A15" s="525"/>
      <c r="B15" s="525"/>
      <c r="C15" s="525"/>
      <c r="D15" s="525"/>
      <c r="E15" s="525"/>
      <c r="F15" s="525"/>
      <c r="G15" s="525"/>
      <c r="H15" s="525"/>
    </row>
    <row r="16">
      <c r="A16" s="525"/>
      <c r="B16" s="525"/>
      <c r="C16" s="525"/>
      <c r="D16" s="525"/>
      <c r="E16" s="525"/>
      <c r="F16" s="525"/>
      <c r="G16" s="525"/>
      <c r="H16" s="525"/>
    </row>
    <row r="17">
      <c r="A17" s="525"/>
      <c r="B17" s="525"/>
      <c r="C17" s="525"/>
      <c r="D17" s="525"/>
      <c r="E17" s="525"/>
      <c r="F17" s="525"/>
      <c r="G17" s="525"/>
      <c r="H17" s="525"/>
    </row>
    <row r="18">
      <c r="A18" s="525"/>
      <c r="B18" s="527"/>
      <c r="C18" s="525"/>
      <c r="D18" s="525"/>
      <c r="E18" s="525"/>
      <c r="F18" s="525"/>
      <c r="G18" s="525"/>
      <c r="H18" s="525"/>
    </row>
    <row r="19">
      <c r="A19" s="525"/>
      <c r="B19" s="527"/>
      <c r="C19" s="525"/>
      <c r="D19" s="525"/>
      <c r="E19" s="525"/>
      <c r="F19" s="525"/>
      <c r="G19" s="525"/>
      <c r="H19" s="525"/>
    </row>
    <row r="20">
      <c r="A20" s="525"/>
      <c r="B20" s="527"/>
      <c r="C20" s="525"/>
      <c r="D20" s="525"/>
      <c r="E20" s="525"/>
      <c r="F20" s="525"/>
      <c r="G20" s="525"/>
      <c r="H20" s="525"/>
    </row>
    <row r="21">
      <c r="A21" s="525"/>
      <c r="B21" s="527"/>
      <c r="C21" s="525"/>
      <c r="D21" s="525"/>
      <c r="E21" s="525"/>
      <c r="F21" s="525"/>
      <c r="G21" s="525"/>
      <c r="H21" s="525"/>
    </row>
    <row r="22">
      <c r="A22" s="525"/>
      <c r="B22" s="527"/>
      <c r="C22" s="525"/>
      <c r="D22" s="525"/>
      <c r="E22" s="525"/>
      <c r="F22" s="525"/>
      <c r="G22" s="525"/>
      <c r="H22" s="525"/>
    </row>
    <row r="23">
      <c r="A23" s="525"/>
      <c r="B23" s="527"/>
      <c r="C23" s="525"/>
      <c r="D23" s="525"/>
      <c r="E23" s="525"/>
      <c r="F23" s="525"/>
      <c r="G23" s="525"/>
      <c r="H23" s="525"/>
    </row>
    <row r="24">
      <c r="A24" s="525"/>
      <c r="B24" s="527"/>
      <c r="C24" s="525"/>
      <c r="D24" s="525"/>
      <c r="E24" s="525"/>
      <c r="F24" s="525"/>
      <c r="G24" s="525"/>
      <c r="H24" s="525"/>
    </row>
    <row r="25">
      <c r="A25" s="525"/>
      <c r="B25" s="527"/>
      <c r="C25" s="525"/>
      <c r="D25" s="525"/>
      <c r="E25" s="525"/>
      <c r="F25" s="525"/>
      <c r="G25" s="525"/>
      <c r="H25" s="525"/>
    </row>
    <row r="26">
      <c r="A26" s="525"/>
      <c r="B26" s="527"/>
      <c r="C26" s="525"/>
      <c r="D26" s="525"/>
      <c r="E26" s="525"/>
      <c r="F26" s="525"/>
      <c r="G26" s="525"/>
      <c r="H26" s="525"/>
    </row>
    <row r="27">
      <c r="A27" s="525"/>
      <c r="B27" s="527"/>
      <c r="C27" s="525"/>
      <c r="D27" s="525"/>
      <c r="E27" s="525"/>
      <c r="F27" s="525"/>
      <c r="G27" s="525"/>
      <c r="H27" s="525"/>
    </row>
    <row r="28">
      <c r="A28" s="525"/>
      <c r="B28" s="527"/>
      <c r="C28" s="525"/>
      <c r="D28" s="525"/>
      <c r="E28" s="525"/>
      <c r="F28" s="525"/>
      <c r="G28" s="525"/>
      <c r="H28" s="525"/>
    </row>
    <row r="29">
      <c r="A29" s="525"/>
      <c r="B29" s="527"/>
      <c r="C29" s="525"/>
      <c r="D29" s="525"/>
      <c r="E29" s="525"/>
      <c r="F29" s="525"/>
      <c r="G29" s="525"/>
      <c r="H29" s="525"/>
    </row>
    <row r="30">
      <c r="A30" s="525"/>
      <c r="B30" s="527"/>
      <c r="C30" s="525"/>
      <c r="D30" s="525"/>
      <c r="E30" s="525"/>
      <c r="F30" s="525"/>
      <c r="G30" s="525"/>
      <c r="H30" s="525"/>
    </row>
    <row r="31">
      <c r="A31" s="525"/>
      <c r="B31" s="527"/>
      <c r="C31" s="525"/>
      <c r="D31" s="525"/>
      <c r="E31" s="525"/>
      <c r="F31" s="525"/>
      <c r="G31" s="525"/>
      <c r="H31" s="525"/>
    </row>
    <row r="32">
      <c r="A32" s="525"/>
      <c r="B32" s="527"/>
      <c r="C32" s="525"/>
      <c r="D32" s="525"/>
      <c r="E32" s="525"/>
      <c r="F32" s="525"/>
      <c r="G32" s="525"/>
      <c r="H32" s="525"/>
    </row>
    <row r="33">
      <c r="A33" s="525"/>
      <c r="B33" s="525"/>
      <c r="C33" s="525"/>
      <c r="D33" s="525"/>
      <c r="E33" s="525"/>
      <c r="F33" s="525"/>
      <c r="G33" s="525"/>
      <c r="H33" s="525"/>
    </row>
  </sheetData>
</worksheet>
</file>

<file path=xl/worksheets/sheet8.xml><?xml version="1.0" encoding="utf-8"?>
<worksheet xmlns="http://schemas.openxmlformats.org/spreadsheetml/2006/main" xmlns:r="http://schemas.openxmlformats.org/officeDocument/2006/relationships">
  <dimension ref="A1:H67"/>
  <sheetViews>
    <sheetView showGridLines="0" workbookViewId="0"/>
  </sheetViews>
  <sheetFormatPr defaultColWidth="8.375" defaultRowHeight="15"/>
  <cols>
    <col min="1" max="1" width="56.875" customWidth="1"/>
    <col min="2" max="8" width="15.625" customWidth="1"/>
  </cols>
  <sheetData>
    <row r="1">
      <c r="A1" s="534" t="s">
        <v>0</v>
      </c>
      <c r="B1" s="530"/>
      <c r="C1" s="530"/>
      <c r="D1" s="530"/>
      <c r="E1" s="530"/>
      <c r="F1" s="530"/>
      <c r="G1" s="530"/>
      <c r="H1" s="530"/>
    </row>
    <row r="2">
      <c r="A2" s="531" t="s">
        <v>800</v>
      </c>
    </row>
    <row r="3">
      <c r="A3" s="531" t="s">
        <v>801</v>
      </c>
    </row>
    <row r="4">
      <c r="A4" s="533"/>
      <c r="B4" s="533"/>
      <c r="C4" s="533"/>
      <c r="D4" s="533"/>
      <c r="E4" s="533"/>
      <c r="F4" s="533"/>
      <c r="G4" s="533"/>
      <c r="H4" s="533"/>
    </row>
    <row r="5">
      <c r="A5" s="534" t="s">
        <v>802</v>
      </c>
      <c r="B5" s="532"/>
      <c r="C5" s="532"/>
      <c r="D5" s="532"/>
      <c r="E5" s="532"/>
      <c r="F5" s="532"/>
      <c r="G5" s="532"/>
      <c r="H5" s="532"/>
    </row>
    <row r="6">
      <c r="A6" s="531" t="s">
        <v>803</v>
      </c>
    </row>
    <row r="7">
      <c r="A7" s="531" t="s">
        <v>804</v>
      </c>
    </row>
    <row r="8">
      <c r="A8" s="531" t="s">
        <v>805</v>
      </c>
    </row>
    <row r="9">
      <c r="A9" s="531" t="s">
        <v>806</v>
      </c>
    </row>
    <row r="10">
      <c r="A10" s="531" t="s">
        <v>807</v>
      </c>
    </row>
    <row r="11">
      <c r="A11" s="531" t="s">
        <v>808</v>
      </c>
    </row>
    <row r="12">
      <c r="A12" s="531" t="s">
        <v>809</v>
      </c>
    </row>
    <row r="13">
      <c r="A13" s="531" t="s">
        <v>810</v>
      </c>
    </row>
    <row r="14">
      <c r="A14" s="531" t="s">
        <v>811</v>
      </c>
    </row>
    <row r="15">
      <c r="A15" s="531" t="s">
        <v>812</v>
      </c>
    </row>
    <row r="16">
      <c r="A16" s="531" t="s">
        <v>813</v>
      </c>
    </row>
    <row r="17">
      <c r="A17" s="531" t="s">
        <v>814</v>
      </c>
    </row>
    <row r="18">
      <c r="A18" s="531" t="s">
        <v>815</v>
      </c>
    </row>
    <row r="19">
      <c r="A19" s="531" t="s">
        <v>816</v>
      </c>
    </row>
    <row r="20">
      <c r="A20" s="531" t="s">
        <v>817</v>
      </c>
    </row>
    <row r="21">
      <c r="A21" s="531" t="s">
        <v>818</v>
      </c>
    </row>
    <row r="22">
      <c r="A22" s="531" t="s">
        <v>819</v>
      </c>
    </row>
    <row r="23">
      <c r="A23" s="531" t="s">
        <v>820</v>
      </c>
    </row>
    <row r="24">
      <c r="A24" s="531" t="s">
        <v>821</v>
      </c>
    </row>
    <row r="25">
      <c r="A25" s="531" t="s">
        <v>822</v>
      </c>
    </row>
    <row r="26">
      <c r="A26" s="531" t="s">
        <v>823</v>
      </c>
    </row>
    <row r="27">
      <c r="A27" s="531" t="s">
        <v>824</v>
      </c>
    </row>
    <row r="28">
      <c r="A28" s="531" t="s">
        <v>825</v>
      </c>
    </row>
    <row r="29">
      <c r="A29" s="531" t="s">
        <v>826</v>
      </c>
    </row>
    <row r="30">
      <c r="A30" s="531" t="s">
        <v>827</v>
      </c>
    </row>
    <row r="31">
      <c r="A31" s="531" t="s">
        <v>828</v>
      </c>
    </row>
    <row r="32">
      <c r="A32" s="531" t="s">
        <v>829</v>
      </c>
    </row>
    <row r="33">
      <c r="A33" s="531" t="s">
        <v>830</v>
      </c>
    </row>
    <row r="34">
      <c r="A34" s="531" t="s">
        <v>831</v>
      </c>
    </row>
    <row r="35">
      <c r="A35" s="531" t="s">
        <v>832</v>
      </c>
    </row>
    <row r="36">
      <c r="A36" s="531" t="s">
        <v>833</v>
      </c>
    </row>
    <row r="37">
      <c r="A37" s="531" t="s">
        <v>834</v>
      </c>
    </row>
    <row r="38">
      <c r="A38" s="531" t="s">
        <v>835</v>
      </c>
    </row>
    <row r="39">
      <c r="A39" s="531" t="s">
        <v>836</v>
      </c>
    </row>
    <row r="40">
      <c r="A40" s="531" t="s">
        <v>837</v>
      </c>
    </row>
    <row r="41">
      <c r="A41" s="531" t="s">
        <v>838</v>
      </c>
    </row>
    <row r="42">
      <c r="A42" s="531" t="s">
        <v>839</v>
      </c>
    </row>
    <row r="43">
      <c r="A43" s="531" t="s">
        <v>840</v>
      </c>
    </row>
    <row r="44">
      <c r="A44" s="531" t="s">
        <v>841</v>
      </c>
    </row>
    <row r="45">
      <c r="A45" s="531" t="s">
        <v>842</v>
      </c>
    </row>
    <row r="46">
      <c r="A46" s="531" t="s">
        <v>843</v>
      </c>
    </row>
    <row r="47">
      <c r="A47" s="531" t="s">
        <v>844</v>
      </c>
    </row>
    <row r="48">
      <c r="A48" s="531" t="s">
        <v>845</v>
      </c>
    </row>
    <row r="49">
      <c r="A49" s="531" t="s">
        <v>846</v>
      </c>
    </row>
    <row r="50">
      <c r="A50" s="531" t="s">
        <v>847</v>
      </c>
    </row>
    <row r="51">
      <c r="A51" s="531" t="s">
        <v>848</v>
      </c>
    </row>
    <row r="52">
      <c r="A52" s="531" t="s">
        <v>849</v>
      </c>
    </row>
    <row r="53">
      <c r="A53" s="531" t="s">
        <v>850</v>
      </c>
    </row>
    <row r="54">
      <c r="A54" s="531" t="s">
        <v>851</v>
      </c>
    </row>
    <row r="55">
      <c r="A55" s="531" t="s">
        <v>852</v>
      </c>
    </row>
    <row r="56">
      <c r="A56" s="531" t="s">
        <v>853</v>
      </c>
    </row>
    <row r="57">
      <c r="A57" s="531" t="s">
        <v>854</v>
      </c>
    </row>
    <row r="58">
      <c r="A58" s="531" t="s">
        <v>855</v>
      </c>
    </row>
    <row r="59">
      <c r="A59" s="531" t="s">
        <v>856</v>
      </c>
    </row>
    <row r="60">
      <c r="A60" s="531" t="s">
        <v>857</v>
      </c>
    </row>
    <row r="61">
      <c r="A61" s="531" t="s">
        <v>858</v>
      </c>
    </row>
    <row r="62">
      <c r="A62" s="531" t="s">
        <v>859</v>
      </c>
    </row>
    <row r="63">
      <c r="A63" s="531" t="s">
        <v>860</v>
      </c>
    </row>
    <row r="64">
      <c r="A64" s="531" t="s">
        <v>861</v>
      </c>
    </row>
    <row r="65">
      <c r="A65" s="531" t="s">
        <v>862</v>
      </c>
    </row>
    <row r="66">
      <c r="A66" s="533"/>
      <c r="B66" s="533"/>
      <c r="C66" s="533"/>
      <c r="D66" s="533"/>
      <c r="E66" s="533"/>
      <c r="F66" s="533"/>
      <c r="G66" s="533"/>
      <c r="H66" s="533"/>
    </row>
    <row r="67">
      <c r="A67" s="531" t="s">
        <v>863</v>
      </c>
    </row>
  </sheetData>
</worksheet>
</file>

<file path=xl/worksheets/sheet9.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539" t="s">
        <v>864</v>
      </c>
      <c r="B1" s="539" t="s">
        <v>865</v>
      </c>
      <c r="C1" s="539" t="s">
        <v>866</v>
      </c>
      <c r="D1" s="539" t="s">
        <v>867</v>
      </c>
      <c r="E1" s="539" t="s">
        <v>868</v>
      </c>
      <c r="F1" s="539" t="s">
        <v>869</v>
      </c>
    </row>
    <row r="2">
      <c r="A2" s="538">
        <v>1</v>
      </c>
      <c r="B2" s="540">
        <v>46324.35932834491</v>
      </c>
      <c r="C2" s="538" t="s">
        <v>870</v>
      </c>
      <c r="D2" s="538" t="s">
        <v>871</v>
      </c>
      <c r="E2" s="538" t="s">
        <v>872</v>
      </c>
      <c r="F2" s="538" t="s">
        <v>873</v>
      </c>
    </row>
  </sheetData>
</worksheet>
</file>