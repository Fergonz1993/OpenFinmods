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EEFF" sheetId="1" r:id="rId1"/>
    <sheet name="Supuestos" sheetId="2" r:id="rId5"/>
    <sheet name="Notas_EEFF" sheetId="3" r:id="rId6"/>
    <sheet name="MDA" sheetId="4" r:id="rId7"/>
    <sheet name="ModeloFinanciero" sheetId="5" r:id="rId8"/>
    <sheet name="Generation_PPA" sheetId="6" r:id="rId9"/>
    <sheet name="Debt_Schedule" sheetId="7" r:id="rId10"/>
    <sheet name="Valuation" sheetId="8" r:id="rId11"/>
    <sheet name="Source_Register" sheetId="9" r:id="rId12"/>
    <sheet name="_CHANGELOG" sheetId="10" r:id="rId13"/>
    <sheet name="_CHECKS" sheetId="11" r:id="rId14"/>
    <sheet name="Claude Code Log" sheetId="12" r:id="rId15"/>
  </sheets>
  <calcPr calcId="0"/>
</workbook>
</file>

<file path=xl/sharedStrings.xml><?xml version="1.0" encoding="utf-8"?>
<sst xmlns="http://schemas.openxmlformats.org/spreadsheetml/2006/main" count="18417" uniqueCount="2606">
  <si>
    <t>Panama Power Holdings, Inc. y Subsidiarias</t>
  </si>
  <si>
    <t>Estados Financieros Auditados FY21-FY25</t>
  </si>
  <si>
    <t>en B/. sin escala</t>
  </si>
  <si>
    <t>Años</t>
  </si>
  <si>
    <t>FY21A</t>
  </si>
  <si>
    <t>FY22A</t>
  </si>
  <si>
    <t>FY23A</t>
  </si>
  <si>
    <t>FY24A</t>
  </si>
  <si>
    <t>FY25A</t>
  </si>
  <si>
    <t>FY26E</t>
  </si>
  <si>
    <t>FY27E</t>
  </si>
  <si>
    <t>FY28E</t>
  </si>
  <si>
    <t>FY29E</t>
  </si>
  <si>
    <t>FY30E</t>
  </si>
  <si>
    <t>Estado de Resultados</t>
  </si>
  <si>
    <t>Venta de energía</t>
  </si>
  <si>
    <t>Compras de energía y costos asociados</t>
  </si>
  <si>
    <t>Cargo de transmisión</t>
  </si>
  <si>
    <t>Total de costo de energía</t>
  </si>
  <si>
    <t>Ingresos por crédito fiscal y otros</t>
  </si>
  <si>
    <t>Depreciación y amortización</t>
  </si>
  <si>
    <t>Operación y mantenimiento</t>
  </si>
  <si>
    <t>Generales y administrativos</t>
  </si>
  <si>
    <t>Otras pérdidas netas</t>
  </si>
  <si>
    <t>Pérdida en activos no financieros</t>
  </si>
  <si>
    <t>Pérdida en activos financieros</t>
  </si>
  <si>
    <t>Total de gastos operativos</t>
  </si>
  <si>
    <t>Utilidad operativa</t>
  </si>
  <si>
    <t>Costos financieros</t>
  </si>
  <si>
    <t>Ingresos financieros</t>
  </si>
  <si>
    <t>Costos financieros, neto</t>
  </si>
  <si>
    <t>Utilidad antes de impuesto sobre la renta</t>
  </si>
  <si>
    <t>Impuesto sobre la renta</t>
  </si>
  <si>
    <t>Utilidad neta integral</t>
  </si>
  <si>
    <t>Balance General</t>
  </si>
  <si>
    <t>Efectivo</t>
  </si>
  <si>
    <t>Depósito a plazo fijo mayor a 90 días</t>
  </si>
  <si>
    <t>Cuentas por cobrar</t>
  </si>
  <si>
    <t>Inventario de repuestos y suministros</t>
  </si>
  <si>
    <t>Gastos pagados por adelantado</t>
  </si>
  <si>
    <t>Crédito fiscal por inversión</t>
  </si>
  <si>
    <t>Otros activos</t>
  </si>
  <si>
    <t>Total de activos circulantes</t>
  </si>
  <si>
    <t>Activo financiero restringido</t>
  </si>
  <si>
    <t>Cuentas por cobrar, no circulante</t>
  </si>
  <si>
    <t>Propiedad, planta y equipo, neto</t>
  </si>
  <si>
    <t>Plusvalía</t>
  </si>
  <si>
    <t>Costos de exploración y evaluación</t>
  </si>
  <si>
    <t>Activos intangibles, neto</t>
  </si>
  <si>
    <t>Activos por derechos de uso</t>
  </si>
  <si>
    <t>Impuesto sobre la renta diferido</t>
  </si>
  <si>
    <t>Crédito fiscal por inversión, no circulante</t>
  </si>
  <si>
    <t>Otros activos, no circulante</t>
  </si>
  <si>
    <t>Total de activos no circulantes</t>
  </si>
  <si>
    <t>Total de activos</t>
  </si>
  <si>
    <t>Cuentas por pagar</t>
  </si>
  <si>
    <t>Bonos por pagar</t>
  </si>
  <si>
    <t>Intereses de bonos por pagar</t>
  </si>
  <si>
    <t>Préstamos por pagar</t>
  </si>
  <si>
    <t>Ingreso diferido por crédito fiscal por inversión</t>
  </si>
  <si>
    <t>Impuesto sobre la renta por pagar</t>
  </si>
  <si>
    <t>Pasivos por arrendamientos</t>
  </si>
  <si>
    <t>Otros pasivos</t>
  </si>
  <si>
    <t>Total de pasivos circulantes</t>
  </si>
  <si>
    <t>Bonos por pagar, neto</t>
  </si>
  <si>
    <t>Préstamos por pagar, no circulante</t>
  </si>
  <si>
    <t>Ingreso diferido por crédito fiscal en inversión</t>
  </si>
  <si>
    <t>Pasivos por arrendamientos, no circulante</t>
  </si>
  <si>
    <t>Otros pasivos, no circulante</t>
  </si>
  <si>
    <t>Total de pasivos no circulantes</t>
  </si>
  <si>
    <t>Total de pasivos</t>
  </si>
  <si>
    <t>Acciones comunes</t>
  </si>
  <si>
    <t>Acciones preferidas</t>
  </si>
  <si>
    <t>Excedente en valor de suscripción de acciones comunes</t>
  </si>
  <si>
    <t>Impuesto complementario</t>
  </si>
  <si>
    <t>Utilidades no distribuidas</t>
  </si>
  <si>
    <t>Total de patrimonio</t>
  </si>
  <si>
    <t>Total de pasivos y patrimonio</t>
  </si>
  <si>
    <t>Estado de Flujos de Efectivo</t>
  </si>
  <si>
    <t>Depreciación</t>
  </si>
  <si>
    <t>Retiro de activo fijo</t>
  </si>
  <si>
    <t>Amortización de intangibles</t>
  </si>
  <si>
    <t>Depreciación de derechos de uso</t>
  </si>
  <si>
    <t>Amortización de costos de financiamiento diferidos</t>
  </si>
  <si>
    <t>Gastos de intereses</t>
  </si>
  <si>
    <t>Ingresos por crédito fiscal</t>
  </si>
  <si>
    <t>Intereses pagados</t>
  </si>
  <si>
    <t>Impuesto sobre la renta pagado</t>
  </si>
  <si>
    <t>Efectivo neto provisto por las actividades de operación</t>
  </si>
  <si>
    <t>Depósito a plazo con vencimiento original mayor a tres meses</t>
  </si>
  <si>
    <t>Costo de evaluación y exploración</t>
  </si>
  <si>
    <t>Adquisición de activos intangibles</t>
  </si>
  <si>
    <t>Adiciones de propiedad, planta y equipo</t>
  </si>
  <si>
    <t>Adquisición de activos por derecho de uso</t>
  </si>
  <si>
    <t>Efectivo neto utilizado en las actividades de inversión</t>
  </si>
  <si>
    <t>Producto de préstamos</t>
  </si>
  <si>
    <t>Pagos de préstamos</t>
  </si>
  <si>
    <t>Pagos de bonos</t>
  </si>
  <si>
    <t>Costo de financiamiento diferido</t>
  </si>
  <si>
    <t>Devolución parcial de excedente en valor de suscripción de acciones comunes</t>
  </si>
  <si>
    <t>Pagos de pasivos por arrendamientos</t>
  </si>
  <si>
    <t>Efectivo neto utilizado en las actividades de financiamiento</t>
  </si>
  <si>
    <t>Aumento (disminución) neta en el efectivo y equivalentes de efectivo</t>
  </si>
  <si>
    <t>Efectivo y equivalentes de efectivo al inicio del año</t>
  </si>
  <si>
    <t>Efectivo y equivalentes de efectivo al final del año</t>
  </si>
  <si>
    <t>COLOR KEY: Input (azul) · Fórmula (negro) · Link inter-hoja (verde)</t>
  </si>
  <si>
    <t>Escenario (1=Base, 2=Bull, 3=Bear)</t>
  </si>
  <si>
    <t xml:space="preserve">  Selector escenario</t>
  </si>
  <si>
    <t>caso</t>
  </si>
  <si>
    <t>NOT_DISCLOSED</t>
  </si>
  <si>
    <t>Input de escenario desde fuente citada o NOT_DISCLOSED.</t>
  </si>
  <si>
    <t xml:space="preserve">  Escenario activo</t>
  </si>
  <si>
    <t>moneda del modelo</t>
  </si>
  <si>
    <t>Selector de caso activo C5: Base/Bull/Bear.</t>
  </si>
  <si>
    <t>Unidad</t>
  </si>
  <si>
    <t>Fuente / nota</t>
  </si>
  <si>
    <t>Rationale</t>
  </si>
  <si>
    <t>A. PRODUCCIÓN POR PLANTA (MWh neto = MW × 8.760 h × CF; CF derivado de generación real, blended hidro+solar)</t>
  </si>
  <si>
    <t xml:space="preserve">  Factor de planta NETO (CF) — activo</t>
  </si>
  <si>
    <t>%</t>
  </si>
  <si>
    <t>a working file kept by the maintainer</t>
  </si>
  <si>
    <t xml:space="preserve">    Bear</t>
  </si>
  <si>
    <t>Escenario driver citado; NOT_DISCLOSED si no hay fuente explícita.</t>
  </si>
  <si>
    <t xml:space="preserve">    Base</t>
  </si>
  <si>
    <t xml:space="preserve">    Bull</t>
  </si>
  <si>
    <t xml:space="preserve">  Horas / año</t>
  </si>
  <si>
    <t>horas/año</t>
  </si>
  <si>
    <t xml:space="preserve">  El Alto — 73.18 MW</t>
  </si>
  <si>
    <t>MW</t>
  </si>
  <si>
    <t>Derivación mecánica por fórmula viva.</t>
  </si>
  <si>
    <t xml:space="preserve">  Pedregalito 1 — 20.1 MW</t>
  </si>
  <si>
    <t xml:space="preserve">  Pedregalito 2 — 12.5 MW</t>
  </si>
  <si>
    <t xml:space="preserve">  Cochea — 15.5 MW</t>
  </si>
  <si>
    <t xml:space="preserve">  Mini Central El Alto — 0.98 MW</t>
  </si>
  <si>
    <t xml:space="preserve">  Pedregalito Solar — 9.9 MW</t>
  </si>
  <si>
    <t xml:space="preserve">  Generación neta total (MWh)</t>
  </si>
  <si>
    <t>MWh</t>
  </si>
  <si>
    <t>F1 fila 76: suma generacion por planta (CF ENSO Bear/Base/Bull por planta, CND A2). Filas 16-21 = memo legacy CF-flota (ya no suman al total forecast).</t>
  </si>
  <si>
    <t>Suma mecánica del bloque.</t>
  </si>
  <si>
    <t>B. PRECIOS POR FUENTE ($/MWh)</t>
  </si>
  <si>
    <t xml:space="preserve">  PPA contratado ($/MWh, blended realizado FY25 potencia+energía)</t>
  </si>
  <si>
    <t>F2/F3: forecast = blended Seccion F (ingresos contratados: award GC-02-2026 fila 85 + PPAs vigentes filas 92/94/96) / MWh contratados fila 32; K = award + 0.5xCochea a 91.649 $/MWh (A4a). Solo energia (capacidad va como termino propio en fila 39). Label pinned por contrato ACTIVE pph_pilot_energy_pxq_v0 (node ppa_blended_price) — hist B-F sigue siendo blended realizado.</t>
  </si>
  <si>
    <t xml:space="preserve">  Spot / merchant ($/MWh) — activo</t>
  </si>
  <si>
    <t>C. VOLUMEN POR CANAL (MWh, con cliffs PPA por parque)</t>
  </si>
  <si>
    <t xml:space="preserve">  MWh contratado (potencia+energía y solo-energía)</t>
  </si>
  <si>
    <t>F2 fila 83 (award GC-02-2026 SED+SEO, MWh/ano activo) + F1 generacion Ped1(55)/Ped2(60)/Cochea(65) mientras PPA vigente (expiries dic-29/jun-30; sin re-contratacion asumida — ausentes de GC-02-2026).</t>
  </si>
  <si>
    <t xml:space="preserve">  MWh spot / merchant (residual)</t>
  </si>
  <si>
    <t>Fila 22 (= F1 fila 76, generacion total ENSO) - fila 32 (contratado). Referencia via fila 22 para mantener el nodo de contrato total_generation_mwh vivo (no decorativo).</t>
  </si>
  <si>
    <t>D. INGRESO POR FUENTE ($ = MWh × precio)</t>
  </si>
  <si>
    <t xml:space="preserve">  Ingreso energía FY25A (auditado, ref EEFF)</t>
  </si>
  <si>
    <t>EEFF:Venta de energía</t>
  </si>
  <si>
    <t>Mirror histórico desde fuente citada.</t>
  </si>
  <si>
    <t xml:space="preserve">  Ingreso PPA</t>
  </si>
  <si>
    <t xml:space="preserve">  Ingreso spot / merchant</t>
  </si>
  <si>
    <t xml:space="preserve">  TOTAL INGRESO ENERGÍA</t>
  </si>
  <si>
    <t>Ingreso PPA (37) + spot/merchant (38) + capacidad El Alto (F2 fila 82: valle FY27 = 0 explicito, award 4.4MW@3.24 desde jul-2028). EEFF Venta de energia incluye canales de capacidad (Nota 20).</t>
  </si>
  <si>
    <t>E. O&amp;M Y COSTOS OPERATIVOS ($)</t>
  </si>
  <si>
    <t xml:space="preserve">  Compras de energía y costos asociados (firming spot, hidrología)</t>
  </si>
  <si>
    <t>F4 fila 102: $/MWh firming (mediana FY22-24 auditada A6g, HCAISAN 84-91% de compras) x MWh comprometido El Alto (fila 83).</t>
  </si>
  <si>
    <t xml:space="preserve">  TOTAL COSTO DE ENERGÍA (COGS)</t>
  </si>
  <si>
    <t xml:space="preserve">  Honorarios administración (RP InterEnergy)</t>
  </si>
  <si>
    <t xml:space="preserve">  Resto G&amp;A (= G&amp;A total F4 auditado A6g − honorarios)</t>
  </si>
  <si>
    <t>F4 fila 116 (G&amp;A total auditado A6g FY24, por subsidiaria) - fila 44 honorarios. Fila 46 = 44+45 = 5,511,351 = G&amp;A emisor FY24.</t>
  </si>
  <si>
    <t xml:space="preserve">  TOTAL GASTOS ADMIN (G&amp;A)</t>
  </si>
  <si>
    <t>F. PROFORMA POR PLANTA — DRIVERS DE VOLUMEN, PRECIO Y COSTO (FY26E-FY30E)</t>
  </si>
  <si>
    <t xml:space="preserve">  Bloque de drivers granulares — CABLEADO al forecast (fix pass 2026-07-12): filas 22/25/32/33/39/42/45 (G-K) consumen F1-F4. Filas 1-46 en posicion: MF referencia 39/43/46 y el trace PxQ 37/38/39 se preserva. O&amp;M total (fila 108) = memo NO cableado: ModeloFinanciero!13 lleva O&amp;M flat FY25A; cablearlo via fila 46 duplicaria O&amp;M.</t>
  </si>
  <si>
    <t>F1. Volumen por planta (CF ENSO x MW x 8.760 h; Bear=FY23 seco / Base=mediana FY21-25 / Bull=FY22 humedo)</t>
  </si>
  <si>
    <t xml:space="preserve">  Pedregalito 1 (GENPED) — CF Bear (FY23 seco)</t>
  </si>
  <si>
    <t>Generation_PPA!A2 (CND generacion_YYYY.xlsx, CF por planta FY21-25) + sector research note (Bear=FY23 seco, Bull=FY22 humedo, Base=mediana)</t>
  </si>
  <si>
    <t xml:space="preserve">  Pedregalito 1 (GENPED) — CF Base (mediana FY21-25)</t>
  </si>
  <si>
    <t xml:space="preserve">  Pedregalito 1 (GENPED) — CF Bull (FY22 humedo)</t>
  </si>
  <si>
    <t xml:space="preserve">  Pedregalito 1 (GENPED) — CF activo (escenario)</t>
  </si>
  <si>
    <t xml:space="preserve">  Pedregalito 1 (GENPED) — Generacion (MWh) = 20.089 MW x 8.760 x CF</t>
  </si>
  <si>
    <t xml:space="preserve">  Pedregalito 2 (RCHICO) — CF Bear (FY23 seco)</t>
  </si>
  <si>
    <t xml:space="preserve">  Pedregalito 2 (RCHICO) — CF Base (mediana FY21-25)</t>
  </si>
  <si>
    <t xml:space="preserve">  Pedregalito 2 (RCHICO) — CF Bull (FY22 humedo)</t>
  </si>
  <si>
    <t xml:space="preserve">  Pedregalito 2 (RCHICO) — CF activo (escenario)</t>
  </si>
  <si>
    <t xml:space="preserve">  Pedregalito 2 (RCHICO) — Generacion (MWh) = 12.52 MW x 8.760 x CF</t>
  </si>
  <si>
    <t xml:space="preserve">  Cochea (ALTOVALLE) — CF Bear (FY23 seco)</t>
  </si>
  <si>
    <t xml:space="preserve">  Cochea (ALTOVALLE) — CF Base (mediana FY21-25)</t>
  </si>
  <si>
    <t xml:space="preserve">  Cochea (ALTOVALLE) — CF Bull (FY22 humedo)</t>
  </si>
  <si>
    <t xml:space="preserve">  Cochea (ALTOVALLE) — CF activo (escenario)</t>
  </si>
  <si>
    <t xml:space="preserve">  Cochea (ALTOVALLE) — Generacion (MWh) = 15.5 MW x 8.760 x CF</t>
  </si>
  <si>
    <t xml:space="preserve">  El Alto + Mini (HCAISAN) — CF Bear (FY23 seco)</t>
  </si>
  <si>
    <t xml:space="preserve">  El Alto + Mini (HCAISAN) — CF Base (mediana FY21-25)</t>
  </si>
  <si>
    <t xml:space="preserve">  El Alto + Mini (HCAISAN) — CF Bull (FY22 humedo)</t>
  </si>
  <si>
    <t xml:space="preserve">  El Alto + Mini (HCAISAN) — CF activo (escenario)</t>
  </si>
  <si>
    <t xml:space="preserve">  El Alto + Mini (HCAISAN) — Generacion (MWh) = 73.18 MW x 8.760 x CF</t>
  </si>
  <si>
    <t xml:space="preserve">  Pedregalito Solar — CF Bear (FY23 seco)</t>
  </si>
  <si>
    <t xml:space="preserve">  Pedregalito Solar — CF Base (mediana FY21-25) (irradiancia; FY23/24 pre-COD excluidos, solo FY25 limpio; sin spread ENSO)</t>
  </si>
  <si>
    <t xml:space="preserve">  Pedregalito Solar — CF Bull (FY22 humedo)</t>
  </si>
  <si>
    <t xml:space="preserve">  Pedregalito Solar — CF activo (escenario)</t>
  </si>
  <si>
    <t xml:space="preserve">  Pedregalito Solar — Generacion (MWh) = 9.9 MW x 8.760 x CF</t>
  </si>
  <si>
    <t xml:space="preserve">  Generacion total proforma (MWh)</t>
  </si>
  <si>
    <t>F2. El Alto (HCAISAN) — cliff PPA: capacidad + energia (adjudicacion GC-02-2026); VALLE de capacidad explicito FY27</t>
  </si>
  <si>
    <t xml:space="preserve">  El Alto — Capacidad contratada activa (MW): FY26 ENSA half -&gt; valle -&gt; award 4.4 MW</t>
  </si>
  <si>
    <t>Generation_PPA!A3b Group 2 (adjudicacion verificada GC-02-2026/LPI 01-26) + maintainer research note</t>
  </si>
  <si>
    <t>Derivación mecánica declarada por el plan.</t>
  </si>
  <si>
    <t xml:space="preserve">  El Alto — Precio potencia ($/kW-mes): $31.62 DCD viejo -&gt; $3.24 award</t>
  </si>
  <si>
    <t xml:space="preserve">  El Alto — Meses de capacidad activos (award inicia 1-jul-2028 = 6m en FY28)</t>
  </si>
  <si>
    <t xml:space="preserve">  El Alto — Ingreso capacidad (potencia) $ = MW x 1000 x $/kW-mes x meses [VALLE FY27]</t>
  </si>
  <si>
    <t xml:space="preserve">  El Alto — Energia contratada award (SED+SEO, MWh/ano activo)</t>
  </si>
  <si>
    <t xml:space="preserve">  El Alto — Precio energia contratada ($/MWh, blended SED $47.3 / SEO $36.1)</t>
  </si>
  <si>
    <t xml:space="preserve">  El Alto — Ingreso energia contratada $ = MWh x $/MWh</t>
  </si>
  <si>
    <t xml:space="preserve">  El Alto — MWh merchant (residual) = Generacion - contratada</t>
  </si>
  <si>
    <t>Supuestos!26 Spot/merchant activo (Task 3, CND) — driver merchant post-expiry</t>
  </si>
  <si>
    <t xml:space="preserve">  El Alto — Ingreso merchant $ = MWh merchant x spot (fila 26)</t>
  </si>
  <si>
    <t xml:space="preserve">  El Alto — Ingreso total $ (capacidad + energia + merchant)</t>
  </si>
  <si>
    <t>F3. Plantas PPA (Pedregalito 1/2, Cochea): precio contratado hasta expiry -&gt; merchant(spot); Solar 100% merchant (sin PPA propio)</t>
  </si>
  <si>
    <t xml:space="preserve">  Pedregalito 1 (GENPED) — Precio ($/MWh): PPA blended hasta expiry, luego merchant(spot)</t>
  </si>
  <si>
    <t>Generation_PPA!A4a (blended PPA $/MWh, MW-weighted) + sector research note; post-expiry: Supuestos!26 Spot/merchant activo (Task 3, CND) — driver merchant post-expiry</t>
  </si>
  <si>
    <t xml:space="preserve">  Pedregalito 1 (GENPED) — Ingreso energia $ = Generacion x precio</t>
  </si>
  <si>
    <t xml:space="preserve">  Pedregalito 2 (RCHICO) — Precio ($/MWh): PPA blended hasta expiry, luego merchant(spot)</t>
  </si>
  <si>
    <t xml:space="preserve">  Pedregalito 2 (RCHICO) — Ingreso energia $ = Generacion x precio</t>
  </si>
  <si>
    <t xml:space="preserve">  Cochea (ALTOVALLE) — Precio ($/MWh): PPA blended hasta expiry, luego merchant(spot)</t>
  </si>
  <si>
    <t xml:space="preserve">  Cochea (ALTOVALLE) — Ingreso energia $ = Generacion x precio</t>
  </si>
  <si>
    <t xml:space="preserve">  Pedregalito Solar — Ingreso energia $ = Generacion x spot (fila 26; sin PPA propio, NOT_DISCLOSED contrato)</t>
  </si>
  <si>
    <t xml:space="preserve">  Ingreso energia total proforma $ (5 plantas: El Alto + 3 PPA + Solar)</t>
  </si>
  <si>
    <t>F4. Costos — compras firming ($/MWh sobre volumen comprometido HCAISAN, A6g) + O&amp;M y G&amp;A por planta (auditado A6g FY24, held flat)</t>
  </si>
  <si>
    <t xml:space="preserve">  Compras — $/MWh sobre volumen comprometido HCAISAN (mediana FY22-24 auditada, A6g)</t>
  </si>
  <si>
    <t>Generation_PPA!A6g (compras HCAISAN auditada FY22-24) + row397 (HCAISAN=84-91% de compras totales)</t>
  </si>
  <si>
    <t xml:space="preserve">  Compras de energia (firming) $ = $/MWh x MWh comprometido El Alto (fila energia award)</t>
  </si>
  <si>
    <t xml:space="preserve">  O&amp;M — Cochea (ALTOVALLE) (A6g FY24 auditado, held flat)</t>
  </si>
  <si>
    <t>Generation_PPA!A6g (Consolidacion IS por subsidiaria, auditada FY24; suma amarra a Nota 22/21 emisor)</t>
  </si>
  <si>
    <t xml:space="preserve">  O&amp;M — Pedregalito Solar (A6g FY24 auditado, held flat)</t>
  </si>
  <si>
    <t xml:space="preserve">  O&amp;M — El Alto (HCAISAN) (A6g FY24 auditado, held flat)</t>
  </si>
  <si>
    <t xml:space="preserve">  O&amp;M — Pedregalito 1 (GENPED) (A6g FY24 auditado, held flat)</t>
  </si>
  <si>
    <t xml:space="preserve">  O&amp;M — Pedregalito 2 (RCHICO) (A6g FY24 auditado, held flat)</t>
  </si>
  <si>
    <t xml:space="preserve">  O&amp;M total proforma $ (amarra a Nota 22 emisor FY24 = 2,549,512)</t>
  </si>
  <si>
    <t xml:space="preserve"> | MEMO fix pass 2026-07-12: NO cableado a MF — MF!13 (Operacion y mantenimiento) va flat FY25A (3,004,212); routearlo via fila 46 (G&amp;A -&gt; MF!14) duplicaria O&amp;M. Driver auditado disponible para Task 8+ si se recablea MF!13.</t>
  </si>
  <si>
    <t xml:space="preserve">  G&amp;A — PPH holdco (A6g FY24 auditado, held flat)</t>
  </si>
  <si>
    <t xml:space="preserve">  G&amp;A — Cochea (ALTOVALLE) (A6g FY24 auditado, held flat)</t>
  </si>
  <si>
    <t xml:space="preserve">  G&amp;A — Pedregalito Solar (A6g FY24 auditado, held flat)</t>
  </si>
  <si>
    <t xml:space="preserve">  G&amp;A — El Alto (HCAISAN) (A6g FY24 auditado, held flat)</t>
  </si>
  <si>
    <t xml:space="preserve">  G&amp;A — Pedregalito 1 (GENPED) (A6g FY24 auditado, held flat)</t>
  </si>
  <si>
    <t xml:space="preserve">  G&amp;A — Pedregalito 2 (RCHICO) (A6g FY24 auditado, held flat)</t>
  </si>
  <si>
    <t xml:space="preserve">  G&amp;A — Otros no-planta (PP Mgmt + PPH Financing) (A6g FY24 auditado, held flat)</t>
  </si>
  <si>
    <t xml:space="preserve">  G&amp;A total proforma $ (amarra a G&amp;A emisor FY24 = 5,511,351)</t>
  </si>
  <si>
    <t>Notas a los Estados Financieros</t>
  </si>
  <si>
    <t>Fuente: informes auditados vía OCR Mistral (verbatim).</t>
  </si>
  <si>
    <t>Año</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</si>
  <si>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</si>
  <si>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</si>
  <si>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</si>
  <si>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</si>
  <si>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</si>
  <si>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</si>
  <si>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</si>
  <si>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</si>
  <si>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</si>
  <si>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</si>
  <si>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</si>
  <si>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</si>
  <si>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</si>
  <si>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</si>
  <si>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</si>
  <si>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</si>
  <si>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</si>
  <si>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</si>
  <si>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</si>
  <si>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2022</t>
  </si>
  <si>
    <t>INA_PPHO_2022_0.pdf</t>
  </si>
  <si>
    <t>page-44</t>
  </si>
  <si>
    <t>markdown.md</t>
  </si>
  <si>
    <t>1</t>
  </si>
  <si>
    <t>1. Información General</t>
  </si>
  <si>
    <t>Otros</t>
  </si>
  <si>
    <t>Panama Power Holdings, Inc. (la "Compañía" o "PPH") fue constituida el 4 de abril de 2007 mediante Escritura Pública No.8298 de acuerdo con las leyes de la República de Panamá y continuada según Ley de Sociedades Mercantiles de las Islas Vírgenes Británicas el 3 de marzo de 2011 bajo el No.1575385, según consta en Escritura Pública No.6,697 del 19 de marzo de 2010.</t>
  </si>
  <si>
    <t>OK</t>
  </si>
  <si>
    <t>La principal actividad de la Compañía y sus subsidiarias (en adelante el "Grupo") es llevar a cabo el negocio de generación de energía eléctrica, ya sea en forma directa o indirecta mediante la inversión o participación en sociedades que se dediquen a este giro de negocio. Todas las subsidiarias del Grupo se encuentran incorporadas en la República de Panamá.</t>
  </si>
  <si>
    <t>La oficina principal del Grupo se encuentra ubicada en Paseo Roberto Motta, Costa del Este, Capital Plaza, Piso 12 en la Ciudad de Panamá, República de Panamá.</t>
  </si>
  <si>
    <t>La siguiente tabla muestra las subsidiarias del Grupo, la fecha de adquisición y el porcentaje de participación:</t>
  </si>
  <si>
    <t>| Compañías Subsidiarias | Porcentaje de Participación | Fecha de Adquisición | | --- | --- | --- | | Generadora Alto Valle, S. A. | 100% | 27/12/2007 | | Generadora Pedregalito, S. A. | 100% | 28/12/2007 | | Generadora Río Chico, S. A. | 100% | 28/12/2007 | | Hydro Caisán, S. A. | 100% | 30/06/2010 | | Panama Power Management Services, S. A. | 100% | 02/03/2012 | | Pedregalito Solar Power, S. A. | 100% | 07/07/2014 | | Río Chico Solar Power, S. A. | 100% | 07/07/2014 | | PPH Financing Services, S. A. | 100% | 17/03/2016 |</t>
  </si>
  <si>
    <t>Las subsidiarias Generadora Pedregalito, S. A. (central "Pedregalito 1") y Generadora Río Chico, S. A. (central "Pedregalito 2") iniciaron la generación de energía en abril y octubre de 2011, respectivamente, la subsidiaria Generadora Alto Valle, S. A. (central "Cochea") inició la generación de energía en octubre de 2012 y la subsidiaria Hydro Caisán, S. A. (central "El Alto") en agosto de 2014. La principal actividad de las otras subsidiarias es brindar soporte a las operaciones del Grupo Panama Power Holdings, Inc.</t>
  </si>
  <si>
    <t>Mediante Escritura Pública No. 2,797 del 28 de julio de 2021, inscrita en el Registro Público de Panamá el 25 de agosto de 2021, se protocolizó Acta de la Asamblea de Accionistas de la sociedad Generadora Río Piedra, S. A., para autorizar la disolución de la sociedad.</t>
  </si>
  <si>
    <t>Mediante Escritura Pública No.2,798 del 28 de julio de 2021, inscrita en el Registro Público de Panamá el 16 de agosto de 2021, se protocolizó Acta de la Asamblea de Accionistas de la sociedad Multi Magnetic, Inc., para autorizar la disolución de la sociedad.</t>
  </si>
  <si>
    <t>page-45</t>
  </si>
  <si>
    <t>1. Información General (Continuación)</t>
  </si>
  <si>
    <t>Mediante Escritura Pública No.2,799 del 28 de julio de 2021, inscrita en el Registro Público de Panamá el 16 de agosto de 2021, se protocolizó Acta de la Asamblea de Accionistas de la sociedad Caldera Power, Inc., para autorizar la disolución de la sociedad.</t>
  </si>
  <si>
    <t>Mediante Escritura Pública No. 3465 de 8 de septiembre de 2021 se protocolizó el acuerdo de fusión entre las subsidiarias Hydro Caisán, S. A. y G.R.K. Energy Corp., mediante el cual Hydro Caisán, S. A. se mantiene como la entidad absorbente. Esta fusión se da para consolidar las sociedades que forman parte de un mismo proyecto. Derivado de esta fusión, las partes acordaron convertir la totalidad de las acciones de G.R.K. Energy Corp. en 100 acciones comunes sin valor nominal de Hydro Caisán, S. A., emitidas al accionista de la subsidiaria. La fusión por absorción no representó flujo de efectivo y se realizó a su valor en libros.</t>
  </si>
  <si>
    <t>Mediante Escritura Pública No. 3464 de 8 de septiembre de 2021 se protocolizó el acuerdo de fusión entre las subsidiarias Hydro Caisán, S. A. y Goodsea Inc., mediante el cual Hydro Caisán, S. A. se mantiene como la entidad absorbente. Esta fusión se da para consolidar las sociedades que forman parte de un mismo proyecto. Derivado de esta fusión, las partes acordaron convertir la totalidad de las acciones de Goodsea, Inc. en 100 acciones comunes sin valor nominal de Hydro Caisán, S. A., emitidas al accionista de la subsidiaria. La fusión por absorción no representó flujo de efectivo y se realizó a su valor en libros.</t>
  </si>
  <si>
    <t>Los estados financieros consolidados de Panama Power Holdings, Inc. y Subsidiarias fueron aprobados para su emisión por el Presidente del Grupo el 31 de marzo de 2023. El Presidente del Grupo tiene la autoridad de modificación y remisión de los estados financieros consolidados después de aprobados.</t>
  </si>
  <si>
    <t>2</t>
  </si>
  <si>
    <t>2. Resumen de las Políticas de Contabilidad Significativas</t>
  </si>
  <si>
    <t>Políticas contables</t>
  </si>
  <si>
    <t>Las principales políticas de contabilidad aplicadas en la preparación de los estados financieros consolidados se presentan a continuación. Estas políticas de contabilidad fueron utilizadas consistentemente con el período anterior, a menos que se indique lo contrario.</t>
  </si>
  <si>
    <t>Estos estados financieros consolidados han sido preparados de acuerdo con las Normas Internacionales de Información Financiera (NIIF) y las interpretaciones relacionadas adoptadas por el Consejo de Normas Internacionales de Contabilidad (IASB por sus siglas en inglés). Los estados financieros consolidados han sido preparados sobre la base de costo histórico.</t>
  </si>
  <si>
    <t>page-46</t>
  </si>
  <si>
    <t>2. Resumen de las Políticas de Contabilidad Significativas (Continuación)</t>
  </si>
  <si>
    <t>### Base de Preparación (continuación)</t>
  </si>
  <si>
    <t>La preparación de los estados financieros consolidados de conformidad con NIIF requiere de juicios profesionales por parte de la Alta Gerencia y estimaciones de contabilidad críticas. También, requiere que la Administración use su juicio en el proceso de aplicación de las políticas de contabilidad del Grupo. Las estimaciones contables críticas y juicios en la aplicación de las políticas contables se revelan en la Nota 3.</t>
  </si>
  <si>
    <t>### Nuevas Normas, Enmiendas Adoptadas por el Grupo</t>
  </si>
  <si>
    <t>Propiedades, Planta y Equipo: Ingresos antes del uso previsto-Modificaciones a la NIC 16: Esta modificación prohíbe que una entidad deduzca del costo de un elemento de PP&amp;amp;E cualquier ingreso recibido por la venta de elementos producidos mientras la entidad está preparando el activo para su uso previsto. Vigencia: Períodos que inician o posteriores al 1 de enero de 2022.</t>
  </si>
  <si>
    <t>Referencia al Marco Conceptual-Modificaciones a la NIIF 3: Se realizaron modificaciones menores a la NIIF 3 Combinaciones de Negocios para actualizar las referencias al marco conceptual para la información financiera y agregar una excepción para el reconocimiento de pasivos y pasivos contingentes dentro del alcance de la NIC 37 Provisiones, pasivos contingentes y activos contingentes y la Interpretación 21- tasas de impuestos. Períodos que inician o posteriores al 1 de enero de 2022.</t>
  </si>
  <si>
    <t>Contratos onerosos - Costo de cumplir un contrato-Enmienda a la NIC 37: Esta enmienda aclara que los costos directos de cumplir un contrato incluyen tanto los costos incrementales del contrato como una asignación de otros costos directamente relacionados con el cumplimiento de los contratos. Antes de reconocer una provisión separada por un contrato oneroso, la entidad reconoce cualquier pérdida por deterioro que haya ocurrido en los activos utilizados para cumplir el contrato. Períodos que inician o posteriores al 1 de enero de 2022.</t>
  </si>
  <si>
    <t>Mejoras anuales a las normas NIIF - 2018-2020: NIIF 9 Instrumentos financieros: aclara qué honorarios deben incluirse en la prueba del 10% para la baja de pasivos financieros; NIIF 16 Arrendamientos - elimina el ejemplo ilustrativo de los pagos del arrendador en relación con el arrendamiento de mejoras y elimina cualquiera confusión sobre el tratamiento de incentivos de arrendamiento. Vigencia: Períodos que inician o posteriores al 1 de enero de 2022.</t>
  </si>
  <si>
    <t>Las modificaciones y enmiendas indicadas anteriormente no tuvieron ningún impacto en los montos reconocidos en períodos anteriores y no se espera que afecten significativamente el período actual o futuros.</t>
  </si>
  <si>
    <t>No hay otras nuevas normas, modificaciones o interpretaciones que estén vigentes en el período 2022 que causen un efecto material en el Grupo en el período actual y períodos futuros.</t>
  </si>
  <si>
    <t>page-47</t>
  </si>
  <si>
    <t>## Base de Preparación (continuación)</t>
  </si>
  <si>
    <t>## Pronunciamientos Contables Emitidos y Aplicables en Períodos Futuros</t>
  </si>
  <si>
    <t>Información a revelar sobre políticas contables: modificaciones a la NIC 1 y al Documento de Práctica No.2 de las NIIF. Las modificaciones definen qué es "información material sobre políticas contables" y explican cómo identificar cuándo la información sobre políticas contables es material. En adición, la modificación proporciona orientación sobre cómo aplicar el concepto de materialidad a las revelaciones de políticas contables. Fecha de vigencia: períodos que inicien o posteriores al 1 de enero de 2023.</t>
  </si>
  <si>
    <t>Definición de Estimaciones Contables - modificaciones a la NIC 8: La modificación a la NIC 8 aclara cómo las entidades deben distinguir entre cambios en las políticas contables y cambios en las estimaciones contables. Los cambios en las estimaciones contables se aplican prospectivamente a las transacciones futuras, mientras que los cambios en las políticas contables generalmente se aplican retrospectivamente a las transacciones pasadas, así como al período actual. Fecha de vigencia: períodos que comiencen o sean posteriores al 1 de enero de 2023.</t>
  </si>
  <si>
    <t>Modificación de la NIC 12 - Impuesto diferido relacionado con activos y pasivos que surgen de una sola transacción. Estas modificaciones requieren que las empresas reconozcan el impuesto diferido sobre las transacciones que, en el reconocimiento inicial, den lugar a montos iguales de diferencias temporarias imponibles y deducibles. Vigencia: Períodos que inician o posteriores al 1 de enero de 2023.</t>
  </si>
  <si>
    <t>El Grupo está en el proceso de evaluar el posible impacto de estas modificaciones y mejoras en los estados financieros consolidados.</t>
  </si>
  <si>
    <t>No hay otras nuevas normas o modificaciones que hayan sido publicadas y que no son mandatarias para el período 2022 que causen un efecto material en la Grupo en el período actual y períodos futuros.</t>
  </si>
  <si>
    <t>## Moneda Funcional y de Presentación</t>
  </si>
  <si>
    <t>Los estados financieros consolidados están expresados en balboas (B/.), la unidad monetaria de la República de Panamá, la cual está a la par y es de libre cambio con el dólar (US$) de los Estados Unidos de América. La República de Panamá no emite papel moneda propio y, en su lugar, el dólar (US$) de los Estados Unidos de América, es utilizado como moneda de curso legal y moneda funcional.</t>
  </si>
  <si>
    <t>page-48</t>
  </si>
  <si>
    <t>Base de Preparación (continuación)</t>
  </si>
  <si>
    <t>## Principio de Consolidación</t>
  </si>
  <si>
    <t>Las subsidiarias son todas las entidades (incluidas las entidades estructuradas) sobre las que el Grupo tiene control. El Grupo controla una entidad cuando el Grupo está expuesta a, o tiene los derechos a los rendimientos variables a partir de participación en la entidad y tiene la capacidad de afectar dichos rendimientos a través de su poder sobre la entidad. Las subsidiarias son consolidadas desde la fecha en que se transfiere el control al Grupo, y se desconsolidan desde la fecha en que cesa el control.</t>
  </si>
  <si>
    <t>El Grupo utiliza el método de adquisición para contabilizar las combinaciones de negocios. La contraprestación transferida por la adquisición de una subsidiaria es el valor razonable de los activos transferidos, los pasivos incurridos a los anteriores propietarios de la adquirida y las participaciones en el patrimonio del Grupo. La contraprestación transferida incluye el valor razonable de cualquier activo o pasivo resultante de un acuerdo de contraprestación contingente. Los activos identificables adquiridos y los pasivos y pasivos contingentes asumidos en una combinación de negocios se miden inicialmente a sus valores razonables a la fecha de adquisición. El Grupo reconoce cualquier participación no controladora en la adquirida en una base de adquisición por adquisición, ya sea por su valor razonable o por la parte proporcional de la participación no controladora de los montos reconocidos de los activos netos identificables de la adquirida.</t>
  </si>
  <si>
    <t>Los costos relacionados con la adquisición se reconocen como gastos cuando se incurren.</t>
  </si>
  <si>
    <t>Si la combinación de negocios se realiza por etapas, a la fecha de adquisición el valor en libros de la participación previa de la adquirida se vuelve a valorar al valor razonable a la fecha de adquisición; cualquier ganancia o pérdida resultante de tal remedición se reconoce en el resultado del período.</t>
  </si>
  <si>
    <t>Cualquier contraprestación contingente a ser transferido por el Grupo es reconocida a su valor razonable a la fecha de adquisición. Los cambios posteriores en el valor razonable de la contraprestación contingente que se considere un activo o pasivo se reconocerán de acuerdo con la NIIF 9, en el estado consolidado de resultado integral. La contraprestación contingente que se haya clasificado como patrimonio no se vuelve a medir, y su liquidación posterior se contabiliza dentro del patrimonio.</t>
  </si>
  <si>
    <t>Las transacciones entre compañías, los saldos y las ganancias no realizadas en transacciones entre compañías se eliminan. También se eliminan las pérdidas no realizadas. Cuando sea necesario, los montos reportados por las subsidiarias se han ajustado para uniformarlos con las políticas de contabilidad del Grupo.</t>
  </si>
  <si>
    <t>page-49</t>
  </si>
  <si>
    <t>## Principio de Consolidación (continuación)</t>
  </si>
  <si>
    <t>### Cambios en las Participaciones en Subsidiarias sin Cambio de Control</t>
  </si>
  <si>
    <t>Las transacciones con participaciones no controladoras que no resultan en una pérdida de control se contabilizan como transacciones de patrimonio, es decir, como transacciones con los propietarios en su condición como tales. La diferencia entre el valor razonable de cualquier contraprestación pagada y la correspondiente proporción del valor en libros de los activos netos de la subsidiaria se registra en el patrimonio. Las ganancias o pérdidas por disposición de participaciones no controladoras también se registran en el patrimonio.</t>
  </si>
  <si>
    <t>### Disposición de Subsidiarias</t>
  </si>
  <si>
    <t>Cuando el Grupo cesa de tener control en algunas de las subsidiarias, las participaciones retenidas en la entidad se vuelven a medir a su valor razonable a la fecha cuando se pierde el control, con el cambio en el valor en libros reconocido en el resultado del período. El valor razonable es el valor en libros inicial a efectos de la contabilización posterior de la participación retenida en la asociada, negocio conjunto o activo financiero. Además, cualquier importe previamente reconocido en otro resultado integral en relación con dicha entidad se contabiliza como si el Grupo hubiera dispuesto directamente de los activos o pasivos relacionados. Esto puede significar que los importes previamente reconocidos en utilidades (pérdidas) integrales se reclasifiquen a resultados.</t>
  </si>
  <si>
    <t>Para propósitos del estado consolidado de flujos de efectivo, el Grupo considera como efectivo, el efectivo, los efectos de caja y los depósitos a la vista en instituciones financieras.</t>
  </si>
  <si>
    <t>El efectivo se clasifica como restringido cuando no está disponible para el uso del Grupo. El efectivo restringido se clasifica como circulante cuando se espera que su liberación ocurra dentro de un año y no circulante cuando su disponibilidad sea mayor que dicho período (Nota 10).</t>
  </si>
  <si>
    <t>El Grupo mantiene las cuentas por cobrar comerciales con el objetivo de cobrar los flujos de efectivo contractuales y, por lo tanto, las mide posteriormente al costo amortizado utilizando el método del interés efectivo, menos cualquier estimación para deterioro.</t>
  </si>
  <si>
    <t>### Deterioro de Activos Financieros</t>
  </si>
  <si>
    <t>Los activos financieros se evalúan en cada fecha del estado consolidado de situación financiera para determinar si existe evidencia de deterioro. Un activo financiero estará deteriorado si existe evidencia de que como resultado de uno o más eventos ocurridos después de la fecha de reconocimiento inicial, los flujos de efectivo futuros han sido afectados.</t>
  </si>
  <si>
    <t>page-50</t>
  </si>
  <si>
    <t>## Activos Financieros (continuación)</t>
  </si>
  <si>
    <t>### Baja en Activos Financieros</t>
  </si>
  <si>
    <t>Los activos financieros son dados de baja sólo cuando los derechos contractuales a recibir flujos de efectivo han expirado; o cuando se han transferido los activos financieros y sustancialmente todos los riesgos y beneficios inherente a propiedad del activo a otra entidad. Si el Grupo no transfiere ni retiene sustancialmente todos los riesgos y beneficios de la propiedad y continúa con el control del activo transferido, este reconoce su interés retenido en el activo y un pasivo relacionado por los montos que pudiera tener que pagar. Si el Grupo retiene sustancialmente todos los riesgos y beneficios de la propiedad de un activo financiero transferido, este continúa reconociendo el activo financiero y también reconoce un pasivo garantizado por el importe recibido.</t>
  </si>
  <si>
    <t>Los inventarios, que consisten en repuestos y suministros, son presentados al costo (valor de adquisición) o valor de realización, el que sea menor. El costo de inventarios de los repuestos y suministros se determina utilizando el método de primera entrada primera salida (the first-in, first-out, FIFO, por sus siglas en Inglés). Cada año, el Grupo evalúa la necesidad de registrar cualquier ajuste para deterioro u obsolescencia de inventario.</t>
  </si>
  <si>
    <t>La plusvalía resulta de la adquisición de subsidiarias y representa el exceso de la contraprestación transferida, del monto de cualquier participación no controladora en la adquirida y del valor razonable de cualquier participación patrimonial anterior en la adquirida sobre el valor razonable de los activos identificables netos adquiridos. Si el total de la contraprestación transferida, participación no controladora reconocida y participación mantenida previamente medidos al valor razonable es menor que el valor razonable de los activos netos de la subsidiaria adquirida, en el caso de una compra negociada, la diferencia es reconocida directamente en el estado consolidado de resultado integral.</t>
  </si>
  <si>
    <t>Para propósitos de la prueba de deterioro, la plusvalía adquirida en una combinación de negocios es asignada a cada una de las unidades generadoras de efectivo o grupos de unidades generadoras de efectivo, que se espera se beneficien de las sinergias de la combinación. Cada unidad o grupo de unidades a las que se asigna la plusvalía representa el nivel más bajo dentro de la entidad a la que la plusvalía es monitoreada para propósitos de administración interna. La plusvalía es monitoreada a nivel de segmento operativo.</t>
  </si>
  <si>
    <t>page-51</t>
  </si>
  <si>
    <t>### Plusvalía (continuación)</t>
  </si>
  <si>
    <t>Las revisiones de deterioro de la plusvalía se realizan anualmente o con mayor frecuencia si eventos o cambios en las circunstancias indican un deterioro potencial. El valor en libros de la unidad generadora de efectivo que contiene la plusvalía se compara con el importe recuperable, que es el mayor entre el valor de uso y el valor razonable menos los costos de disposición. Cualquier deterioro se reconoce inmediatamente como un gasto y no se reversa posteriormente.</t>
  </si>
  <si>
    <t>La servidumbre (derecho de uso) se presenta en el estado consolidado de situación financiera, al costo menos la amortización acumulada. La amortización se calcula bajo el método de línea recta para asignar el costo de estos derechos a su vida útil estimada de 50 años.</t>
  </si>
  <si>
    <t>#### Propiedad, Planta y Equipo</t>
  </si>
  <si>
    <t>La propiedad, planta y equipo están valorados al costo de adquisición menos depreciación acumulada y cualquier ajuste por deterioro.</t>
  </si>
  <si>
    <t>Las erogaciones son capitalizadas solamente cuando aumentan los beneficios económicos del activo. Todas las demás erogaciones se reconocen en el estado consolidado de resultado integral en la medida que se incurren.</t>
  </si>
  <si>
    <t>La depreciación se determina utilizando el método de línea recta, con base en vida útil estimada de los activos respectivos. La vida útil estimada de los activos es como se sigue:</t>
  </si>
  <si>
    <t>| Planta y equipo | 20 a 40 años | | --- | --- | | Equipo rodante | 3 a 5 años | | Mobiliario y equipo | 3 a 10 años | | Equipos menores | 3 a 5 años | | Mejoras y almacén | 5 a 10 años |</t>
  </si>
  <si>
    <t>Los valores residuales de los activos y las vidas útiles son revisados al final de cada período sobre el que se informa y son ajustados si es apropiado.</t>
  </si>
  <si>
    <t>El valor en libros de un activo es rebajado inmediatamente a su monto recuperable si el valor en libros del activo es mayor que su monto recuperable estimado.</t>
  </si>
  <si>
    <t>page-52</t>
  </si>
  <si>
    <t>### Propiedad, Planta y Equipo (continuación)</t>
  </si>
  <si>
    <t>Las ganancias o pérdidas en disposiciones son determinadas comparando el valor razonable de la contraprestación recibida con el valor en libros del activo y son reconocidas en el estado consolidado de resultado integral.</t>
  </si>
  <si>
    <t>El Grupo como arrendatario, reconoce activos a valor presente por el derecho de uso recibido y pasivos por las obligaciones de pago para todos los arrendamientos en el estado consolidado de situación financiera.</t>
  </si>
  <si>
    <t>Los pasivos por arrendamiento incluyen los siguientes pagos de arrendamiento:</t>
  </si>
  <si>
    <t>- pagos fijos, menos incentivos de arrendamiento ofrecidos por el arrendador; - pagos variables vinculados a un índice o tasa de interés; - pagos residuales esperados de garantías de valor residual; - sanciones contractuales por la rescisión de un contrato de arrendamiento si el plazo del arrendamiento refleja el ejercicio de una opción de rescisión.</t>
  </si>
  <si>
    <t>Los pagos de arrendamiento se descuentan a la tasa de interés implícita subyacente al arrendamiento en la medida en que esto pueda determinarse. De lo contrario, el descuento es a la tasa de endeudamiento incremental.</t>
  </si>
  <si>
    <t>Los activos de derecho de uso se miden al costo, que comprende lo siguiente:</t>
  </si>
  <si>
    <t>- el importe de la medición inicial del pasivo por arrendamiento, - cualquier pago de arrendamiento realizado en o antes de la fecha de inicio menos - cualquier incentivo de arrendamiento recibido, - cualquier costo directo inicial, y - los costos de restauración.</t>
  </si>
  <si>
    <t>El Grupo hará uso de las opciones provistas para arrendamientos de activos de bajo valor y arrendamientos a corto plazo (menos de doce meses) y reconocerá los pagos directamente en el estado consolidado de resultado integral según el método de línea recta. Además, la nueva norma no se aplica a los arrendamientos de activos intangibles. El Grupo también ejerce la opción disponible para contratos que contienen como también para los que no contienen componentes de arrendamiento, la cual consiste en no dividir estos componentes, excepto en el caso de arrendamientos de bienes inmuebles y aeronaves.</t>
  </si>
  <si>
    <t>page-53</t>
  </si>
  <si>
    <t>### Arrendamiento (continuación)</t>
  </si>
  <si>
    <t>Para los arrendamientos operativos, el Grupo reporta el activo arrendado a costo amortizado como un activo bajo Propiedad, planta y equipo donde es el arrendador. Los pagos de arrendamiento recibidos en el período se muestran en Otros ingresos operativos en el estado consolidado de resultado integral.</t>
  </si>
  <si>
    <t>Cuando el Grupo es el arrendador en un arrendamiento financiero, reconoce los activos como cuentas por cobrar por el importe de la inversión neta en el estado consolidado de situación financiera.</t>
  </si>
  <si>
    <t>### Costos de Exploración y Evaluación</t>
  </si>
  <si>
    <t>Los costos de exploración y evaluación contienen todas las erogaciones incurridas en los estudios técnicos y estudios de impacto ambiental que se originan en cada proyecto. En caso de que hubiese un deterioro sobre los costos de exploración y evaluación, estos se registran en los resultados (véase Nota 12).</t>
  </si>
  <si>
    <t>### Deterioro del Valor de Activos</t>
  </si>
  <si>
    <t>Los activos intangibles que tienen una vida útil indefinida o activos intangibles que no están listos para su uso, no están sujetos a amortización y son sometidos anualmente a una evaluación para determinar si su valor ha sufrido deterioro. Los activos sujetos a amortización son revisados por deterioro cuando los eventos o cambios en las circunstancias indican que el valor en libros puede no ser recuperable. Una pérdida por deterioro es reconocida por el monto en que el valor en libros del activo excede su importe recuperable. El importe recuperable es el mayor entre el valor razonable del activo menos los costos de disposición y el valor en uso. Para propósitos del análisis del deterioro, los activos se agrupan a los niveles más bajos para los cuales existen flujos de efectivo en gran medida independientes (unidades generadoras de efectivo). Deterioros anteriores de activos no financieros (distintos de la plusvalía) son revisados para su posible reversión en cada fecha de reporte.</t>
  </si>
  <si>
    <t>Las cuentas por pagar son reconocidas inicialmente al valor razonable y subsecuentemente medidas al costo amortizado. Estos montos representan obligaciones por bienes y servicios provistos al Grupo antes del cierre del período.</t>
  </si>
  <si>
    <t>page-54</t>
  </si>
  <si>
    <t>Se reconocen las provisiones cuando El Grupo tiene una obligación presente (legal o constructiva) como resultado de un evento pasado, si es probable que una salida de los recursos que incorporan beneficios económicos será requerida para cancelar la obligación y una estimación confiable se pueden realizar del monto de la obligación. Cuando El Grupo espera que algunas o todas las provisiones sean reembolsadas, por ejemplo, bajo un contrato de seguro, el reembolso es reconocido como un activo separado, pero sólo cuando el reembolso sea virtualmente seguro. El gasto relacionado con cualquier provisión es presentado en el estado consolidado de resultado integral neto de cualquier reembolso.</t>
  </si>
  <si>
    <t>Los bonos emitidos son el resultado de los recursos que el Grupo recibe y son medidos inicialmente al valor razonable neto de los costos de transacción. Posteriormente, se miden al costo amortizado, utilizando el método de interés efectivo, excepto para los pasivos que el Grupo decida registrar a valor razonable con cambios en resultados. El Grupo clasifica los instrumentos de capital en pasivos financieros o en instrumentos de capital de acuerdo con la sustancia de los términos contractuales del instrumento.</t>
  </si>
  <si>
    <t>Se clasifican como instrumentos de capital ciertos instrumentos financieros, de acuerdo con los términos contractuales de dichos instrumentos. Las acciones preferidas que no son redimibles a una fecha específica a opción del accionista y que no conlleva a obligaciones de dividendos, se presentan como acciones de capital. Esos instrumentos financieros son presentados como un componente dentro del patrimonio.</t>
  </si>
  <si>
    <t>Los costos de originación directamente atribuibles a la emisión del instrumento de capital son deducidos del costo original de dichos instrumentos.</t>
  </si>
  <si>
    <t>### Reconocimiento de Ingresos</t>
  </si>
  <si>
    <t>El Grupo reconoce los ingresos en los períodos en que entrega la electricidad y provee capacidad de generación. Los precios contratados son facturados en conformidad con las provisiones aplicables a los contratos de venta de energía y las ventas del mercado ocasional son facturadas de conformidad con los precios prevalecientes del mercado. La unidad de medida de los precios de contrato es el megavatio MW. Los siguientes criterios deben ser cumplidos para reconocer los ingresos: (1) evidencia persuasiva de que existe el acuerdo; (2) la entrega ha ocurrido o el servicio ha sido provisto; (3) el precio al comprador es fijo o determinable; y (4) el cobro está razonablemente asegurado. Los ingresos son medidos a su valor razonable basados en la consideración recibida o que se recibirá por la venta de energía.</t>
  </si>
  <si>
    <t>page-55</t>
  </si>
  <si>
    <t>Los costos de generación de energía son reconocidos cuando se devengan. Asimismo, los costos de compra de energía son reconocidos cuando son devengados, de manera simultánea al reconocimiento de los ingresos por la correspondiente venta.</t>
  </si>
  <si>
    <t>### Reconocimiento de Gastos</t>
  </si>
  <si>
    <t>Los gastos se reconocen en la cuenta de resultados cuando tiene lugar una disminución en los beneficios económicos futuros relacionados con la reducción de un activo, o un incremento de un pasivo, que se puede medir de forma fiable. Esto implica que el registro de un gasto tenga lugar en forma simultánea al registro del incremento del pasivo o la reducción del activo. Se reconoce como gasto en forma inmediata cuando un desembolso no genera beneficios económicos futuros o cuando no cumple con los requisitos para su registro como activo. Asimismo, se reconoce un gasto cuando se incurre en un pasivo y no se registra activo alguno, como puede ser un pasivo por una garantía. Los gastos son presentados en el estado consolidado de resultado integral de forma combinada por función y naturaleza, el desglose de los gastos por naturaleza es presentado en la Nota 21.</t>
  </si>
  <si>
    <t>### Ingresos y Gastos por Intereses</t>
  </si>
  <si>
    <t>Los ingresos y gastos por intereses son reconocidos en el estado consolidado de resultado integral, para todos los instrumentos financieros presentados a costo amortizado usando el método de interés efectivo.</t>
  </si>
  <si>
    <t>El método de interés efectivo es un método de cálculo del costo amortizado de un activo o un pasivo financiero y de imputación del ingreso o gasto financiero a lo largo del plazo relevante. Cuando se calcula la tasa de interés efectiva, el Grupo estima los flujos futuros de efectivo considerando todos los términos contractuales del instrumento financiero (por ejemplo, opciones de prepago), pero no considera las pérdidas futuras de crédito. El cálculo incluye todas las comisiones y cuotas pagadas o recibidas entre las partes del contrato que son parte integral de la tasa de interés efectiva, los costos de transacción y cualquier otra prima o descuento. Los costos de transacción son los costos de originación, directamente atribuibles a la adquisición, emisión o disposición de un activo o pasivo.</t>
  </si>
  <si>
    <t>### Crédito Fiscal por Inversión</t>
  </si>
  <si>
    <t>El crédito fiscal por inversión se mide al valor razonable cuando existe una seguridad razonable que se recuperará. Se reconoce como un activo contra una cuenta de ingreso diferido en el pasivo. El activo se amortiza a medida que es utilizado para compensar hasta un 50% de los pagos relacionados al impuesto sobre la renta y el ingreso diferido por el crédito fiscal es a su vez acreditado en el estado consolidado de resultado integral. A la fecha del estado consolidado de situación financiera, la Administración evalúa si se requiere realizar algún ajuste sobre la recuperabilidad del activo por el crédito fiscal por inversión. Al final de cada período, la Administración estima el monto a utilizar en el período siguiente basado en las proyecciones financieras del Grupo.</t>
  </si>
  <si>
    <t>page-56</t>
  </si>
  <si>
    <t>La utilidad básica por acción mide el desempeño del Grupo sobre el período reportado y se calcula dividiendo la utilidad (pérdida) disponible para los accionistas comunes entre el promedio de acciones comunes en circulación durante el período.</t>
  </si>
  <si>
    <t>### Impuesto sobre la Renta</t>
  </si>
  <si>
    <t>El impuesto sobre la renta corriente es el impuesto a pagar sobre la renta gravable para el año, utilizando la tasa de impuesto vigente a la fecha del estado consolidado de situación financiera y cualquier otro ajuste del impuesto sobre la renta de años anteriores.</t>
  </si>
  <si>
    <t>El impuesto sobre la renta diferido se reconoce sobre las diferencias temporarias que resultan entre las bases fiscales de los activos y pasivos y sus importes en libros en los estados financieros consolidados. Sin embargo, los pasivos por impuestos diferidos no se reconocen si surgen del reconocimiento inicial de la plusvalía; el impuesto sobre la renta diferido no se contabiliza si se deriva del reconocimiento inicial de un activo o pasivo en una transacción distinta de una combinación de negocios que en el momento de la transacción no afecta ni al resultado contable ni a la ganancia o pérdida.</t>
  </si>
  <si>
    <t>El impuesto diferido se determina usando tasas impositivas que han sido promulgadas o sustancialmente promulgadas a la fecha del estado consolidado de situación financiera y que se esperan aplicar cuando el correspondiente activo por impuesto diferido se realice o el pasivo por impuesto diferido se liquide.</t>
  </si>
  <si>
    <t>Los activos por impuestos diferidos se reconocen únicamente en la medida en que sea probable que futuras ganancias fiscales estén disponibles para que las diferencias temporarias puedan ser utilizadas.</t>
  </si>
  <si>
    <t>Los activos y pasivos por impuestos diferidos se compensan cuando existe un derecho legalmente exigible de compensar los activos impositivos corrientes con los pasivos por impuestos corrientes y cuando los activos y pasivos por impuestos diferidos relacionados se deriven del impuesto las ganancias correspondientes a la misma autoridad fiscal ya sea en la misma entidad fiscal o diferentes entidades gravadas donde exista la intención de liquidar los saldos en términos netos.</t>
  </si>
  <si>
    <t>page-57</t>
  </si>
  <si>
    <t>### Información de Segmentos</t>
  </si>
  <si>
    <t>Un segmento del negocio es un componente identificable del Grupo, encargado de suministrar un único producto o servicio, o bien un conjunto de ellos que se encuentran relacionados y que se caracteriza por estar sometido a riesgos y rendimientos de naturaleza diferente a los que corresponden a otros segmentos del negocio dentro del mismo Grupo. Un segmento geográfico es un componente identificable del Grupo encargado de suministrar productos o servicios dentro de un entorno económico específico, y que se caracteriza por estar sometido a riesgos y rendimientos de naturaleza diferente a los que corresponden a otros componentes operativos que desarrollan su actividad en entornos diferentes. Las operaciones de negocios del Grupo están organizadas y manejadas como un solo segmento de negocios que es el de generar energía eléctrica, dentro del entorno económico doméstico. Adicionalmente, la organización interna y de reporte del Grupo está predominantemente basada en este segmento.</t>
  </si>
  <si>
    <t>### Compensación de Saldos</t>
  </si>
  <si>
    <t>Los activos y pasivos financieros se compensan y el importe neto se presenta en el estado consolidado de situación financiera cuando, y solo cuando, el Grupo tiene el derecho legal de compensar los importes reconocidos y se espera que se liquiden sobre una base neta o se espera que la realización del activo y la liquidación del pasivo ocurran simultáneamente.</t>
  </si>
  <si>
    <t>3</t>
  </si>
  <si>
    <t>3. Estimaciones de Contabilidad y Juicios Críticos</t>
  </si>
  <si>
    <t>Las estimaciones y juicios son continuamente evaluados y están basados en la experiencia histórica y otros factores, incluyendo expectativas de eventos futuros que se creen sean razonables bajo las circunstancias.</t>
  </si>
  <si>
    <t>### Estimaciones y Juicios Contables Críticos</t>
  </si>
  <si>
    <t>Las estimaciones contables resultantes, por definición, raramente igualan a los resultados relacionados actuales. Las estimaciones e hipótesis que tienen un riesgo de causar un ajuste material a los importes de activos y pasivos dentro de los estados financieros consolidados del siguiente año se exponen a continuación:</t>
  </si>
  <si>
    <t>### Depreciación de Propiedad, Planta y Equipo</t>
  </si>
  <si>
    <t>El Grupo realiza ajustes en la evaluación de la vida estimada de los activos y en la determinación de valores de residuos estimados, como aplique. La depreciación es calculada bajo el método de línea recta, basado en la vida útil estimada de los activos. Estas estimaciones son basadas en el análisis de los ciclos de vida de los activos y el valor potencial al final de su vida útil. El valor de residuo y la vida útil son revisados, y ajustados de ser apropiado, al final de cada período.</t>
  </si>
  <si>
    <t>-25-</t>
  </si>
  <si>
    <t>page-58</t>
  </si>
  <si>
    <t>**Impuesto sobre la Renta**</t>
  </si>
  <si>
    <t>Las subsidiarias del Grupo están sujetas al impuesto sobre la renta en Panamá. Existe un juicio significativo que se requiere en la determinación de la provisión para impuestos sobre la renta. Cuando el resultado final de estos asuntos fiscales es diferente a los montos registrados inicialmente, dichas diferencias afectarán el impuesto corriente y las provisiones de impuesto diferido en el período en el cual se efectúe dicha determinación, incluyendo el crédito fiscal por inversión.</t>
  </si>
  <si>
    <t>**Estimación de Deterioro de Plusvalía**</t>
  </si>
  <si>
    <t>El Grupo verifica anualmente si la plusvalía ha sufrido un deterioro, de acuerdo con la política contable presentada en la Nota 2. El monto recuperable como unidad generadora de efectivo es determinada mediante el cálculo de valor en uso. Ese cálculo requiere del uso de estimaciones.</t>
  </si>
  <si>
    <t>4</t>
  </si>
  <si>
    <t>4. Administración del Riesgo de Instrumentos Financieros</t>
  </si>
  <si>
    <t>Riesgo financiero</t>
  </si>
  <si>
    <t>**Factores de Riesgos Financieros**</t>
  </si>
  <si>
    <t>Las actividades del Grupo están expuestas a una variedad de riesgos financieros: riesgo de mercado (incluyendo riesgo de tasa de interés) riesgo de crédito y riesgo de liquidez. El programa global de administración de riesgo se enfoca en la falta de previsibilidad de los mercados financieros y trata de minimizar los efectos adversos potenciales en el desempeño financiero del Grupo. Las decisiones que implican mayor exposición de riesgo y que son significativas son aprobadas por la Junta Directiva.</t>
  </si>
  <si>
    <t>El Grupo tiene políticas que aseguran que las cuentas por cobrar se limiten al importe de crédito y las cuentas por cobrar son monitoreadas periódicamente. Estos factores entre otros dan por resultado que la exposición del Grupo a cuentas incobrables no es significativa.</t>
  </si>
  <si>
    <t>El riesgo de crédito surge de las cuentas bancarias y las cuentas por cobrar.</t>
  </si>
  <si>
    <t>En cuanto a las cuentas bancarias, el Grupo mantiene una concentración de sus depósitos con Banco General, S. A., el cual cuenta con una clasificación de riesgo internacional de “BBB” según la agencia calificadora de riesgo Standard &amp;amp; Poor’s y de “BBB-” según la agencia calificadora de riesgo Fitch Ratings.</t>
  </si>
  <si>
    <t>page-59</t>
  </si>
  <si>
    <t>4. Administración del Riesgo de Instrumentos Financieros (Continuación)</t>
  </si>
  <si>
    <t>### Factores de Riesgos Financieros (continuación)</t>
  </si>
  <si>
    <t>En relación a las cuentas por cobrar, el Grupo tiene una concentración de sus ventas y cuentas por cobrar con las dos compañías de distribución de electricidad que operan en la República de Panamá. Las ventas realizadas a estos clientes representan aproximadamente 82% (2021: 65%) del total de los ingresos y 80% (2021: 70%) del total de las cuentas por cobrar al cierre del período. Esta concentración del riesgo es mitigada por el hecho de que la demanda de energía eléctrica en Panamá sigue creciendo sostenidamente y que el mercado de energía está muy bien estructurado y regulado por las autoridades gubernamentales. Para cada transacción de venta se requiere una garantía y el término de pago de facturas originadas en el mercado eléctrico de Panamá se promedia en un rango de 30 a 45 días a partir de la fecha de presentación de la factura. La garantía es una carta de crédito pagadera al cobro contra cualquier evento de incumplimiento por morosidad o pago incobrable. No se ha tenido ningún evento de incumplimiento por facturas no pagadas al 31 de diciembre de 2022.</t>
  </si>
  <si>
    <t>### Riesgo de Flujos de Efectivo y Valor Razonable sobre la Tasa de Interés</t>
  </si>
  <si>
    <t>Los ingresos y los flujos de efectivo operativos del Grupo son sustancialmente independientes de los cambios en las tasas de interés, ya que el Grupo no tiene activos importantes que generen interés excepto por los excedentes de efectivo.</t>
  </si>
  <si>
    <t>El riesgo de tasas de interés se origina principalmente por bonos por pagar a largo plazo.</t>
  </si>
  <si>
    <t>El Grupo requiere tener suficiente efectivo para hacer frente a sus obligaciones. Para ello cuenta con suficiente efectivo en caja y bancos o en equivalentes de fácil realización.</t>
  </si>
  <si>
    <t>La siguiente tabla analiza los pasivos financieros del Grupo por fecha de vencimiento. Dicho análisis se muestra a la fecha de vencimiento contractual y son flujos de efectivo sin descontar al valor presente del estado consolidado de situación financiera.</t>
  </si>
  <si>
    <t>page-60</t>
  </si>
  <si>
    <t>## Factores de Riesgos Financieros (continuación)</t>
  </si>
  <si>
    <t>### Riesgo de Liquidez (continuación)</t>
  </si>
  <si>
    <t>A continuación se presentan los vencimientos de los pasivos no descontados, incluyendo los intereses calculados a la fecha de vencimiento:</t>
  </si>
  <si>
    <t>| | Menos de un Año | Entre 1 y 5 Años | Más de 5 Años | | --- | --- | --- | --- | | 2022 | | | | | Préstamo por pagar | 758,413 | - | - | | Bonos por pagar | 18,269,526 | 83,349,063 | 114,556,708 | | Cuentas por pagar | 1,675,961 | - | - | | Impuesto sobre la renta por pagar | 2,384,922 | - | - | | Otros pasivos | 1,534,472 | 218,261 | - | | 2021 | | | | | Bonos por pagar | 18,776,204 | 88,662,102 | 130,164,2479 | | Cuentas por pagar | 3,817,823 | - | - | | Impuesto sobre la renta por pagar | 1,255,449 | - | - | | Otros pasivos | 1,522,447 | 204,886 | - |</t>
  </si>
  <si>
    <t>B/.</t>
  </si>
  <si>
    <t>Durante el período 2022, el Grupo estuvo monitoreando su posición financiera y operativa por los efectos que pudiese generar el COVID-19 (ver Nota 6).</t>
  </si>
  <si>
    <t>### Objetivos y Políticas de Gestión de Capital</t>
  </si>
  <si>
    <t>El objetivo del Grupo en el manejo del capital es el de salvaguardar la habilidad del Grupo para continuar como negocio en marcha, con el objetivo de proveer retornos a sus accionistas y beneficios a otros acreedores y para mantener una estructura óptima de capital que reduzca el costo de capital.</t>
  </si>
  <si>
    <t>El Grupo monitorea su capital sobre la base de razón de apalancamiento. El apalancamiento es el resultado de dividir la deuda neta entre el total del capital. La deuda neta se calcula como el total de préstamos que se muestran en el estado consolidado de situación financiera menos el efectivo. El total del capital está determinado como el total del patrimonio, más la deuda neta.</t>
  </si>
  <si>
    <t>page-61</t>
  </si>
  <si>
    <t>**Objetivos y Políticas de Gestión de Capital (continuación)**</t>
  </si>
  <si>
    <t>A continuación se muestra la razón de apalancamiento del Grupo:</t>
  </si>
  <si>
    <t>| | 2022 | 2021 | | --- | --- | --- | | Total de préstamos y bonos por pagar | 159,008,413 | 167,250,000 | | Menos: Efectivo y equivalentes de efectivo | (10,955,792) | (9,167,597) | | Efectivo restringido | (4,234,822) | (4,206,485) | | Deuda neta | 143,817,799 | 153,875,918 | | Total de patrimonio | 154,381,118 | 151,992,995 | | Total de capital | 298,198,917 | 305,868,913 | | Razón de apalancamiento | 48% | 50% |</t>
  </si>
  <si>
    <t>Para propósitos de divulgación, las Normas Internacionales de Información Financiera especifican una jerarquía del valor razonable que clasifica en tres niveles, en base a las variables utilizadas en las técnicas de valorización para medir el valor razonable: La jerarquía se basa en la transparencia de las variables que se utilizan en la valorización de un activo a la fecha de su valorización. Estos tres niveles son los siguientes:</t>
  </si>
  <si>
    <t>- Nivel 1: Precios cotizados (no ajustados) en mercados activos para activos y pasivos idénticos a la fecha de medición. - Nivel 2: Variables distintas a los precios cotizados incluidos en el Nivel 1 que son observables para el activo o pasivo, ya sea directamente (es decir, como precios) o indirectamente (es decir, derivados de los precios). - Nivel 3: Variables no observables para el activo y pasivo.</t>
  </si>
  <si>
    <t>El Grupo no mantiene activos y pasivos registrados a valor razonable en el estado consolidado de situación financiera. Para los instrumentos financieros que no están registrados a su valor razonable en el estado consolidado de situación financiera, su valor en libros se aproxima a su valor razonable, debido a su naturaleza de corto plazo y bajo riesgo de créditos (en los casos de activos). Estos instrumentos financieros incluyen: el efectivo en banco, cuentas por cobrar, cuentas por pagar proveedores, obligaciones financieras de corto y cuentas con compañías relacionadas. Para los instrumentos financieros a largo plazo, el valor razonable se divulga en la Nota 16.</t>
  </si>
  <si>
    <t>page-62</t>
  </si>
  <si>
    <t>5</t>
  </si>
  <si>
    <t>5. Efectivo</t>
  </si>
  <si>
    <t>Working capital</t>
  </si>
  <si>
    <t>El desglose del efectivo se presenta a continuación:</t>
  </si>
  <si>
    <t>| | 2022 | 2021 | | --- | --- | --- | | Caja menuda | 1,104 | 1,056 | | Banco General, S. A. | 10,178,021 | 8,512,233 | | MMG Bank, S. A. | 776,667 | 654,308 | | | 10,955,792 | 9,167,597 |</t>
  </si>
  <si>
    <t>6</t>
  </si>
  <si>
    <t>6. Cuentas por Cobrar</t>
  </si>
  <si>
    <t>Las cuentas por cobrar se detallan de la siguiente manera:</t>
  </si>
  <si>
    <t>| | 2022 | 2021 | | --- | --- | --- | | Edemet-Edechi | 5,462,185 | 5,459,155 | | Elektra Noreste, S. A. | 2,501,926 | 2,497,992 | | Otros | 2,516,409 | 2,050,049 | | | 10,480,520 | 10,007,196 | | Menos: Porción circulante | 10,480,520 | 9,794,078 | | Porción no circulante | - | 213,118 |</t>
  </si>
  <si>
    <t># Devolución de Ajuste Tarifario</t>
  </si>
  <si>
    <t>El 27 de septiembre de 2017, la Autoridad Nacional de los Servicios Públicos, emitió la Resolución AN No. 11667 - Elec, por la cual se autoriza a la Empresa de Transmisión Eléctrica, S. A. (ETESA), para diferir la devolución tarifaria de los años 2, 3 y 4 a los Agentes del Mercado del período tarifario de julio 2013 a junio 2017, como consecuencia de la revisión de los Cargos por Uso del Sistema Principal de Transmisión (CUSPT) y del Servicio de Operación Integrada (SOI), para que se haga efectiva a partir del mes de julio de 2021, por un período de 8 años.</t>
  </si>
  <si>
    <t>La Resolución AN No. 11667 - Elec, fue modificada mediante Resolución No. AN No. 11872-Elec del 4 de diciembre de 2017, para cambiar el período de devolución de 8 a 5 años para los ajustes a CUSPT y de 8 a 2 años para los ajustes SOI.</t>
  </si>
  <si>
    <t>Mediante Resolución No. AN. 13350 - Elec del 10 de mayo de 2019, se adiciona el requerimiento de publicación del ajuste final del año tarifario 4 (período tarifario de julio 2013 a junio 2017), y se ordena a ETESA establecer y notificar el Plan de Devolución mensual para cada Agente del Mercado confirmando los montos y los intereses sobre saldo hasta completar la devolución. En noviembre de 2021, las subsidiarias Generadora Alto Valle, S. A., Generadora Río Chico, S. A., Hydro Caisán, S. A., Generadora Alto Valle, S. A. y ETESA, suscribieron un Acuerdo para el pago anticipado de la devolución tarifaria correspondiente a los años 2, 3 y 4 del período tarifario 2013-2017, el cual establece la programación de dicho pago.</t>
  </si>
  <si>
    <t>page-63</t>
  </si>
  <si>
    <t>6. Cuentas por Cobrar (Continuación)</t>
  </si>
  <si>
    <t>Devolución de Ajuste Tarifario (continuación)</t>
  </si>
  <si>
    <t>El monto a devolver para las subsidiarias Hydro Caisán, S. A., Generadora Pedregalito, S. A., Generadora Alto Valle, S. A. y Generadora Río Chico, S. A. totalizaba B/.807,747 más intereses por B/.201,306, los cuales se encontraban registrados en las cuentas por cobrar clientes en porción circulante. Durante los meses de marzo, abril y mayo, se recibió la cancelación de esta cuenta por cobrar.</t>
  </si>
  <si>
    <t>Mediante Ley 152 de 4 de mayo de 2020, se adoptaron una serie de medidas especiales en atención a la emergencia sanitaria nacional. Estas medidas incluyeron, entre otras, la suspensión, por el término de cuatro meses a partir del 1 de marzo de 2020, del pago de los servicios públicos de energía eléctrica, telefonía fija, móvil e internet a las personas afectadas según lo aprobado en dicha Ley. El pago de los servicios públicos antes mencionados, por parte de las personas afectadas que se acogieron a estas medidas, se prorrateó a un término de tres años a partir del 1 de julio de 2020.</t>
  </si>
  <si>
    <t>Mediante Resolución AN No. 16095-Elec del 21 de mayo de 2020, la Autoridad Nacional de los Servicios Públicos aprobó una serie de medidas transitorias que rigieron hasta el 30 de junio de 2020. Estas medidas incluyeron, entre otras, la posibilidad de una reducción en el pago tanto en el mercado de contratos como en el mercado ocasional, proporcional al déficit en la recaudación de los ingresos contemplados en dicha resolución. La resolución estableció que cualquier saldo adeudado a los Participantes del Mercado Mayorista de Electricidad generado dentro del período del 1 de marzo al 30 de junio de 2020, debía ser prorrateado en cuotas iguales en un plazo no mayor de treinta y seis meses, contados a partir de 1 de julio de 2020. Así mismo, los Participantes del Mercado Mayorista de electricidad, podrían llegar a Acuerdos de Pago distinto al establecido en el numeral 5 de dicha Resolución y debían remitir una copia de dicho Acuerdo a la Autoridad Nacional de los Servicios Públicos.</t>
  </si>
  <si>
    <t>Con excepción de las cuentas por cobrar amparadas bajo la Ley de Moratoria antes descrita, al 31 de diciembre de 2022, no había cuentas por cobrar vencidas y deterioradas, por lo cual no se ha registrado ninguna provisión para cuentas incobrables.</t>
  </si>
  <si>
    <t>7</t>
  </si>
  <si>
    <t>7. Gastos Pagados por Adelantado</t>
  </si>
  <si>
    <t>Costos / gastos</t>
  </si>
  <si>
    <t>Los gastos pagados por adelantado se detallan de la siguiente manera:</t>
  </si>
  <si>
    <t>| | 2022 | 2021 | | --- | --- | --- | | Seguros | 124,848 | 170,002 | | Otros | 47,094 | 19,072 | | | 171,942 | 189,074 |</t>
  </si>
  <si>
    <t>page-64</t>
  </si>
  <si>
    <t>8</t>
  </si>
  <si>
    <t>8. Propiedad, Planta y Equipo, Neto</t>
  </si>
  <si>
    <t>PP&amp;E / capex / depreciación</t>
  </si>
  <si>
    <t>La propiedad, planta y equipo se presenta a continuación:</t>
  </si>
  <si>
    <t>| | Terreno | Mobiliario y Equipo | Vehículos | Planta y equipo | Construcción en Proceso | Edificio | Mejoras | Total | | --- | --- | --- | --- | --- | --- | --- | --- | --- | | Saldo neto al 31 de diciembre de 2020 | 13,195,714 | 123,361 | 45,628 | 288,073,834 | - | 78,053 | 52,423 | 301,569,013 | | Adiciones | - | 42,074 | 98,532 | - | - | - | - | 140,606 | | Depreciación | - | (33,644) | (23,966) | (11,760,304) | - | (2,481) | (16,927) | (11,837,322) | | Saldo neto al 31 de diciembre de 2021 | 13,195,714 | 131,791 | 120,194 | 276,313,530 | - | 75,572 | 35,496 | 289,872,297 | | Adiciones | 75,500 | 27,792 | - | 246,613 | 1,943,750 | - | - | 2,293,655 | | Retiros | - | - | - | (105,000) | | | | (105,000) | | Depreciación | - | (38,987) | (38,591) | (11,740,507) | - | (2,481) | (15,366) | (11,835,932) | | Saldo neto al 31 de diciembre de 2022 | 13,271,214 | 120,596 | 81,603 | 264,714,636 | 1,943,750 | 73,091 | 20,130 | 280,225,020 | | 2022 | | | | | | | | | | Costo | 13,271,214 | 605,615 | 535,042 | 376,258,067 | 1,943,750 | 99,240 | 141,102 | 392,854,030 | | Depreciación acumulada | - | (485,019) | (453,439) | (111,543,431) | - | (26,149) | (120,972) | (112,629,010) | | Saldo neto al 31 de diciembre de 2022 | 13,271,214 | 120,596 | 81,603 | 264,714,636 | 1,943,750 | 73,091 | 20,130 | 280,225,020 | | 2021 | | | | | | | | | | Costo | 13,195,714 | 1,088,094 | 593,912 | 376,116,454 | - | 99,240 | 160,028 | 391,253,442 | | Depreciación acumulada | - | (956,303) | (473,716) | (99</t>
  </si>
  <si>
    <t>Al 31 de diciembre de 2022 y 2021, la propiedad, planta y equipo se encuentra en garantía de los bonos por pagar (Véase Nota 15) y no presenta deterioro.</t>
  </si>
  <si>
    <t>page-65</t>
  </si>
  <si>
    <t>9</t>
  </si>
  <si>
    <t>9. Otros Activos</t>
  </si>
  <si>
    <t>Los otros activos se detallan de la siguiente manera:</t>
  </si>
  <si>
    <t>| | 2022 | 2021 | | --- | --- | --- | | Adelanto en compras de terreno | 224,028 | 224,028 | | Fondo de cesantía | 235,805 | 220,540 | | Adelanto a proveedor | 768,837 | 200,047 | | Servidumbres de acceso | - | 75,500 | | Intereses por cobrar plazo fijo | 68,107 | 107,430 | | Depósito de garantía | 6,638 | 6,638 | | Otros | 39,784 | 29,674 | | | 1,343,199 | 863,857 | | Menos: Porción circulante | 1,115,702 | 654,057 | | Porción no circulante | 227,497 | 209,800 |</t>
  </si>
  <si>
    <t>Al 31 de diciembre de 2022, la subsidiaria Pedregalito Sola Power, S.A. realizó adelantos a proveedores por la suma de B/.258,312 para el desarrollo de la planta solar Pedregalito Solar Power (ver notas 24 y 26).</t>
  </si>
  <si>
    <t>A partir del 4 de noviembre de 2020, el huracán ETA tuvo un impacto significativo en el occidente de Panamá, principalmente en Chiriquí, donde operan las centrales de generación eléctrica propiedad de Panama Power Holdings, Inc. Cabe destacar, que la cuenca más afectada fue la del río Chiriquí Viejo donde opera la central El Alto, propiedad de Hydro Caisán, S. A. La gran cantidad de sedimento traído por el río resultó en indisponibilidad de la central durante ciertos períodos mientras el trabajo de limpieza fue llevado a cabo por el equipo de operaciones y contratistas.</t>
  </si>
  <si>
    <t>Adicionalmente, El Alto tuvo afectaciones principalmente en caminos de acceso, escollera y cuenco disipador aguas abajo de la presa, y pérdida de fibra óptica y línea eléctrica interna en diferentes puntos de la central. Dichas afectaciones no han tenido un impacto en la producción de la central.</t>
  </si>
  <si>
    <t>El monto estimado a reclamar excedió la suma de B/.500,000, razón por la cual, de conformidad con lo establecido en la referida sección II. A. 9.1. del prospecto de bonos corporativos, Hydro Caisán, S. A. procedió con comunicado formal de notificación al Agente de Pago, al Fiduciario y a los Tenedores de los bonos corporativos de la ocurrencia de este evento.</t>
  </si>
  <si>
    <t>En el caso de las centrales Pedregalito 1 y Pedregalito 2, hubo restricciones temporales en el despacho de energía debido a afectaciones en torres de la red de transmisión de ETESA.</t>
  </si>
  <si>
    <t>page-66</t>
  </si>
  <si>
    <t>9. Otros Activos (Continuación)</t>
  </si>
  <si>
    <t>Al 31 de diciembre de 2022, la subsidiaria Hydro Caisán, S. A. ha incurrido en gastos por la suma de B/.1,844,310 correspondientes a reparaciones asociadas a este siniestro, de los cuales le han sido reembolsados por parte de las aseguradoras la suma de B/.1,717,626. La diferencia corresponde al monto del deducible por la suma de B/.100,000, el cual fue reconocido como gasto durante el año 2020, y a cuentas por cobrar en concepto de reclamo asociado a este siniestro, incluida como Otros, asciende a la suma de B/.26,684.</t>
  </si>
  <si>
    <t>10</t>
  </si>
  <si>
    <t>10. Efectivo Restringido</t>
  </si>
  <si>
    <t>El efectivo restringido corresponde a la siguiente subsidiaria:</t>
  </si>
  <si>
    <t>| | 2022 | 2021 | | --- | --- | --- | | Hydro Caisán, S. A. | 4,324,822 | 4,206,485 |</t>
  </si>
  <si>
    <t>Al 31 de diciembre de 2022, el saldo de los bonos corporativos emitidos por el Grupo totalizaba B/.158,250,000 (2021: B/.167,250,000) (véase Nota 16).</t>
  </si>
  <si>
    <t>Como parte de los acuerdos establecidos en el prospecto de la emisión de los Bonos 2020, se incluye la creación de un fondo de fideicomiso con la cuenta denominada Cuenta de Reserva de la Deuda. Este fondo ha sido constituido por Hydro Caisán, S. A. como fideicomitente y BG Trust, Inc. como fiduciario, y tiene como propósito general mantener un fondo de efectivo para cumplir con las obligaciones de pago de intereses y capital (exceptuando el barrido de caja) equivalente a tres meses.</t>
  </si>
  <si>
    <t>11</t>
  </si>
  <si>
    <t>11. Plusvalía</t>
  </si>
  <si>
    <t>Intangibles</t>
  </si>
  <si>
    <t>El Grupo asigna la plusvalía a las unidades operativas, en este caso las plantas hidroeléctricas.</t>
  </si>
  <si>
    <t>La segregación de la plusvalía se detalla a continuación:</t>
  </si>
  <si>
    <t>| | 2022 | 2021 | | --- | --- | --- | | Pedregalito 1 y 2 | 723,071 | 723,071 | | Cochea | 739,506 | 739,506 | | El Alto | 5,571,173 | 5,571,173 | | | 7,033,750 | 7,033,750 |</t>
  </si>
  <si>
    <t>El Grupo lleva a cabo anualmente una prueba de deterioro de la plusvalía con el fin de comprobar un posible deterioro.</t>
  </si>
  <si>
    <t>page-67</t>
  </si>
  <si>
    <t>11. Plusvalía (Continuación)</t>
  </si>
  <si>
    <t>Los importes recuperables de las unidades de efectivo se han calculado en función de su valor de uso. El valor de uso se determina descontando los flujos futuros de efectivo esperados de la utilización continua de cada unidad. El cálculo del valor de uso se basa en los supuestos básicos siguientes:</t>
  </si>
  <si>
    <t>- Se utilizaron los resultados reales de funcionamiento del 2022 y el plan de negocio para el año 2023 para proyectar los flujos futuros de efectivo. Los flujos futuros de efectivo fueron proyectados utilizando tasas de crecimiento promedio basadas en los supuestos a largo plazo de las tasas de crecimiento, proyección de hidrología anual, precio de potencia y energía contratados y precio proyectados de mercado ocasional. El período de pronóstico se basa en la perspectiva a largo plazo del Grupo que se determinó en 10 años.</t>
  </si>
  <si>
    <t>- La tasa de descuento del 9.44% (2021: 5.80%) se calculó sobre la base del costo promedio ponderado del capital (WACC, por sus siglas en inglés) para el Grupo.</t>
  </si>
  <si>
    <t>La plusvalía es monitoreada internamente por la Administración para efectos de gestión; y el monto no es superior a los flujos futuros de efectivo descontados. Los principales supuestos antes descritos pueden cambiar a medida que las condiciones económicas y del mercado cambien. El Grupo estima que los cambios razonablemente posibles en estos supuestos no afecten el importe recuperable de las plantas hidroeléctricas o que disminuya por debajo del valor del importe en libros.</t>
  </si>
  <si>
    <t>12</t>
  </si>
  <si>
    <t>12. Costos de Exploración y Evaluación</t>
  </si>
  <si>
    <t>El Grupo mantenía costo de exploración y evaluación como se desglosa a continuación:</t>
  </si>
  <si>
    <t>| | 2022 | 2021 | | --- | --- | --- | | Pedregalito Solar Power, S. A. | 20,824 | 19,824 | | Río Chico Solar Power, S. A. | 153,260 | 153,260 | | | 174,084 | 173,084 |</t>
  </si>
  <si>
    <t>page-68</t>
  </si>
  <si>
    <t>13</t>
  </si>
  <si>
    <t>13. Activos Intangibles, Neto</t>
  </si>
  <si>
    <t>El detalle de los activos intangibles representado por servidumbres se presenta a continuación:</t>
  </si>
  <si>
    <t>| | 2022 | 2021 | | --- | --- | --- | | Saldo neto al inicio del año | 538,918 | 612,637 | | Ajuste del año | - | (60,000) | | Amortización del año | (13,092) | (13,719) | | Saldo neto al final del año | 525,826 | 538,918 | | Valor neto en libros | | | | Costo | 717,616 | 717,616 | | Amortización acumulada | (191,790) | (178,698) | | Saldo neto | 525,826 | 538,918 |</t>
  </si>
  <si>
    <t>14</t>
  </si>
  <si>
    <t>14. Activos por Derecho de Uso</t>
  </si>
  <si>
    <t>El Grupo mantiene arrendada la oficina principal donde se encuentra su domicilio administrativo. El arrendamiento se contabiliza en el estado consolidado de situación financiera como un activo por derecho de uso y un pasivo por arrendamiento. El arrendamiento de propiedades generalmente tiene un plazo de arrendamiento que varía de 1 a 5 años, el cual puede tener condiciones que sean prorrogables. El pago del arrendamiento se realiza por montos fijos mensuales. El Grupo ha reconocido los registros contables sobre los contratos vigentes a la fecha de adopción.</t>
  </si>
  <si>
    <t>Generalmente, cada arrendamiento establece una restricción que, a menos que exista un derecho contractual para que el Grupo subarriende el activo a un tercero, el activo por derecho de uso sólo se puede utilizar por el Grupo. El arrendamiento es cancelable por mutuo acuerdo, por decisión unilateral del arrendatario con o sin penalidad según sea el período de terminación o sólo pueden ser cancelados si se incurre en una penalización significativa por terminación, por incumplimiento de pagos o por incumplimiento por alguna de las partes. El Grupo debe conservar en buen estado la propiedad y devolverla en su estado original al finalizar el arrendamiento. Además, el Grupo debe contratar seguros para los activos de propiedad, planta y equipo e incurrir en gastos de mantenimiento por dichos elementos de acuerdo con el contrato de arrendamiento.</t>
  </si>
  <si>
    <t>page-69</t>
  </si>
  <si>
    <t>14. Activos por Derecho de Uso (Continuación)</t>
  </si>
  <si>
    <t>El movimiento de los activos por derecho de uso se presenta a continuación:</t>
  </si>
  <si>
    <t>| | 2022 | 2021 | | --- | --- | --- | | Saldo neto al inicio del año | 142,658 | 93,026 | | Adiciones | - | 141,572 | | Adenda al contrato | - | (64,530) | | Amortización del año | (40,760) | (27,410) | | Saldo neto al final del año | 101,898 | 142,658 |</t>
  </si>
  <si>
    <t>Al 31 de diciembre de 2022, El Grupo mantiene activos por derecho de uso que se presentan a continuación:</t>
  </si>
  <si>
    <t>| | 2022 | 2021 | | --- | --- | --- | | Activos por derecho de uso | | | | Costo | 314,345 | 314,345 | | Adenda al contrato | (64,530) | (64,530) | | Amortización acumulada | (147,917) | (107,157) | | Valor neto | 101,898 | 142,658 | | Pasivo por arrendamiento | | | | Circulante | 32,604 | 32,604 | | No circulante | 69,294 | 110,054 | | | 101,898 | 142,658 |</t>
  </si>
  <si>
    <t>Los pagos mínimos futuros bajo los arrendamientos financieros y el valor presente de dichos pagos se presentan a continuación:</t>
  </si>
  <si>
    <t>| | 2022 | 2021 | | --- | --- | --- | | Menos de un año | 36,000 | 36,000 | | Más de 1 año y menos de 5 años | 104,024 | 112,176 | | Total de pagos mínimos bajo arrendamiento | 140,024 | 148,176 | | Menos: Tasa de descuento | (38,126) | (5,518) | | Valor presente de los pagos mínimos | 101,898 | 142,658 | | Menos porción circulante | 32,604 | (32,604) | | Obligación por arrendamiento financiero | | | | largo plazo | 69,294 | 110,054 |</t>
  </si>
  <si>
    <t>page-70</t>
  </si>
  <si>
    <t>15</t>
  </si>
  <si>
    <t>15. Cuentas por Pagar</t>
  </si>
  <si>
    <t>Las cuentas por pagar se presentan a continuación:</t>
  </si>
  <si>
    <t>| | 2022 | 2021 | | --- | --- | --- | | Agentes del mercado y otros proveedores | 1,636,617 | 2,131,468 | | Contratistas | - | 1,605,000 | | Otros | 11,000 | 45,381 | | Intereses de préstamos | 1,733 | - | | Intereses de bonos por pagar | 26,611 | 35,974 | | | 1,675,961 | 3,817,823 |</t>
  </si>
  <si>
    <t>Con fecha 2 de febrero de 2022, dando cumplimiento a lo ordenado mediante Auto emitido por el Juzgado Segundo de Circuito de Coclé, Ramo Civil, la subsidiaria Hydro Caisán, S. A. realizó pago de cuenta por pagar a contratista que mantenía por la suma de $1,500,000 mediante la emisión de un Certificado de Depósito Judicial emitido por el Banco Nacional de Panamá a favor de dicho Juzgado.</t>
  </si>
  <si>
    <t>16</t>
  </si>
  <si>
    <t>16. Bonos por Pagar</t>
  </si>
  <si>
    <t>Deuda / bonos / préstamos / leases</t>
  </si>
  <si>
    <t>Los bonos por pagar se presentan a continuación:</t>
  </si>
  <si>
    <t>| | 2022 | 2021 | | --- | --- | --- | | Hydro Caisán, S. A. | | | | Bonos Corporativos 2020 con vencimiento el 5 de octubre de 2030 | 158,250,000 | 167,250,000 | | Costos de financiamiento diferidos, neto | (1,634,285) | (1,843,071) | | | 156,615,715 | 165,406,929 |</t>
  </si>
  <si>
    <t>El detalle de los costos de financiamiento diferido se presenta a continuación:</t>
  </si>
  <si>
    <t>| | 2022 | 2021 | | --- | --- | --- | | Saldo neto al inicio del año | 1,843,071 | 2,038,946 | | Adiciones | - | 14,910 | | Amortización del año | (208,786) | (210,785) | | Saldo neto al final del año | 1,634,285 | 1,843,071 |</t>
  </si>
  <si>
    <t>page-71</t>
  </si>
  <si>
    <t>16. Bonos por Pagar (Continuación)</t>
  </si>
  <si>
    <t>La estructura de vencimiento de los bonos por pagar se detalla a continuación:</t>
  </si>
  <si>
    <t>| | 2022 | 2021 | | --- | --- | --- | | A un año | 9,000,000 | 9,000,000 | | Entre 1 y 5 años | 36,000,000 | 36,000,000 | | Más de 5 años | 113,250,000 | 122,250,000 | | | 158,250,000 | 167,250,000 |</t>
  </si>
  <si>
    <t>Los Bonos corporativos, emitidos con fecha efectiva 5 de octubre 2020, están respaldados por fianza solidaria de Panama Power Holdings, Inc., Generadora Pedregalito, S. A., Generadora Río Chico, S. A., Generadora Alto Valle, S. A. y PPH Financing Services, S. A. y por un fideicomiso de garantía.</t>
  </si>
  <si>
    <t>Dicha emisión fue aprobada mediante Resolución No. SMV-421-20 de 21 de septiembre de 2020 por la Superintendencia de Mercado de Valores.</t>
  </si>
  <si>
    <t>La emisión está respaldada por un fideicomiso de garantía cuyo fiduciario es BG Trust, Inc., al cual han sido y serán cedidos, según aplique, la totalidad de los activos correspondientes a bienes muebles e inmuebles, hipoteca sobre la concesión, todos los contratos, cesión de flujos, cuentas por cobrar, depósitos bancarios, cartas de crédito de garantía, y seguros de operación de las Subsidiarias Hydro Caisán, S. A., Generadora Pedregalito, S. A., Generadora Río Chico, S. A. y Generadora Alto Valle, S. A. (las Compañías de los Proyectos).</t>
  </si>
  <si>
    <t>La Compañía y sus garantes se obligan a cumplir con todos los aspectos ambientales, técnicos y comerciales requeridos para la operación de las centrales hidroeléctricas, a restricciones sobre la venta y endeudamiento no permitido sobre sus activos, y al cumplimiento de ciertas razones financieras de acuerdo a lo establecido en el prospecto.</t>
  </si>
  <si>
    <t>Dentro de los principales términos y condiciones de los Bonos se encuentran: a) plazo de diez años; b) amortizaciones trimestrales fijas a capital por B/.1,750,000 e intereses a una tasa fija de 5.875%; c) barrido de caja anual obligatorio por B/.2,000,000, pagadero parcial o totalmente en cualquier fecha de pago de interés, acumulable en caso de no contar con el flujo suficiente para el pago del mismo, y opcional en caso de suscribir nuevos contratos de energía que resulten en una Razón de Cobertura de Servicio de Deuda mayor a 1.50x; d) Cuenta de Reserva de Servicio de Deuda de tres meses de pago de capital (exceptuando el barrido de caja) e intereses.</t>
  </si>
  <si>
    <t>page-72</t>
  </si>
  <si>
    <t>### Bonos Corporativos (continuación)</t>
  </si>
  <si>
    <t>Adicionalmente, Hydro Caisán, S. A. se comprometió a causar que PPH y las demás Compañías de los Proyectos mantengan y cumplan de manera consolidada con una Razón de Cobertura de Servicio de Deuda mayor a 1.25x para los últimos doce (12) meses como requisito financiero y como condición para pagos restringidos.</t>
  </si>
  <si>
    <t>Los bonos fueron emitidos en su totalidad a través de la Bolsa Latinoamericana de Valores y 100% suscritos por un sindicato de bancos liderado por Banco General, S. A., quien también actúa como agente de pago, registro y transferencia de la emisión.</t>
  </si>
  <si>
    <t>La totalidad de los términos y condiciones de los Bonos se encuentran en la página web de la Superintendencia del Mercado de Valores, Bolsa Latinoamericana de Valores y página web de la Compañía (www.panamapower.net).</t>
  </si>
  <si>
    <t>El valor razonable de la deuda al 31 de diciembre de 2022 es de B/.128,676,793 (2021: B/.160,740,371) determinado en base de flujos descontados de caja utilizando una tasa del 9.240% (2021: 6.422%) y está incluido en el Nivel 2 de la jerarquía del valor razonable.</t>
  </si>
  <si>
    <t>17</t>
  </si>
  <si>
    <t>17. Préstamos por pagar</t>
  </si>
  <si>
    <t>Los préstamos por pagar al 31 de diciembre 2022, se detallan a continuación:</t>
  </si>
  <si>
    <t>| | 2022 | 2021 | | --- | --- | --- | | Banco General, S. A. | | | | Línea de crédito No Rotativa | 758,413 | - |</t>
  </si>
  <si>
    <t>Con fecha 17 de mayo de 2022, PPH Financing Services, S. A. celebró Contrato de Línea de Adelantos No Rotativa con Banco General, S. A. para financiar la construcción de una mini central de 1.0MW de capacidad firme ubicada en la central hidroeléctrica El Alto. La facilidad cuenta con fianza solidaria de Panama Power Holdings, Inc.</t>
  </si>
  <si>
    <t>En mayo de 2022, PPH Financing Services, S. A. suscribió un Acuerdo de reembolso con Hydro Caisán, S. A. mediante el cual ésta se compromete a reembolsar a PPH Financing Services, Inc. los intereses y costos relacionados al Contrato de Línea de Adelantos No Rotativa para financiar la construcción de una mini central en El Alto, suscrita entre PPH Financing Services, S. A. y Banco General, S. A., mientras se encuentre vigente el financiamiento.</t>
  </si>
  <si>
    <t>page-73</t>
  </si>
  <si>
    <t>18</t>
  </si>
  <si>
    <t>18. Otros Pasivos</t>
  </si>
  <si>
    <t>Los otros pasivos se detallan de la siguiente manera:</t>
  </si>
  <si>
    <t>| | 2022 | 2021 | | --- | --- | --- | | Obras comunitarias | 697,569 | 797,071 | | Reservas laborales | 600,352 | 474,790 | | Adelanto de clientes | 250,000 | 250,000 | | Titulaciones en trámite | 147,903 | 147,903 | | Pasivos laborales | 46,034 | 47,046 | | Otros | 10,695 | 10,523 | | | 1,752,733 | 1,727,333 | | Menos: Porción circulante | 1,534,472 | 1,522,447 | | Porción no circulante | 218,261 | 204,886 |</t>
  </si>
  <si>
    <t>19</t>
  </si>
  <si>
    <t>19. Acciones de Capital</t>
  </si>
  <si>
    <t>Capital / patrimonio / dividendos</t>
  </si>
  <si>
    <t>Las acciones comunes y preferidas son clasificadas como patrimonio. Las acciones de capital son reconocidas al valor razonable de la contraprestación recibida por el Grupo. Cuando se readquieren acciones de capital, el monto pagado es reconocido como un cargo al patrimonio y reportado en el estado consolidado de situación financiera como acciones de tesorería.</t>
  </si>
  <si>
    <t>Los accionistas de la sociedad, en su Asamblea General Ordinaria de Accionistas del 23 de abril de 2013, aprobaron un aumento en el capital social autorizado de 22,500,000 acciones a 30,000,000, y en el número de acciones comunes autorizadas de 18,750,000 a 26,250,000.</t>
  </si>
  <si>
    <t>Es importante destacar que estas acciones corporativas no modifican los derechos de los tenedores de las acciones comunes registradas bajo la Resolución CNV No.243-07 de 24 de septiembre de 2007, ni los derechos de las acciones comunes o preferidas de la sociedad.</t>
  </si>
  <si>
    <t>El número total de acciones comunes autorizadas es de 26,250,000 acciones con valor nominal de B/.1 cada una. Al 31 de diciembre de 2022, el Grupo tenía emitidas y en circulación un total de 16,575,011 acciones comunes con un valor nominal de B/.1 (2021: 16,575,011).</t>
  </si>
  <si>
    <t>Los tenedores de las acciones comunes tendrán derecho a recibir dividendos de tiempo en tiempo, de fondos legalmente disponibles para ello, cuando éstos sean declarados y pagados por la Junta Directiva del emisor. Los tenedores de las acciones comunes tienen derecho a elegir un número minoritario de los miembros de la Junta Directiva del Emisor.</t>
  </si>
  <si>
    <t>page-74</t>
  </si>
  <si>
    <t>19. Acciones de Capital (Continuación)</t>
  </si>
  <si>
    <t>### Acciones Comunes (continuación)</t>
  </si>
  <si>
    <t>Las acciones comunes conferirán derecho de voto a sus tenedores. Cada acción común confiere derecho a un voto.</t>
  </si>
  <si>
    <t>Las acciones comunes han sido registradas en el mercado secundario de la Bolsa Latinoamericana de Valores en noviembre de 2011.</t>
  </si>
  <si>
    <t>### Suscripción de Acciones Comunes</t>
  </si>
  <si>
    <t>De conformidad con el prospecto informativo de oferta pública de acciones comunes, Panama Power Holdings, Inc. no tendrá la obligación de redimir las acciones comunes; sin embargo, podrá redimir o comprar todas las acciones comunes de un tenedor de acciones en caso de que (i) el tenedor incumpla con su obligación de hacer sus contribuciones de capital acordadas (ii) el tenedor haga un traspaso no permitido de sus acciones comunes o (iii) se produzca un cambio no permitido de propietario.</t>
  </si>
  <si>
    <t>El excedente en valor de suscripción de las acciones comunes es el siguiente:</t>
  </si>
  <si>
    <t>| | 2022 | 2021 | | --- | --- | --- | | Valor de suscripción de acciones comunes | 161,163,460 | 170,279,716 | | Devolución parcial del excedente en valor de suscripción de acciones comunes | (10,939,508) | (9,116,256) | | Costos directos de emisión de acciones comunes | (23,988) | (23,988) | | Valor nominal de acciones comunes emitidas | (16,575,011) | (16,575,011) | | Excedente en valor de suscripción de acciones comunes | 133,624,953 | 144,564,461 |</t>
  </si>
  <si>
    <t>El Grupo aprobó una distribución a sus accionistas comunes por el monto de B/.9,116,256 equivalente a B/.0.55 por acción común, pagadera el 23 de diciembre de 2021.</t>
  </si>
  <si>
    <t>Para el 23 de diciembre de 2022 se aprobó una distribución a sus accionistas por el monto de B/.10,939,508 equivalente a B/.0.66. Ambas distribuciones se realizaron mediante devolución parcial del excedente en valor de suscripción de acciones comunes.</t>
  </si>
  <si>
    <t>El número total de acciones preferidas autorizadas es de 3,750,000 acciones sin valor nominal. Al 31 de diciembre de 2022, El Grupo había emitido 3,597,000 (2021: 3,597,000) acciones preferidas.</t>
  </si>
  <si>
    <t>page-75</t>
  </si>
  <si>
    <t>### Acciones Preferidas (continuación)</t>
  </si>
  <si>
    <t>Las acciones preferidas no tienen derecho a recibir dividendos anuales, excepto por un dividendo nominativo no acumulativo de B/.1, el cual podrá ser distribuido a la clase como grupo. Sin embargo, las acciones preferidas, sí tendrán derecho a participar en las distribuciones que se hagan en el momento de la liquidación o disolución del Emisor, una vez los tenedores de las acciones comunes hubiesen recibido, el equivalente de sus contribuciones de capital.</t>
  </si>
  <si>
    <t>Cada acción preferida ofrece a su tenedor el derecho a un voto en las Asambleas de Accionistas. Las acciones preferidas fueron diseñadas para mantener cierto control sobre las decisiones trascendentales del Emisor.</t>
  </si>
  <si>
    <t>Las acciones preferidas serán convertidas en acciones comunes a razón de una acción común por cada acción preferida, dentro de los treinta (30) días siguientes a la fecha en que la Junta Directiva determine que los tenedores de acciones comunes han recibido una suma igual a las contribuciones que se hubiesen comprometido a hacer en el contrato de suscripción (menos cualquier reducción posterior acordada de dichas contribuciones) como aportes de capital original por sus acciones comunes, bien sean mediante distribución de dividendos, la recompra de sus acciones comunes por parte del emisor, pagos en liquidación u otra forma. No obstante, lo anterior, los tenedores de las acciones preferidas al momento de la conversión retendrán, cada uno, una acción preferida.</t>
  </si>
  <si>
    <t>20</t>
  </si>
  <si>
    <t>20. Ingresos</t>
  </si>
  <si>
    <t>Ingresos</t>
  </si>
  <si>
    <t>### Ingresos por Venta de Energía</t>
  </si>
  <si>
    <t>Los ingresos por venta de energía son reconocidos a través del tiempo y están compuestos de la siguiente manera:</t>
  </si>
  <si>
    <t>| | 2022 | 2021 | | --- | --- | --- | | Ingresos por contratos con clientes | | | | Venta de energía - contratada | 25,174,194 | 21,621,238 | | Venta de capacidad - contratada | 10,572,289 | 10,266,510 | | | 35,746,483 | 31,887,748 | | Ingresos por mercado ocasional | | | | Venta de capacidad - mercado ocasional | 23,832 | 25,850 | | Venta de energía - mercado ocasional | 19,232,161 | 9,187,890 | | Servicios auxiliares y otros | 2,201,767 | 1,692,239 | | | 21,457,760 | 10,905,979 | | Total de ingresos por venta de energía | 57,204,243 | 42,793,727 |</t>
  </si>
  <si>
    <t>page-76</t>
  </si>
  <si>
    <t>20. Ingresos (Continuación)</t>
  </si>
  <si>
    <t>Otros ingresos se detallan a continuación:</t>
  </si>
  <si>
    <t>| | 2022 | 2021 | | --- | --- | --- | | Ingresos por crédito fiscal | 1,930,197 | 757,608 | | Otros ingresos | 44,301 | 112,273 | | | 1,974,498 | 869,881 |</t>
  </si>
  <si>
    <t>21</t>
  </si>
  <si>
    <t>21. Transacciones con Partes Relacionadas</t>
  </si>
  <si>
    <t>Partes relacionadas</t>
  </si>
  <si>
    <t>A continuación, se presentan las transacciones con partes relacionadas:</t>
  </si>
  <si>
    <t>| | 2022 | 2021 | | --- | --- | --- | | Gastos de honorarios profesionales - otras partes relacionadas | 1,278,900 | 959,176 |</t>
  </si>
  <si>
    <t>El pago en concepto de salarios y otras compensaciones al personal gerencial clave por el año terminado el 31 de diciembre de 2022 es de B/.239,097 (2021: B/.229,547).</t>
  </si>
  <si>
    <t>22</t>
  </si>
  <si>
    <t>22. Gastos Operativos</t>
  </si>
  <si>
    <t>Los gastos operativos se resumen a continuación:</t>
  </si>
  <si>
    <t>| | 2022 | 2021 | | --- | --- | --- | | Depreciación y amortización | 11,881,633 | 11,878,451 | | Costo de personal | 2,200,491 | 2,243,522 | | Fianzas y seguros | 1,783,817 | 1,556,626 | | Honorarios profesionales | 1,436,080 | 983,422 | | Ambientales y regulador | 513,811 | 526,671 | | Mantenimientos de planta | 648,943 | 518,038 | | Impuestos generales | 432,144 | 319,582 | | Vehículos y transporte | 240,251 | 212,175 | | Ayuda comunitaria | 212,346 | 225,477 | | Vigilancia | 154,606 | 166,964 | | Servicios públicos, alquileres y gastos de oficina | 105,200 | 104,993 | | Otros | 65,123 | 15,705 | | Honorarios por comercialización | 45,600 | 45,600 | | Honorarios legales | 42,892 | 70,142 | | Pérdida en activos financieros | - | 139,398 | | Pérdida en activos no financieros | - | 20,000 | | | 19,762,937 | 19,026,766 |</t>
  </si>
  <si>
    <t>-44-</t>
  </si>
  <si>
    <t>page-77</t>
  </si>
  <si>
    <t>23</t>
  </si>
  <si>
    <t>23. Utilidad Integral Básica por Acción</t>
  </si>
  <si>
    <t>La utilidad integral básica por acción mide el desempeño de una entidad sobre el año reportado y la misma se calcula dividiendo la utilidad integral entre el número promedio ponderado de acciones en circulación durante el año.</t>
  </si>
  <si>
    <t>El cálculo de la utilidad integral básica por acción se presenta a continuación:</t>
  </si>
  <si>
    <t>| | 2022 | 2021 | | --- | --- | --- | | Utilidad neta | 13,662,921 | 5,135,536 | | Número promedio ponderado de acciones | 16,575,011 | 16,575,011 | | Utilidad integral por acción | 0.82 | 0.31 |</t>
  </si>
  <si>
    <t>24</t>
  </si>
  <si>
    <t>24. Compromisos y Contingencias</t>
  </si>
  <si>
    <t>Contingencias</t>
  </si>
  <si>
    <t>Al 31 de diciembre de 2022, aseguradoras y bancos locales habían emitido fianzas y cartas de garantías bancarias por un total de B/.13,751,305 (2021: B/.12,748,486) para respaldar obligaciones del Grupo como parte del giro de negocio.</t>
  </si>
  <si>
    <t>### Contratos de Concesión</t>
  </si>
  <si>
    <t>Las subsidiarias Generadora Pedregalito, S. A., Generadora Río Chico, S. A., Generadora Alto Valle, S. A. e Hydro Caisán, S. A., han adquirido contratos de concesión de cincuenta años que otorgan ciertos derechos, incluyendo la generación y venta de electricidad a ser producidas por las plantas hidroeléctricas y los derechos de agua para el uso de los ríos Chico, Cochea y Chiriquí Viejo. Estas subsidiarias están obligadas a administrar, operar y dar mantenimiento a las plantas durante el término de los contratos. Dicho término podrá ser renovado por unos cincuenta años adicionales sujetos a la aprobación previa de la Autoridad Nacional de los Servicios Públicos (ASEP), que es el ente regulador de los servicios públicos.</t>
  </si>
  <si>
    <t>Los términos más importantes de los contratos de concesión firmados entre las subsidiarias (para propósitos prácticos denominadas abajo la “Compañía”) y la ASEP se detallan a continuación:</t>
  </si>
  <si>
    <t>- La ASEP otorga al Grupo una concesión para la generación de energía hidroeléctrica mediante la explotación del aprovechamiento hidroeléctrico ubicado sobre los ríos Chico, Cochea y Chiriquí Viejo.</t>
  </si>
  <si>
    <t>page-78</t>
  </si>
  <si>
    <t>24. Compromisos y Contingencias (Continuación)</t>
  </si>
  <si>
    <t>### Contratos de Concesión (continuación)</t>
  </si>
  <si>
    <t>- La Compañía está autorizada a prestar el servicio público de generación de electricidad, el cual comprende la construcción, instalación, operación y mantenimiento de una central de generación eléctrica, con sus respectivas líneas de conexión a las redes de transmisión y equipos de transformación, con el fin de producir y vender energía en el sistema eléctrico nacional y/o internacional. - El término de la vigencia de cada una de las concesiones otorgadas tiene una duración de cincuenta (50) años. El mismo puede ser prorrogado por un período de hasta cincuenta (50) años, previa solicitud a la ASEP. - La Compañía tendrá la libre disponibilidad de los bienes propios y los bienes de los complejos. - La Compañía tendrá los derechos sobre los bienes inmuebles y derechos de vía o paso en el Área de Concesión pudiendo realizar todas las actividades necesarias para la generación, transporte y venta de energía hidroeléctrica. Así mismo, la Compañía también tendrá el derecho de vía o acceso a las áreas del complejo hidroeléctrico actualmente habilitadas y en uso. - La Compañía podrá solicitar la adquisición forzosa de inmuebles y la constitución de servidumbres a su favor conforme lo estipula la Ley No.6 de 1997 y su reglamento.</t>
  </si>
  <si>
    <t>Las siguientes subsidiarias poseen derecho de concesión otorgado por la ASEP, y tienen emitidas Fianzas de Cumplimiento a favor de la ASEP y/o Contraloría General de la República, como es requerido por el contrato de concesión:</t>
  </si>
  <si>
    <t>| Subsidiaria | Planta | Río | Fecha de Refrendo de Contrato | Monto de la Fianza | | --- | --- | --- | --- | --- | | Generadora Pedregalito, S. A. | Pedregalito 1 | Chico | 27 de julio de 2009 | 125,000 | | Generadora Alto Valle, S. A. | Cochea | Cochea | 27 de julio de 2009 | 100,000 | | Hydro Caisán, S. A. | El Alto | Chiriquí Viejo | 13 de abril de 2007 | 266,000 | | Generadora Río Chico, S. A. | Pedregalito 2 | Chico | 29 de abril de 2011 | 85,000 |</t>
  </si>
  <si>
    <t>page-79</t>
  </si>
  <si>
    <t>Mediante Resolución AN No. 17981-Elec del 27 de octubre de 2022, la ASEP otorgó Licencia Provisional a la subsidiaria Pedregalito Solar Power, S.A. para la construcción y explotación de un proyecto de generación fotovoltaica denominado Pedregalito Solar Power con una potencia nominal AC de 9.9MW.</t>
  </si>
  <si>
    <t>### Generadora Pedregalito, S. A.</t>
  </si>
  <si>
    <t>- Contratos de suministro de potencia y energía asociada firmados en junio de 2011 con Empresa de Distribución Eléctrica Metro-Oeste, S. A. (EDEMET), Empresa de Distribución Eléctrica Chiriquí, S. A. (EDECHI) y Elektra Noreste, S. A. (ENSA), que abarcan los períodos comprendidos de 2012 a 2029. El valor económico contratado será de B/.0.114 Kwh. Al 31 de diciembre de 2022 estos contratos estaban respaldados por fianzas de cumplimiento emitidas por Acerta Compañía de Seguros, S. A. por las sumas de B/.307,310 (EDEMET), B/.30,699 (EDECHI) y B/.122,933 (ENSA).</t>
  </si>
  <si>
    <t>- Contratos de suministro de sólo energía firmados en junio de 2013 con las compañías Empresa de Distribución Eléctrica Metro Oeste, S. A. (EDEMET), Empresa de Distribución Eléctrica Chiriquí, S. A. (EDECHI) y Elektra Noreste, S. A. (ENSA), que abarcan los períodos comprendidos del 1 de diciembre de 2015 al 31 de diciembre de 2027. El precio por energía contratada será de B/.0.1320 Kwh. Al 31 de diciembre de 2022, estos contratos estaban respaldados por fianzas de cumplimiento emitidas por Acerta Compañía de Seguros, S. A. por las sumas de B/.559,341 (EDEMET), B/.189,608 (EDECHI) y B/.233,470 (ENSA).</t>
  </si>
  <si>
    <t>- Contratos de Suministro de Sólo Energía firmados en mayo y junio de 2020 con las compañías Empresa de Distribución Eléctrica Metro Oeste, S. A. (EDEMET), Empresa de Distribución Eléctrica Chiriquí, S. A. (EDECHI) y Elektra Noreste, S. A. (ENSA) que abarcan los períodos comprendidos del 1 de octubre de 2020 al 31 de octubre de 2022. El precio por energía contratada será de B/.0.064 Kwh. A su vencimiento, estos contratos estaban respaldados por fianzas de cumplimiento emitidas por Acerta Compañía de Seguros, S. A. por las sumas de B/.23,547 (EDEMET), B/.78,490 (EDECHI) y B/.470,938 (ENSA).</t>
  </si>
  <si>
    <t>page-80</t>
  </si>
  <si>
    <t>## Generadora Pedregalito, S. A. (continuación)</t>
  </si>
  <si>
    <t>### Contratos de Energía (continuación)</t>
  </si>
  <si>
    <t>- Contratos de Suministro de Sólo Energía firmados en noviembre de 2021 con las compañías Empresa de Distribución Eléctrica Metro - Oeste, S. A. (EDEMET), Empresa de Distribución Eléctrica Chiriquí, S. A. (EDECHI) y Elektra Noreste, S. A. (ENSA) que abarcan los períodos comprendidos del 1 de noviembre de 2021 al 30 de noviembre de 2022. El precio promedio por energía contratada será de B/.0.0645 Kwh. A su vencimiento, estos contratos estaban respaldados por fianzas de cumplimiento emitidas por Acerta Compañía de Seguros, S. A. por las sumas de B/.164,956 (EDEMET), B/.77,323 (EDECHI) y B/.350,531 (ENSA).</t>
  </si>
  <si>
    <t>## Generadora Río Chico, S. A.</t>
  </si>
  <si>
    <t>page-81</t>
  </si>
  <si>
    <t>## Generadora Alto Valle, S. A.</t>
  </si>
  <si>
    <t>- Contratos de suministro de largo plazo de potencia y energía firmados en octubre de 2008 con Empresa de Distribución Eléctrica Metro-Oeste, S. A. (EDEMET) y con Elektra Noreste, S. A. (ENSA), que abarcan los períodos comprendidos de 2013 a 2025. Con fecha efectiva 25 de julio de 2014, la ASEP aprobó la enmienda No.4 al Contrato DME-010-08 de Potencia y Energía suscrito entre Elektra Noreste, S. A. (ENSA) e Hydro Caisán, S. A., y la enmienda No.5 al Contrato No.05-08 de Potencia y Energía, suscrito entre Empresa Distribuidora Metro-Oeste (EDEMET), ambas enmiendas extienden la fecha de inicio del contrato hasta el 1 de enero de 2016. Al 31 de diciembre de 2022, estos contratos estaban respaldados por fianzas de cumplimiento emitidas por Acerta Compañía de Seguros, S. A. por las sumas de B/.965,788 (EDEMET) y B/.288,363 (ENSA).</t>
  </si>
  <si>
    <t>-49-</t>
  </si>
  <si>
    <t>page-82</t>
  </si>
  <si>
    <t>## Hydro Caisán, S. A. (continuación)</t>
  </si>
  <si>
    <t>## Contratos de Energía (continuación)</t>
  </si>
  <si>
    <t>La Subsidiaria Generadora Pedregalito, S. A. está afectada por los siguientes procesos ordinarios:</t>
  </si>
  <si>
    <t>- El 15 de abril de 2019 se recibió notificación por parte del Juzgado Segundo del Circuito Civil para la diligencia judicial relacionada al proceso ordinario promovido por Otilia Vigil e Hijos, S. A. en contra de Generadora Pedregalito, S. A. La pretensión inicial del proceso es que se desafecte la servidumbre que pesa sobre las fincas No.7214 y 403202 (que surgió de la segregación de un lote de terreno de la finca madre antes descrita) ubicadas en la Provincia de Chiriquí.</t>
  </si>
  <si>
    <t>La contraparte señala que la servidumbre que inicialmente se constituyó sobre la finca madre No.7214 a favor de Generadora Pedregalito, S. A., dejó de existir con la constitución y compra de la nueva finca No.372383 por parte de Generadora Pedregalito, S. A. Sin embargo, para Generadora Pedregalito, S. A. se trató de dos transacciones negociadas y pagadas de forma independiente. A la fecha de emisión de este informe, la sentencia del Juez declaró que sobre el folio real 7214 se constituyó una servidumbre la cual se encuentra inscrita en el Registro Público.</t>
  </si>
  <si>
    <t>page-83</t>
  </si>
  <si>
    <t>25</t>
  </si>
  <si>
    <t>25. Impuesto sobre la Renta</t>
  </si>
  <si>
    <t>Impuestos</t>
  </si>
  <si>
    <t>De acuerdo con las disposiciones fiscales vigentes en la República de Panamá, las ganancias obtenidas por las Compañías por operaciones locales están sujetas al pago del impuesto sobre la renta.</t>
  </si>
  <si>
    <t>El gasto de impuesto sobre la renta está basado en el mayor de los siguientes cómputos:</t>
  </si>
  <si>
    <t>a. La tarifa de impuesto sobre la renta vigente sobre la utilidad fiscal (25%). b. La renta neta gravable que resulte de aplicar al total de ingresos gravables el 4.67% por la tasa del impuesto sobre la renta vigente.</t>
  </si>
  <si>
    <t>En el caso de que por razón del impuesto sobre la renta, el contribuyente incurra en pérdidas o que la tasa efectiva sea superior a la tasa impositiva vigente, el mismo podrá elevar una solicitud ante la Dirección General de Ingresos (DGI) de no aplicación del impuesto mínimo alterno y en su defecto, que se acepte el pago del impuesto sobre la renta en base al método tradicional.</t>
  </si>
  <si>
    <t>El cargo a resultado de cada ejercicio por impuesto sobre la renta se presenta a continuación:</t>
  </si>
  <si>
    <t>| | 2022 | 2021 | | --- | --- | --- | | Impuesto sobre la renta corriente | 5,211,891 | 2,772,759 | | Ajuste al impuesto sobre la renta | 77,816 | 269,090 | | Impuesto sobre la renta diferido | 53,281 | 53,281 | | | 5,342,988 | 3,095,130 |</t>
  </si>
  <si>
    <t>page-84</t>
  </si>
  <si>
    <t>25. Impuesto sobre la Renta (Continuación)</t>
  </si>
  <si>
    <t>El impuesto sobre la renta difiere del monto calculado aplicando la tasa de impuesto vigente 25% debido al efecto de las siguientes partidas:</t>
  </si>
  <si>
    <t>| | 2022 | 2021 | | --- | --- | --- | | Utilidad antes de impuestos sobre la renta | 19,005,909 | 8,230,666 | | Impuesto sobre la renta contable a la tasa de 25% | 4,751,477 | 2,057,667 | | Efectos y partidas que afectan el cálculo fiscal del impuesto sobre la renta: | | | | Arrastre de pérdida | (53,281) | (53,281) | | Ingresos por intereses no gravable | (35,063) | (31,984) | | Otros ingresos no gravables | (52,034) | (41,634) | | Gastos no deducibles | 54,881 | 41,814 | | Pérdida de entidades consolidadas no sujetas al impuesto sobre la renta | 412,761 | 370,822 | | Ingreso por crédito fiscal no gravable | (485,607) | (189,402) | | Depreciación no deducible por uso de crédito fiscal | 618,757 | 618,757 | | Impuesto sobre la renta fiscal a la tasa de 25% | 5,211,891 | 2,772,759 | | Efectos y partidas no recurrentes que afectan el impuesto sobre la renta del período: | | | | Impuesto sobre la renta diferido | 53,281 | 53,281 | | Ajuste al impuesto sobre la renta | - | 269,090 | | Total de efectos y partidas no recurrentes | 77,816 | 322,371 | | Gasto de impuesto sobre la renta | 5,342,988 | 3,095,130 | | Tasa efectiva | 25% | 32% | | Tasa efectiva excluyendo los efectos y partidas no recurrentes | 28% | 29% |</t>
  </si>
  <si>
    <t>El activo por impuesto sobre la renta diferido al 31 de diciembre de 2022 y 2021 corresponde al arrastre de pérdida y se calculó en base a la tasa impositiva vigente. El movimiento de impuesto sobre la renta diferido activo se presenta a continuación:</t>
  </si>
  <si>
    <t>| | 2022 | 2021 | | --- | --- | --- | | Saldo al inicio del año | 193,382 | 246,663 | | Utilización del año | (53,281) | (53,281) | | Saldo al final de año | 140,101 | 193,382 |</t>
  </si>
  <si>
    <t>page-85</t>
  </si>
  <si>
    <t>### Crédito Fiscal por Inversión Directa</t>
  </si>
  <si>
    <t>De acuerdo a la Ley No.45 del 2004, que “Establece un régimen de incentivos para el fomento de sistemas de generación hidroeléctrica y de otras fuentes nuevas, renovables y limpias, y dicta otras disposiciones”, las compañías dedicadas a las actividades de generación en los términos expuestos en la Ley gozarán de los siguientes beneficios fiscales:</t>
  </si>
  <si>
    <t>- Exoneración del impuesto de importación, aranceles, tasas, contribuciones y gravámenes que pudiesen causarse por la importación de equipos, máquinas, materiales, repuestos y demás que sean necesarios para la construcción, operación y mantenimiento de sistemas de generación.</t>
  </si>
  <si>
    <t>- Dichas compañías podrán optar por adquirir del Estado un incentivo fiscal equivalente hasta el 25% de la inversión directa en el respectivo proyecto, con base en la reducción de toneladas de emisión de dióxido de carbono equivalentes por año, calculados por el término de la concesión; el cual podrá ser utilizado para el pago de impuesto sobre la renta liquidado en la actividad sobre un período fiscal determinado, durante los primeros diez años contados a partir de la entrada en operación comercial del proyecto, siempre que no gocen de otros incentivos, exoneraciones, exenciones y créditos fiscales establecidos en otras leyes.</t>
  </si>
  <si>
    <t>Durante el año el 31 de diciembre de 2022 el Grupo utilizó B/.1,930,197 (2022: B/.549,546) del crédito fiscal para el pago del impuesto sobre la renta (Nota 19). Los créditos fiscales vencieron en el período fiscal 2021 para Generadora Pedregalito, S.A. y Generadora Rio Chico, S.A., y en el período fiscal 2022 para Generadora Alto Valle, S.A. El crédito fiscal para Hydro Caisán vence en el período fiscal 2024.</t>
  </si>
  <si>
    <t>Mediante Resolución No. 201-86 del 6 de enero de 2014, notificada a Generadora Pedregalito, S. A. el 5 de mayo de 2014, la Dirección General de Ingresos (DGI) otorgó la autorización para el reconocimiento de estos incentivos fiscales por un monto de B/.14,154,507, correspondiente al 25% de la inversión directa realizada en el Proyecto Hidroeléctrico Pedregalito 1. Dicho crédito fiscal es aplicable como pago del 50% del impuesto sobre la renta causado en el período fiscal, hasta un máximo de diez años a partir de la entrada en operación comercial del proyecto (24 de diciembre de 2011) o hasta que el 100% del crédito sea consumido, lo que ocurra primero.</t>
  </si>
  <si>
    <t>page-86</t>
  </si>
  <si>
    <t>### Crédito Fiscal por Inversión Directa (continuación)</t>
  </si>
  <si>
    <t>Mediante Resolución No. 201-85 del 6 de enero de 2014, notificada a Generadora Río Chico, S. A. el 5 de mayo de 2014, la Dirección General de Ingresos (DGI) otorgó la autorización para el reconocimiento de estos incentivos fiscales por un monto de B/.7,599,484, correspondiente al 25% de la inversión directa realizada en el Proyecto Hidroeléctrico Pedregalito 2. Dicho crédito fiscal es aplicable como pago del 50% del impuesto sobre la renta causado en el período fiscal, hasta un máximo de diez años a partir de la entrada en operación comercial del proyecto (31 de diciembre de 2011) o hasta que el 100% del crédito sea consumido, lo que ocurra primero.</t>
  </si>
  <si>
    <t>Mediante Resolución No.201-1999 del 27 de abril de 2017, notificada a Generadora Alto Valle, S. A. el 31 de mayo de 2017, la Dirección General de Ingresos otorgó la autorización para el reconocimiento de estos incentivos fiscales por un monto de B/.11,644,308, correspondiente al 25% de la inversión directa realizada en el Proyecto Hidroeléctrico Cochea. Dicho crédito fiscal es aplicable como pago del 50% del impuesto sobre la renta causado en el período fiscal, hasta un máximo de diez años a partir de la entrada en operación comercial del proyecto (2 de enero de 2013) o hasta que el 100% del crédito sea consumido, lo que ocurra primero.</t>
  </si>
  <si>
    <t>Mediante Resolución No.201-2000 del 27 de abril de 2017, notificada a Hydro Caisán, S. A. el 31 de mayo de 2017, la Dirección General de Ingresos otorgó la autorización para el reconocimiento de estos incentivos fiscales por un monto de B/.45,000,000, correspondiente al 25% de la inversión directa realizada en el Proyecto Hidroeléctrico El Alto. Dicho crédito fiscal es aplicable como pago del 50% del impuesto sobre la renta causado en el período fiscal, hasta un máximo de diez años a partir de la entrada en operación comercial del proyecto (24 de octubre de 2014) o hasta que el 100% del crédito sea consumido, lo que ocurra primero.</t>
  </si>
  <si>
    <t>Debido al beneficio fiscal recibido no le es permitido a las compañías: Generadora Pedregalito, S. A., Generadora Río Chico, S. A., Generadora Alto Valle, S. A. e Hydro Caisán, S. A. reconocer como deducible el 25% del gasto de depreciación correspondiente a la inversión directa en la obra.</t>
  </si>
  <si>
    <t>Generadora Pedregalito, S. A., Generadora Río Chico, S. A., Generadora Alto Valle e Hydro Caisán, S. A., han iniciado el uso de este crédito fiscal y han registrado el monto estimado actual que se espera sea recuperado durante la vida del mismo. Este monto es revisado anualmente para reflejar las condiciones esperadas de la industria.</t>
  </si>
  <si>
    <t>page-87</t>
  </si>
  <si>
    <t>26</t>
  </si>
  <si>
    <t>26. Eventos Subsecuentes</t>
  </si>
  <si>
    <t>Subsequent events</t>
  </si>
  <si>
    <t>Durante el mes de enero de 2023, la subsidiaria Pedregalito Solar Power, S.A. realizó anticipos adicionales por la suma de B/.966,905 a proveedores del proyecto Pedregalito Solar Power (ver notas 9 y 24).</t>
  </si>
  <si>
    <t>A la fecha, la subsidiaria Pedregalito Solar Power, S.A. ha suscrito la totalidad de los contratos con el contratista y suplidores de equipos para el desarrollo de una planta solar con una capacidad de 9.9MW nominal, la cual estará ubicada en el distrito de Alanje, provincia de Chiriquí. El costo total del proyecto se estima en B/.9,200,000.</t>
  </si>
  <si>
    <t>page-88</t>
  </si>
  <si>
    <t># Panama Power Holdings, Inc. y Subsidiarias</t>
  </si>
  <si>
    <t>## Informe y Estados Financieros Consolidados 31 de diciembre de 2022</t>
  </si>
  <si>
    <t>"Este documento ha sido preparado con el conocimiento de que su contenido será puesto a disposición del público inversionista y del público en general"</t>
  </si>
  <si>
    <t>page-89</t>
  </si>
  <si>
    <t># Estado Consolidado de Situación Financiera</t>
  </si>
  <si>
    <t># 31 de diciembre de 2022</t>
  </si>
  <si>
    <t>| | Total Consolidado | Eliminaciones | Sub-Total Consolidado | Panama Power Holdings, Inc. | Generadora Adu. Valir, S. A. | Pedregalito Solar Power S. A. | Hydro-Cuica, S. A. | Generadora Pedregalito, S. A. | Generadora Rio Chico, S. A. | Panama Power Management Services, S. A. | Rio Chico Solar Power, S. A. | PPH Financing Services, S. A. | | --- | --- | --- | --- | --- | --- | --- | --- | --- | --- | --- | --- | --- | | Activos | | | | | | | | | | | | | | Activos circulantes | | | | | | | | | | | | | | Efectivo y equivalentes de efectivo | 18,955,792 | - | 18,955,792 | 776,318 | 1,081,968 | - | 2,302,757 | 3,208,199 | 1,529,943 | 54,740 | - | 1,058,985 | | Cuentas por relleno | 10,400,529 | - | 10,400,529 | - | 1,581,488 | - | 6,490,551 | 1,454,180 | 754,295 | - | - | - | | Cuentas por relleno - compañías relacionadas | - | (266,913,306) | 266,913,306 | 96,468,892 | 3,068,845 | 2,357 | 64,210,255 | - | 11,199,252 | 119,860 | - | 93,804,649 | | Inventarios de expuestos y suministros | 2,285,886 | - | 2,285,886 | - | 412,316 | - | 770,041 | 762,652 | 529,797 | - | - | - | | Crédito fiscal por inversión | 2,646,165 | - | 2,646,165 | - | 274,548 | - | 2,377,817 | - | - | - | - | - | | Gastos pagados por adelantado | 171,042 | - | 171,042 | 18,445 | 14,813 | - | 92,689 | 21,145 | 12,651 | 1,639 | - | - | | Otros activos | 1,115,782 | - | 1,115,782 | - | 31,276 | 262,487 | 592,386 | 137,683 | 54,403 | 35,815 | - | 11,630 | | Total de activos circulantes | 27,636,127 | (206,913,3</t>
  </si>
  <si>
    <t>page-90</t>
  </si>
  <si>
    <t>| | Total Consolidado | Eliminaciones | Sula Total Consolidado | Panama Power Holdings, Inc. | Generadores Alto Valle, S. A. | Patologables Solas Power, S.A. | Hydra Cátula, S. A. | Generadores Patologables, S. A. | Generadores Río Chico, S. A. | Panama Power Management Services, S. A. | Río Chico Solas Power, S.A. | PPH Financing Services, S. A. | | --- | --- | --- | --- | --- | --- | --- | --- | --- | --- | --- | --- | --- | | Ingresos | | | | | | | | | | | | | | Venta de energía | 57,284,243 | - | 57,284,243 | - | 7,772,171 | - | 36,306,559 | 8,065,298 | 4,068,223 | - | - | - | | Total de ingresos | 57,284,243 | - | 57,284,243 | - | 7,772,171 | - | 36,306,559 | 8,065,298 | 4,068,223 | - | - | - | | Costos de energía | | | | | | | | | | | | | | Compra de energía y costos asociados | 8,559,955 | - | 8,559,955 | - | 407,246 | - | 7,225,324 | 759,724 | 167,659 | - | - | - | | Cargo de innovación | 1,858,489 | - | 1,858,489 | - | 93,768 | - | 1,185,268 | 358,163 | 224,278 | - | - | - | | Total de costos de energía | 18,618,422 | - | 18,618,422 | - | 300,014 | - | 8,400,584 | 1,189,887 | 391,937 | - | - | - | | Ingresos por crédito fiscal y otros | 1,974,498 | - | 1,974,498 | - | 327,379 | - | 1,341,370 | 191,427 | 111,687 | 2,635 | - | - | | Gastos Operativos | | | | | | | | | | | | | | Depreciación y amortización | 11,881,633 | - | 11,881,633 | - | 1,646,231 | - | 6,069,657 | 2,212,082 | 1,153,679 | - | - | - | | Operación y mantenimiento | 2,544,373 | - | 2,544,373 | - | 352,</t>
  </si>
  <si>
    <t>page-91</t>
  </si>
  <si>
    <t>IV PARTE ESTADOS FINANCIEROS DE GARANTES O FIADORES</t>
  </si>
  <si>
    <t>page-92</t>
  </si>
  <si>
    <t>V PARTE ESTADOS FINANCIEROS AUDITADOS DEL FIDEICOMISO</t>
  </si>
  <si>
    <t>page-93</t>
  </si>
  <si>
    <t>INFORME DE CALIFICACIÓN DE RIESGO</t>
  </si>
  <si>
    <t>page-94</t>
  </si>
  <si>
    <t>Las calificaciones reflejan la posición competitiva de Panama Power Holdings, Inc. y Subsidiarias (PPH) en el despacho de energía en Panamá, su posición contratada cercana a 70% y perfil financiero en el horizonte de proyección. Para 2022, Fitch Ratings espera que el apalancamiento (deuda total a EBITDA) alcance 4.4x, producto de la hidrología más alta que el promedio de los últimos años. También proyecta que este indicador se estabilice en 5.0x durante los siguientes años.</t>
  </si>
  <si>
    <t>Las calificaciones consideran la exposición de la compañía al riesgo hidrológico y regulatorio. Además, incluyen las condiciones macroeconómicas en Panamá [BBB-; Perspectiva Estable].</t>
  </si>
  <si>
    <t>## Factores Clave de Calificación</t>
  </si>
  <si>
    <t>**Trayectoria de Fortalecimiento del Apalancamiento:** El apalancamiento de PPH fue de 5.5x al cierre de 2021. Estuvo muy alineado con la expectativa en el caso base de proyecciones de Fitch de 5.6x. El apalancamiento de la compañía se fortalece gracias a las amortizaciones de principal programadas a lo largo de la vida del bono. Recientemente, dicha mejora se respaldó en una rentabilidad mayor del negocio, asociada al aumento en la producción de energía, que le ha permitido reducir las compras de energía en el mercado ocasional. En los últimos 12 meses (UDM), a septiembre de 2022, el apalancamiento de PPH fue de 4.4x (UDM, septiembre 2021: 5.7x).</t>
  </si>
  <si>
    <t>El caso base de Fitch considera que el apalancamiento estará en torno a 4.4x en 2022. Lo anterior, gracias a los niveles de hidrología extraordinarios. Además, proyecta que se estabilizará en niveles de 5.0x en los siguientes años, debido a la naturaleza amortizable de su deuda y su generación de EBITDA soportada en una posición contratada de ingresos cercana a 70% entre 2022 y 2025. Al tiempo que se asumen condiciones de hidrología similares al promedio histórico para los siguientes años.</t>
  </si>
  <si>
    <t>**Rentabilidad Sensible a Condiciones Climáticas:** Las calificaciones de PPH incorporan la correlación de la rentabilidad del negocio, en términos de EBITDA, con las condiciones de hidrología. La generación de efectivo y la rentabilidad de PPH presentan una sensibilidad mayor durante la estación seca en Panamá, época en la cual la compañía incurre comúnmente en transacciones en el mercado ocasional para cumplir con sus obligaciones contractuales.</t>
  </si>
  <si>
    <t>En los UDM a septiembre de 2022, el EBITDA fue de USD36.2 millones con un margen de 70.7% (UDM septiembre 2021: USD29.9 millones; 73.0%). Si bien los niveles de hidrología durante el 4T21 y 2022 han sido buenos, los precios altos de la energía en el mercado ocasional han resultado en una disminución en el margen de EBITDA de la compañía. Se proyecta un EBITDA cercano a USD35 millones en 2022, con margen de 73%, asumiendo un desempeño positivo favorecido por la hidrología y precios del mercado ocasional altos. Posteriormente, se espera una estabilización, asumiendo niveles de hidrología similares al promedio histórico, lo que resultaría en un EBITDA promedio de USD28 millones para el período 2023 a 2024.</t>
  </si>
  <si>
    <t>**Expectativa de FFL Positivo:** Fitch prevé que la generación de flujo de fondos libre (FFL), calculada por Fitch, será positiva en los siguientes años y suficiente para cubrir las amortizaciones programadas de deuda. De igual forma, la agencia asume que PPH mantendrá un saldo de efectivo mínimo de USD5 millones en los siguientes años. Dadas las necesidades de inversión de capital (capex; capital expenditure) de mantenimiento modestas estimadas en torno a USD500 mil anuales y las expectativas mencionadas de EBITDA, Fitch proyecta que la compañía podría generar FFL anual de USD16 millones en promedio entre 2022 y 2025 antes del pago de deuda y retornos de capital a los accionistas, u otros usos corporativos, lo que permitiría el cumplimiento de las condiciones financieras (covenants) de la emisión de bonos vigente.</t>
  </si>
  <si>
    <t>| Tipo de Calificación | Calificación | Perspectiva | Última Acción de Calificación | | --- | --- | --- | --- | | Escala Nacional de Largo Plazo | BBB+ (pan) | Estable | Afirmación el 12 de agosto de 2022 |</t>
  </si>
  <si>
    <t>Pulse aquí para ver la lista completa de calificaciones</t>
  </si>
  <si>
    <t>## Metodologías Aplicables</t>
  </si>
  <si>
    <t>- Metodología de Calificación de Finanzas Corporativas (Diciembre 2021) - Metodología de Vínculo de Calificación entre Matriz y Subsidiaria (Marzo 2022) - Metodología de Calificaciones en Escala Nacional (Diciembre 2020)</t>
  </si>
  <si>
    <t>- Óscar M. Álvarez +52 81 4161 7090 oscar.alvarez@fitchratings.com</t>
  </si>
  <si>
    <t>- Velia Patricia Valdés Venegas +52 81 4161 7049 velia.valdes@fitchratings.com</t>
  </si>
  <si>
    <t>page-95</t>
  </si>
  <si>
    <t>**Exposición al Riesgo Regulatorio:** Las calificaciones de la compañía también reflejan su exposición al riesgo regulatorio, además de que consideran que los generadores no han sido intervenidos directamente, sino en la forma de subsidios al usuario final. Las empresas de generación en Panamá se han caracterizado por ser negocios competitivos no regulados y libres de aplicar sus propias estrategias comerciales. En años anteriores, el aumento en precios de la energía resultó en un aumento en la intervención del Gobierno panameño con la intención de reducir el impacto de precios altos de energía para el consumidor final.</t>
  </si>
  <si>
    <t>**Vínculo Matriz Subsidiaria:** Fitch sigue un enfoque consolidado para las calificaciones de Hydro Caisán S.A. (Hydro Caisán), debido a los perfiles sólidos crediticio y operativo de la compañía frente a los de su accionista principal, PPH. Lo anterior es producto de una delimitación legal “abierta”, debido a que no existen restricciones para que la matriz tenga acceso a los flujos de caja y activos de la subsidiaria, así como por la evaluación de Fitch de un acceso y control “abierto”, debido a que PPH tiene la propiedad total de las acciones de Hydro Caisán. Las decisiones de financiamiento se toman a nivel de la matriz y los bonos de Hydro Caisán están avalados por PPH y todas las compañías de su propiedad. Además, las acciones y activos productivos de las empresas garantizan las emisiones.</t>
  </si>
  <si>
    <t>## Resumen de Información Financiera</t>
  </si>
  <si>
    <t>| (USD miles) | Dic 2020 | Dic 2021 | Dic 2022P | Dic 2023P | | --- | --- | --- | --- | --- | | Ingresos Brutos | 37,673 | 42,794 | 48,762 | 42,274 | | Margen de EBITDA Operativo (%) | 72.9 | 70.1 | 73.0 | 67.5 | | Margen de FGO (%) | 46.5 | 51.2 | 42.1 | 38.9 | | Deuda Total con Deuda Asimilable al Patrimonio^{a}/EBITDA Operativo (x) | 6.3 | 5.5 | 4.5 | 5.3 | | EBITDA Operativo/Intereses Pagados en Efectivo (x) | 2.3 | 2.9 | 3.7 | 3.1 |</t>
  </si>
  <si>
    <t>*Nota de costos de financiamiento diferido. P – Proyección. x – Veces. FGO – Flujo generado por las operaciones.* Fuente: Fitch Ratings, Fitch Solutions</t>
  </si>
  <si>
    <t>## Derivación de Calificación respecto a Pares</t>
  </si>
  <si>
    <t>Las calificaciones de PPH e Hydro Caisán reflejan su posición competitiva de despacho de energía en Panamá, apalancamiento moderado y estrategia de contratación. También consideran la exposición al riesgo hidrológico y posiblemente regulatorio, además de a las condiciones macroeconómicas. Las calificaciones de PPH se limitan por la concentración geográfica de su portafolio de generación, lo cual acentúa el riesgo hidrológico. Las calificaciones de Hydro Caisán consideran los lazos fuertes operacionales y legales con su matriz PPH.</t>
  </si>
  <si>
    <t>Comparado con Electron Investment, S.A. (EISA) [BBB+(pan); Perspectiva Estable], PPH presenta una escala fuerte de operaciones, posición mayor contratada, apalancamiento esperado menor y una exposición similar al riesgo hidrológico. En cuanto a otros corporativos del sector eléctrico, como AES Changuinola S.R.L. (AESC) [AA-(pan); Perspectiva Estable] y AES Panama Generation Holdings, S.R.L. (AES Panama Generation) [AA+(pan); Perspectiva Estable], PPH tiene una posición de despacho competitiva, pero un portafolio de generación de escala menor y con concentración geográfica mayor.</t>
  </si>
  <si>
    <t>Respecto a otros generadores hidroeléctricos de pasada, el factor de carga histórico de los últimos cinco años de PPH de 38% es menor que la media de sus pares de 50%. En 2022, se espera que el apalancamiento de AESC y AES Panama Generation permanezca inferior a 4.0x y 4.5x, respectivamente.</t>
  </si>
  <si>
    <t>Dada la naturaleza del negocio, la rentabilidad es mucho mayor que la de otros sectores, tales como comercio al detalle y construcción. El margen de EBITDA de PPH esperado por Fitch para 2022 es cercano a 75%, superior a la mediana de las empresas calificadas por la agencia en los sectores mencionados en Panamá de 9.8%.</t>
  </si>
  <si>
    <t>page-96</t>
  </si>
  <si>
    <t># Sensibilidades de Calificación</t>
  </si>
  <si>
    <t>Factores que podrían, individual o colectivamente, conducir a una acción de calificación negativa/baja:</t>
  </si>
  <si>
    <t>- apalancamiento mayor de 7.0x consistentemente; - FFL negativo de forma sostenida; - presiones en el perfil de liquidez que llevaran a una métrica de efectivo y equivalentes a deuda de corto plazo menor de 1.0x; - eventos operacionales que impidieran el suministro de energía; - deterioro de las condiciones macroeconómicas en Panamá que dieran como resultado una reducción del consumo de energía; - una intervención regulatoria o política que influyera adversamente en la rentabilidad de la empresa.</t>
  </si>
  <si>
    <t>- niveles de apalancamiento sostenidos inferiores a 5.0x a lo largo del ciclo; - fortalecimiento del margen de EBITDA; - mantener un perfil de liquidez robusto.</t>
  </si>
  <si>
    <t># Liquidez y Estructura de la Deuda</t>
  </si>
  <si>
    <t>Liquidez Buena: A septiembre de 2022, el saldo de efectivo y equivalentes de PPH fue de USD12.2 millones, de los cuales USD4.2 millones corresponden a efectivo restringido relacionado con la cuenta de reserva de la deuda y vencimientos de corto plazo por USD9.5 millones. Este fondo ha sido constituido por Hydro Caisán como fidelcomitente y BG Trust, Inc. como fiduciario, y tiene como propósito general mantener un fondo de efectivo para cumplir con las obligaciones de pago de intereses y capital equivalente a tres meses. Fitch espera que el FFL sea positivo a lo largo del ciclo, lo cual reduciría las presiones de liquidez. Esto sería bajo escenarios de hidrología promedio durante el período proyectado y combinado con las necesidades de capex y las distribuciones a los accionistas.</t>
  </si>
  <si>
    <t>PPH fue constituida originalmente bajo las leyes de la República de Panamá y continuada bajo las leyes de las Islas Vírgenes Británicas el 4 de abril de 2007. Su objetivo es desarrollar proyectos de generación eléctrica, principalmente en la República de Panamá. A través de sus subsidiarias, PPH cuenta con cuatro centrales hidroeléctricas de filo de agua en operación comercial, cuya energía es comercializada en el sistema nacional interconectado de energía eléctrica: Central Pedregalito 1 y 2, Central Cochea y Central El Alto, en donde está en construcción una mini central.</t>
  </si>
  <si>
    <t>page-97</t>
  </si>
  <si>
    <t># Escenario de Liquidez y Vencimientos de Deuda sin Refinanciamiento</t>
  </si>
  <si>
    <t>| (USD miles) | 31 dic 2022 | 31 dic 2023 | 31 dic 2024 | | --- | --- | --- | --- | | Liquidez Disponible | | | | | Efectivo Disponible y Equivalentes Inicial | 9,168 | 5,000 | 5,000 | | Flujo de Fondos Libre proyectado por Fitch (después de dividendos y adquisiciones) | 4,832 | 9,000 | 9,000 | | Total de Liquidez Disponible (A) | 14,000 | 14,000 | 14,000 | | Usos de Liquidez | | | | | Vencimientos de Deuda | (9,000) | (9,000) | (9,000) | | Uso Total de Liquidez (B) | (9,000) | (9,000) | (9,000) | | Cálculo de Liquidez | | | | | Efectivo Disponible y Equivalentes Final (A+B) | 5,000 | 5,000 | 5,000 | | Liquidez Final | 5,000 | 5,000 | 5,000 | | Puntaje de Liquidez (x) | 1.6 | 1.6 | 1.6 |</t>
  </si>
  <si>
    <t>x – Veces. Fuente: Fitch Ratings, PPH</t>
  </si>
  <si>
    <t>## Calendario de Vencimientos de Deuda</t>
  </si>
  <si>
    <t>| (USD miles) | 30 sep 2022 | | --- | --- | | 2023 | 9,525 | | 2024 | 9,000 | | 2025 | 9,000 | | 2026 | 9,000 | | 2027 | 9,000 | | Después | 113,527 | | Vencimiento Total | 159,052 |</t>
  </si>
  <si>
    <t>Nota: La deuda considerada es neta de costos de financiamiento diferido. Fuente: Fitch Ratings, PPH</t>
  </si>
  <si>
    <t>Los supuestos clave empleados por Fitch en su caso base para PPH son:</t>
  </si>
  <si>
    <t>- factor de carga (despacho) de 44% en 2022; 38% para el período 2023 a 2025, alineado con el factor de carga promedio de los últimos seis años; - posición contratada promedio en torno a 70% para el período proyectado; - apalancamiento en 2022 cercano a 4.4x; regresando a niveles de 5.2x y 5.0x en 2023 y 2024, respectivamente; - margen de EBITDA en torno a 73% en 2022; y de 68% entre 2023 y 2025; - amortización anual de USD9 millones (incluye barrido de caja de USD2 millones) durante el período proyectado; - con base en estimaciones de Fitch, se considerará que una porción del flujo de efectivo generado por la compañía (después de cubrir el pago de intereses, impuestos y amortizaciones de principal de la deuda) podría ser destinado para inversiones adicionales de capex, retornos de capital a accionistas u otros usos corporativos, al mismo tiempo que se cumplen las condiciones financieras del bono corporativo. Fitch asume un saldo mínimo de efectivo de USD5 millones.</t>
  </si>
  <si>
    <t>page-98</t>
  </si>
  <si>
    <t xml:space="preserve">| (USD miles) | Histórico | | | Proyección | | | | --- | --- | --- | --- | --- | --- | --- | | | Dic 2019 | Dic 2020 | Dic 2021 | Dic 2022 | Dic 2023 | Dic 2024 | | Resumen de Estados Financieros | | | | | | | | Ingresos Brutos | 39,378 | 37,673 | 42,794 | 48,762 | 42,274 | 40,693 | | Crecimiento de Ingresos (%) | (1.0) | (4.3) | 13.6 | 13.9 | (13.3) | (3.7) | | EBITDA Operativo (antes de Ingresos de Compañías Asociadas) | 22,983 | 27,448 | 29,982 | 35,618 | 28,517 | 27,680 | | Margen de EBITDA Operativo (%) | 58.4 | 72.9 | 70.1 | 73.0 | 67.5 | 68.0 | | EBITDAR Operativo | 22,983 | 27,448 | 29,982 | 35,618 | 28,517 | 27,680 | | Margen de EBITDAR Operativo (%) | 58.4 | 72.9 | 70.1 | 73.0 | 67.5 | 68.0 | | EBIT Operativo | 11,096 | 15,568 | 18,131 | 23,767 | 16,666 | 15,830 | | Margen de EBIT Operativo (%) | 28.2 | 41.3 | 42.4 | 48.7 | 39.4 | 38.9 | | Intereses Financieros Brutos | (13,786) | (13,363) | (10,740) | (9,571) | (9,160) | (8,631) | | Resultados antes de Impuestos (incluyendo Ganancias/Pérdidas de Compañías Asociadas) | (2,268) | 2,551 | 8,231 | 14,196 | 7,507 | 7,199 | | Resumen de Balance General | | | | | | | | Efectivo Disponible y Equivalentes | 1,184 | 7,619 | 9,168 | 5,000 | 5,000 | 5,000 | | Deuda Total con Deuda Asimilable al Patrimonio | 182,173 | 174,216 | 165,412 | 156,412 | 147,412 | 138,412 | | Deuda Total Ajustada con Deuda Asimilable al Patrimonio | 182,173 | 174,216 | 165,412 | 156,412 | 147,412 | 138,412 | | Deuda Neta | 180,989 | 166,597 | 156,244 </t>
  </si>
  <si>
    <t>page-99</t>
  </si>
  <si>
    <t>Nota: La deuda considerada por Fitch es neta de costos de financiamiento diferido. *El dato a diciembre de 2021 es una distribución sobre excedente en valor de suscripción de acciones comunes. x – Veces. Fuente: Fitch Ratings, Fitch Solutions.</t>
  </si>
  <si>
    <t>## Cómo Interpretar las Proyecciones Presentadas</t>
  </si>
  <si>
    <t>Las proyecciones presentadas se basan en el caso base proyectado y producido internamente de manera conservadora por Fitch Ratings. No representa la proyección del emisor. Las proyecciones incluidas son solamente un componente que Fitch Ratings utiliza para asignar una calificación o determinar una Perspectiva, además de que la información en las mismas refleja elementos materiales, pero no exhaustivos de los supuestos de calificación de Fitch Ratings sobre el desempeño financiero del emisor. Como tal, no puede utilizarse para determinar una calificación y no debería ser el fundamento para tal propósito. Las proyecciones se construyen usando una herramienta de proyección propia de Fitch Ratings que emplea los supuestos propios de la calificadora relacionados con el desempeño operativo y financiero, los cuales no necesariamente reflejan las proyecciones que usted haría. Las definiciones propias de Fitch Ratings de términos como EBITDA, deuda o flujo de fondos libre pueden diferir de las suyas. La agencia podría tener acceso, en determinadas ocasiones, a información confidencial sobre ciertos elementos de los planes futuros del emisor. Algunos elementos de dicha información pueden ser omitidos de esta proyección, incluso apesar de ser incluidos en la deliberación de Fitch Ratings, si la agencia, a discreción propia, considera que los datos pueden ser potencialmente sensibles desde el punto de vista comercial, legal o regulatorio. La proyección (así como la totalidad de este rep</t>
  </si>
  <si>
    <t>page-100</t>
  </si>
  <si>
    <t># Diagrama de la Estructura Simplificada del Grupo</t>
  </si>
  <si>
    <t># Estructura Organizacional — Panama Power Holdings, Inc. y Subsidiarias</t>
  </si>
  <si>
    <t>(USD miles; cifras al UDM al 30 de septiembre de 2022)</t>
  </si>
  <si>
    <t>page-101</t>
  </si>
  <si>
    <t>Resumen de Información Financiera de Pares</t>
  </si>
  <si>
    <t xml:space="preserve">| Compañía | Calificación | Fecha | Ingresos Brutos (USD millones) | Margen de EBITDA Operativo (%) | Margen de FGO (%) | Deuda Total con Deuda Asimilable al Patrimonio/ EBITDA Operativo (x) | EBITDA Operativo/ Intereses Pagados en Efectivo (x) | | --- | --- | --- | --- | --- | --- | --- | --- | | Panama Power Holdings, Inc. y Subsidiarias | BBB+(pan) | | | | | | | | | BBB+(pan) | 2021 | 43 | 70.1 | 51.2 | 5.5 | 2.9 | | | BBB+(pan) | 2020 | 38 | 72.9 | 46.5 | 6.3 | 2.3 | | | BBB+(pan) | 2019 | 39 | 58.4 | 25.3 | 7.9 | 1.8 | | Electron Investment, S.A. | BBB+(pan) | | | | | | | | | BBB+(pan) | 2021 | 45 | 71.0 | 45.8 | 6.1 | 2.8 | | | BBB+(pan) | 2020 | 36 | 66.7 | 28.8 | 8.4 | 1.8 | | | | 2019 | 33 | 53.9 | 13.4 | 11.4 | 1.2 | | AES Changuinola S.R.L. | AA+(pan) | | | | | | | | | AA-(pan) | 2021 | 106 | 75.9 | 63.6 | 3.7 | 4.8 | | | AA-(pan) | 2020 | 90 | 77.3 | 32.3 | 5.5 | 3.8 | | | A+(pan) | 2019 | 28 | 50.6 | 19.5 | 24.2 | 0.6 | | Empresa de Transmisión Eléctrica S.A. | AAA(pan) | | | | | | | | | AAA(pan) | 2021 | 130,226 | 72.5 | 35.8 | 6.0 | 3.3 | | | AAA(pan) | 2020 | 130,074 | 72.0 | 33.3 | 5.9 | 3.9 | | | AAA(pan) | 2019 | 144,400 | 68.9 | 24.8 | 6.0 | 3.4 | | AES Panama Generation Holdings, S.R.L. | AA+(pan) | | | | | | | | | AA+(pan) | 2021 | 634,536 | 43.1 | 34.8 | 5.5 | 3.9 | | | AA+(pan) | 2020 | 506,810 | 49.1 | 38.1 | 6.4 | 4.2 | | | | 2019 | 630,614 | 34.0 | 25.3 | 6.2 | 2.8 | | Rey Holdings Corp. y Subsidiarias | A(pan) | | | | | | | | | A(pan) | 2021 | 655 </t>
  </si>
  <si>
    <t>page-102</t>
  </si>
  <si>
    <t>Información Financiera Ajustada por Fitch</t>
  </si>
  <si>
    <t xml:space="preserve">| (USD miles, cifras al 31 de diciembre de 2021) | Notas y Fórmulas | Valores Reportados | Suma de Ajustes de Fitch | Ajuste por Arrendamientos | Otros Ajustes | Valores Ajustados por Fitch | | --- | --- | --- | --- | --- | --- | --- | | Resumen de Ajustes al Estado de Resultados | | | | | | | | Ingresos | | 42,794 | 0 | 0 | 0 | 42,794 | | EBITDAR Operativo | | 29,850 | 132 | (27) | 159 | 29,982 | | EBITDAR Operativo después de Distribuciones a Compañías Asociadas y Participaciones Minoritarias | (a) | 29,850 | 132 | (27) | 159 | 29,982 | | Arrendamiento Operativo | (b) | 0 | 0 | 0 | 0 | 0 | | EBITDA Operativo | (c) | 29,850 | 132 | (27) | 159 | 29,982 | | EBITDA Operativo después de Distribuciones a Compañías Asociadas y Participaciones Minoritarias | (d) = (a-b) | 29,850 | 132 | (27) | 159 | 29,982 | | EBIT Operativo | (e) | 17,972 | 159 | 0 | 159 | 18,131 | | Resumen de Deuda y Efectivo | | | | | | | | Deuda Total con Deuda Asimilable al Patrimonio | (f) | 165,412 | 0 | 0 | 0 | 165,412 | | Deuda por Arrendamientos Operativos | (g) | 0 | 0 | 0 | 0 | 0 | | Otra Deuda fuera de Balance | (h) | 0 | 0 | 0 | 0 | 0 | | Deuda Total Ajustada con Deuda Asimilable al Patrimonio | (i) = (f+g+h) | 165,412 | 0 | 0 | 0 | 165,412 | | Efectivo Disponible y Equivalentes | (j) | 9,168 | 0 | 0 | 0 | 9,168 | | Efectivo y Equivalentes Restringidos/No Disponibles | | 4,206 | 0 | 0 | 0 | 4,206 | | Resumen del Flujo de Efectivo | | | | | | | | EBITDA Operativo después de Distribuciones a Compañías </t>
  </si>
  <si>
    <t>page-103</t>
  </si>
  <si>
    <t>a Es una distribución sobre excedente en valor de suscripción de acciones comunes. b EBITDA/R después de distribuciones a compañías asociadas y participaciones minoritarias. Nota: La deuda considerada por Fitch es neta de costos de financiamiento diferido. x – Veces. Fuente: Fitch Ratings, Fitch Solutions, PPH</t>
  </si>
  <si>
    <t>page-104</t>
  </si>
  <si>
    <t>Las calificaciones mencionadas fueron requeridas y se asignaron o se les dio seguimiento por solicitud del emisor calificado o de un tercero relacionado. Cualquier excepción se indicará.</t>
  </si>
  <si>
    <t>Todas las calificaciones crediticias de Fitch Ratings (Fitch) están sujetas a ciertas limitaciones y estipulaciones. Por favor, lea estas limitaciones y estipulaciones siguiendo este enlace: https://www.fitchratings.com/understandingcreditratings. Además, las definiciones de calificación de Fitch para cada escala de calificación y categorías de calificación, incluidas las definiciones relacionadas con incumplimiento, están disponibles en www.fitchratings.com bajo el apartado de Definiciones de Calificación. Las calificaciones públicas, criterios y metodologías están disponibles en este sitio en todo momento. El código de conducta, las políticas sobre confidencialidad, conflictos de interés, barreras para la información para con sus afiliadas, cumplimiento, y demás políticas y procedimientos de Fitch están también disponibles en la sección de Código de Conducta de este sitio. Los intereses relevantes de los directores y accionistas están disponibles en https://www.fitchratings.com/site/regulatory. Fitch puede haber proporcionado otro servicio admisible o complementario a la entidad calificada o a terceros relacionados. Los detalles del(los) servicio(s) admisible(s) de calificación o del(los) servicio(s) complementario(s) para el(los) cual(es) el analista líder tenga sede en una compañía de Fitch Ratings registrada ante ESMA o FCA (o una sucursal de dicha compañía) se pueden encontrar en el resumen de la entidad en el sitio web de Fitch Ratings.</t>
  </si>
  <si>
    <t>En la asignación y el mantenimiento de sus calificaciones, así como en la realización de otros informes (incluyendo información prospectiva), Fitch se basa en información factual que recibe de los emisores y sus agentes y de otras fuentes que Fitch considera creíbles. Fitch lleva a cabo una investigación razonable de la información factual sobre la que se basa de acuerdo con sus metodologías de calificación, y obtiene verificación razonable de dicha información de fuentes independientes, en la medida de que dichas fuentes se encuentren disponibles para una emisión dada o en una determinada jurisdicción. La forma en que Fitch lleve a cabo la investigación factual y el alcance de la verificación por parte de terceros que se obtenga varíará dependiendo de la naturaleza de la emisión calificada y el emisor, los requisitos y prácticas en la jurisdicción en que se ofrece y coloca la emisión y/o donde el emisor se encuentra, la disponibilidad y la naturaleza de la información pública relevante, el acceso a representantes de la administración del emisor y sus asesores, la disponibilidad de verificaciones preexistentes de terceros tales como los informes de auditoría, cartas de procedimientos acordadas, evaluaciones, informes actuariales, informes técnicos, dictámenes legales y otros informes proporcionados por terceros, la disponibilidad de fuentes de verificación independiente y competentes de terceros con respecto a la emisión en particular o en la jurisdicción del emisor, y una va</t>
  </si>
  <si>
    <t>La información contenida en este informe se proporciona "tal cual" sin ninguna representación o garantía de ningún tipo, y Fitch no representa o garantiza que el informe o cualquiera de sus contenidos cumplirán alguno de los requerimientos de un destinatario del informe. Una calificación de Fitch es una opinión en cuanto a la calidad crediticia de una emisión. Esta opinión y los informes realizados por Fitch se basan en criterios establecidos y metodologías que Fitch evalúa y actualiza en forma continua. Por lo tanto, las calificaciones y los informes son un producto de trabajo colectivo de Fitch y ningún individuo, o grupo de individuos, es únicamente responsable por una calificación o un informe. La calificación no incorpora el riesgo de pérdida debido a los riesgos que no sean relacionados a riesgo de crédito, a menos que dichos riesgos sean mencionados específicamente. Fitch no está comprometido en la oferta o venta de ningún título. Todos los informes de Fitch son de autoría compartida. Los individuos identificados en un informe de Fitch estuvieron involucrados en, pero no son individualmente responsables por, las opiniones vertidas en él. Los individuos son nombrados solo con el propósito de ser contactos. Un informe con una calificación de Fitch no es un prospecto de emisión ni un substituto de la información elaborada, verificada y presentada a los inversores por el emisor y sus agentes en relación con la venta de los títulos. Las calificaciones pueden ser modificadas</t>
  </si>
  <si>
    <t>Fitch Ratings, Inc. está registrada en la Comisión de Bolsa y Valores de Estados Unidos (en inglés, U.S. Securities and Exchange Commission) como una Organización de Calificación Estadística Reconocida a Nivel Nacional ("NRSRO"; Nationally Recognized Statistical Rating Organization). Aunque ciertas subsidiarias de calificación crediticia de la NRSRO están enlistadas en el Item 3 del documento "Form NRSRO" y, como tales, están autorizadas para emitir calificaciones crediticias en nombre de la NRSRO (ver https://www.fitchratings.com/site/regulatory), otras subsidiarias no están enlistadas en el documento "Form NRSRO" (las "no NRSRO") y, por tanto, las calificaciones crediticias emitidas por estas subsidiarias no son emitidas en nombre de la NRSRO. Sin embargo, personal de las subsidiarias no NRSRO puede participar en la determinación de calificaciones crediticias emitidas por, o en nombre de, la NRSRO.</t>
  </si>
  <si>
    <t>Solamente para Australia, Nueva Zelanda, Taiwán y Corea del Norte: Fitch Australia Pty Ltd tiene una licencia australiana de servicios financieros (licencia no. 337123) que le autoriza a proveer calificaciones crediticias solamente a "clientes mayoristas". La información de calificaciones crediticias publicada por Fitch no tiene el fin de ser utilizada por personas que sean "clientes minoristas" según la definición de la "Corporation Act 2001".</t>
  </si>
  <si>
    <t>Derechos de autor © 2023 por Fitch Ratings, Inc. y Fitch Ratings, Ltd. y sus subsidiarias. 33 Whitehall Street, New York, NY 10004. Teléfono: 1-800-753-4824, (212) 908-0500. Fax: (212) 480-4435. La reproducción o distribución total o parcial está prohibida, salvo con permiso. Todos los derechos reservados.</t>
  </si>
  <si>
    <t>page-106</t>
  </si>
  <si>
    <t># NOTARIA PUBLICA PRIMERA ## Circuito Notarial de Panamá ## REPÚBLICA DE PANAMÁ</t>
  </si>
  <si>
    <t>## DECLARACIÓN NOTARIAL JURADA</t>
  </si>
  <si>
    <t>En la ciudad de Panamá, Capital de la República y Cabecera del Circuito Notarial del mismo nombre, a los treinta y un (31) días del mes de marzo del año dos mil veintitrés (2023), ante mí, Licenciado JORGE ELIEZER GANTES SINGH, Notario Público Primero del Circuito de Panamá, con cédula de identidad personal número Ocho-Quinientos nueve-Novecientos ochenta y cinco (8-509-985), comparecieron personalmente los señores PATRICK PETER KELLY, varón, de nacionalidad de Nueva Zelanda, mayor de edad, vecino de esta ciudad, con cédula extranjera número E-Ocho-Ciento un mil ochocientos sesenta y cinco (E-8-101865), quien manifestó que no necesita intérprete público autorizado por entender el idioma español, GUILLERMO O. CHAPMAN III, varón, panameño, mayor de edad, casado, vecino de esta ciudad, con cédula de identidad personal número Ocho-Trescientos setenta y nueve-Doscientos setenta y dos (8-379-272), y MARLENE CARDOZE MARTINELLI, mujer, panameña, mayor de edad, vecina de esta ciudad, con cédula de identidad personal número Ocho Quinientos dieciocho-Mil ciento nueve (8-518-1109), Presidente/Presidente Ejecutivo, Vicepresidente y Tesorero, y Vicepresidente de Finanzas respectivamente de PANAMA POWER HOLDINGS INC., sociedad originalmente constituida según la Ley de Panamá a Ficha quinientos sesenta y dos mil doscientos veintiuno (562221), Documento un millón ciento once mil seiscientos noventa y cinco (1111695), de la Sección de Micropelículas (Mercantil) del Registro Público y continuad</t>
  </si>
  <si>
    <t>2023</t>
  </si>
  <si>
    <t>INA_PPHO_2023_0.pdf</t>
  </si>
  <si>
    <t>Panama Power Holdings, Inc. (la “Compañía” o “PPH”) fue constituida el 4 de abril de 2007 mediante Escritura Pública No.8298 de acuerdo con las leyes de la República de Panamá y continuada según Ley de Sociedades Mercantiles de las Islas Vírgenes Británicas el 3 de marzo de 2011 bajo el No.1575385, según consta en Escritura Pública No.6,697 del 19 de marzo de 2010.</t>
  </si>
  <si>
    <t>La principal actividad de la Compañía y sus subsidiarias (en adelante el “Grupo”) es llevar a cabo el negocio de generación de energía eléctrica, ya sea en forma directa o indirecta mediante la inversión o participación en sociedades que se dediquen a este giro de negocio. Todas las subsidiarias del Grupo se encuentran incorporadas en la República de Panamá.</t>
  </si>
  <si>
    <t>| Compañías Subsidiarias | Porcentaje de Participación | Fecha de Adquisición | | --- | --- | --- | | Generadora Alto Valle, S. A. | 100% | 27/12/2007 | | Generadora Pedregalito, S. A. | 100% | 28/12/2007 | | Generadora Río Chico, S. A. | 100% | 28/12/2007 | | Hydro Caisán, S. A. | 100% | 30/06/2010 | | Panama Power Management Services, S. A. | 100% | 02/03/2012 | | Pedregalito Solar Power, S. A. | 100% | 07/07/2014 | | PPH Financing Services, S. A. | 100% | 17/03/2016 |</t>
  </si>
  <si>
    <t>Las subsidiarias Generadora Pedregalito, S. A. (central “Pedregalito 1”) y Generadora Río Chico, S. A. (central “Pedregalito 2”) iniciaron la generación de energía en abril y octubre de 2011, respectivamente, la subsidiaria Generadora Alto Valle, S. A. (central “Cochea”) inició la generación de energía en octubre de 2012 y la subsidiaria Hydro Caisán, S. A. (central “El Alto”), en agosto de 2014, la subsidiaria Pedregalito Solar Power, S. A. inició la generación de energía en noviembre 2023, mediante la entrada al Sistema Interconectado Nacional. Todas las subsidiarias se encuentran constituidas bajo las leyes de la República de Panamá. La principal actividad de las otras subsidiarias es brindar soporte a las operaciones del Grupo Panama Power Holdings, Inc.</t>
  </si>
  <si>
    <t>Mediante Escritura Pública No.5186 de 15 de agosto de 2023 se protocolizó el acuerdo de fusión entre Pedregalito Solar Power, S. A. y Río Chico Solar Power, S. A., mediante el cual Pedregalito Solar Power, S. A. se mantiene como la entidad absorbente. Esta fusión se da para consolidar las sociedades que forman parte de un mismo proyecto. Derivado de esta fusión, las partes acordaron convertir la totalidad de las acciones de Río Chico Solar Power, S. A. en 100 acciones comunes con valor nominal de un dólar (US$1.00) cada una de Pedregalito Solar Power, S. A. emitidas al accionista de la subsidiaria. La fusión por absorción no representó flujo de efectivo y se realizó a su valor en libros.</t>
  </si>
  <si>
    <t>Los estados financieros consolidados de Panama Power Holdings, Inc. y Subsidiarias fueron aprobados para su emisión por el Presidente del Grupo el 26 de marzo de 2024. El Presidente del Grupo tiene la autoridad de modificación y remisión de los estados financieros consolidados después de aprobados.</t>
  </si>
  <si>
    <t>2. Resumen de Políticas Contables Materiales</t>
  </si>
  <si>
    <t>Las principales políticas contables materiales aplicadas en la preparación de los estados financieros consolidados se presentan a continuación. Estas políticas de contabilidad fueron utilizadas consistentemente con el período anterior, a menos que se indique lo contrario.</t>
  </si>
  <si>
    <t>Los estados financieros consolidados del Grupo han sido preparados de acuerdo las Normas Internacionales de Información Financiera (Normas de Contabilidad NIIF). Las Normas de Contabilidad NIIF comprenden la siguiente literatura autorizada: Normas de Contabilidad NIIF; Normas NIC y las Interpretaciones emitidas por el Comité de Interpretaciones de NIIF (CINIIF) o su organismo predecesor, el Comité Permanente de Interpretaciones (CPI Interpretaciones). Los estados financieros consolidados han sido preparados sobre la base de costo histórico.</t>
  </si>
  <si>
    <t>-13-</t>
  </si>
  <si>
    <t>2. Resumen de Políticas Contables Materiales (Continuación)</t>
  </si>
  <si>
    <t>## Nuevas normas, enmiendas adoptadas por el Grupo</t>
  </si>
  <si>
    <t>Información a revelar sobre políticas contables: modificaciones a la NIC 1 y al Documento de Práctica No.2 de las NIIF. Las modificaciones definen qué es "información material sobre políticas contables" y explican cómo identificar cuando la información sobre políticas contables es material. En adición, la modificación proporciona orientación sobre cómo aplicar el concepto de materialidad a las revelaciones de políticas contables. Vigencia: períodos que inicien o posteriores al 1 de enero de 2023.</t>
  </si>
  <si>
    <t>Definición de Estimaciones Contables – modificaciones a la NIC 8: La modificación a la NIC 8 aclara cómo las entidades deben distinguir entre cambios en las políticas contables y cambios en las estimaciones contables. Los cambios en las estimaciones contables se aplican prospectivamente a las transacciones futuras, mientras que los cambios en las políticas contables generalmente se aplican retrospectivamente a las transacciones pasadas, así como al período actual. Vigencia: períodos que inicien o posteriores al 1 de enero de 2023.</t>
  </si>
  <si>
    <t>Modificación de la NIC 12 - Impuesto diferido relacionado con activos y pasivos que surgen de una sola transacción. Estas modificaciones requieren que las empresas reconozcan el impuesto diferido sobre las transacciones que, en el reconocimiento inicial, den lugar a montos iguales de diferencias temporarias imponibles y deducibles. Vigencia: períodos que inicien o posteriores al 1 de enero de 2023.</t>
  </si>
  <si>
    <t>No hay otras nuevas normas, modificaciones o interpretaciones que estén vigentes en el período 2023 que causen un efecto material en el Grupo en el período actual y períodos futuros.</t>
  </si>
  <si>
    <t>Modificación a la NIC 1 – Pasivos no corrientes con convenios financieros. Esta modificación aclara cómo las condiciones que una entidad debe cumplir dentro de los doce meses posteriores al período sobre el que se informa afectan la clasificación de un pasivo. Las modificaciones también tienen como objetivo mejorar la información que proporciona una entidad en relación con las obligaciones sujetas a estas condiciones. Vigencia: períodos que inicien o posteriores al 1 de enero de 2024.</t>
  </si>
  <si>
    <t>### Pronunciamientos Contables Emitidos y Aplicables en Períodos Futuros (continuación)</t>
  </si>
  <si>
    <t>Acuerdos de financiamiento con proveedores (AFP) – NIC 7 y NIIF 7. Se emiten nuevos requisitos de revelación sobre los acuerdos de financiación de proveedores (AFP). El objetivo de las nuevas revelaciones es proporcionar información sobre los AFP que permita a los inversores evaluar los efectos sobre los pasivos, los flujos de efectivo y la exposición al riesgo de liquidez de una entidad. Las nuevas revelaciones incluyen información tales como: sobre lo siguiente: los términos y condiciones de los AF; los importes en libros de los pasivos financieros que forman parte de AFP; el importe en libros de los pasivos financieros en los cuales los proveedores ya han recibido el pago de las instituciones financieras; el rango de fechas de vencimiento de pago tanto para los pasivos financieros que forman parte de AFP como para las cuentas por pagar, entre otros. Vigencia: períodos que inician o posteriores al 1 de enero de 2024.</t>
  </si>
  <si>
    <t>El Grupo está en el proceso de evaluar el posible impacto de estas modificaciones en los estados financieros consolidados.</t>
  </si>
  <si>
    <t>No hay otras nuevas normas o modificaciones que hayan sido publicadas y que no son mandatarias para el período 2023 que causen un efecto material en el Grupo en el período actual y períodos futuros.</t>
  </si>
  <si>
    <t>### Moneda Funcional y de Presentación</t>
  </si>
  <si>
    <t>### Principio de Consolidación</t>
  </si>
  <si>
    <t>### Subsidiarias (continuación)</t>
  </si>
  <si>
    <t>El Grupo clasifica sus activos financieros en las siguientes categorías: Costo amortizado, valor razonable con cambios en otros resultados integrales y valor razonable con cambios en resultados. La clasificación depende del modelo de negocio del grupo para la administración de los instrumentos financieros y de los términos contractuales de los flujos de efectivo.</t>
  </si>
  <si>
    <t>#### Reconocimiento Inicial</t>
  </si>
  <si>
    <t>Las compras y ventas regulares de activos financieros se reconocen en la fecha de negociación, la fecha en que el Grupo se compromete a comprar o vender el activo. Los activos financieros se dan de baja cuando los derechos de recibir flujos de efectivo de los activos financieros han vencido o han sido transferidos y el Grupo ha transferido sustancialmente todos los riesgos y beneficios de la propiedad.</t>
  </si>
  <si>
    <t>Al momento del reconocimiento inicial, los activos financieros se miden a su valor razonable más, en el caso de un activo financiero que no sea a valor razonable a través de resultados, costos de transacción directamente atribuibles a la adquisición del activo financiero. Los costos de transacción de activos financieros a valor razonable a través de resultados se registran en resultados.</t>
  </si>
  <si>
    <t>#### Medición Subsecuente</t>
  </si>
  <si>
    <t>La medición subsecuente depende del modelo de negocio y las características de flujo de efectivo del activo.</t>
  </si>
  <si>
    <t>### Activos Financieros al Costo Amortizado</t>
  </si>
  <si>
    <t>Los activos que se mantienen para el cobro de flujos de efectivo contractuales cuando dichos flujos de efectivo representan únicamente pagos de principal e intereses se miden a costo amortizado. Los ingresos recibidos de estos activos financieros se incluyen en los ingresos financieros utilizando el método de tasa de interés efectiva.</t>
  </si>
  <si>
    <t>Se clasifican como activos corrientes, a menos que tengan fechas de vencimiento superiores a 12 meses desde la fecha del estado de situación financiera, en cuyo caso no son clasificados como activos corrientes.</t>
  </si>
  <si>
    <t>Al 31 de diciembre de 2023 y 2022, los activos financieros incluidos en esta categoría corresponden al efectivo, activo financiero restringido y las cuentas por cobrar.</t>
  </si>
  <si>
    <t>### Activo Financiero Restringido</t>
  </si>
  <si>
    <t>El activo financiero restringido se clasifica como restringido cuando no está disponible para el uso del Grupo. El activo financiero restringido se clasifica como circulante cuando se espera que su liberación ocurra dentro de un año y no circulante cuando su disponibilidad sea mayor que dicho período (Nota 10).</t>
  </si>
  <si>
    <t>### Propiedad, Planta y Equipo</t>
  </si>
  <si>
    <t>- pagos fijos, menos incentivos de arrendamiento ofrecidos por el arrendador; - pagos variables vinculados a un índice o tasa de interés; - pagos residuales esperados de garantías de valor residual; y - sanciones contractuales por la rescisión de un contrato de arrendamiento si el plazo del arrendamiento refleja el ejercicio de una opción de rescisión.</t>
  </si>
  <si>
    <t>-22-</t>
  </si>
  <si>
    <t>Los gastos se reconocen en la cuenta de resultados cuando tiene lugar una disminución en los beneficios económicos futuros relacionados con la reducción de un activo, o un incremento de un pasivo, que se puede medir de forma fiable. Esto implica que el registro de un gasto tenga lugar en forma simultánea al registro del incremento del pasivo o la reducción del activo. Se reconoce como gasto en forma inmediata cuando un desembolso no genera beneficios económicos futuros o cuando no cumple con los requisitos para su registro como activo. Asimismo, se reconoce un gasto cuando se incurre en un pasivo y no se registra activo alguno, como puede ser un pasivo por una garantía. Los gastos son presentados en el estado consolidado de resultado integral de forma combinada por función y naturaleza, el desglose de los gastos por naturaleza es presentado en la Nota 22.</t>
  </si>
  <si>
    <t>-23-</t>
  </si>
  <si>
    <t>-24-</t>
  </si>
  <si>
    <t>### Impuesto sobre la Renta (continuación)</t>
  </si>
  <si>
    <t>## Estimaciones y Juicios Contables Críticos</t>
  </si>
  <si>
    <t>## Depreciación de Propiedad, Planta y Equipo</t>
  </si>
  <si>
    <t>## Impuesto sobre la Renta</t>
  </si>
  <si>
    <t>## Estimación de Deterioro de Plusvalía</t>
  </si>
  <si>
    <t>### Factores de Riesgos Financieros</t>
  </si>
  <si>
    <t>En relación a las cuentas por cobrar, el Grupo tiene una concentración de sus ventas y cuentas por cobrar con las dos compañías de distribución de electricidad que operan en la República de Panamá. Las ventas realizadas a estos clientes representan aproximadamente 71% (2022: 82%) del total de los ingresos y 74% (2022: 80%) del total de las cuentas por cobrar al cierre del período. Esta concentración del riesgo es mitigada por el hecho de que la demanda de energía eléctrica en Panamá sigue creciendo sostenidamente y que el mercado de energía está muy bien estructurado y regulado por las autoridades gubernamentales. Para cada transacción de venta se requiere una garantía y el término de pago de facturas originadas en el mercado eléctrico de Panamá se promedia en un rango de 30 a 45 días a partir de la fecha de presentación de la factura. La garantía es una carta de crédito pagadera al cobro contra cualquier evento de incumplimiento por morosidad o pago incobrable. No se ha tenido ningún evento de incumplimiento por facturas no pagadas al 31 de diciembre de 2023.</t>
  </si>
  <si>
    <t>A continuación, se presentan los vencimientos de los pasivos no descontados, incluyendo los intereses calculados a la fecha de vencimiento:</t>
  </si>
  <si>
    <t>| | Menos de un Año | Entre 1 y 5 Años | Más de 5 Años | | --- | --- | --- | --- | | 2023 | | | | | Préstamos por pagar | 418,472 | - | 3,503,256 | | Bonos por pagar | 21,641,445 | 77,562,518 | 104,723,964 | | Intereses de bonos por pagar | 2,297,125 | - | - | | Cuentas por pagar | 1,515,059 | - | - | | Impuesto sobre la renta por pagar | 30,637 | - | - | | Otros pasivos | 1,223,799 | 242,828 | - | | 2022 | | | | | Préstamos por pagar | 758,413 | - | 3,657,978 | | Bonos por pagar | 18,269,526 | 83,349,063 | 114,556,708 | | Intereses de bonos por pagar | 26,611 | - | - | | Cuentas por pagar | 1,649,350 | - | - | | Otros pasivos | 1,534,472 | 218,261 | - |</t>
  </si>
  <si>
    <t>A continuación, se muestra la razón de apalancamiento del Grupo:</t>
  </si>
  <si>
    <t>| | 2023 | 2022 | | --- | --- | --- | | Total de bonos por pagar | 156,186,578 | 159,008,413 | | Menos: Efectivo y equivalentes de efectivo | (10,299,859) | (10,955,792) | | Activo financiero restringido | (4,033,700) | (4,234,822) | | Deuda neta | 141,853,019 | 143,817,799 | | Total de patrimonio | 154,149,366 | 154,381,118 | | Total de capital | 296,002,385 | 298,198,917 | | Razón de apalancamiento | 48% | 48% |</t>
  </si>
  <si>
    <t>| | 2023 | 2022 | | --- | --- | --- | | Caja menuda | 763 | 1,104 | | Banco General, S. A. | 9,569,967 | 10,178,021 | | MMG Bank &amp; Trust Ltd. | 704,537 | 776,667 | | BAC Credomatic | 24,592 | - | | | 10,299,859 | 10,955,792 |</t>
  </si>
  <si>
    <t>| | 2023 | 2022 | | --- | --- | --- | | Edemet-Edechi | 6,315,200 | 5,462,185 | | Elektra Noreste, S. A. | 1,973,238 | 2,501,926 | | Otros | 2,226,436 | 2,516,409 | | | 10,514,874 | 10,480,520 |</t>
  </si>
  <si>
    <t>Todas las cuentas por cobrar deben ser cobradas en los próximos dos meses. Al 31 de diciembre de 2023, no había cuentas por cobrar vencidas y deterioradas, por lo cual no se ha registrado ninguna provisión para cuentas incobrables.</t>
  </si>
  <si>
    <t>| | 2023 | 2022 | | --- | --- | --- | | Impuesto sobre la renta pagado por adelantado | 985,002 | - | | Seguros | 300,406 | 124,848 | | Otros | 115,057 | 47,094 | | | 1,400,465 | 171,942 |</t>
  </si>
  <si>
    <t>| | Terreno | Mobiliario y equipo | Vehículos | Planta y equipo | Construcción en proceso | Edificio | Mejoras | Total | | --- | --- | --- | --- | --- | --- | --- | --- | --- | | Saldo neto al 31 de diciembre de 2021 | 13,195,714 | 131,791 | 120,194 | 276,313,530 | - | 75,572 | 35,496 | 289,872,297 | | Adiciones | 75,500 | 27,792 | - | 246,613 | 1,943,750 | - | - | 2,293,655 | | Retiros | - | - | - | (105,000) | - | - | - | (105,000) | | Depreciación | - | (38,987) | (38,591) | (11,740,507) | - | (2,481) | (15,366) | (11,835,932) | | Saldo neto al 31 de diciembre de 2022 | 13,271,214 | 120,596 | 81,603 | 264,714,636 | 1,943,750 | 73,091 | 20,130 | 280,225,020 | | Adiciones | - | 46,449 | (1) | 8,177,986 | 1,641,753 | - | 2 | 9,866,189 | | Depreciación | - | (38,915) | (22,734) | (11,878,218) | - | (2,524) | (5,683) | (11,948,074) | | Saldo neto al 31 de diciembre de 2023 | 13,271,214 | 128,130 | 58,868 | 261,014,404 | 3,585,503 | 70,567 | 14,449 | 278,143,135 | | 2023 | | | | | | | | | | Costo | 13,271,214 | 652,063 | 535,042 | 384,436,054 | 3,585,503 | 99,240 | 141,102 | 402,720,218 | | Depreciación acumulada | - | (523,933) | (476,174) | (123,421,650) | - | (28,673) | (126,653) | (124,577,083) | | Saldo neto al 31 de diciembre de 2023 | 13,271,214 | 128,130 | 58,868 | 261,014,404 | 3,585,503 | 70,567 | 14,449 | 278,143,135 | | 2022 | | | | | | | | | | Costo | 13,271,214 | 605,615 | 535,042 | 376,258,067 | 1,943,750 | 99,240 | 141,102 | 392,854,030 | | Depreciación acumulada</t>
  </si>
  <si>
    <t>Al 31 de diciembre de 2023 y 2022, la propiedad, planta y equipo se encuentra en garantía de los bonos por pagar (Véase Nota 15) y no presenta deterioro.</t>
  </si>
  <si>
    <t>8. Propiedad, Planta y Equipo, Neto (Continuación)</t>
  </si>
  <si>
    <t>La subsidiaria Hydro Caisán, S. A. completó sustancialmente la instalación de una mini central a pie de presa con una capacidad instalada de 0.98MW y un costo al 31 de diciembre de 2023 B/.3,585,503, reflejado en construcción en proceso. Con fecha 5 de marzo de 2024 el Centro Nacional de Despacho (CND) otorgó el certificado de operación comercial al proyecto Mini Central El Alto.</t>
  </si>
  <si>
    <t>| | 2023 | 2022 | | --- | --- | --- | | Adelanto en compras de terreno | 224,028 | 224,028 | | Fondo de cesantía | 255,457 | 235,805 | | Adelanto a proveedores y contratistas | 179,218 | 768,837 | | Intereses por cobrar de efectivo restringido | 61,939 | 68,107 | | Depósito de garantía | 6,638 | 6,638 | | Otros | 26,054 | 39,784 | | | 753,334 | 1,343,199 | | Menos: Porción circulante | 510,364 | 1,115,702 | | Porción no circulante | 242,970 | 227,497 |</t>
  </si>
  <si>
    <t>### Huracán ETA (continuación)</t>
  </si>
  <si>
    <t>Al 31 de diciembre de 2023 Hydro Caisán, S.A. había incurrido en gastos totales por la suma de B/.2,071,177 correspondientes a reparaciones asociadas a este siniestro, de los cuales le fueron reembolsados por parte de la aseguradora la suma de B/.1,971,177. La diferencia corresponde al monto del deducible por la suma de B/.100,000, el cual fue reconocido como gasto durante el año 2020. Con fecha 19 de octubre de 2023, la aseguradora realizó el pago final correspondiente al saldo de las reparaciones asociadas a este siniestro por la suma de B/.253,551, con lo cual el reclamo fue cerrado.</t>
  </si>
  <si>
    <t>10. Activo Financiero Restringido</t>
  </si>
  <si>
    <t>El activo financiero restringido corresponde a la siguiente subsidiaria:</t>
  </si>
  <si>
    <t>| | 2023 | 2022 | | --- | --- | --- | | Hydro Caisán, S. A. | 4,033,700 | 4,234,822 |</t>
  </si>
  <si>
    <t>Al 31 de diciembre de 2023, el saldo de los bonos corporativos emitidos por el Grupo totalizaba B/.153,000,000 (2022: B/.158,250,000) (véase Nota 16).</t>
  </si>
  <si>
    <t>Como parte de los acuerdos establecidos en el prospecto de la emisión de los Bonos 2020, se incluye la creación de un fondo de fideicomiso con la cuenta denominada Cuenta de Reserva de Servicio de la Deuda. Este fondo ha sido constituido por Hydro Caisán, S. A. como fideicomitente y BG Trust, Inc. como fiduciario, y tiene como propósito general mantener un fondo de efectivo para cumplir con las obligaciones de pago de intereses y capital (exceptuando el barrido de caja) equivalente a tres meses.</t>
  </si>
  <si>
    <t>| | 2023 | 2022 | | --- | --- | --- | | Pedregalito 1 y 2 | 723,071 | 723,071 | | Cochea | 739,506 | 739,506 | | El Alto | 5,571,173 | 5,571,173 | | | 7,033,750 | 7,033,750 |</t>
  </si>
  <si>
    <t>- Se utilizaron los resultados reales de funcionamiento del 2023 y el plan de negocio para el 2024 para proyectar los flujos futuros de efectivo. Los flujos futuros de efectivo fueron proyectados utilizando tasas de crecimiento promedio basadas en los supuestos a largo plazo de las tasas de crecimiento, proyección de hidrología anual, precio de potencia y energía contratados y precio proyectados de mercado ocasional. El período de pronóstico se basa en la perspectiva a largo plazo del Grupo que se determinó en 10 años.</t>
  </si>
  <si>
    <t>- La tasa de descuento del 9.92% (2022: 9.44%) se calculó sobre la base del costo promedio ponderado del capital (WACC, por sus siglas en inglés) para el Grupo.</t>
  </si>
  <si>
    <t>| | 2023 | 2022 | | --- | --- | --- | | Pedregalito Solar Power, S. A. | - | 20,824 | | Río Chico Solar Power, S. A. | - | 153,260 | | | - | 174,084 |</t>
  </si>
  <si>
    <t>| | 2023 | 2022 | | --- | --- | --- | | Saldo neto al inicio del año | 525,826 | 538,918 | | Amortización del año | (13,093) | (13,092) | | Saldo neto al final del año | 512,733 | 525,826 | | Valor neto en libros | | | | Costo | 717,616 | 717,616 | | Amortización acumulada | (204,883) | (191,790) | | Saldo neto | 512,733 | 525,826 |</t>
  </si>
  <si>
    <t>| | 2023 | 2022 | | --- | --- | --- | | Saldo neto al inicio del año | 101,898 | 142,658 | | Amortización del año | (32,608) | (40,760) | | Saldo neto al final del año | 69,290 | 101,898 |</t>
  </si>
  <si>
    <t>Al 31 de diciembre de 2023, el Grupo mantiene activos por derecho de uso que se presentan a continuación:</t>
  </si>
  <si>
    <t>| | 2023 | 2022 | | --- | --- | --- | | Activos por derecho de uso | | | | Costo | 314,345 | 314,345 | | Adenda al contrato | (64,530) | (64,530) | | Amortización acumulada | (180,525) | (147,917) | | Valor neto | 69,290 | 101,898 | | Pasivo por Arrendamiento | | | | Circulante | 32,604 | 32,604 | | No circulante | 36,686 | 69,294 | | | 69,290 | 101,898 |</t>
  </si>
  <si>
    <t>| | 2023 | 2022 | | --- | --- | --- | | Menos de un año | 36,000 | 36,000 | | Más de 1 año y menos de 5 años | 95,872 | 104,024 | | Total de pagos mínimos bajo arrendamiento | 131,872 | 140,024 | | Menos: Tasa de descuento | (62,582) | (38,126) | | Valor presente de los pagos mínimos | 69,290 | 101,898 | | Menos porción corriente | (32,604) | (32,604) | | Obligación de arrendamiento financiero largo plazo | 36,686 | 69,294 |</t>
  </si>
  <si>
    <t>| | 2023 | 2022 | | --- | --- | --- | | Agentes del mercado y otros proveedores | 1,393,648 | 1,636,617 | | Contratistas | 119,310 | - | | Otros | - | 11,000 | | Intereses de préstamos | 2,101 | 1,733 | | | 1,515,059 | 1,649,350 |</t>
  </si>
  <si>
    <t>| | 2023 | 2022 | | --- | --- | --- | | Hydro Caisán, S. A. | | | | Bonos corporativos con vencimiento el 5 de octubre de 2030 | 153,000,000 | 158,250,000 | | Costos de financiamiento diferidos, neto | (1,425,499) | (1,634,285) | | | 151,574,501 | 156,615,715 |</t>
  </si>
  <si>
    <t>| | 2023 | 2022 | | --- | --- | --- | | Saldo al inicio del año | 1,634,285 | 1,843,071 | | Amortización del año | (208,786) | (208,786) | | Saldo neto al final del año | 1,425,499 | 1,634,285 |</t>
  </si>
  <si>
    <t>Los intereses de bonos por pagar se presentan a continuación:</t>
  </si>
  <si>
    <t>| | 2023 | 2022 | | --- | --- | --- | | Intereses de bonos por pagar | 2,297,125 | 26,611 |</t>
  </si>
  <si>
    <t>| | 2023 | 2022 | | --- | --- | --- | | A un año | 12,750,000 | 9,000,000 | | Entre 1 y 5 años | 32,250,000 | 36,000,000 | | Más de 5 años | 108,000,000 | 113,250,000 | | | 153,000,000 | 158,250,000 |</t>
  </si>
  <si>
    <t>Adicionalmente, Hydro Caisán, S.A. se comprometió a causar que PPH y las demás Compañías de los Proyectos mantengan y cumplan de manera consolidada con una Razón de Cobertura de Servicio de Deuda mayor a 1.25x para los últimos doce (12) meses como requisito financiero y como condición para pagos restringidos.</t>
  </si>
  <si>
    <t>Los bonos fueron emitidos en su totalidad a través de la Bolsa Latinoamericana de Valores y 100% suscritos por un sindicado de bancos liderado por Banco General, S. A., quien también actúa como agente de pago, registro y transferencia de la emisión.</t>
  </si>
  <si>
    <t>El valor razonable de la deuda al 31 de diciembre de 2023 es de B/.119,596,160 (2022: B/.128,676,793 determinado en base de flujos descontados de caja utilizando una tasa del 9.876% (2022: 9.240%) y está incluido en el Nivel 3 de la jerarquía del valor razonable.</t>
  </si>
  <si>
    <t>17. Préstamos por Pagar</t>
  </si>
  <si>
    <t>Los préstamos por pagar al 31 de diciembre 2023 se detallan a continuación:</t>
  </si>
  <si>
    <t>| | 2023 | 2022 | | --- | --- | --- | | Banco General, S.A. | 3,186,578 | 758,413 | | Bac International Bank | 735,150 | - | | | 3,921,728 | 758,413 |</t>
  </si>
  <si>
    <t>La estructura de vencimiento de los préstamos por pagar se detalla a continuación:</t>
  </si>
  <si>
    <t>| | 2023 | 2022 | | --- | --- | --- | | A 1 año | 418,472 | 758,413 | | Más de 1 año | 3,503,256 | - | | | 3,921,728 | 758,413 |</t>
  </si>
  <si>
    <t>Con fecha 17 de mayo de 2022, PPH Financing Services, S. A. celebró Contrato de Línea de Adelantos No Rotativa con Banco General, S. A. para financiar la construcción de una mini central de 0.98MW de capacidad firme ubicada en la central hidroeléctrica El Alto. La facilidad cuenta con fianza solidaria de Panama Power Holdings, Inc. La subsidiaria inicia repago de esta facilidad a partir de marzo con amortizaciones fijas trimestrales.</t>
  </si>
  <si>
    <t>17. Préstamos por Pagar (Continuación)</t>
  </si>
  <si>
    <t>Banco General, S.A. (continuación)</t>
  </si>
  <si>
    <t>En mayo de 2022, PPH Financing Services, S. A. suscribió un Acuerdo de Reembolso con Hydro Caisán, S. A. mediante el cual ésta se compromete a reembolsar a PPH Financing Services, Inc. los intereses y costos relacionados al Contrato de Línea de Adelantos No Rotativa para financiar la construcción de una mini central en El Alto, suscrita entre PPH Financing Services, S. A. y Banco General, S. A., mientras se encuentre vigente el financiamiento.</t>
  </si>
  <si>
    <t>Bac International Bank, Inc.</t>
  </si>
  <si>
    <t>Con fecha 11 de mayo de 2023, la subsidiaria Pedregalito Solar Power, S. A., suscribió un Contrato de Línea de Crédito No Rotativa con Bac International Bank, Inc. por la suma de hasta B/.6,000,000 para el financiamiento de la planta solar. La facilidad cuenta con fianza solidaria de Panama Power Holdings, Inc. y contará con el respaldo de un fideicomiso de garantía al cual serán cedidos los activos de la sociedad. La subsidiaria inicia repago de esta facilidad a partir de marzo con amortizaciones fijas trimestrales.</t>
  </si>
  <si>
    <t>| | 2023 | 2022 | | --- | --- | --- | | Obras comunitarias | 447,487 | 697,569 | | Reservas laborales | 709,667 | 600,532 | | Adelanto de clientes | - | 250,000 | | Titulaciones en trámite | 157,903 | 147,903 | | Pasivos laborales | 83,728 | 46,034 | | Otros | 67,842 | 10,695 | | | 1,466,627 | 1,752,733 | | Menos: Porción circulante | 1,223,799 | 1,534,472 | | Porción no circulante | 242,828 | 218,261 |</t>
  </si>
  <si>
    <t>El número total de acciones comunes autorizadas es de 26,250,000 acciones con valor nominal de B/.1 cada una. Al 31 de diciembre de 2023, la Compañía tenía emitidas y en circulación un total de B/.16,575,011 acciones comunes con un valor nominal de B/.1 (2022: B/.16,575,011).</t>
  </si>
  <si>
    <t>## Suscripción de Acciones Comunes</t>
  </si>
  <si>
    <t>## Acciones Comunes (continuación)</t>
  </si>
  <si>
    <t>| | 2023 | 2022 | | --- | --- | --- | | Valor de suscripción de acciones comunes | 150,223,952 | 161,163,460 | | Devolución parcial del excedente en valor de suscripción de acciones comunes | (7,458,755) | (10,939,508) | | Costos directos de emisión de acciones comunes | (23,988) | (23,988) | | Valor nominal de acciones comunes emitidas | (16,575,011) | (16,575,011) | | Excedente en valor de suscripción de acciones comunes | 126,166,198 | 133,624,953 |</t>
  </si>
  <si>
    <t>Panama Power Holdings, Inc. aprobó una distribución a sus accionistas comunes por el monto de B/.7,458,755 equivalente a B/.0.45 por acción común, la cual fue pagada el 27 de diciembre de 2023, y una distribución a sus accionistas comunes por el monto de B/.10,939,508 equivalente a B/.0.66 por acción común, la cual fue pagada el 23 de diciembre de 2022. Ambas distribuciones se realizaron mediante devolución parcial del excedente en valor de suscripción de acciones comunes.</t>
  </si>
  <si>
    <t>El número total de acciones preferidas autorizadas es de 3,750,000 acciones sin valor nominal. Al 31 de diciembre de 2023, la Compañía había emitido 3,597,000 (2022: 3,597,000) acciones preferidas.</t>
  </si>
  <si>
    <t>| | 2023 | 2022 | | --- | --- | --- | | Ingresos por contratos con clientes | | | | Venta de energía - contratada | 26,401,729 | 25,174,194 | | Venta de capacidad - contratada | 10,864,826 | 10,572,289 | | | 37,266,555 | 35,746,483 | | Ingresos por mercado ocasional | | | | Venta de capacidad - mercado ocasional | 4,539 | 23,832 | | Venta de energía - mercado ocasional | 14,658,476 | 19,232,161 | | Servicios auxiliares y otros | 1,257,798 | 2,201,767 | | | 15,920,813 | 21,457,760 | | Total de ingresos por venta de energía | 53,187,368 | 57,204,243 | | Ingresos por crédito fiscal y otros | | | | Ingresos por crédito fiscal | 1,630,512 | 1,930,197 | | Otros ingresos | 539,212 | 44,301 | | | 2,169,724 | 1,974,498 |</t>
  </si>
  <si>
    <t>| | 2023 | 2022 | | --- | --- | --- | | Gastos de honorarios profesionales - otras partes relacionadas | 1,278,900 | 1,278,900 |</t>
  </si>
  <si>
    <t>El pago en concepto de salarios y otras compensaciones al personal gerencial clave por el año terminado el 31 de diciembre de 2023 es de B/.253,597 (2022: B/.239,097).</t>
  </si>
  <si>
    <t>| | 2023 | 2022 | | --- | --- | --- | | Depreciación y amortización | 11,997,283 | 11,881,633 | | Costo de personal | 2,317,702 | 2,200,491 | | Fianzas y seguros | 1,723,164 | 1,783,817 | | Honorarios profesionales | 1,304,722 | 1,363,520 | | Mantenimientos de planta | 872,411 | 648,943 | | Impuestos generales | 580,226 | 432,144 | | Ambientales y regulador | 569,856 | 513,811 | | Ayuda comunitaria | 288,564 | 212,346 | | Vehículos y transporte | 226,751 | 240,251 | | Vigilancia | 179,346 | 154,606 | | Otras pérdidas netas | 127,418 | - | | Servicios públicos, alquileres y gastos de oficina | 112,236 | 105,200 | | Auditoría | 84,870 | 72,560 | | Honorarios legales | 46,373 | 42,892 | | Honorarios por comercialización | 46,100 | 45,600 | | Otros | 43,027 | 65,123 | | | 20,520,049 | 19,762,937 |</t>
  </si>
  <si>
    <t>-45-</t>
  </si>
  <si>
    <t>| | 2023 | 2022 | | --- | --- | --- | | Utilidad neta | 7,277,003 | 13,662,921 | | Número promedio ponderado de acciones | 16,575,011 | 16,575,011 | | Utilidad integral por acción | 0.44 | 0.82 |</t>
  </si>
  <si>
    <t>Al 31 de diciembre de 2023, aseguradoras y bancos locales habían emitido fianzas y cartas de garantías bancarias por un total de B/.13,644,327 (2022: B/13,751,305) para respaldar obligaciones del Grupo como parte del giro de negocio.</t>
  </si>
  <si>
    <t>- La ASEP otorga a el Grupo una concesión para la generación de energía hidroeléctrica mediante la explotación del aprovechamiento hidroeléctrico ubicado sobre los ríos Chico, Cochea y Chiriquí Viejo.</t>
  </si>
  <si>
    <t>- La Compañía está autorizada a prestar el servicio público de generación de electricidad, el cual comprende la construcción, instalación, operación y mantenimiento de una central de generación eléctrica, con sus respectivas líneas de conexión a las redes de transmisión y equipos de transformación, con el fin de producir y vender energía en el sistema eléctrico nacional y/o internacional. - El término de la vigencia de cada una de las concesiones otorgadas tiene una duración de cincuenta (50) años. El mismo puede ser prorrogado por un período de hasta cincuenta (50) años, previa solicitud a la ASEP. - La Compañía tendrá la libre disponibilidad de los bienes propios y los bienes de los complejos. - La Compañía tendrá los derechos sobre los bienes inmuebles y derechos de vía o paso en el Área de Concesión pudiendo realizar todas las actividades necesarias para la generación, transporte y venta de energía hidroeléctrica. Así mismo, el Grupo también tendrá el derecho de vía o acceso a las áreas del complejo hidroeléctrico actualmente habilitadas y en uso. - La Compañía podrá solicitar la adquisición forzosa de inmuebles y la constitución de servidumbres a su favor conforme lo estipula la Ley No.6 de 1997 y su reglamento.</t>
  </si>
  <si>
    <t>| Subsidiaria | Planta | Río | Fecha de Refrendo de Contrato | Monto de la Fianza | | --- | --- | --- | --- | --- | | Generadora Pedregalito, S. A. | Pedregalito 1 | Chico | 27 de julio de 2009 | 125,000 | | Generadora Alto Valle, S. A. | Cochea | Cochea | 27 de julio de 2009 | 100,000 | | Hydro Caisán, S. A. | El Alto | Chiriquí Viejo | 13 de abril de 2007 | 268,000 | | Generadora Río Chico, S. A. | Pedregalito 2 | Chico | 29 de abril de 2011 | 85,000 |</t>
  </si>
  <si>
    <t>Mediante Resolución AN No.18482-Elec del 14 de junio de 2023, la ASEP otorgó Licencia Definitiva a la subsidiaria Pedregalito Solar Power, S. A., para la construcción y explotación de un proyecto de generación fotovoltaica denominada Pedregalito Solar Power con una potencia nominal AC de 9.9MW.</t>
  </si>
  <si>
    <t>## Generadora Pedregalito, S. A.</t>
  </si>
  <si>
    <t>- Contratos de suministro de potencia y energía asociada firmados en junio de 2011 con Empresa de Distribución Eléctrica Metro-Oeste, S. A. (EDEMET), Empresa de Distribución Eléctrica Chiriquí, S. A. (EDECHI) y Elektra Noreste, S. A. (ENSA), que abarcan los períodos comprendidos de 2012 a 2029. El valor monómico contratado será de B/.0.114 Kwh. Al 31 de diciembre de 2023 estos contratos estaban respaldados por fianzas de cumplimiento emitidas por Acerta Compañía de Seguros, S. A. por las sumas de B/.307,310 (EDEMET), B/.30,699 (EDECHI) y B/.122,933 (ENSA).</t>
  </si>
  <si>
    <t>- Contratos de suministro de sólo energía firmados en junio de 2013 con las compañías Empresa de Distribución Eléctrica Metro Oeste, S. A. (EDEMET), Empresa de Distribución Eléctrica Chiriquí, S. A. (EDECHI) y Elektra Noreste, S. A. (ENSA), que abarcan los períodos comprendidos del 1 de diciembre de 2015 al 31 de diciembre de 2027. El precio por energía contratada será de B/.0.1320 Kwh. Al 31 de diciembre de 2023, estos contratos estaban respaldados por fianzas de cumplimiento emitidas por Acerta Compañía de Seguros, S. A. por las sumas de B/.559,341 (EDEMET), B/.189,608 (EDECHI) y B/.233,470 (ENSA).</t>
  </si>
  <si>
    <t>-48-</t>
  </si>
  <si>
    <t>Generadora Alto Valle, S. A.</t>
  </si>
  <si>
    <t>- Contratos de suministro de largo plazo de potencia y energía firmados en octubre de 2008 con Empresa de Distribución Eléctrica Metro-Oeste, S. A. (EDEMET) y con Elektra Noreste, S. A. (ENSA), que abarcan los períodos comprendidos de 2013 a 2025. Con fecha efectiva 25 de julio de 2014, la ASEP aprobó la enmienda No.4 al Contrato DME-010-08 de Potencia y Energía suscrito entre Elektra Noreste, S. A. (ENSA) e Hydro Caisán, S. A., y la enmienda No.5 al Contrato No.05-08 de Potencia y Energía, suscrito entre Empresa Distribuidora Metro-Oeste (EDEMET), ambas enmiendas extienden la fecha de inicio del contrato hasta el 1 de enero de 2016. Al 31 de diciembre de 2023, estos contratos estaban respaldados por fianzas de cumplimiento emitidas por Acerta Compañía de Seguros, S. A. por las sumas de B/.965,788 (EDEMET) y B/.288,363 (ENSA).</t>
  </si>
  <si>
    <t>- Contratos de Suministro de Sólo Energía firmados en noviembre y diciembre de 2023 con las compañías Empresa de Distribución Eléctrica Chiriquí, S. A. (EDECHI) y Elektra Noreste, S. A. (ENSA) que abarcan los períodos comprendidos del 1 de septiembre de 2024 al 30 de noviembre de 2025. El precio promedio por energía contratada será de B/.0.087 Kwh. Al 31 de diciembre de 2023, estos contratos estaban respaldados por fianzas de cumplimiento emitidas por Acerta Compañía de Seguros, S. A. por las sumas de B/.45,448 (EDECHI) y B/.4,089,734 (ENSA).</t>
  </si>
  <si>
    <t>## Pedregalito Solar Power, S. A.</t>
  </si>
  <si>
    <t>La central solar Pedregalito Solar Power, de la subsidiaria Pedregalito Solar Power, S.A., inició a partir del mes de noviembre la generación de energía bajo la modalidad de pruebas. Una vez se completen las pruebas e información requerida se procederá con el trámite de solicitud, ante el Centro Nacional de Despacho (CND), de la emisión del aviso de operación comercial de la misma.</t>
  </si>
  <si>
    <t>Pedregalito Solar Power, S. A. (continuación)</t>
  </si>
  <si>
    <t>### Litigios (continuación)</t>
  </si>
  <si>
    <t>a. La tarifa de impuesto sobre la renta vigente sobre la utilidad fiscal (25%).</t>
  </si>
  <si>
    <t>b. La renta neta gravable que resulte de aplicar al total de ingresos gravables el 4.67% por la tasa del impuesto sobre la renta vigente.</t>
  </si>
  <si>
    <t>Las diferencias temporales son las diferencias existentes entre la base imponible y el resultado contable antes de impuestos. El origen está en los diferentes criterios temporales de imputación, lo que motiva que los efectos contables y fiscales no coincidan en el tiempo. La subsidiaria Pedregalito Solar Power, S. A. por motivos del incentivo fiscal por la utilización del método de depreciación acelerada de acuerdo a la Ley No.37 de 2013, que establece el régimen de incentivos para el fomento de la construcción, operación y mantenimiento de centrales y/o instalaciones solares, presenta diferencias temporales en el cálculo del impuesto sobre la renta financiero y fiscal.</t>
  </si>
  <si>
    <t>-51-</t>
  </si>
  <si>
    <t>| | 2023 | 2022 | | --- | --- | --- | | Utilidad antes del impuesto sobre la renta | 11,177,428 | 19,005,909 | | Impuesto sobre la renta contable a la tasa de 25% | 2,794,357 | 4,751,477 | | Efectos y partidas que afectan el cálculo fiscal del impuesto sobre la renta | | | | Arrastre de pérdidas | (53,672) | (53,281) | | Ingresos por intereses no gravable | (58,736) | (35,063) | | Otros ingresos no gravables | (68,250) | (52,034) | | Gastos no deducibles y otros | 21,027 | 54,881 | | Pérdida de entidades consolidadas no sujetas al impuesto sobre la renta | 353,326 | 412,761 | | Ingreso por crédito fiscal no gravable | (407,628) | (485,607) | | Depreciación no deducible por uso de crédito fiscal | 618,757 | 618,757 | | Impuesto sobre la renta fiscal corriente a la tasa efectiva del 25% | 3,199,181 | 5,211,891 | | Ajuste de impuesto sobre la renta | 711,836 | 77,816 | | Efectos fiscales de diferencias temporales | (13,873) | - | | Impuesto sobre la renta diferido | 53,281 | 53,281 | | Provisión de impuesto sobre la renta | 3,950,425 | 5,342,988 | | Tasa efectiva | 31% | 25% |</t>
  </si>
  <si>
    <t>Durante el año Panama Power Holdings, Inc. pagó la suma de B/.628,232, correspondiente al impuesto de dividendos resultante de los dividendos declarados por sus subsidiarias Generadora Pedregalito, S. A., Generadora Río Chico, S. A., Generadora Alto Valle, S. A. e Hydro Caisán, S. A.</t>
  </si>
  <si>
    <t>El activo por impuesto sobre la renta diferido al 31 de diciembre de 2023 y 2022 corresponde al arrastre de pérdida y se calculó en base a la tasa impositiva vigente. El movimiento de impuesto sobre la renta diferido activo se presenta a continuación:</t>
  </si>
  <si>
    <t>| | 2023 | 2022 | | --- | --- | --- | | Saldo al inicio del año | 140,101 | 193,382 | | Utilización del año | (53,281) | (53,281) | | Saldo final del año | 86,820 | 140,101 |</t>
  </si>
  <si>
    <t>## Crédito Fiscal por Inversión Directa</t>
  </si>
  <si>
    <t>Al 31 de diciembre de 2023 las subsidiarias Hydro Caisán, S. A. y Generadora Alto Valle, S. A. utilizaron B/.1,630,512 (2022: B/.1,930,197) del crédito fiscal para el pago del impuesto sobre la renta, de los cuales la porción de Generadora Alto Valle, S. A. fue utilizada para el pago de impuesto sobre la renta causado en el período fiscal 2022, periodo en el cual se le venció este beneficio fiscal (Nota 19)</t>
  </si>
  <si>
    <t>Debido al beneficio fiscal recibido no le es permitido a las compañías: Generadora Pedregalito, S. A., Generadora Río Chico, S. A., Generadora Alto Valle, S. A. e Hydro Caisán, S. A. reconocer como deducible el 25% anual del gasto de depreciación correspondiente a la inversión directa.</t>
  </si>
  <si>
    <t>Hydro Caisán, S. A., ha iniciado el uso de este crédito fiscal y ha registrado el monto estimado actual que se espera sea recuperado durante la vida del mismo. Este monto es revisado anualmente para reflejar las condiciones esperadas de la industria.</t>
  </si>
  <si>
    <t>La consolidación del estado de situación financiera al 31 de diciembre de 2023 se presenta a continuación:</t>
  </si>
  <si>
    <t xml:space="preserve">| | Total Consolidado | Eliminaciones | Sub-Total Consolidado | Panama Power Holdings, Inc. | Ganamentos Allo Valles, S. A. | Parteiguitos Solar Power S. A. | Hydro Caisán, S. A. | Ganamentos Parteiguitos, S. A. | Ganamentos Río Chico, S. A. | Panama Power Management Services, S. A. | PPH Financing Services, S. A. | | --- | --- | --- | --- | --- | --- | --- | --- | --- | --- | --- | --- | | Activos | | | | | | | | | | | | | Activos circulantes | | | | | | | | | | | | | Efectivos | 10,209,859 | - | 10,209,859 | 703,237 | 1,300,550 | 70,610 | 3,939,769 | 2,683,129 | 1,578,074 | 17,590 | 8,000 | | Cuentas por cobrar | 10,514,874 | - | 10,514,874 | - | 1,000,208 | 248,173 | 7,179,823 | 1,288,706 | 797,964 | - | - | | Cuentas por cobrar - compañías relacionadas | - | (261,136,479) | 261,136,479 | 91,116,018 | 3,645,272 | - | 60,927,956 | - | 11,259,999 | 202,542 | 93,984,692 | | Inventario de repuestos y suministros | 2,176,373 | - | 2,176,373 | - | 449,718 | 41 | 876,163 | 571,391 | 279,060 | - | - | | Gastos pagados por adelantado | 1,400,465 | - | 1,400,465 | 30,284 | 559,616 | 225 | 311,829 | 287,733 | 209,137 | 1,639 | - | | Celdos fiscal por inversión | 1,541,175 | - | 1,541,175 | - | - | - | 1,541,175 | - | - | - | - | | Otros activos | 510,364 | - | 510,364 | 397 | 3,258 | 141,252 | 202,554 | 101,936 | 3,841 | 45,271 | 11,855 | | Total de activos circulantes | 26,443,110 | (261,136,479) | 287,579,589 | 91,849,936 | 6,968,624 | 460,301 | 74,979,269 | 4,932,895 | 14,126,075 </t>
  </si>
  <si>
    <t>La consolidación del estado de resultados por el periodo de doce meses terminado el 31 de diciembre de 2023</t>
  </si>
  <si>
    <t>VI PARTE INFORME DE CALIFICACIÓN DE RIESGO</t>
  </si>
  <si>
    <t>El alza en las calificaciones refleja el fortalecimiento del perfil financiero consolidado de Panama Power Holdings, Inc. y Subsidiarias (PPH) como resultado de una generación de flujo de efectivo consistente a lo largo de los últimos años. A su vez, esta se ha utilizado para la amortización gradual de la deuda de PPH. Fitch Ratings proyecta que el indicador de deuda a EBITDA se encuentre en el rango de 4.5x a 5.0x en los próximos tres años. El alza en las calificaciones incorpora también la puesta en marcha de las centrales de Pedregalito Solar Power y Mini Central en El Alto durante 2023, cuya inversión se cubrió con recursos propios y deuda moderada.</t>
  </si>
  <si>
    <t>Las calificaciones toman en cuenta la posición competitiva fuerte en el despacho de energía en Panamá y la posición contratada cercana a 68% de PPH. Además, las calificaciones consideran la exposición de la compañía al riesgo hidrológico, concentración geográfica del portafolio de generación, y las condiciones macroeconómicas de Panamá (calificación internacional de riesgo emisor de 'BBB-' con Perspectiva Estable).</t>
  </si>
  <si>
    <t># Factores Clave de Calificación</t>
  </si>
  <si>
    <t>Fortalecimiento del Apalancamiento: En los últimos ocho años, la compañía generó EBITDA anual de USD29 millones, en promedio. Esta generación operativa se tradujo en flujo de efectivo con el que PPH amortizó más de USD80 millones de deuda en dicho período. Fitch proyecta que los indicadores de apalancamiento de PPH se encuentren en el rango de 4.5x a 5.0x en los próximos tres años producto de amortizaciones graduales de deuda y generación de EBITDA de alrededor de USD31 millones anuales.</t>
  </si>
  <si>
    <t>Para 2023, Fitch espera que el indicador de apalancamiento de PPH se encuentre en niveles cercanos a 5.0x debido a menores niveles hídricos como consecuencia de la ocurrencia del Fenómeno de El Niño.</t>
  </si>
  <si>
    <t>Expectativa de Flujo de Fondos Libre Positivo: Fitch calcula que entre 2024 y 2026 PPH podría generar un flujo de caja operativo (FCO) positivo de USD19 millones en promedio. Esto sería suficiente para cubrir la inversión de capital (capex; capital expenditures) de mantenimiento, las amortizaciones de deuda programadas e incluso realizar distribuciones a sus accionistas sin afectar su perfil crediticio.</t>
  </si>
  <si>
    <t>La agencia proyecta que la generación de flujo de fondos libre (FFL) de la compañía sea neutral en 2023 debido a la reducción esperada de hidrología y por las inversiones de capital (capex) relacionadas con el desarrollo de las plantas nuevas de generación Pedregalito Solar Power y la Mini Central en El Alto. Fitch considera que la incorporación de estos proyectos al portafolio de activos de PPH le permitirá a la compañía reducir las compras de energía en el mercado ocasional y respaldará la generación de EBITDA.</t>
  </si>
  <si>
    <t>Rentabilidad Sensible a Condiciones Climáticas: En los últimos 12 meses (UDM) a marzo de 2023 (1T23), el EBITDA de PPH fue de USD40 millones con un margen de 70.6%, superior al reportado en el mismo período del año anterior (USD28 millones y 63.8%, respectivamente) debido a condiciones hídricas favorables durante 2022. Para 2023 Fitch proyecta un EBITDA cercano a USD31 millones con un margen de 68.8% (promedio 2020 a 2022: 70.3%) dada la ocurrencia de El Niño, un aumento en los requerimientos de compra de energía en el mercado spot y costos de energía moderadamente menores que los de 2022. Desde 2024 se esperan niveles de EBITDA estables, siempre y cuando los niveles de hidrología sean similares al promedio histórico, lo que compara favorablemente con el promedio del período de 2019 a 2021 de USD27 millones.</t>
  </si>
  <si>
    <t>| Escala Nacional | Calificaciones Nacionales de Largo Plazo A-(pan) | | --- | --- | | Perspectivas | Calificaciones Nacionales de Largo Plazo Estable |</t>
  </si>
  <si>
    <t># Metodologías Aplicables</t>
  </si>
  <si>
    <t>- Metodología de Calificación de Finanzas Corporativas (Diciembre 2022) - Metodología de Calificaciones en Escala Nacional (Diciembre 2020) - Metodología de Vínculo de Calificación entre Matriz y Subsidiaria (Julio 2023)</t>
  </si>
  <si>
    <t># Publicaciones Relacionadas</t>
  </si>
  <si>
    <t>Fitch Sube Calificaciones de PPH e Hydro Caisán a 'A-(pan)'; Perspectiva Estable (Agosto 2023)</t>
  </si>
  <si>
    <t>- Víctor Chinas +52 81 4161 7070 victor.chinas@fitchratings.com</t>
  </si>
  <si>
    <t>- Óscar Álvarez +52 81 4161 7090 oscar.alvarez@fitchratings.com</t>
  </si>
  <si>
    <t>Riesgo Regulatorio Bajo: Las calificaciones de la compañía también reflejan la exposición baja al riesgo regulatorio de PPH. Los generadores no han sido intervenidos directamente sino en la forma de subsidios al usuario final. Las empresas de generación en Panamá se han caracterizado por ser negocios competitivos no regulados y libres de aplicar sus propias estrategias comerciales. En años anteriores, el aumento en precios de la energía dio como resultado un incremento en la intervención del gobierno con la intención de reducir el impacto de precios altos de energía para el consumidor final. Sin embargo, se espera que esta intervención siga disminuyendo en línea con el decremento gradual de los precios de energía esperados durante los próximos años.</t>
  </si>
  <si>
    <t>Vínculo Matriz Subsidiaria: Fitch sigue un enfoque consolidado para las calificaciones de Hydro Caisán, S.A. (Hydro Caisán) debido a los perfiles sólidos crediticio y operativo de la compañía en comparación con los de su accionista principal, PPH. Lo anterior es producto de una delimitación legal "abierta" debido a que no existen restricciones para que la matriz tenga acceso a los flujos de caja y activos de la subsidiaria; también por la evaluación de Fitch de un acceso y control "abierto" debido a la propiedad de la totalidad de las acciones de Hydro Caisán por parte de PPH. Las decisiones de financiamiento se toman a nivel de la matriz y los bonos de Hydro Caisán están avalados por PPH y todas las compañías de su propiedad. Además, las acciones y activos productivos de las empresas garantizan las emisiones.</t>
  </si>
  <si>
    <t>| (USD miles) | 2020 | 2021 | 2022 | 2023P | 2024P | 2025P | | --- | --- | --- | --- | --- | --- | --- | | Ingresos Brutos | 37,673 | 42,794 | 57,204 | 44,535 | 43,081 | 42,292 | | Margen de EBITDA (%) | 72.9 | 70.1 | 68.0 | 68.8 | 72.2 | 73.8 | | Margen de FGO (%) | 46.5 | 51.2 | 46.6 | 41.9 | 45.0 | 47.0 | | Deuda / EBITDA (x) | 6.3 | 5.5 | 4.0 | 5.0 | 4.5 | 4.2 | | EBITDA / Intereses | 2.3 | 2.9 | 4.0 | 3.4 | 3.6 | 3.9 |</t>
  </si>
  <si>
    <t>P - Proyección. FGO - Flujo generado por las operaciones. x - Veces. Fuente: Fitch Ratings, Fitch Solutions, PPH</t>
  </si>
  <si>
    <t>Las calificaciones de PPH e Hydro Caisán reflejan su posición competitiva en el despacho de energía en Panamá, apalancamiento moderado y su estrategia de contratación con vencimientos de largo plazo que le permiten contar con una estabilidad mayor de sus ingresos siempre y cuando las condiciones de hidrología sean favorables. También consideran la exposición al deterioro de las condiciones macroeconómicas y, en menor medida, al riesgo regulatorio. Por el otro lado, las calificaciones de PPH están limitadas por la concentración geográfica del portafolio de generación, lo cual acentúa el riesgo hidrológico. Las calificaciones de Hydro Caisán consideran los lazos fuertes operacionales y legales con su matriz PPH.</t>
  </si>
  <si>
    <t>Comparado con Electron Investment, S.A. (EISA) [BBB+(pan); Perspectiva Estable], PPH presenta una escala mayor de operaciones, mayor posición contratada, apalancamiento esperado menor y una exposición similar al riesgo hidrológico. En comparación con AES Changuinola S.R.L. (AESC) [AA+(pan); Perspectiva Estable] y AES Panama Generation Holdings, S.R.L. (AESPGH) [AA+(pan); Perspectiva Estable], PPH tiene la misma posición de despacho competitiva, pero un portafolio de generación de menor escala (222.17 megavatios o MW frente a 120.2 MW de PPH) y una concentración geográfica mayor de sus centrales.</t>
  </si>
  <si>
    <t>El factor de carga anual de PPH es cercano a 45% en promedio en los últimos tres años, es menor que el promedio de EISA y AESC de 74% y 51%, respectivamente, debido a que estas últimas cuentan con plantas de generación más eficientes.</t>
  </si>
  <si>
    <t>## Sensibilidades de la Calificación</t>
  </si>
  <si>
    <t>- apalancamiento mayor de 6.0x consistentemente; - FFL negativo de forma sostenida; - presiones en el perfil de liquidez que lleven a una métrica de efectivo y equivalentes a deuda de corto plazo menor de 1.0x; - eventos operacionales que impidieran el suministro de energía;</t>
  </si>
  <si>
    <t>Informe de Calificación | 29 agosto 2023</t>
  </si>
  <si>
    <t>- deterioro de las condiciones macroeconómicas en Panamá que dieran como resultado una reducción del consumo de energía; - una intervención regulatoria o política que influyera adversamente en la rentabilidad de la empresa.</t>
  </si>
  <si>
    <t>**Factores que podrían, individual o colectivamente, conducir a una acción de calificación positiva/alza:** - ampliación en el portafolio de generación de la compañía; - fortalecimiento del margen de EBITDA que derivara de una estabilidad operativa mayor por mejores niveles de hidrología y que permitieran aumentar la generación de electricidad; - niveles de apalancamiento sostenidos por debajo de 4.0x a lo largo del ciclo; - mantener un perfil de liquidez robusto.</t>
  </si>
  <si>
    <t>Liquidez Buena: A marzo de 2023, el saldo de efectivo y equivalentes de PPH fue de USD10.4 millones con vencimientos de corto plazo por USD9 millones. Además, la compañía cuenta con USD4.2 millones correspondientes a efectivo restringido relacionado con la cuenta de reserva de la deuda. El fondo de reserva fue constituido por Hydro Caisán como fideicomitente y BG Trust, Inc. como fiduciario y tiene como propósito general mantener un fondo de efectivo para cumplir con las obligaciones de pago de intereses y capital equivalente a tres meses.</t>
  </si>
  <si>
    <t>PPH, a través de sus subsidiarias, opera cuatro centrales hidroeléctricas de filo de agua, con 120.2MW de capacidad instalada, y cuya energía es comercializada dentro del sistema nacional interconectado de energía eléctrica de Panamá. PPH está en proceso de desarrollo de dos proyectos de generación nuevos: Pedregalito Solar Power y la Mini Central en El Alto con una capacidad conjunta de 10.9 MW.</t>
  </si>
  <si>
    <t># Escenario de Liquidez y Vencimiento de Deuda sin Refinanciamiento</t>
  </si>
  <si>
    <t>| (USD miles) | 2023P | 2024P | 2025P | | --- | --- | --- | --- | | Liquidez Disponible | | | | | Efectivo Disponible y Equivalentes Inicial | 10,956 | 1,500 | 5,000 | | Flujo de Fondos Libres Proyectado por Fitch (después de dividendos y adquisiciones) | (456) | 12,500 | 9,000 | | Total de Liquidez Disponible (A) | 10,500 | 14,000 | 14,000 | | Usos de Liquidez | | | | | Vencimientos de Deuda | (9,000) | (9,000) | (9,000) | | Uso Total de Liquidez (B) | (9,000) | (9,000) | (9,000) | | Cálculo de Liquidez | | | | | Efectivo Disponible y Equivalentes Final (A+B) | 1,500 | 5,000 | 5,000 | | Disponibilidad de Líneas de Crédito Comprometidas | — | — | — | | Liquidez Total | 1,500 | 5,000 | 5,000 | | Puntaje de Liquidez (x) | 1.2 | 1.6 | 1.6 | | P = Proyección | | | | | Fuente: Fitch Ratings, Fitch Solutions, PPH | | | |</t>
  </si>
  <si>
    <t>Calendario de Vencimientos de Deuda</t>
  </si>
  <si>
    <t>| (USD miles) | 31 dic 2022 | 31 mar 2023 | | --- | --- | --- | | 2023 | 9,000 | 8,791 | | 2024 | 9,000 | 9,000 | | 2025 | 9,000 | 9,000 | | 2026 | 9,000 | 9,000 | | 2027 | 9,000 | 9,000 | | Después | 112,379 | 110,890 | | Total | 157,379 | 155,681 |</t>
  </si>
  <si>
    <t>Nota: La deuda es neta de costos de financiamiento diferidos. Fuente: Fitch Ratings, Fitch Solutions, PPH</t>
  </si>
  <si>
    <t>- factor de carga (despacho) de 38% en 2023 y 2024; 40% para el período 2025 y 2026, en línea con el factor de carga promedio de los últimos siete años; - posición contratada promedio en torno a 66% para el período proyectado; - apalancamiento en 2023 cercano a 5.0x; regresa a niveles de 4.5x y 4.2x en 2024 y 2025, respectivamente; - margen de EBITDA en torno a 69% en 2023; y de 75% entre 2024 y 2026; - amortización anual de USD9 millones (incluye barrido de caja de USD2 millones) durante el período proyectado; - con base en estimaciones de Fitch, se considerará que una porción del flujo de efectivo generado por la compañía (después de cubrir el pago de intereses, impuestos y amortizaciones de principal de la deuda) podría ser destinado para inversiones adicionales de capex, retornos de capital a accionistas u otros usos corporativos, al mismo tiempo que se cumplen las condiciones financieras del bono corporativo. En este sentido, Fitch asume un saldo mínimo de efectivo de USD5 millones.</t>
  </si>
  <si>
    <t>aNeto de costos de financiamiento diferidos. bEl dato a diciembre de 2022 es una distribución sobre excedente en valor de suscripción de acciones comunes. P – Proyección Fuente: Fitch Ratings, Fitch Solutions, PPH</t>
  </si>
  <si>
    <t>Las proyecciones presentadas se basan en el caso base proyectado y producido internamente de manera conservadora por Fitch Ratings. No representa la proyección del emisor calificado. Las proyecciones mencionadas son solamente un componente que Fitch Ratings utiliza para asignar una calificación o determinar una perspectiva de calificación, además de que la información en las mismas refleja elementos significativos, pero no exhaustivos, de los supuestos de calificación de Fitch Ratings sobre el desempeño financiero del emisor. Como tal, no puede utilizarse para determinar una calificación y no debería ser el fundamento para tal propósito. Las proyecciones se construyen usando una herramienta de proyección propia de Fitch Ratings que emplea los supuestos propios de la calificadora relacionados con el desempeño operativo y financiero, los cuales no necesariamente reflejan las proyecciones que usted haría. Las definiciones propias de Fitch Ratings de términos como EBITDA, deuda o flujo de fondos libre pueden diferir de las suyas. La agencia podría tener acceso, en determinadas ocasiones, a información confidencial sobre ciertos elementos de los planes futuros del emisor. Algunos elementos de dicha información pueden ser omitidos de esta proyección, incluso a pesar de ser incluidos en la deliberación de Fitch Ratings, si la agencia, a su discreción, considera que los datos pueden ser potencialmente sensibles desde el punto de vista comercial, legal o regulatorio. La proyección (as</t>
  </si>
  <si>
    <t>Estructura Organizacional – Panama Power Holdings, Inc. y Subsidiarias</t>
  </si>
  <si>
    <t>(USD miles – UDMAI 31 de marzo de 2023)</t>
  </si>
  <si>
    <t>* Neto de costos de financiamiento diferidos.</t>
  </si>
  <si>
    <t>Fuente: Fitch Ratings, Fitch Solutions, Panama Power Holdings, Inc. y Subsidiarias.</t>
  </si>
  <si>
    <t>## Resumen de Información Financiera de Pares</t>
  </si>
  <si>
    <t>| Compañía | Calificación | Fecha de Estados Financieros | Ingresos Brutos (USD miles) | Margen de EBITDA (%) | Margen de FGO (%) | Deuda / EBITDA (x) | EBITDA / Intereses (x) | | --- | --- | --- | --- | --- | --- | --- | --- | | Panama Power Holdings, Inc. y Subsidiarias | A-(pan) | | | | | | | | | BBB+(pan) | 2022 | 57,204 | 68.0 | 46.6 | 4.0 | 4.0 | | | BBB+(pan) | 2021 | 42,794 | 70.1 | 51.2 | 5.5 | 2.9 | | | BBB+(pan) | 2020 | 37,673 | 72.9 | 46.5 | 6.3 | 2.3 | | AES Changuinola S.R.L. | AA+(pan) | | | | | | | | | AA+(pan) | 2022 | 104,656 | 77.3 | 55.4 | 3.4 | 5.4 | | | AA-(pan) | 2021 | 106,420 | 75.9 | 63.6 | 3.7 | 4.8 | | | AA-(pan) | 2020 | 89,896 | 77.3 | 32.3 | 5.5 | 3.8 | | Electron Investment, S.A. | BBB+(pan) | | | | | | | | | BBB+(pan) | 2022 | 51,399 | 69.0 | 45.2 | 5.4 | 3.0 | | | BBB+(pan) | 2021 | 45,394 | 71.0 | 45.8 | 6.1 | 2.8 | | | BBB+(pan) | 2020 | 36,242 | 66.7 | 28.8 | 8.4 | 1.8 | | AES Panama Generation Holdings, S.R.L. | AA+(pan) | | | | | | | | | AA+(pan) | 2022 | 851,336 | 57.9 | 58.7 | 3.0 | 7.3 | | | AA+(pan) | 2021 | 634,536 | 43.1 | 34.8 | 5.5 | 3.9 | | | AA+(pan) | 2020 | 506,810 | 49.1 | 38.1 | 6.4 | 4.2 | | Empresa de Transmisión Eléctrica S.A. | AAA(pan) | | | | | | | | | AAA(pan) | 2022 | 134,112 | 75.9 | 47.2 | 7.3 | 3.1 |</t>
  </si>
  <si>
    <t>FGO – Flujo generado por las operaciones. Fuente: Fitch Ratings, Fitch Solutions, reportes de las compañías</t>
  </si>
  <si>
    <t># Información Financiera Ajustada por Fitch</t>
  </si>
  <si>
    <t>Tabla de Ajustes y Reconciliación de Indicadores Financieros Clave</t>
  </si>
  <si>
    <t xml:space="preserve">| (USD miles, al 31 de diciembre de 2022) | Notas y Fórmulas | Valores Reportados | Suma de Ajustes de Fitch | Otros Ajustes | Valores Ajustados por Fitch | | --- | --- | --- | --- | --- | --- | | Resumen de Estado de Resultados | | | | | | | Ingresos | | 57,204 | | | 57,204 | | EBITDAR | | 38,913 | (33) | (33) | 38,880 | | EBITDAR después de Distribuciones a Compañías Asociadas y Participaciones Minoritarias | (a) | 38,913 | (33) | (33) | 38,880 | | Arrendamiento Operativo | (b) | 0 | | | 0 | | EBITDA | (c) | 38,913 | (33) | (33) | 38,880 | | EBITDA después de Distribuciones a Compañías Asociadas y Participaciones Minoritarias | (d) = (a-b) | 38,913 | (33) | (33) | 38,880 | | EBIT | (e) | 27,031 | | | 27,031 | | Resumen de Deuda y Efectivo | | | | | | | Otra Deuda fuera de Balance | (f) | 0 | | | 0 | | Deuda^{a} | (g) | 157,379 | | | 157,379 | | Arrendamiento Equivalente a Deuda | (h) | 0 | | | 0 | | Deuda Ajustada por Arrendamientos | (i) = (g+h) | 157,379 | | | 157,379 | | Efectivo Disponible y Equivalentes | (j) | 10,956 | | | 10,956 | | Efectivo y Equivalentes Restringidos | | 4,235 | | | 4,235 | | Resumen del Flujo de Efectivo | | | | | | | EBITDA después de Distribuciones a Compañías Asociadas y Participaciones Minoritarias | (d) = (a-b) | 38,913 | (33) | (33) | 38,880 | | Dividendos Preferentes (Pagados) | (k) | 0 | | | 0 | | Intereses Recibidos | (l) | 141 | | | 141 | | Intereses (Pagados) | (m) | (9,776) | | | (9,776) | | Impuestos en Efectivo (Pagados) | | (2,117) </t>
  </si>
  <si>
    <t># ESTADO DE LA SOLICITUD Y PARTICIPACIÓN</t>
  </si>
  <si>
    <t>Para obtener información sobre el estado de solicitud de las calificaciones incluidas en este informe, consulte el estado de solicitud que figura en la página de resumen de la entidad correspondiente en el sitio web de Fitch Ratings.</t>
  </si>
  <si>
    <t>Para obtener información sobre el estado de participación en el proceso de calificación de un emisor incluido en este informe, consulte el comentario de acción de calificación más reciente del emisor correspondiente, disponible en el sitio web de Fitch Ratings.</t>
  </si>
  <si>
    <t># AVISO LEGAL Y DIVULGACIÓN</t>
  </si>
  <si>
    <t>Todas las calificaciones crediticias de Fitch Ratings (Fitch) están sujetas a ciertas limitaciones y estipulaciones. Por favor, lea estas limitaciones y estipulaciones en el siguiente enlace: https://www.fitchratings.com/understandingcreditratings. Además, las definiciones de calificación de Fitch para cada escala de calificación y categorías de calificación, incluidas las definiciones relacionadas con incumplimiento, están disponibles en www.fitchratings.com bajo el apartado de Definiciones de Calificación, ESMA y FCA están obligadas a publicar las tasas de incumplimiento históricas en un archivo central de acuerdo al Artículo 11(2) de la Regulación (EC) No. 1060/2009 del Parlamento Europeo y del Consejo del 16 de septiembre de 2009 y la Regulación de las Agencias de Calificación Crediticia (Enmienda, etc.) (Salida de la UE) de 2019, respectivamente. Las calificaciones públicas, criterios y metodologías están disponibles en este sitio en todo momento. El código de conducta, las políticas sobre confidencialidad, conflictos de interés, barreras para la información para con sus afiliadas, cumplimiento, y demás políticas y procedimientos de Fitch están también disponibles en la sección de Código de Conducta de este sitio. Los intereses relevantes de los directores y accionistas están disponibles en https://www.fitchratings.com/site/regulatory. Fitch puede haber proporcionado un servicio admisible o complementario a la entidad calificada o a terceros relacionados. Los detalles de</t>
  </si>
  <si>
    <t>En la asignación y el mantenimiento de sus calificaciones, así como en la realización de otros informes (incluyendo información prospectiva), Fitch se basa en información factual que recibe de los emisores y sus agentes y de otras fuentes que Fitch considera creíbles. Fitch lleva a cabo una investigación razonable de la información factual sobre la que se basa de acuerdo con sus metodologías de calificación, y obtiene verificación razonable de dicha información de fuentes independientes, en la medida de que dichas fuentes se encuentren disponibles para una emisión dada o en una determinada jurisdicción. La forma en que Fitch lleve a cabo la investigación factual y el alcance de la verificación por parte de terceros que se obtenga variará dependiendo de la naturaleza de la emisión calificada y el emisor, los requisitos y prácticas en la jurisdicción en que se ofrece y coloca la emisión y/o donde el emisor se encuentra, la disponibilidad y la naturaleza de la información pública relevante, el acceso a representantes de la administración del emisor y sus asesores, la disponibilidad de verificaciones preexistentes de terceros tales como los informes de auditoría, cartas de procedimientos acordadas, evaluaciones, informes actuariales, informes técnicos, dictámenes legales y otros informes proporcionados por terceros, la disponibilidad de fuentes de verificación independiente y competentes de terceros con respecto a la emisión en particular o en la jurisdicción del emisor, y una va</t>
  </si>
  <si>
    <t>Fitch Ratings, Inc. está registrada en la Comisión de Bolsa y Valores de Estados Unidos (en inglés, U.S. Securities and Exchange Commission) como una Organización de Calificación Estadística Reconocida a Nivel Nacional ("NRSRO"; Nationally Recognized Statistical Rating Organization). Aunque ciertas subsidiarias de calificación crediticia de la NRSRO están enlistadas en el ítem 2 del documento "Form NRSRO" y, como tales, están autorizadas para emitir calificaciones crediticias en nombre de la NRSRO (ver https://www.fitchratings.com/site/regulatory), otras subsidiarias no están enlistadas en el documento "Form NRSRO" (las "no NRSRO") y, por tanto, las calificaciones crediticias emitidas por estas subsidiarias no son emitidas en nombre de la NRSRO. Sin embargo, personal de las subsidiarias no NRSRO puede participar en la determinación de calificaciones crediticias emitidas por, o en nombre de, la NRSRO.</t>
  </si>
  <si>
    <t>Solamente para Australia, Nueva Zelanda, Taiwán y Corea del Norte: Fitch Australia Pty Ltd tiene una licencia australiana de servicios financieros (licencia no. 337123) que le autoriza a proveer calificaciones crediticias solamente a "clientes mayoristas". La información de calificaciones crediticias publicada por Fitch no tiene el fin de ser utilizada por personas que sean "clientes minoristas" según la definición de la "Corporations Act 2001".</t>
  </si>
  <si>
    <t># NOTARIA PÚBLICA PRIMERA ## Circuito Notarial de Panamá ## REPÚBLICA DE PANAMÁ</t>
  </si>
  <si>
    <t>En la ciudad de Panamá, Capital de la República y Cabecera del Circuito Notarial del mismo nombre, a los veintisiete (27) días del mes de marzo del año dos mil veinticuatro (2024), ante mí, Licenciado JORGE ELIEZER GANTES SINGH, Notario Público Primero del Circuito de Panamá, con cédula de identidad personal número Ocho-Quinientos nueve-Novecientos ochenta y cinco (8-509-985), comparecieron personalmente los señores PATRICK PETER KELLY, varón, de nacionalidad de Nueva Zelanda, mayor de edad, vecino de esta ciudad, con cédula extranjera número E-Ocho-Ciento un mil ochocientos sesenta y cinco (E-8-101865), quien manifestó que no necesita intérprete público autorizado por entender el idioma español, GUILLERMO O. CHAPMAN III, varón, panameño, mayor de edad, casado, vecino de esta ciudad, con cédula de identidad personal número Ocho- Trescientos setenta y nueve-Doscientos setenta y dos (8-379-272), y MARLENE CARDOZE MARTINELLI, mujer, panameña, mayor de edad, vecina de esta ciudad, con cédula de identidad personal número Ocho Quinientos dieciocho-Mil ciento nueve (8-518-1109), Presidente/Presidente Ejecutivo, Vicepresidente y Tesorero, y Vicepresidente de Finanzas respectivamente de PANAMA POWER HOLDINGS INC., sociedad originalmente constituida según la Ley de Panamá a Ficha quinientos sesenta y dos mil doscientos veintiuno (562221), Documento un millón ciento once mil seiscientos noventa y cinco (1111695), de la Sección de Micropelículas (Mercantil) del Registro Público y continu</t>
  </si>
  <si>
    <t>2024</t>
  </si>
  <si>
    <t>INA_PPHO_2024_0.pdf</t>
  </si>
  <si>
    <t>page-43</t>
  </si>
  <si>
    <t>Panama Power Holdings, Inc. (la “Compañía” o “PPH”) fue constituida el 4 de abril de 2007 mediante Escritura Pública No.8298 de acuerdo con las leyes de la República de Panamá y continuada, según la Ley de Sociedades Mercantiles de las Islas Vírgenes Británicas el 3 de marzo de 2011 bajo el No.1575385, según consta en Escritura Pública No.6,697 del 19 de marzo de 2010.</t>
  </si>
  <si>
    <t>La oficina principal del Grupo se encuentra ubicada en el Paseo Roberto Motta, Costa del Este, Capital Plaza, Piso 12, Ciudad de Panamá, República de Panamá.</t>
  </si>
  <si>
    <t>Las subsidiarias Generadora Pedregalito, S. A. (central “Pedregalito 1”) y Generadora Río Chico, S. A. (central “Pedregalito 2”) iniciaron la generación de energía en abril y octubre de 2011, respectivamente; la subsidiaria Generadora Alto Valle, S. A. (central “Cochea”) inició la generación de energía en octubre de 2012; la subsidiaria Hydro Caisán, S. A. (central “El Alto”) en agosto de 2014; la subsidiaria Pedregalito Solar Power, S. A. inició la generación de energía en noviembre 2023, mediante la entrada al Sistema Interconectado Nacional. Todas las subsidiarias se encuentran constituidas bajo las leyes de la República de Panamá. La principal actividad de las otras subsidiarias es brindar soporte a las operaciones del Grupo.</t>
  </si>
  <si>
    <t>Los estados financieros consolidados de Panama Power Holdings, Inc. y Subsidiarias fueron aprobados para su emisión por el Presidente del Grupo el 31 de marzo de 2025. El Presidente del Grupo tiene la autoridad de modificación y remisión de los estados financieros consolidados después de aprobados.</t>
  </si>
  <si>
    <t>2. Políticas Contables Materiales</t>
  </si>
  <si>
    <t>Las políticas contables materiales aplicadas en la preparación de los estados financieros consolidados se presentan a continuación. Estas políticas de contabilidad fueron utilizadas consistentemente con el período anterior, a menos que se indique lo contrario.</t>
  </si>
  <si>
    <t>La preparación de los estados financieros consolidados de conformidad con las Normas de Contabilidad NIIF requiere de juicios profesionales por parte de la Alta Gerencia y estimaciones de contabilidad críticas. También requiere que la Administración use su juicio en el proceso de aplicación de las políticas de contabilidad del Grupo. Las estimaciones contables críticas y juicios en la aplicación de las políticas contables se revelan en la Nota 3.</t>
  </si>
  <si>
    <t>## Nuevas Enmiendas Adoptadas por el Grupo</t>
  </si>
  <si>
    <t>El Grupo ha aplicado las siguientes enmiendas por primera vez para su periodo de reporte anual que comienza el 1 de enero de 2024:</t>
  </si>
  <si>
    <t>a) Clasificación de pasivos como circulantes o no circulantes y pasivos no circulantes con covenants Modificaciones a la NIC 1.</t>
  </si>
  <si>
    <t>2. Políticas Contables Materiales (Continuación)</t>
  </si>
  <si>
    <t>## Nuevas Enmiendas Adoptadas por el Grupo (continuación)</t>
  </si>
  <si>
    <t>b) Pasivo por arrendamiento en una venta con arrendamiento posterior - Modificaciones a la NIIF 16</t>
  </si>
  <si>
    <t>c) Acuerdos de financiamiento con proveedores - Modificaciones a la NIC 7 y la NIIF 7: Como resultado de la adopción de las modificaciones a la NIC 7 y la NIIF 7, el Grupo debe incluir nuevas revelaciones para pasivos bajo acuerdos de financiamiento con proveedores.</t>
  </si>
  <si>
    <t>Las enmiendas indicadas anteriormente no tuvieron ningún impacto en los montos reconocidos en períodos anteriores y no se espera que afecten significativamente el período actual o futuros.</t>
  </si>
  <si>
    <t>No hay otras nuevas normas o modificaciones o interpretaciones que estén vigentes en el período 2024 que causen un efecto material en el Grupo en el período actual y períodos futuros.</t>
  </si>
  <si>
    <t>Se han publicado ciertas nuevas normas contables y modificaciones a las normas contables que no son obligatorias para los períodos de presentación de informes del 31 de diciembre de 2024 y que no han sido adoptadas anticipadamente por el Grupo. La evaluación del Grupo del impacto de estas nuevas normas y modificaciones se establece a continuación:</t>
  </si>
  <si>
    <t>a) Modificaciones a la NIC 21 - Falta de convertibilidad: En agosto de 2023, el IASB modificó la NIC 21 para ayudar a las entidades a determinar si una moneda es intercambiable por otra moneda y qué tipo de cambio al contado utilizar cuando no lo sea.</t>
  </si>
  <si>
    <t>b) Modificaciones a la Clasificación y Medición de Instrumentos Financieros - Modificaciones a la NIIF 9 y la NIIF 7: El 30 de mayo de 2024, el IASB emitió modificaciones específicas a la NIIF 9 y la NIIF 7 para responder a las preguntas recientes que surgieron en la práctica, y para incluir nuevos requisitos no solo para las instituciones financieras sino también para las entidades corporativas. Estas modificaciones:</t>
  </si>
  <si>
    <t>- aclaran la fecha de reconocimiento y baja de algunos activos y pasivos financieros, con una nueva excepción para algunos pasivos financieros liquidados a través de un sistema de transferencia electrónica de efectivo; - aclaran y agregan más orientación para evaluar si un activo financiero cumple con el criterio de solamente pagos de principal e intereses (SPPI);</t>
  </si>
  <si>
    <t>## Pronunciamientos Contables Emitidos y Aplicables en Períodos Futuros (Continuación)</t>
  </si>
  <si>
    <t>- agregan nuevas revelaciones para ciertos instrumentos con términos contractuales que pueden cambiar los flujos de efectivo (como algunos instrumentos financieros con características vinculadas al logro de objetivos ambientales, sociales y de gobernanza); y - actualizan las revelaciones para instrumentos de patrimonio designados a valor razonable con cambios en utilidad integral (VRCUI).</t>
  </si>
  <si>
    <t>c) NIIF 18 Presentación y revelación en estados financieros – La NIIF 18 reemplazará a la NIC 1 Presentación de estados financieros, introduciendo nuevos requisitos que ayudarán a lograr la comparabilidad del desempeño financiero de entidades similares y brindarán información más relevante y transparencia a los usuarios. Si bien la NIIF 18 no afectará el reconocimiento o la medición de partidas en los estados financieros, se espera que sus impactos en la presentación y revelación sean generalizados, en particular aquellos relacionados con el estado de resultados y la inclusión de medidas de desempeño definidas por la administración dentro de los estados financieros.</t>
  </si>
  <si>
    <t>La Administración está evaluando actualmente las implicaciones detalladas de la aplicación de la nueva norma en los estados financieros consolidados del Grupo Compañía. A partir de la evaluación preliminar de alto nivel realizada, se han identificado los siguientes impactos potenciales:</t>
  </si>
  <si>
    <t>- Aunque la adopción de la NIIF 18 no tendrá impacto en la utilidad neta del Grupo, se espera que la agrupación de partidas de ingresos y gastos en el estado de resultados en las nuevas categorías afecte la forma en que se calcula y se informa la utilidad de operación. De la evaluación de impacto de alto nivel que ha realizado el Grupo, los siguientes elementos podrían afectar potencialmente la utilidad de operación:</t>
  </si>
  <si>
    <t>- Las diferencias de cambio de moneda extranjera que actualmente se agregan en la partida 'otros ingresos y otras ganancias/(pérdidas) - neto' en la utilidad de operación podrían tener que desagregarse, con algunas ganancias o pérdidas de cambio de moneda extranjera presentadas debajo de la utilidad de operación.</t>
  </si>
  <si>
    <t>- La NIIF 18 tiene requisitos específicos sobre la categoría en la que se reconocen las ganancias o pérdidas de derivados, que es la misma categoría que los ingresos y gastos afectados por el riesgo que se está gestionando con el derivado. Aunque el Grupo actualmente reconoce algunas ganancias o pérdidas en la utilidad de operación y otras en los costos financieros, podría haber un cambio en el lugar donde se reconocen estas ganancias o pérdidas, y el Grupo actualmente está evaluando la necesidad de un cambio.</t>
  </si>
  <si>
    <t>- Las partidas presentadas en los estados financieros primarios podrían cambiar como resultado de la aplicación del concepto de 'resumen estructurado útil' y los principios mejorados sobre agregación y desagregación. Además, dado que se requerirá que el crédito mercantil se presente por separado en el estado de situación financiera, el Grupo desagregará el crédito mercantil y otros activos intangibles y los presentará por separado en el estado de situación financiera.</t>
  </si>
  <si>
    <t>- El Grupo no espera que haya un cambio significativo en la información que actualmente se revela en las notas porque el requisito de revelar información material permanece sin cambios; sin embargo, la forma en que se agrupa la información podría cambiar como resultado de los principios de agregación/desagregación. Además, habrá nuevas revelaciones significativas requeridas para:</t>
  </si>
  <si>
    <t>- medidas de desempeño definidas por la administración; - un desglose de la naturaleza de los gastos para las partidas presentadas por función en la categoría operativa del estado de resultados: este desglose solo se requiere para ciertas naturalezas de gastos; y - para el primer período anual de aplicación de la NIIF 18, una conciliación de cada partida del estado de resultados entre los montos reexpresados presentados aplicando la NIIF 18 y los montos presentados previamente aplicando la NIC 1.</t>
  </si>
  <si>
    <t>- Desde la perspectiva del estado de flujos de efectivo, habrá cambios en la forma en que se presentan los intereses pagados. Los intereses pagados se presentarán como flujos de efectivo de financiamiento, lo que supone un cambio respecto de la presentación actual como parte de los flujos de efectivo de operación.</t>
  </si>
  <si>
    <t>No hay otras nuevas normas o modificaciones que hayan sido publicadas y que no son mandatorias para el período 2024 que causen un efecto material en los estados financieros del Grupo en el período actual y períodos futuros.</t>
  </si>
  <si>
    <t>-15-</t>
  </si>
  <si>
    <t>Las subsidiarias son todas las entidades (incluidas las entidades estructuradas) sobre las que el Grupo tiene control. El Grupo controla una entidad cuando el Grupo está expuesto a, o tiene los derechos a los rendimientos variables a partir de participación en la entidad y tiene la capacidad de afectar dichos rendimientos a través de su poder sobre la entidad. Las subsidiarias son consolidadas desde la fecha en que se transfiere el control al Grupo, y se desconsolidan desde la fecha en que cesa el control.</t>
  </si>
  <si>
    <t>-16-</t>
  </si>
  <si>
    <t>Las transacciones con participaciones no controladoras que no resultan en una pérdida de control se contabilizan como transacciones de patrimonio; es decir, como transacciones con los propietarios en su condición como tales. La diferencia entre el valor razonable de cualquier contraprestación pagada y la correspondiente proporción del valor en libros de los activos netos de la subsidiaria se registra en el patrimonio. Las ganancias o pérdidas por disposición de participaciones no controladoras también se registran en el patrimonio.</t>
  </si>
  <si>
    <t>El Grupo clasifica sus activos financieros en las siguientes categorías: a costo amortizado, a valor razonable con cambios en otros resultados integrales y a valor razonable con cambios en resultados. La clasificación depende del modelo de negocio del Grupo para la administración de los instrumentos financieros y de los términos contractuales de los flujos de efectivo.</t>
  </si>
  <si>
    <t>### Reconocimiento Inicial</t>
  </si>
  <si>
    <t>-17-</t>
  </si>
  <si>
    <t>2. Resumen de las Políticas Contables Materiales (Continuación)</t>
  </si>
  <si>
    <t>### Reconocimiento Inicial (continuación)</t>
  </si>
  <si>
    <t>Al momento del reconocimiento inicial, los activos financieros se miden a su valor razonable más, en el caso de un activo financiero que no sea a valor razonable con cambios en resultados, costos de transacción directamente atribuibles a la adquisición del activo financiero. Los costos de transacción de activos financieros a valor razonable con cambios en resultados se registran en resultados.</t>
  </si>
  <si>
    <t>Los activos que se mantienen para el cobro de flujos de efectivo contractuales cuando dichos flujos de efectivo representan solamente pagos de principal e intereses se miden a costo amortizado. Los ingresos recibidos de estos activos financieros se incluyen en los ingresos financieros utilizando el método de tasa de interés efectiva.</t>
  </si>
  <si>
    <t>Se clasifican como activos circulantes, a menos que tengan fechas de vencimiento superiores a 12 meses desde la fecha del estado consolidado de situación financiera, en cuyo caso son clasificados como activos no circulantes.</t>
  </si>
  <si>
    <t>Al 31 de diciembre de 2024 y 2023, los activos financieros incluidos en esta categoría corresponden al efectivo, activo financiero restringido y las cuentas por cobrar.</t>
  </si>
  <si>
    <t>Para propósitos del estado consolidado de flujos de efectivo, el Grupo considera como efectivo, el efectivo y los depósitos a la vista en instituciones financieras.</t>
  </si>
  <si>
    <t>El Grupo mantiene las cuentas por cobrar comerciales con el objetivo de cobrar los flujos de efectivo contractuales y, por lo tanto, las mide posteriormente al costo amortizado utilizando el método de interés efectivo, menos cualquier estimación por deterioro.</t>
  </si>
  <si>
    <t>-18-</t>
  </si>
  <si>
    <t>Los inventarios, que consisten en repuestos y suministros, son presentados al costo (valor de adquisición) o valor neto de realización, el que sea menor. El costo de inventarios de los repuestos y suministros se determina utilizando el método de primera entrada primera salida (the first-in, first-out, FIFO, por sus siglas en inglés). Cada año, el Grupo evalúa la necesidad de registrar cualquier ajuste para deterioro u obsolescencia de inventario.</t>
  </si>
  <si>
    <t>-19-</t>
  </si>
  <si>
    <t>La propiedad, planta y equipo están valorados al costo de adquisición menos depreciación acumulada y cualquier ajuste por deterioro. Las erogaciones son capitalizadas solamente cuando aumentan los beneficios económicos del activo. Todas las demás erogaciones se reconocen en el estado consolidado de resultado integral en la medida que se incurren.</t>
  </si>
  <si>
    <t>El terreno no se deprecia. La depreciación se determina utilizando el método de línea recta, sobre la base de la vida útil estimada de los activos respectivos. La vida útil estimada de los activos es como se sigue:</t>
  </si>
  <si>
    <t>Las ganancias o pérdidas en disposiciones son determinadas comparando el producto con el valor en libros del activo y son reconocidas en el estado consolidado de resultado integral.</t>
  </si>
  <si>
    <t>El Grupo, como arrendatario, reconoce activos por derechos de uso a valor presente y pasivos por las obligaciones de pago para todos los arrendamientos en el estado consolidado de situación financiera.</t>
  </si>
  <si>
    <t>Los pasivos por arrendamientos incluyen los siguientes pagos de arrendamiento:</t>
  </si>
  <si>
    <t>Los pagos por arrendamientos se descuentan a la tasa de interés implícita subyacente al arrendamiento en la medida en que esto pueda determinarse. De lo contrario, el descuento es a la tasa de endeudamiento incremental.</t>
  </si>
  <si>
    <t>Los activos por derechos de uso se miden al costo, que comprende lo siguiente:</t>
  </si>
  <si>
    <t>- el importe de la medición inicial del pasivo por arrendamiento, - cualquier pago de arrendamiento realizado en o antes de la fecha de inicio menos cualquier incentivo de arrendamiento recibido, - cualquier costo directo inicial, y - los costos de restauración.</t>
  </si>
  <si>
    <t>-21-</t>
  </si>
  <si>
    <t>Se reconocen las provisiones cuando el Grupo tiene una obligación presente (legal o constructiva) como resultado de un evento pasado, si es probable que una salida de los recursos que incorporan beneficios económicos será requerida para cancelar la obligación y una estimación confiable se pueden realizar del monto de la obligación. Cuando el Grupo espera que algunas o todas las provisiones sean reembolsadas, por ejemplo, bajo un contrato de seguro, el reembolso es reconocido como un activo separado, pero sólo cuando el reembolso sea virtualmente seguro. El gasto relacionado con cualquier provisión es presentado en el estado consolidado de resultado integral neto de cualquier reembolso.</t>
  </si>
  <si>
    <t>Los bonos emitidos son el resultado de los recursos que el Grupo recibe y son medidos inicialmente al valor razonable neto de los costos de transacción. Posteriormente, se miden al costo amortizado, utilizando el método de interés efectivo.</t>
  </si>
  <si>
    <t>### Estimación de Deterioro de la Plusvalía</t>
  </si>
  <si>
    <t>Las actividades del Grupo están expuestas a una variedad de riesgos financieros: riesgo de crédito, riesgo de mercado (incluyendo riesgo de tasa de interés), y riesgo de liquidez. El programa global de administración de riesgo se enfoca en la falta de previsibilidad de los mercados financieros y trata de minimizar los efectos adversos potenciales en el desempeño financiero del Grupo. Las decisiones que implican mayor exposición de riesgo y que son significativas son aprobadas por la Junta Directiva.</t>
  </si>
  <si>
    <t>El Grupo tiene políticas que aseguran que las cuentas por cobrar se limiten al importe de crédito y las cuentas por cobrar son monitoreadas periódicamente. Estos factores entre otros dan por resultado que la exposición del Grupo a cuentas incobrables no es significativa. El riesgo de crédito surge de las cuentas bancarias y las cuentas por cobrar.</t>
  </si>
  <si>
    <t>En cuanto a las cuentas bancarias, el Grupo mantiene una concentración de sus depósitos con Banco General, S. A., el cual cuenta con una clasificación de riesgo internacional de “BBB” según la agencia calificadora de riesgo Standard &amp;amp; Poor’s y de “BBB-”, según la agencia calificadora de riesgo Fitch Ratings.</t>
  </si>
  <si>
    <t>En relación a las cuentas por cobrar, el Grupo tiene una concentración de sus ventas y cuentas por cobrar con las dos compañías de distribución de electricidad que operan en la República de Panamá. Las ventas realizadas a estos clientes representan aproximadamente 71% (2023: 82%) del total de los ingresos y 71% (2023: 80%) del total de las cuentas por cobrar al cierre del período. Esta concentración del riesgo es mitigada por el hecho de que la demanda de energía eléctrica en Panamá sigue creciendo sostenidamente y que el mercado de energía está muy bien estructurado y regulado por las autoridades gubernamentales. Para cada transacción de venta se requiere una garantía y el término de pago de facturas originadas en el mercado eléctrico de Panamá se promedia en un rango de 30 a 45 días a partir de la fecha de presentación de la factura. La garantía es una carta de crédito pagadera al cobro contra cualquier evento de incumplimiento por morosidad o pago incobrable. No se ha tenido ningún evento de incumplimiento por facturas no pagadas al 31 de diciembre de 2024.</t>
  </si>
  <si>
    <t>El riesgo de tasas de interés se origina principalmente por los bonos por pagar a largo plazo.</t>
  </si>
  <si>
    <t>El riesgo de liquidez es el riesgo de que el Grupo no sea capaz de cumplir con sus obligaciones. Para administrar el riesgo de liquidez, cuenta con suficiente efectivo en caja y bancos o con equivalentes de fácil realización.</t>
  </si>
  <si>
    <t>| | Menos de un Año | Entre 1 y 5 Años | Más de 5 Años | | --- | --- | --- | --- | | 2024 | | | | | Préstamos por pagar | 67,845 | 2,679,481 | - | | Bonos por pagar | 8,791,215 | 63,446,898 | 99,503,745 | | Intereses de bonos por pagar | 22,920 | - | - | | Cuentas por pagar | 614,193 | - | - | | Impuesto sobre la renta por pagar | 1,883,666 | - | - | | Otros pasivos | 1,101,389 | 261,536 | - | | 2023 | | | | | Préstamos por pagar | 418,472 | - | 3,503,256 | | Bonos por pagar | 12,541,215 | 77,562,518 | 104,723,964 | | Intereses de bonos por pagar | 2,297,125 | - | - | | Cuentas por pagar | 1,515,059 | - | - | | Impuesto sobre la renta por pagar | 30,637 | - | - | | Otros pasivos | 1,223,799 | 242,828 | - |</t>
  </si>
  <si>
    <t>El Grupo monitorea su capital sobre la base de razón de apalancamiento. El apalancamiento es el resultado de dividir la deuda neta entre el total del capital. La deuda neta se calcula como el total de bonos y préstamos por pagar que se muestran en el estado consolidado de situación financiera menos el efectivo. El total del capital está determinado como el total del patrimonio, más la deuda neta.</t>
  </si>
  <si>
    <t>Objetivos y Políticas de Gestión de Capital (continuación)</t>
  </si>
  <si>
    <t>| | 2024 | 2023 | | --- | --- | --- | | Total de bonos y préstamos por pagar (Nota 15 y 16) | 142,997,326 | 156,921,728 | | Menos: Efectivo | (9,494,389) | (10,299,859) | | Activo financiero restringido | (4,197,349) | (4,033,700) | | Deuda neta | 129,305,588 | 142,588,169 | | Total de patrimonio | 155,342,892 | 154,149,366 | | Total de capital | 284,648,480 | 296,737,535 | | Razón de apalancamiento | 45% | 48% |</t>
  </si>
  <si>
    <t>El Grupo no mantiene activos y pasivos registrados a valor razonable en el estado consolidado de situación financiera. Para los instrumentos financieros que no están registrados a su valor razonable en el estado consolidado de situación financiera, su valor en libros se aproxima a su valor razonable, debido a su naturaleza de corto plazo y bajo riesgo de créditos (en los casos de activos). Estos instrumentos financieros incluyen: el efectivo en plazo, cuentas por cobrar, cuentas por pagar, obligaciones financieras de corto y cuentas con compañías relacionadas. Para los instrumentos financieros a largo plazo, el valor razonable se divulga en la Nota 15.</t>
  </si>
  <si>
    <t>| | 2024 | 2023 | | --- | --- | --- | | Caja menuda | 2,038 | 763 | | Banco General, S. A. | 8,759,049 | 9,569,967 | | MMG Bank &amp; Trust Ltd. | 717,353 | 704,537 | | BAC Credomatic | 15,949 | 24,592 | | | 9,494,389 | 10,299,859 |</t>
  </si>
  <si>
    <t>| | 2024 | 2023 | | --- | --- | --- | | Edemet-Edechi | 4,761,415 | 6,315,200 | | Elektra Noreste, S. A. | 2,207,186 | 1,973,238 | | Otros | 3,049,767 | 2,226,436 | | | 10,018,368 | 10,514,874 |</t>
  </si>
  <si>
    <t>Todas las cuentas por cobrar deben ser cobradas en los próximos dos meses. Al 31 de diciembre de 2024, no había cuentas por cobrar vencidas y deterioradas, por lo cual no se ha reconocido una provisión para cuentas incobrables.</t>
  </si>
  <si>
    <t>| | 2024 | 2023 | | --- | --- | --- | | Seguros | 237,464 | 300,406 | | Otros | 123,117 | 115,057 | | Impuesto sobre la renta | 115,104 | 985,002 | | | 475,685 | 1,400,465 |</t>
  </si>
  <si>
    <t xml:space="preserve">| | Terreno | Mobiliario y equipo | Vehículos | Planta y equipo | Construcción en proceso | Edificio | Mejoras | Total | | --- | --- | --- | --- | --- | --- | --- | --- | --- | | Saldo neto al 31 de diciembre de 2022 | 13,271,214 | 120,596 | 81,603 | 264,714,636 | 1,943,750 | 73,091 | 20,130 | 280,225,020 | | Adiciones | - | 46,449 | (1) | 8,177,986 | 1,641,753 | - | 2 | 9,866,189 | | Depreciación | - | (38,915) | (22,734) | (11,878,218) | - | (2,524) | (5,683) | (11,948,074) | | Saldo neto al 31 de diciembre de 2023 | 13,271,214 | 128,130 | 58,868 | 261,014,404 | 3,585,503 | 70,567 | 14,449 | 278,143,135 | | Adiciones | - | 58,004 | 63,685 | 3,860,041 | (3,585,503) | - | 6,892 | 402,919 | | Depreciación | - | (50,593) | (30,318) | (12,314,078) | - | (2,524) | (3,655) | (12,401,168) | | Saldo neto al 31 de diciembre de 2024 | 13,271,214 | 135,541 | 92,235 | 252,560,367 | - | 68,043 | 17,486 | 266,144,886 | | 2024 | | | | | | | | | | Costo | 13,271,214 | 710,066 | 598,726 | 388,296,094 | - | 99,240 | 147,794 | 403,123,134 | | Depreciación acumulada | - | (574,525) | (506,491) | (135,735,727) | - | (31,197) | (130,308) | (136,978,248) | | Saldo neto al 31 de diciembre de 2024 | 13,271,214 | 135,541 | 92,235 | 252,560,367 | - | 68,043 | 17,486 | 266,144,886 | | 2023 | | | | | | | | | | Costo | 13,271,214 | 652,063 | 535,042 | 384,436,054 | 3,585,503 | 99,240 | 141,102 | 402,720,218 | | Depreciación acumulada | - | (523,933) | (476,174) | (123,421,650) | - | (28,673) | (126,653) </t>
  </si>
  <si>
    <t>Al 31 de diciembre de 2024 y 2023, la propiedad, planta y equipo se encuentra en garantía de los bonos por pagar (Véase Nota 15).</t>
  </si>
  <si>
    <t>La subsidiaria Hydro Caisán, S. A. completó sustancialmente la instalación de una mini central a pie de presa con una capacidad instalada de 0.98MW y un costo al 31 de diciembre de 2024 de B/.3,638,005. El 5 de marzo de 2024, el Centro Nacional de Despacho (CND) otorgó el certificado de operación comercial al proyecto Mini Central El Alto.</t>
  </si>
  <si>
    <t>| | 2024 | 2023 | | --- | --- | --- | | Adelanto en compras de terreno | 224,028 | 224,028 | | Fondo de cesantía | 273,086 | 255,457 | | Adelanto a proveedores y contratistas | 223,818 | 179,218 | | Intereses por cobrar de efectivo restringido | 61,939 | 61,939 | | Depósito de garantía | 7,138 | 6,638 | | Otros | 37,510 | 26,054 | | | 827,543 | 753,334 | | Menos: Porción circulante | 551,482 | 510,364 | | Porción no circulante | 276,061 | 242,970 |</t>
  </si>
  <si>
    <t>El monto estimado a reclamar excedió la suma de B/.500,000, razón por la cual, de conformidad con lo establecido en la referida sección II. A. 9.1. del prospecto de bonos corporativos, Hydro Caisán, S. A. procedió con un comunicado formal de notificación al Agente de Pago, al Fiduciario y a los Tenedores de los bonos corporativos de la ocurrencia de este evento.</t>
  </si>
  <si>
    <t>Al 31 de diciembre de 2023, Hydro Caisán, S.A. había incurrido en gastos totales por B/.2,071,177 correspondientes a reparaciones asociadas a este siniestro, de los cuales le fueron reembolsados por parte de la aseguradora la suma de B/.1,971,177. La diferencia corresponde al monto del deducible por B/.100,000, el cual fue reconocido como gasto durante el 2020. Con fecha 19 de octubre de 2023, la aseguradora realizó el pago final correspondiente al saldo de las reparaciones asociadas a este siniestro por la suma de B/.253,551, con lo cual el reclamo fue cerrado.</t>
  </si>
  <si>
    <t>El activo financiero restringido corresponde a Hydro Caisán, S. A. por B/.4,197,349 (2023: B/.4,033,700).</t>
  </si>
  <si>
    <t>Al 31 de diciembre de 2024, el saldo de los bonos corporativos emitidos por el Grupo totalizaba B/.140,250,000 (2023: B/.153,000,000) (véase Nota 15).</t>
  </si>
  <si>
    <t>La plusvalía se detalla a continuación:</t>
  </si>
  <si>
    <t>| | 2024 | 2023 | | --- | --- | --- | | Pedregalito 1 y 2 | 723,071 | 723,071 | | Cochea | 739,506 | 739,506 | | El Alto | 5,571,173 | 5,571,173 | | | 7,033,750 | 7,033,750 |</t>
  </si>
  <si>
    <t>- Se utilizaron los resultados reales de funcionamiento del 2024 y el plan de negocio para el 2024 para proyectar los flujos futuros de efectivo. Los flujos futuros de efectivo fueron proyectados utilizando tasas de crecimiento promedio basadas en los supuestos a largo plazo de las tasas de crecimiento, proyección de hidrología anual, precio de potencia y energía contratados y precio proyectados de mercado ocasional. El período de pronóstico se basa en la perspectiva a largo plazo del Grupo que se determinó en 10 años.</t>
  </si>
  <si>
    <t>- La tasa de descuento del 10.13% (2023: 9.92%) se calculó sobre la base del costo promedio ponderado del capital (WACC, por sus siglas en inglés) para el Grupo.</t>
  </si>
  <si>
    <t>12. Activos Intangibles, Neto</t>
  </si>
  <si>
    <t>El movimiento y saldo de los activos intangibles representado por servidumbres se presentan a continuación:</t>
  </si>
  <si>
    <t>| | 2024 | 2023 | | --- | --- | --- | | Saldo neto al inicio del año | 512,733 | 525,826 | | Amortización del año | (13,093) | (13,093) | | Saldo neto al final del año | 499,640 | 512,733 | | Valor neto en libros | | | | Costo | 717,616 | 717,616 | | Amortización acumulada | (217,976) | (204,883) | | Saldo neto | 499,640 | 512,733 |</t>
  </si>
  <si>
    <t>13. Activos por Derechos de Uso</t>
  </si>
  <si>
    <t>13. Activos por Derechos de Uso (Continuación)</t>
  </si>
  <si>
    <t>El movimiento de los activos por derechos de uso se presenta a continuación:</t>
  </si>
  <si>
    <t>| | 2024 | 2023 | | --- | --- | --- | | Saldo neto al inicio del año | 69,290 | 101,898 | | Depreciación del año | (32,608) | (32,608) | | Saldo neto al final del año | 36,682 | 69,290 |</t>
  </si>
  <si>
    <t>El Grupo mantiene activos por derechos de uso y pasivos por arrendamientos que se presentan a continuación:</t>
  </si>
  <si>
    <t>| | 2024 | 2023 | | --- | --- | --- | | Activos por derecho de uso | | | | Costo | 314,345 | 314,345 | | Adenda al contrato | (64,530) | (64,530) | | Depreciación acumulada | (213,133) | (180,525) | | Valor neto | 36,682 | 69,290 | | Pasivos por arrendamientos | | | | Circulante | 32,604 | 32,604 | | No circulante | 4,078 | 36,686 | | | 36,682 | 69,290 |</t>
  </si>
  <si>
    <t>| | 2024 | 2023 | | --- | --- | --- | | Menos de un año | 36,000 | 36,000 | | Más de 1 año y menos de 5 años | 95,872 | 95,872 | | Total de pagos mínimos bajo arrendamiento | 131,872 | 131,872 | | Menos: Tasa de descuento | (95,190) | (62,582) | | Valor presente de los pagos mínimos | 36,682 | 69,290 | | Menos porción circulante | (32,604) | (32,604) | | Obligación de arrendamiento financiero | | | | largo plazo | 4,078 | 36,686 |</t>
  </si>
  <si>
    <t>14. Cuentas por Pagar</t>
  </si>
  <si>
    <t>| | 2024 | 2023 | | --- | --- | --- | | Agentes del mercado y otros proveedores | 607,649 | 1,393,648 | | Contratistas | - | 119,310 | | Intereses de préstamos | 6,544 | 2,101 | | | 614,193 | 1,515,059 |</t>
  </si>
  <si>
    <t>15. Bonos por Pagar</t>
  </si>
  <si>
    <t>| | 2024 | 2023 | | --- | --- | --- | | Hydro Caisán, S. A. | | | | Bonos corporativos con vencimiento el 5 de octubre de 2030 | 140,250,000 | 153,000,000 | | Costos de financiamiento diferidos, neto | (1,216,713) | (1,425,499) | | | 139,033,287 | 151,574,501 | | Porción circulante | 8,791,215 | 12,541,215 | | Porción no circulante | 130,242,072 | 139,033,286 |</t>
  </si>
  <si>
    <t>| | 2024 | 2023 | | --- | --- | --- | | Saldo al inicio del año | 1,1425,499 | 1,634,285 | | Amortización del año | (208,786) | (208,786) | | Saldo neto al final del año | 1,216,713 | 1,425,499 |</t>
  </si>
  <si>
    <t>Los intereses de los bonos por pagar ascendían a B/.22,920 (2023: B/.2,297,125).</t>
  </si>
  <si>
    <t>15. Bonos por Pagar (Continuación)</t>
  </si>
  <si>
    <t>| | 2024 | 2023 | | --- | --- | --- | | A un año | 9,000,000 | 12,750,000 | | Entre 2 y 5 años | 36,000,000 | 32,250,000 | | Más de 5 años | 95,250,000 | 108,000,000 | | | 140,250,000 | 153,000,000 |</t>
  </si>
  <si>
    <t>Dicha emisión fue aprobada por la Superintendencia de Mercado de Valores de Panamá, mediante Resolución No. SMV-421-20 de 21 de septiembre de 2020.</t>
  </si>
  <si>
    <t>## Bonos Corporativos (continuación)</t>
  </si>
  <si>
    <t>Los bonos fueron emitidos en su totalidad a través de la Bolsa Latinoamericana de Valores, S. A. y 100% suscritos por un sindicato de bancos liderado por Banco General, S. A., quien también actúa como agente de pago, registro y transferencia de la emisión.</t>
  </si>
  <si>
    <t>La totalidad de los términos y condiciones de los Bonos se encuentran en la página web de la Superintendencia del Mercado de Valores de Panamá, Bolsa Latinoamericana de Valores, S. A. y página web de la Compañía (www.panamapower.net).</t>
  </si>
  <si>
    <t>El valor razonable de la deuda al 31 de diciembre de 2024 es de B/.110,119,162 (2023: B/.119,596,160), determinado en base de flujos descontados de caja utilizando una tasa del 10.833% (2023: 9.876%) y está incluido en el Nivel 3 de la jerarquía del valor razonable.</t>
  </si>
  <si>
    <t>16. Préstamos por Pagar</t>
  </si>
  <si>
    <t>Los préstamos por pagar se detallan a continuación:</t>
  </si>
  <si>
    <t>| | 2024 | 2023 | | --- | --- | --- | | Banco General, S.A. | 2,747,326 | 3,186,578 | | Bac International Bank | - | 735,150 | | | 2,747,326 | 3,921,728 |</t>
  </si>
  <si>
    <t>| | 2024 | 2023 | | --- | --- | --- | | A 1 año | 67,845 | 418,472 | | Más de 1 año | 2,679,481 | 3,503,256 | | | 2,747,326 | 3,921,728 |</t>
  </si>
  <si>
    <t>16. Préstamos por Pagar (Continuación)</t>
  </si>
  <si>
    <t>Con fecha 11 de mayo de 2023, la subsidiaria Pedregalito Solar Power, S. A., suscribió un Contrato de Línea de Crédito No Rotativa con Bac International Bank, Inc. por la suma de hasta B/.6,000,000 para el financiamiento de la planta solar. La facilidad contaba con fianza solidaria de Panama Power Holdings, Inc. La subsidiaria inició el repago de esta facilidad a partir de marzo con amortizaciones fijas trimestrales. Con fecha 30 de diciembre 2024, la subsidiaria canceló la totalidad del saldo adeudado a esta facilidad.</t>
  </si>
  <si>
    <t>17. Otros Pasivos</t>
  </si>
  <si>
    <t>| | 2024 | 2023 | | --- | --- | --- | | Obras comunitarias | 472,560 | 447,487 | | Reservas laborales | 626,807 | 709,667 | | Titulaciones en trámite | 147,902 | 157,903 | | Pasivos laborales | 50,916 | 83,728 | | Otros | 64,740 | 67,842 | | | 1,362,925 | 1,466,627 | | Menos: Porción circulante | 1,101,389 | 1,223,799 | | Porción no circulante | 261,536 | 242,828 |</t>
  </si>
  <si>
    <t>18. Acciones de Capital</t>
  </si>
  <si>
    <t>El número total de acciones comunes autorizadas es de 26,250,000 acciones con valor nominal de B/.1 cada una. Al 31 de diciembre de 2024, la Compañía tenía emitidas y en circulación un total de 16,575,011 (2023: 16,575,011) acciones comunes con un valor nominal de B/.1.</t>
  </si>
  <si>
    <t>Las acciones comunes han sido registradas en el mercado secundario de la Bolsa Latinoamericana de Valores, S. A. en noviembre de 2011.</t>
  </si>
  <si>
    <t>18. Acciones de Capital (Continuación)</t>
  </si>
  <si>
    <t>| | 2024 | 2023 | | --- | --- | --- | | Valor de suscripción de acciones comunes | 142,765,197 | 150,223,952 | | Devolución parcial del excedente en valor de suscripción de acciones comunes | (8,287,505) | (7,458,755) | | Costos directos de emisión de acciones comunes | (23,988) | (23,988) | | Valor nominal de acciones comunes emitidas | (16,575,011) | (16,575,011) | | Excedente en valor de suscripción de acciones comunes | 117,878,693 | 126,166,198 |</t>
  </si>
  <si>
    <t>Panama Power Holdings, Inc. aprobó una distribución a sus accionistas comunes por el monto de B/.8,287,505 (2023: B/.7,458,755) equivalente a B/.0.50 (2023: B/.0.45) por acción común, la cual fue pagada el 23 de diciembre de 2024. Esta distribución se realizó mediante devolución parcial del excedente en valor de suscripción de acciones comunes.</t>
  </si>
  <si>
    <t>El número total de acciones preferidas autorizadas es de 3,750,000 acciones sin valor nominal. Al 31 de diciembre de 2024, la Compañía había emitido 3,597,000 (2023: 3,597,000) acciones preferidas.</t>
  </si>
  <si>
    <t>19. Ingresos</t>
  </si>
  <si>
    <t>| | 2024 | 2023 | | --- | --- | --- | | Ingresos por contratos con clientes | | | | Venta de energía - contratada | 26,320,917 | 26,401,729 | | Venta de capacidad - contratada | 11,084,284 | 10,864,826 | | | 37,405,201 | 37,266,555 | | Ingresos por mercado ocasional | | | | Venta de capacidad - mercado ocasional | 30,024 | 4,539 | | Venta de energía - mercado ocasional | 15,921,002 | 14,658,476 | | Servicios auxiliares y otros | 2,000,270 | 1,257,798 | | | 17,951,296 | 15,920,813 | | Total de ingresos por venta de energía | 55,356,497 | 53,187,368 | | Ingresos por crédito fiscal y otros | | | | Ingresos por crédito fiscal | 600,000 | 1,630,512 | | Otros ingresos | 42,966 | 539,212 | | | 642,966 | 2,169,724 |</t>
  </si>
  <si>
    <t>20. Transacciones con Partes Relacionadas</t>
  </si>
  <si>
    <t>| | 2024 | 2023 | | --- | --- | --- | | Gastos de honorarios profesionales - otras partes relacionadas | 1,278,900 | 1,278,900 |</t>
  </si>
  <si>
    <t>El pago en concepto de salarios y otras compensaciones al personal gerencial clave por el año terminado el 31 de diciembre de 2024 es de B/.282,546 (2023: B/.253,597).</t>
  </si>
  <si>
    <t>21. Gastos Operativos</t>
  </si>
  <si>
    <t>| | 2024 | 2023 | | --- | --- | --- | | Depreciación y amortización | 12,446,869 | 11,997,283 | | Costo de personal | 2,261,391 | 2,317,702 | | Fianzas y seguros | 1,789,413 | 1,723,164 | | Honorarios profesionales | 1,301,049 | 1,304,722 | | Mantenimientos de planta | 735,830 | 872,411 | | Impuestos generales | 480,945 | 580,226 | | Ambientales y regulador | 426,737 | 569,856 | | Vehículos y transporte | 239,669 | 226,751 | | Vigilancia | 237,239 | 179,346 | | Ayuda comunitaria | 212,345 | 288,564 | | Servicios públicos, alquileres y gastos de oficina | 120,234 | 112,236 | | Honorarios legales | 86,056 | 46,373 | | Auditoría | 84,345 | 84,870 | | Honorarios por comercialización | 51,600 | 46,100 | | Otros | 34,010 | 43,027 | | Otras pérdidas netas | - | 127,418 | | | 20,507,732 | 20,520,049 |</t>
  </si>
  <si>
    <t>22. Utilidad Integral Básica por Acción</t>
  </si>
  <si>
    <t>| | 2024 | 2023 | | --- | --- | --- | | Utilidad neta | 9,481,233 | 7,277,003 | | Número promedio ponderado de acciones | 16,575,011 | 16,575,011 | | Utilidad integral por acción | 0.57 | 0.44 |</t>
  </si>
  <si>
    <t>23. Compromisos y Contingencias</t>
  </si>
  <si>
    <t>Al 31 de diciembre de 2024, aseguradoras y bancos locales habían emitido fianzas y cartas de garantías bancarias por un total de B/.12,744,104 (2023: B/.13,644,327) para respaldar obligaciones del Grupo como parte del giro de negocio.</t>
  </si>
  <si>
    <t>Las subsidiarias Generadora Pedregalito, S. A., Generadora Río Chico, S. A., Generadora Alto Valle, S. A. e Hydro Caisán, S. A., han suscrito contratos de concesión de cincuenta (50) años que otorgan ciertos derechos, incluyendo la generación y venta de electricidad a ser producidas por las plantas hidroeléctricas y los derechos de agua para el uso de los ríos Chico, Cochea y Chiriquí Viejo. Estas subsidiarias están obligadas a administrar, operar y dar mantenimiento a las plantas durante el término de los contratos. Dicho término podrá ser renovado por unos cincuenta años adicionales sujetos a la aprobación previa de la Autoridad Nacional de los Servicios Públicos (ASEP), que es el ente regulador de los servicios públicos.</t>
  </si>
  <si>
    <t>23. Compromisos y Contingencias (Continuación)</t>
  </si>
  <si>
    <t>- Contratos de suministro de potencia y energía asociada firmados en junio de 2011 con Empresa de Distribución Eléctrica Metro-Oeste, S. A. (EDEMET), Empresa de Distribución Eléctrica Chiriquí, S. A. (EDECHI) y Elektra Noreste, S. A. (ENSA), que abarcan los períodos comprendidos de 2012 a 2029. El valor monómico contratado será de B/.0.114 Kwh. Al 31 de diciembre de 2024 estos contratos estaban respaldados por fianzas de cumplimiento emitidas por Acerta Compañía de Seguros, S. A. por B/.307,310 (EDEMET), B/.30,699 (EDECHI) y B/.122,933 (ENSA).</t>
  </si>
  <si>
    <t>- Contratos de suministro de sólo energía firmados en junio de 2013 con las compañías Empresa de Distribución Eléctrica Metro Oeste, S. A. (EDEMET), Empresa de Distribución Eléctrica Chiriquí, S. A. (EDECHI) y Elektra Noreste, S. A. (ENSA), que abarcan los períodos comprendidos del 1 de diciembre de 2015 al 31 de diciembre de 2027. El precio por energía contratada será de B/.0.1320 Kwh. Al 31 de diciembre de 2024, estos contratos estaban respaldados por fianzas de cumplimiento emitidas por Acerta Compañía de Seguros, S. A. por B/.559,341 (EDEMET), B/.189,608 (EDECHI) y B/.233,470 (ENSA).</t>
  </si>
  <si>
    <t>-47-</t>
  </si>
  <si>
    <t>23. Compromisos y Contingencias (continuación)</t>
  </si>
  <si>
    <t>- Contratos de suministro de largo plazo de potencia y energía firmados en octubre de 2008 con Empresa de Distribución Eléctrica Metro-Oeste, S. A. (EDEMET) y con Elektra Noreste, S. A. (ENSA), que abarcan los períodos comprendidos de 2016 a 2025. Con fecha efectiva 25 de julio de 2014, la ASEP aprobó la enmienda No.4 al Contrato DME-010-08 de Potencia y Energía suscrito entre Elektra Noreste, S. A. (ENSA) e Hydro Caisán, S. A., y la enmienda No.5 al Contrato No.05-08 de Potencia y Energía, suscrito entre Empresa Distribuidora Metro-Oeste (EDEMET), ambas enmiendas extienden la fecha de inicio del contrato hasta el 1 de enero de 2016. Al 31 de diciembre de 2024, estos contratos estaban respaldados por fianzas de cumplimiento emitidas por Acerta Compañía de Seguros, S. A. por las sumas de B/.965,788 (EDEMET) y B/.288,363 (ENSA).</t>
  </si>
  <si>
    <t>### Hydro Caisán, S. A. (continuación)</t>
  </si>
  <si>
    <t>#### Contratos de energía (continuación)</t>
  </si>
  <si>
    <t>- Contratos de Suministro de Sólo Energía firmados en noviembre y diciembre de 2023 con las compañías Empresa de Distribución Eléctrica Chiriquí, S. A. (EDECHI) y Elektra Noreste, S. A. (ENSA) que abarcan los períodos comprendidos del 1 de septiembre de 2024 al 30 de noviembre de 2025. El precio promedio por energía contratada será de B/.0.087 Kwh. Al 31 de diciembre de 2024, estos contratos estaban respaldados por fianzas de cumplimiento emitidas por Acerta Compañía de Seguros, S. A. B/.45,448 (EDECHI) y B/.4,089,734 (ENSA).</t>
  </si>
  <si>
    <t>### Pedregalito Solar Power, S. A.</t>
  </si>
  <si>
    <t>La central solar Pedregalito Solar Power, de la subsidiaria Pedregalito Solar Power, S.A., inició a partir del mes de noviembre 2023 la generación de energía bajo la modalidad de pruebas. Una vez se completen las pruebas e información requerida se procederá con el trámite de solicitud, ante el Centro Nacional de Despacho (CND), de la emisión del aviso de operación comercial de la misma.</t>
  </si>
  <si>
    <t>- El 15 de abril de 2019, se recibió notificación por parte del Juzgado Segundo del Circuito Civil para la diligencia judicial relacionada al proceso ordinario promovido por Otilia Vigil e Hijos, S.A. en contra de Generadora Pedregalito, S. A. La pretensión inicial del proceso es que se desafecte la servidumbre que pesa sobre las fincas No.7214 y 403202 (que surgió de la segregación de un lote de terreno de la finca madre antes descrita) ubicadas en la Provincia de Chiriquí.</t>
  </si>
  <si>
    <t>- La contraparte señala que la servidumbre que inicialmente se constituyó sobre la finca madre No.7214 a favor de Generadora Pedregalito, S. A., dejó de existir con la constitución y compra de la nueva finca No.372383 por parte de Generadora Pedregalito, S. A. Sin embargo, para Generadora Pedregalito, S. A. se trató de dos transacciones negociadas y pagadas de forma independiente. A la fecha de emisión de este informe, la sentencia del Juez declaró que sobre el folio real 7214 se constituyó una servidumbre la cual se encuentra inscrita en el Registro Público.</t>
  </si>
  <si>
    <t>24. Impuesto sobre la Renta</t>
  </si>
  <si>
    <t>Las declaraciones de impuesto sobre la renta del Grupo están sujeta a revisión por las autoridades fiscales por los últimos tres años, incluyendo el año terminado el 31 de diciembre de 2024.</t>
  </si>
  <si>
    <t>24. Impuesto sobre la Renta (Continuación)</t>
  </si>
  <si>
    <t>En el caso de que, por razón del impuesto sobre la renta, el contribuyente incurra en pérdidas o que la tasa efectiva sea superior a la tasa impositiva vigente, el mismo podrá elevar una solicitud ante la Dirección General de Ingresos (DGI) de no aplicación del impuesto mínimo alterno y en su defecto, que se acepte el pago del impuesto sobre la renta en base al método tradicional.</t>
  </si>
  <si>
    <t>El impuesto sobre la renta difiere del monto calculado aplicando la tasa de impuesto vigente 25%, debido al efecto de las siguientes partidas:</t>
  </si>
  <si>
    <t>| | 2024 | 2023 | | --- | --- | --- | | Utilidad antes del impuesto sobre la renta | 14,098,618 | 11,177,428 | | Impuesto sobre la renta contable a la tasa de 25% | 3,524,654 | 2,794,357 | | Efectos y partidas que afectan el cálculo fiscal del impuesto sobre la renta | | | | Arrastre de pérdida | (53,465) | (53,672) | | Ingresos por intereses no gravable | (88,533) | (58,736) | | Gastos no deducibles y otros | 20,399 | 21,027 | | Pérdida de entidades consolidadas no sujetas al impuesto sobre la renta | 390,722 | 353,326 | | Ingreso por crédito fiscal no gravable | (150,000) | (407,628) | | Otros ingresos no gravables | (20,379) | (68,250) | | Depreciación no deducible por uso de crédito fiscal | 618,757 | 618,757 | | Impuesto sobre la renta fiscal corriente a la tasa efectiva del 25% | 4,242,155 | 3,199,181 | | Ajuste de impuesto sobre la renta | 386,936 | 711,836 | | Efectos fiscales de diferencias temporales | (98,526) | (13,873) | | Impuesto sobre la renta diferido | 86,820 | 53,281 | | Gasto de impuesto sobre la renta | 4,617,385 | 3,950,425 | | Tasa efectiva | 33% | 31% |</t>
  </si>
  <si>
    <t>-50-</t>
  </si>
  <si>
    <t>Las diferencias temporarias son las diferencias existentes entre la base imponible y el resultado contable antes de impuestos. El origen está en los diferentes criterios temporales de imputación, lo que motiva que los efectos contables y fiscales no coincidan en el tiempo. La subsidiaria Pedregalito Solar Power, S. A. por motivos del incentivo fiscal por la utilización del método de depreciación acelerada de acuerdo a la Ley 37 de 2013, que establece el régimen de incentivos para el fomento de la construcción, operación y mantenimiento de centrales y/o instalaciones solares, presenta diferencias temporales en el cálculo del impuesto sobre la renta financiero y fiscal.</t>
  </si>
  <si>
    <t>En el 2024, Panama Power Holdings, Inc. pagó B/.386,936 (2023: B/.628,232), correspondiente al impuesto de dividendos resultante de los dividendos declarados por sus subsidiarias Generadora Pedregalito, S. A., Generadora Río Chico, S. A., Generadora Alto Valle, S. A., Hydro Caisán, S. A. y Pedregalito Solar Power, S.A.</t>
  </si>
  <si>
    <t>El activo por impuesto sobre la renta diferido corresponde al arrastre de pérdida y se calculó en base a la tasa impositiva vigente. El movimiento de impuesto sobre la renta diferido activo se presenta a continuación:</t>
  </si>
  <si>
    <t>El movimiento de impuesto sobre la renta diferido activo se presenta a continuación:</t>
  </si>
  <si>
    <t>| | 2024 | 2023 | | --- | --- | --- | | Saldo al inicio del año | 86,820 | 140,101 | | Utilización del año | (86,820) | (53,281) | | Saldo final del año | - | 86,820 |</t>
  </si>
  <si>
    <t>24. Impuesto sobre la Renta (continuación)</t>
  </si>
  <si>
    <t>Al 31 de diciembre de 2024, la subsidiaria Hydro Caisán, S. A. utilizó B/.600,000 (2023: B/.1,494,000) de los cuales al 31 de diciembre de 2023 la porción de la subsidiaria, Generadora Alto Valle, S. A. fue utilizada para el pago de impuesto sobre la renta causado en el período fiscal 2023, período en el cual se le venció este beneficio fiscal (Nota 19).</t>
  </si>
  <si>
    <t>Mediante Resolución No.201-2000 del 27 de abril de 2017, notificada a Hydro Caisán, S. A. el 31 de mayo de 2017, la Dirección General de Ingresos otorgó la autorización para el reconocimiento de estos incentivos fiscales por B/.45,000,000, correspondiente al 25% de la inversión directa realizada en el Proyecto Hidroeléctrico El Alto. Dicho crédito fiscal es aplicable como pago del 50% del impuesto sobre la renta causado en el período fiscal, hasta un máximo de diez años a partir de la entrada en operación comercial del proyecto (24 de octubre de 2014) o hasta que el 100% del crédito sea consumido, lo que ocurra primero.</t>
  </si>
  <si>
    <t>Debido al beneficio fiscal recibido no le es permitido a las compañías: Generadora Pedregalito, S. A., Generadora Río Chico, S. A., Generadora Alto Valle, S. A. e Hydro Caisán, S. A. reconocer como deducible el 25% del gasto de depreciación correspondiente a la inversión directa.</t>
  </si>
  <si>
    <t>25. Eventos Subsecuentes</t>
  </si>
  <si>
    <t>- La subsidiaria Hydro Caisán, S.A., participó en el acto de concurrencia LPI No. ETESA 02-24 celebrado por la Empresa de Transmisión Eléctrica, S.A. el pasado 6 de diciembre de 2024 para la contratación a corto plazo del suministro de Potencia y Energía. Mediante nota ETE-DGC-GC-022-2025 del 15 de enero de 2025, la Empresa de Transmisión Eléctrica, S. A. (ETESA), comunicó a Hydro Caisán, S.A. que su oferta fue aceptada y adjudicada mediante la Resolución No. GC-02-2024 del 30 de diciembre de 2024.</t>
  </si>
  <si>
    <t>25. Eventos Subsecuentes (Continuación)</t>
  </si>
  <si>
    <t>- La subsidiaria Pedregalito Solar Power, S.A., participó en el acto de concurrencia LPI No. ETESA 02-24 celebrado por la Empresa de Transmisión Eléctrica, S.A. el pasado 6 de diciembre de 2024 para la contratación a corto plazo del suministro de Potencia y Energía. Mediante nota ETE-DGC-GC-027-2025 del 15 de enero de 2025, la Empresa de Transmisión Eléctrica, S. A. (ETESA), comunicó a Pedregalito Solar Power, S.A. que su oferta fue aceptada y adjudicada mediante la Resolución No. GC-02-2024 del 30 de diciembre de 2024.</t>
  </si>
  <si>
    <t>La consolidación del estado de situación financiera al 31 de diciembre de 2024 se presenta a continuación:</t>
  </si>
  <si>
    <t>| | Total Consolidado | Eliminaciones | Sub-Total Consolidado | Panama Power Holdings, Inc. | Generadora Alta Valle, S. A. | Pedregalito Solar Power S. A. | Hydro Caisán, S. A. | Generadora Pedregalito, S. A. | Generadora Río Chico, S. A. | Panama Power Management Services, S. A. | PPH Financing Services, S. A. | | --- | --- | --- | --- | --- | --- | --- | --- | --- | --- | --- | --- | | Activos | | | | | | | | | | | | | Activos circulantes | | | | | | | | | | | | | Efectivo y equivalentes de efectivo | 9,494,389 | - | 9,494,389 | 759,818 | 1,590,254 | 868,120 | 5,089,657 | 1,838,997 | 941,921 | 955 | 4,151 | | Cuentas por cobrar | 10,618,368 | - | 10,618,368 | - | 706,510 | 120,205 | 7,111,357 | 1,189,058 | 787,229 | - | - | | Cuentas por cobrar - compañías relacionadas | - | (245,580,075) | 245,580,875 | 84,062,428 | 5,361,377 | - | 55,122,166 | - | 12,690,184 | 162,960 | 87,061,662 | | Inventario de repuestos y suministros | 2,315,599 | - | 2,315,599 | - | 414,508 | 5,127 | 388,049 | 532,784 | 450,031 | - | - | | Crédito fiscal por inversión | 1,820,780 | - | 1,820,780 | - | - | - | 1,829,780 | - | - | - | - | | Gastos pagados por adelantado | 475,685 | - | 475,685 | 29,451 | 162,708 | 4,635 | 288,193 | 47,687 | 41,376 | 1,639 | - | | Otros activos | 551,482 | - | 551,482 | 19,908 | 10,941 | 100,500 | 284,955 | 106,499 | 2,752 | -40,079 | 1,508 | | Total de activos circulantes | 24,695,585 | (245,580,075) | 249,994,278 | 85,459,887 | 8,167,585 | 1,870,787 | 69,224,637 | 3,</t>
  </si>
  <si>
    <t>La consolidación del estado de resultados por el año terminado el 31 de diciembre de 2024</t>
  </si>
  <si>
    <t>Las calificaciones reflejan la posición competitiva favorable de Panama Power Holdings, Inc. y Subsidiarias (PPH) en la matriz de generación de electricidad en Panamá y la fortaleza de su generación de flujo de caja operativo (FCO), que le ha permitido financiar gran parte de sus inversiones de capital (capex; capital expenditures) en los últimos dos años, además de cubrir amortizaciones de deuda y realizar distribuciones a sus accionistas.</t>
  </si>
  <si>
    <t>Las calificaciones incorporan la exposición de la compañía al riesgo hidrológico, concentración geográfica del portafolio de generación, y las condiciones macroeconómicas de Panamá (calificación internacional de riesgo emisor o IDR de 'BB+' con Perspectiva Estable). Fitch Ratings proyecta que el indicador de apalancamiento (deuda a EBITDA) de PPH esté en el rango de 4.5x a 5.0x hacia finales de 2024, desde 5.1x en diciembre de 2023, como consecuencia de condiciones hidrológicas favorables a partir del 2S24 y del primer año completo de generación de la planta solar y la mini central.</t>
  </si>
  <si>
    <t>Desempeño Sensible a Condiciones Climáticas: Durante 2023 PPH registró ingresos por USD53 millones y margen de EBITDA de 57%, inferiores a los reportados en el mismo período del año anterior (USD57 millones y 68%, respectivamente). Esto se debió a condiciones hídricas desfavorables durante la mayor parte del año, presiones en los costos de energía por mayores requerimientos de compras (precio promedio de compra de energía en USD126 megavatios por hora [MWh] frente a USD115 MWh) y menor volumen de energía vendida en el mercado ocasional.</t>
  </si>
  <si>
    <t>Para 2024, Fitch proyecta una generación de ingresos de alrededor de USD54 millones con un margen de EBITDA de 59% (promedio 2020-2023: 67%) en la medida en que se incremente la generación de energía dada la ocurrencia del fenómeno de La Niña durante el 2S24.</t>
  </si>
  <si>
    <t>Diversificación en Activos de Generación: La entrada en operación de la planta solar en Pedregalito, con una capacidad instalada de 9.9 MW nominales, brinda una fuente adicional de ingresos para la compañía. Actualmente, las ventas incrementales se están dando en el mercado ocasional de Panamá. Asimismo, la entrada en operación de la mini central por 1 MW permite a la compañía tener una base más estable de generación de energía e ingresos. La agencia espera que estos factores ayuden a la compañía a alcanzar un margen de EBITDA cercano a 62% en 2026 desde 57% registrado en 2023.</t>
  </si>
  <si>
    <t>Fortalecimiento del Apalancamiento: En los últimos nueve años, la compañía generó EBITDA anual de USD29 millones, en promedio. Esta generación operativa se tradujo en flujo de efectivo con el que PPH amortizó más de USD81 millones de deuda en dicho período. Fitch proyecta que los indicadores de apalancamiento de PPH estarán en el rango de 4.0x a 5.0x en los próximos tres años, producto de amortizaciones graduales de deuda y generación de EBITDA de alrededor de USD31 millones anuales.</t>
  </si>
  <si>
    <t>Expectativa de Flujo de Fondos Libre Positivo: Fitch estima que entre 2024 y 2027, PPH podría generar un FCO de alrededor de USD19 millones por año. Esto sería suficiente para cubrir el capex de mantenimiento, las amortizaciones de deuda programadas e incluso realizar distribuciones a sus accionistas sin afectar su perfil crediticio.</t>
  </si>
  <si>
    <t>Panama Power Holdings, Inc. y Subsidiarias Calificaciones Nacionales de Largo Plazo A-(pan)</t>
  </si>
  <si>
    <t>Perspectivas Calificaciones Nacionales de Largo Plazo Estable Pulse aquí para ver la lista completa de calificaciones</t>
  </si>
  <si>
    <t>Metodología de Calificación de Finanzas Corporativas (Diciembre 2023) Metodología de Vínculo de Calificación entre Matriz y Subsidiaria (Julio 2023) Metodología de Calificaciones en Escala Nacional (Diciembre 2020)</t>
  </si>
  <si>
    <t>Fitch Afirma Calificaciones de PPH e Hydro Caisán a 'A-(pan)'; Perspectiva Estable (Agosto 2024)</t>
  </si>
  <si>
    <t>Victor Chinas +52 81 4161 7070 victor.chinas@fitchratings.com</t>
  </si>
  <si>
    <t>Velia Patricia Valdés Venegas +52 81 4161 7049 velia.valdes@fitchratings.com</t>
  </si>
  <si>
    <t>Riesgo Regulatorio Bajo: Las calificaciones de la compañía también reflejan la exposición baja al riesgo regulatorio de PPH. Los generadores no han sido intervenidos directamente sino en la forma de subsidios al usuario final. Las empresas de generación en Panamá se han caracterizado por ser negocios competitivos no regulados y libres de aplicar sus propias estrategias comerciales. En años anteriores, el aumento en precios de la energía dio como resultado un incremento en la intervención del gobierno con la intención de reducir el impacto de precios altos de energía para el consumidor final. Sin embargo, se espera que esta intervención siga disminuyendo acorde con el decremento gradual de los precios de energía esperados durante los próximos años.</t>
  </si>
  <si>
    <t>Vínculo Matriz Subsidiaria: Fitch sigue un enfoque consolidado para las calificaciones de Hydro Caisan, S.A. (Hydro Caisán), debido a los perfiles crediticio y operativo sólidos de la compañía en comparación con los de su accionista principal, PPH. Lo anterior es producto de una delimitación legal abierta debido a que no existen restricciones para que la matriz tenga acceso a los flujos de caja y activos de la subsidiaria; también por la evaluación de Fitch de un acceso y control abierto debido a la propiedad de la totalidad de las acciones de Hydro Caisán por parte de PPH. Las decisiones de financiamiento se toman a nivel de la matriz y los bonos de Hydro Caisán están avalados por PPH y todas las compañías de su propiedad. Además, las acciones y activos productivos de las empresas hidroeléctricas garantizan las emisiones.</t>
  </si>
  <si>
    <t>Resumen de Información Financiera</t>
  </si>
  <si>
    <t>| (USD miles) | 2021 | 2022 | 2023 | 2024P | 2025P | 2026P | | --- | --- | --- | --- | --- | --- | --- | | Ingresos Brutos | 42,794 | 57,204 | 53,187 | 54,106 | 49,627 | 51,193 | | Margen de EBITDA (%) | 70.1 | 68.0 | 57.1 | 59.0 | 58.8 | 62.2 | | Margen de FGO (%) | 51.2 | 46.6 | 41.4 | 35.4 | 36.2 | 39.7 | | Deuda/EBITDA (x) | 5.5 | 4.0 | 5.1 | 4.7 | 4.8 | 4.1 | | EBITDA/Intereses (x) | 2.9 | 4.0 | 4.3 | 3.5 | 3.4 | 4.0 |</t>
  </si>
  <si>
    <t>P - Proyección. FGO – Flujo Generado por las operaciones. X – Veces. Fuente: Fitch Ratings, Fitch Solutions, PPH</t>
  </si>
  <si>
    <t># Derivación de Calificación Respecto a Pares</t>
  </si>
  <si>
    <t>Comparado con Electron Investment, S.A. (EISA) [BBB+(pan); Perspectiva Estable], PPH presenta una escala mayor de operaciones (131.1 MW de capacidad instalada frente a 85.6 MW de EISA), menor posición contratada, apalancamiento esperado menor (4.7x en 2024 frente a 6.1x de EISA para el mismo período) y una exposición similar al riesgo hidrológico.</t>
  </si>
  <si>
    <t>En comparación con AES Panama Generation Holdings, S.R.L. (AESPGH) [AA+(pan); Perspectiva Estable], PPH tiene un apalancamiento similar, la misma posición de despacho competitiva, pero un portafolio de generación de menor escala (1.2 gigavatios de AESPGH), menor diversificación por fuente de generación y una concentración geográfica mayor de sus centrales. En 2024, se espera que el apalancamiento de AESPGH sea inferior al de PPH, en alrededor de 3.8x.</t>
  </si>
  <si>
    <t>El factor de carga anual de PPH es cercano a 43% en promedio en los últimos tres años, y menor que el promedio de EISA de 66%, debido a que esta última cuenta con plantas de generación más eficientes.</t>
  </si>
  <si>
    <t># Sensibilidades de la Calificación</t>
  </si>
  <si>
    <t>- apalancamiento mayor de 5.5x de forma consistente; - flujo de fondos libre (FFL) negativo de forma sostenida;</t>
  </si>
  <si>
    <t>- presiones en el perfil de liquidez que lleven a una métrica de efectivo y equivalentes a deuda de corto plazo menor de 1.0x; - eventos operacionales que impidieran el suministro de energía; - deterioro de las condiciones macroeconómicas en Panamá que dieran como resultado una reducción del consumo de energía; - una intervención regulatoria o política que influyera adversamente en la rentabilidad de la empresa.</t>
  </si>
  <si>
    <t>Liquidez Buena: A marzo de 2024, el saldo de efectivo y equivalentes de PPH fue de USD10.6 millones con vencimientos de corto plazo por USD11 millones. La compañía mantiene USD4.1 millones correspondientes a efectivo restringido relacionado con la cuenta de reserva de la deuda. El fondo de reserva fue constituido por Hydro Caisán como fideicomitente y BG Trust, Inc. como fiduciario y tiene como propósito general mantener un fondo de efectivo para cumplir con las obligaciones de pago de intereses y capital equivalente a tres meses.</t>
  </si>
  <si>
    <t>| Análisis de Liquidez | | | | --- | --- | --- | | (USD miles) | 2024P | 2025P | | Liquidez Disponible | | | | Efectivo Disponible y Equivalentes Inicial | 10,300 | 1,975 | | Flujo de Fondos Libres Proyectado por Fitch (después de dividendos y adquisiciones) | 4,635 | 10,650 | | Total de Liquidez Disponible (A) | 14,935 | 12,625 | | Usos de Liquidez | | | | Vencimientos de Deuda | -12,960 | -9,000 | | Uso Total de Liquidez (B) | -12,960 | -9,000 | | Cálculo de Liquidez | | | | Efectivo Disponible y Equivalentes Final (A+B) | 1,975 | 3,625 | | Disponibilidad de Líneas de Crédito Comprometidas | 5,265 | — | | Liquidez Total | 7,240 | 3,625 | | Puntaje de Liquidez (x) | 1.6 | 1.4 | | P - Proyección. x - Veces. Fuente: Fitch Ratings, Fitch Solutions, PPH | | |</t>
  </si>
  <si>
    <t># Vencimientos de Deuda Programados</t>
  </si>
  <si>
    <t>| (USD miles) | 31 dic 2023 | 31 mar 2024 | | --- | --- | --- | | 2024 | 12,960 | 11,168 | | 2025 | 9,000 | 9,000 | | 2026 | 9,000 | 9,000 | | 2027 | 9,000 | 9,000 | | 2028 | 9,000 | 9,000 | | Después | 106,542 | 104,534 | | Total | 155,501 | 151,702 |</t>
  </si>
  <si>
    <t>Nota: La deuda es neta de costos de financiamiento diferidos.&lt;br/&gt;Fuente: Fitch Ratings, Fitch Solutions, PPH</t>
  </si>
  <si>
    <t>- factor de carga (despacho) de 44% en 2024 y 40% entre 2025 y 2026, alineado con el factor de carga promedio de los últimos ocho años; - posición contratada promedio en torno a 67% para el período proyectado; - apalancamiento en el rango de entre 4.0x y 5.0x entre 2024 y 2026; - margen de EBITDA de 60% en promedio entre 2025 y 2026; - amortización de deuda anual de USD9 millones durante el período proyectado; - uso de línea de crédito por USD5.5 millones en 2024; - con base en estimaciones de Fitch, se considerará que una porción del flujo de efectivo generado por la compañía (después de cubrir el pago de intereses, impuestos y amortizaciones de principal de la deuda) podría ser destinado para inversiones adicionales de capex, retornos de capital a accionistas u otros usos corporativos, al mismo tiempo que se cumplen las condiciones financieras del bono corporativo. En este sentido, Fitch asume un saldo de efectivo al cierre de cada año de entre USD5 millones a USD10 millones.</t>
  </si>
  <si>
    <t>| (USD miles) | Histórico | | | Proyección | | | | --- | --- | --- | --- | --- | --- | --- | | | 2021 | 2022 | 2023 | 2024 | 2025 | 2026 | | Resumen de Estado de Resultados | | | | | | | | Ingresos | 42,794 | 57,204 | 53,187 | 54,106 | 49,627 | 51,193 | | Crecimiento de Ingresos (%) | 13.6 | 33.7 | -7.0 | 1.7 | -8.3 | 3.2 | | EBITDA (antes de Ingresos de Compañías Asociadas) | 29,982 | 38,880 | 30,371 | 31,941 | 29,170 | 31,855 | | Margen de EBITDA (%) | 70.1 | 68.0 | 57.1 | 59.0 | 58.8 | 62.2 | | EBITDA después de Distribuciones a Compañías Asociadas y Participaciones Minoritarias | 29,982 | 38,880 | 30,371 | 31,941 | 29,170 | 31,855 | | EBIT | 18,131 | 27,031 | 18,410 | 20,037 | 17,273 | 19,958 | | Margen de EBIT (%) | 42.4 | 47.3 | 34.6 | 37.0 | 34.8 | 39.0 | | Intereses Financieros Brutos | -10,740 | -10,140 | -9,645 | -9,018 | -8,576 | -7,943 | | Resultado antes de Impuestos (Incluyendo Ganancias/Pérdidas de Compañías Asociadas) | 8,231 | 19,006 | 11,177 | 11,019 | 8,697 | 12,015 | | Resumen de Balance General | | | | | | | | Efectivo Disponible y Equivalentes | 9,168 | 10,956 | 10,300 | 10,000 | 10,000 | 10,000 | | Deuda | 165,412 | 157,379 | 155,501 | 150,566 | 139,916 | 129,316 | | Deuda Neta | 156,244 | 146,423 | 145,201 | 140,566 | 129,916 | 119,316 | | Resumen del Flujo de Efectivo | | | | | | | | EBITDA | 29,982 | 38,880 | 30,371 | 31,941 | 29,170 | 31,855 | | Intereses Pagados en Efectivo | -10,342 | -9,776 | -6,997 | -9,018 | -8,576 | -7,943 | | Impuestos Pagado</t>
  </si>
  <si>
    <t>a Neto de costos de financiamiento diferidos. b El dato a diciembre de 2023 es una distribución sobre excedente en valor de suscripción de acciones comunes. x – Veces. Fuente: Fitch Ratings, Fitch Solutions, PPH</t>
  </si>
  <si>
    <t>Estructura Organizacional — Panama Power Holdings, Inc. y Subsidiarias (USD miles – UDM al 31 de marzo de 2024)</t>
  </si>
  <si>
    <t>| Panama Power Holdings, Inc. y Subsidiarias A-(pan)/Estable (Panamá - Consolidado) | | | --- | --- | | Caja y Reserva | 14,718 | | EBITDA | 32,791 | | Deuda Totalª | 151,702 | | Deuda Total/EBITDA (x) | 4.6 | | EBITDA/Intereses Pagados (x) | 4.7 | | Hydro Caisán, S.A. | | 100% | Panama Power Management Services, S.A. | | | --- | --- | --- | --- | --- | | Caja y Reserva | 10,673 | | Caja | 3 | | Deuda Totalª | 147,877 | | | | | Generadora Alto Valle, S.A. | | | PPH Financing Services, S.A. | | | Caja | 1,209 | | Caja | 55 | | | | | Deuda Totalª | 3,085 | | Generadora Pedregalito, S.A. | | | Pedregalito Solar Power, S.A. | | | Caja | 1,417 | | Caja | 403 | | | | | Deuda Totalª | 735 | | Generadora Río Chico, S.A. | | | Panama Power Holdings, Inc. | | | Caja | 955 | | Caja | 4 |</t>
  </si>
  <si>
    <t>ª Neto de costos de financiamiento diferidos. x – Veces.&lt;br/&gt;Fuente: Fitch Ratings, Fitch Solutions, PPH.</t>
  </si>
  <si>
    <t>| Compañía | Calificación | Fecha de Estados Financieros | Ingresos Brutos (USD miles) | Margen de EBITDA (%) | Margen de FGO (%) | Deuda/EBITDA (x) | EBITDA/Intereses (x) | | --- | --- | --- | --- | --- | --- | --- | --- | | Panama Power Holdings, Inc. y Subsidiarias | A-(pan) | | | | | | | | | A-(pan) | 2023 | 53,187 | 57.1 | 41.4 | 5.1 | 4.3 | | | BBB+(pan) | 2022 | 57,204 | 68.0 | 46.6 | 4.0 | 4.0 | | | BBB+(pan) | 2021 | 42,794 | 70.1 | 51.2 | 5.5 | 2.9 | | AES Panama Generation Holdings, S.R.L. | AA+(pan) | | | | | | | | | AA+(pan) | 2023 | 58,118 | 61.8 | 26.3 | 5.0 | 2.1 | | | AA+(pan) | 2022 | 51,399 | 69.0 | 45.2 | 5.4 | 3.0 | | | AA+(pan) | 2021 | 45,394 | 71.0 | 45.8 | 6.1 | 2.8 | | Electron Investment, S.A. | BBB+(pan) | | | | | | | | | BBB+(pan) | 2023 | 58,118 | 61.8 | 26.3 | 5.0 | 2.1 | | | BBB+(pan) | 2022 | 51,399 | 69.0 | 45.2 | 5.4 | 3.0 | | | BBB+(pan) | 2021 | 45,394 | 71.0 | 45.8 | 6.1 | 2.8 |</t>
  </si>
  <si>
    <t>x - Veces. Fuente: Fitch Ratings, Fitch Solutions, reportes de las compañías</t>
  </si>
  <si>
    <t>| (USD miles; cifras al 31 de diciembre de 2023) | Notas y Fórmulas | Valores Reportados | Ajustes de Efectivo | Ajustes por Arrendamientos | Otros Ajustes | Valores Ajustados por Fitch | | --- | --- | --- | --- | --- | --- | --- | | Resumen de Estado de Resultados | | | | | | | | Ingresos | | 53,187 | — | — | — | 53,187 | | EBITDA | (a) | 32,577 | — | -36 | -2,170 | 30,371 | | Depreciación y amortización | | -11,997 | — | 36 | -0 | -11,961 | | EBIT | | 20,580 | — | — | -2,170 | 18,410 | | Resumen de Deuda y Efectivo | | | | | | | | Deuda | (b) | 155,501 | — | — | — | 155,501 | | Otra Deuda fuera de Balance | | — | — | — | — | — | | Arrendamiento Equivalente a Deuda | | — | — | — | — | — | | Deuda Ajustada por Arrendamientos | | 155,501 | — | — | — | 155,501 | | Efectivo Disponible y Equivalentes | (c) | 10,300 | — | — | — | 10,300 | | Efectivo y Equivalentes Restringidos | | — | 4,034 | — | — | 4,034 | | Resumen del Flujo de Efectivo | | | | | | | | EBITDA | (a) | 32,577 | — | -36 | -2,170 | 30,371 | | Dividendos Recurrentes de Compañías Asociadas menos Distribuciones a Participaciones Minoritarias | (d) | — | — | — | — | — | | Intereses Pagados en Efectivo | (e) | -6,997 | — | — | — | -6,997 | | Intereses Recibidos en Efectivo | (f) | 243 | — | — | — | 243 | | Dividendos Preferentes (Pagados) | (g) | — | — | — | — | — | | Impuestos Pagados en Efectivo | | -4,993 | — | — | — | -4,993 | | Otros Cambios antes del FGO | | 1,204 | — | 4 | 2,170 | 3,377 | | Flujo Generado por las</t>
  </si>
  <si>
    <t>Notas: Los elementos estandarizados presentados anteriormente se basan en la taxonomía de Fitch para el sector y región. Los Valores reportados pueden no coincidir con la taxonomía de Fitch, pero se capturan de manera apropiada en las líneas correspondientes. La deuda incluye deuda fuera de balance. Fuente: Fitch Ratings, Fitch Solutions, PPH</t>
  </si>
  <si>
    <t xml:space="preserve">Todas las calificaciones crediticias de Fitch Ratings (Fitch) están sujetas a ciertas limitaciones y estipulaciones. Por favor, lea estas limitaciones y estipulaciones en el siguiente enlace: https://www.fitchratings.com/understandingcreditratings. Además, las definiciones de calificación de Fitch para cada escala de calificación y categorías de calificación, incluidas las definiciones relacionadas con incumplimiento, están disponibles en www.fitchratings.com bajo el apartado de Definiciones de Calificación. ESMA y FCA están obligadas a publicar las tasas de incumplimiento históricas en un archivo central de acuerdo al Artículo 11(2) de la Regulación (EC) No. 1060/2009 del Parlamento Europeo y del Consejo del 16 de septiembre de 2009 y la Regulación de las Agencias de Calificación Crediticia (Enmienda, etc.) (Salida de la UE) de 2019, respectivamente. Las calificaciones públicas, criterios y metodologías están disponibles en este sitio en todo momento. El código de conducta, las políticas sobre confidencialidad, conflictos de interés, barreras para la información para con sus afiliadas, cumplimiento, y demás políticas y procedimientos de Fitch están también disponibles en la sección de Código de Conducta de este sitio. Los intereses relevantes de los directores y accionistas están disponibles en https://www.fitchratings.com/site/regulatory. Fitch puede haber proporcionado otro servicio admisible o complementario a la entidad calificada o a terceros relacionados. Los detalles </t>
  </si>
  <si>
    <t>Fitch Ratings, Inc. está registrada en la Comisión de Bolsa y Valores de Estados Unidos (en inglés, U.S. Securities and Exchange Commission) como una Organización de Calificación Estadística Reconocida a Nivel Nacional ("NRSRO"). Nationally Recognized Statistical Rating Organization). Aunque ciertas subsidiarias de calificación crediticia de la NRSRO están enlistadas en el Item 3 del documento "Form NRSRO" y, como tales, están autorizadas para emitir calificaciones crediticias en nombre de la NRSRO (ver https://www.fitchratings.com/site/regulatory), otras subsidiarias no están enlistadas en el documento "Form NRSRO" (los "no NRSRO") y, por tanto, las calificaciones crediticias emitidas por estas subsidiarias no son emitidas en nombre de la NRSRO. Sin embargo, personal de las subsidiarias no NRSRO puede participar en la determinación de calificaciones crediticias emitidas por, o en nombre de, la NRSRO.</t>
  </si>
  <si>
    <t>Derechos de autor © 2024 por Fitch Ratings, Inc. y Fitch Ratings, Ltd. y sus subsidiarias. 33 Whitehall Street, New York, NY 10004. Teléfono: 1-800-753-4824, (212) 908-0500. La reproducción o distribución total o parcial está prohibida, salvo con permiso. Todos los derechos reservados.</t>
  </si>
  <si>
    <t>2025</t>
  </si>
  <si>
    <t>INA_PPHO_2025_0.pdf</t>
  </si>
  <si>
    <t>page-42</t>
  </si>
  <si>
    <t>Panama Power Holding es 100% dueña de Hydro Caisán, S.A. y Subsidiarias y PPH Financing Services, S.A.</t>
  </si>
  <si>
    <t>Con fecha 18 de diciembre de 2025, se firmó un convenio de fusión. La Junta de Accionistas de las entidades listadas a continuación aprobaron la fusión por absorción entre Hydro Caisán, S. A. (la Compañía o la Sociedad Sobreviviente) y las siguientes sociedades:</t>
  </si>
  <si>
    <t>- Generadora Alto Valle, S. A. - Generadora Pedregalito, S. A. - Generadora Río Chico, S. A. - Pedregalito Solar Power, S. A. - Panama Power Management Services, S. A.</t>
  </si>
  <si>
    <t>(en adelante, conjuntamente, las Sociedades Absorbidas).</t>
  </si>
  <si>
    <t>La escritura pública No.11,254 de fecha 26 de diciembre de 2025 fue ingresada para su inscripción al Registro Público el 29 de diciembre de 2025. (Véase Nota 26 - Eventos Subsecuentes).</t>
  </si>
  <si>
    <t>Esta fusión se llevó a cabo como parte de una reorganización corporativa intragrupo, cuyo objetivo principal es optimizar la eficiencia operativa y administrativa del grupo económico al que pertenece la subsidiaria Hydro Caisán, S. A.</t>
  </si>
  <si>
    <t>La subsidiaria Hydro Caisán, S. A. comunicó a la Superintendencia del Mercado de Valores de Panamá (SMV) el 18 de diciembre de 2025 sobre la aprobación del Convenio de Fusión, a través del Comunicado de Hecho de Importancia, conforme al Acuerdo No. 3-2008, y registrada ante la SMV, cumpliendo con las obligaciones de divulgación aplicables a emisores de valores registrados.</t>
  </si>
  <si>
    <t>Todas las subsidiarias se encuentran constituidas bajo las leyes de la República de Panamá. La principal actividad de las otras subsidiarias es brindar soporte a las operaciones del Grupo Panama Power Holdings, Inc.</t>
  </si>
  <si>
    <t>Los estados financieros consolidados de Panama Power Holdings, Inc. y Subsidiarias fueron aprobados para su emisión por el Presidente del Grupo el 30 de marzo de 2026. El Presidente del Grupo tiene la autoridad de modificación y remisión de los estados financieros consolidados después de aprobados.</t>
  </si>
  <si>
    <t>Las compañías dedicadas a las operaciones de generación de energía eléctrica en Panamá están reguladas por la Autoridad Nacional de los Servicios Públicos (ASEP), una entidad autónoma del Gobierno de la República de Panamá, de acuerdo con las legislaciones establecidas en la Ley No.6 de 3 de febrero de 1997 y su reglamentación y la Ley No.45 de 2004 y sus modificaciones.</t>
  </si>
  <si>
    <t>Panama Power Holdings, Inc. y sus Subsidiarias, es supervisada por la Superintendencia del Mercado de Valores de Panamá («SMV»), dado que Hydro Caisán, S. A. mantiene programas de emisión pública de valores mediante Resolución No.SMV-421-20 de 21 de septiembre de 2020 donde todas las demás subsidiarias participan como garantes.</t>
  </si>
  <si>
    <t>La preparación de los estados financieros consolidados, de conformidad con las Normas de Contabilidad NIIF, requiere de juicios profesionales por parte de la Alta Gerencia y estimaciones de contabilidad críticas. También requiere que la Administración use su juicio en el proceso de aplicación de las políticas de contabilidad del Grupo. Las estimaciones contables críticas y juicios en la aplicación de las políticas contables se revelan en la Nota 4.</t>
  </si>
  <si>
    <t>-12-</t>
  </si>
  <si>
    <t>## Enmiendas Adoptadas por la Compañía</t>
  </si>
  <si>
    <t>El Grupo ha aplicado las siguientes modificaciones por primera vez para su período de reporte anual que comienza el 1 de diciembre de 2025:</t>
  </si>
  <si>
    <t>- Modificaciones a la NIC 21 - Falta de intercambiabilidad: En agosto de 2023, el IASB modificó la NIC 21 para añadir requerimientos que ayuden a las entidades a determinar si una moneda es intercambiable por otra moneda, y el tipo de cambio al contado que se debe utilizar cuando no lo es. Antes de estas modificaciones, la NIC 21 establecía el tipo de cambio que se debe utilizar cuando la falta de intercambiabilidad es temporal, pero no qué hacer cuando la falta de intercambiabilidad no es temporal.</t>
  </si>
  <si>
    <t>El Grupo evaluó los nuevos requerimientos, y no se dieron cambios.</t>
  </si>
  <si>
    <t>Modificaciones a la clasificación y medición de instrumentos financieros – Modificaciones a las NIIF 9 y NIIF 7 (vigentes para los períodos anuales que comiencen a partir del 1 de enero de 2026): El 30 de mayo de 2024, el IASB emitió modificaciones específicas a las NIIF 9 y NIIF 7 para responder a cuestiones recientes que surgen en la práctica, e incluir nuevos requisitos no solo para las instituciones financieras sino también para las entidades corporativas.</t>
  </si>
  <si>
    <t>- Aclaran la fecha de reconocimiento y baja en cuentas de algunos activos y pasivos financieros, con una nueva excepción para algunos pasivos financieros liquidados a través de un sistema de transferencia electrónica de efectivo; - Aclaran y agregan más orientación para evaluar si un activo financiero cumple con el criterio de solamente pagos de principal e intereses (SPPI); - Agregan nuevas revelaciones para ciertos instrumentos con términos contractuales que pueden cambiar los flujos de efectivo (como algunos instrumentos financieros con características vinculadas al logro de objetivos ambientales, sociales y de gobernanza); y - Actualizan las revelaciones para los instrumentos de patrimonio designados a valor razonable a través de otros resultados integrales (FVORI).</t>
  </si>
  <si>
    <t>## Pronunciamientos Contables Emitidos y Aplicables en Períodos Futuros (continuación)</t>
  </si>
  <si>
    <t>- Mejoras anuales a las NIIF – Volumen 11</t>
  </si>
  <si>
    <t>Las mejoras anuales se limitan a cambios que aclaran la redacción en una Norma Contable o corrigen consecuencias no intencionadas relativamente menores, omisiones o conflictos entre los requisitos de las Normas Contables. Las enmiendas de 2024 corresponden a las siguientes normas:</t>
  </si>
  <si>
    <t>- NIIF 1 Adopción por primera vez de las Normas Internacionales de Información Financiera; - NIIF 7 Instrumentos financieros: Información a revelar y su Guía de implementación; - NIIF 9 Instrumentos financieros; - NIIF 10 Estados financieros consolidados; y - NIC 7 Estado de flujos de efectivo.</t>
  </si>
  <si>
    <t>Se aplicará a los ejercicios que comiencen a partir del 1 de enero de 2026, se permite la adopción anticipada.</t>
  </si>
  <si>
    <t>- NIIF 18 “Presentación de información a revelar en los estados financieros”</t>
  </si>
  <si>
    <t>La NIIF 18 se centra en las actualizaciones en la presentación del estado de resultados. Los nuevos conceptos claves introducidos en la NIIF 18 se relacionan con:</t>
  </si>
  <si>
    <t>a) clasificación de ingresos y gastos en tres nuevas categorías definidas para proporcionar una estructura consistente para el estado de resultados: operación, inversión y financiamiento.</t>
  </si>
  <si>
    <t>b) revelaciones requeridas en una sola nota para ciertas medidas de desempeño de pérdidas o ganancias que se informan fuera de los estados financieros de una entidad (medidas del rendimiento definidas por la administración), y cómo éstas se calcula o bien una conciliación con el subtotal más directamente comparable presentado en los estados financieros.</t>
  </si>
  <si>
    <t>c) dos nuevos subtotales requeridos para mejorar el análisis: utilidad operativa y utilidad antes de financiamiento e impuesto sobre la renta.</t>
  </si>
  <si>
    <t>d) Principios mejorados sobre agregación y desagregación que se aplican a los estados financieros principales y a las notas en general.</t>
  </si>
  <si>
    <t>La NIIF 18 sustituirá a la NIC 1. Muchos de los otros principios existentes en la NIC 1 se mantienen, con cambios mínimos. La NIIF 18 no afectará el reconocimiento o medición de partidas en los estados financieros, pero podría cambiar lo que una entidad reporta como su “utilidad o pérdida operativa”. La NIIF 18 se aplicará a los ejercicios que comiencen a partir del 1 de enero de 2027 y a la información comparativa. Se permite la adopción anticipada.</t>
  </si>
  <si>
    <t>No hay otras nuevas normas, modificaciones o interpretaciones que causen un efecto material en el Grupo en el período actual y períodos futuros.</t>
  </si>
  <si>
    <t>Los estados financieros consolidados están expresados en balboas (B/.), la unidad monetaria de la República de Panamá, la cual está a la par y es de libre cambio con el dólar (US$) de los Estados Unidos de América. La República de Panamá no emite papel moneda propio y, en su lugar, el dólar (US$) de los Estados Unidos de América es utilizado como moneda de curso legal y moneda funcional.</t>
  </si>
  <si>
    <t>Un segmento del negocio es un componente identificable del Grupo, encargado de suministrar un único producto o servicio, o bien un conjunto de ellos que se encuentran relacionados y que se caracteriza por estar sometido a riesgos y rendimientos de naturaleza diferente a los que corresponden a otros segmentos del negocio dentro del mismo Grupo. Un segmento geográfico es un componente identificable del Grupo encargado de suministrar productos o servicios dentro de un entorno económico específico, y que se caracteriza por estar sometido a riesgos y rendimientos de naturaleza diferente a los que corresponden a otros componentes operativos que desarrollan su actividad en entornos diferentes. Las operaciones de negocios del Grupo están organizadas y manejadas como un solo segmento de negocios que es el de generación de energía eléctrica, dentro del entorno económico doméstico. Adicionalmente, la organización interna y de reporte del Grupo está predominantemente basada en este segmento.</t>
  </si>
  <si>
    <t>Las subsidiarias son todas las entidades (incluidas las entidades estructuradas) sobre las que el Grupo tiene control. El Grupo controla una entidad cuando el Grupo está expuesto a, o tiene los derechos a los rendimientos variables a partir de la participación en la entidad y tiene la capacidad de afectar dichos rendimientos a través de su poder sobre la entidad. Las subsidiarias son consolidadas desde la fecha en que se transfiere el control al Grupo, y se desconsolidan desde la fecha en que cesa el control.</t>
  </si>
  <si>
    <t>### Efectivo y Equivalentes de Efectivo</t>
  </si>
  <si>
    <t>Para propósitos del estado consolidado de flujos de efectivo, el Grupo considera como efectivo y equivalentes de efectivo, el efectivo y los depósitos en instituciones financieras con vencimientos originales hasta 90 días (véase Nota 5).</t>
  </si>
  <si>
    <t>### Activos Financieros a Costo Amortizado</t>
  </si>
  <si>
    <t>Los activos que se mantienen para el cobro de flujos de efectivo contractuales cuando dichos flujos de efectivo representan solamente pagos de principal e intereses se miden a costo amortizado. Los ingresos recibidos de estos activos financieros se incluyen en los ingresos financieros utilizando el método de interés efectivo.</t>
  </si>
  <si>
    <t>Al 31 de diciembre de 2025 y 2024, los activos financieros incluidos en esta categoría corresponden al efectivo, activo financiero restringido y las cuentas por cobrar.</t>
  </si>
  <si>
    <t>El activo financiero restringido se clasifica como restringido cuando no está disponible para el uso del Grupo. El activo financiero restringido se clasifica como circulante cuando se espera que su liberación ocurra dentro de un año y no circulante cuando su disponibilidad sea mayor que dicho período (Nota 11).</t>
  </si>
  <si>
    <t>El Grupo mantiene las cuentas por cobrar comerciales con el objetivo de cobrar los flujos de efectivo contractuales y, por lo tanto, se miden posteriormente a costo amortizado utilizando el método de interés efectivo, menos cualquier estimación por deterioro.</t>
  </si>
  <si>
    <t>Se establece una provisión por deterioro de cuentas comerciales por cobrar aplicando el enfoque simplificado de la NIIF 9 para medir las pérdidas crediticias esperadas usando una provisión de pérdidas esperadas durante la vida de las cuentas comerciales por cobrar.</t>
  </si>
  <si>
    <t>Los activos financieros se dan de baja cuando los derechos a recibir flujos de efectivo de los activos financieros han expirado o han sido transferidos y el Grupo ha transferido sustancialmente todos los riesgos y beneficios de la propiedad.</t>
  </si>
  <si>
    <t>Los inventarios, que consisten en repuestos y suministros, consumibles que se espera que se utilicen para el mantenimiento de los activos, son presentados al costo (valor de adquisición) o al valor neto de realización, el que sea menor. El costo de inventarios de los repuestos y suministros se determina utilizando el método de costo promedio ponderado. Cada año, la Compañía evalúa la necesidad de registrar cualquier ajuste por deterioro u obsolescencia de inventario.</t>
  </si>
  <si>
    <t>La servidumbre (derecho de uso) se presenta en el estado consolidado de situación financiera, al costo menos la amortización acumulada. La amortización se calcula utilizando el método de línea recta para asignar el costo de estos derechos a su vida útil estimada de 50 años.</t>
  </si>
  <si>
    <t>El terreno no se deprecia. La depreciación se determina utilizando el método de línea recta, sobre la base de la vida útil estimada de los activos respectivos.</t>
  </si>
  <si>
    <t>## Propiedad, Planta y Equipo (continuación)</t>
  </si>
  <si>
    <t>La vida útil estimada de los activos es como se sigue:</t>
  </si>
  <si>
    <t>| Planta y equipo | 10 a 40 años | | --- | --- | | Equipo rodante | 3 a 5 años | | Mobiliario y equipo | 5 a 10 años | | Equipos menores | 3 a 5 años | | Mejoras | 5 a 10 años |</t>
  </si>
  <si>
    <t>El Grupo, como arrendatario, reconoce activos por derechos de uso a valor presente y pasivos por las obligaciones de pago para todos los arrendamientos a valor presente en el estado consolidado de situación financiera.</t>
  </si>
  <si>
    <t>-20-</t>
  </si>
  <si>
    <t>El Grupo hará uso de las opciones provistas para arrendamientos de activos de bajo valor y arrendamientos a corto plazo (menos de doce meses) y reconocerá los pagos directamente en el estado consolidado de resultado integral según el método de línea recta. Además, la norma no se aplica a los arrendamientos de activos intangibles. El Grupo también ejerce la opción disponible para contratos que contienen como también para los que no contienen componentes de arrendamiento, la cual consiste en no dividir estos componentes, excepto en el caso de arrendamientos de bienes inmuebles y aeronaves.</t>
  </si>
  <si>
    <t>Se reconocen las provisiones cuando la Compañía tiene una obligación legal o constructiva como resultado de un evento pasado, si es probable que una salida de los recursos que incorporan beneficios económicos será requerida para cancelar la obligación y una estimación confiable se pueden realizar del monto de la obligación. Cuando la Compañía espera que algunas o todas las provisiones sean reembolsadas, por ejemplo, bajo un contrato de seguro, el reembolso es reconocido como un activo separado, pero sólo cuando el reembolso sea virtualmente seguro. El gasto relacionado con cualquier provisión es presentado en el estado de resultado integral neto de cualquier reembolso.</t>
  </si>
  <si>
    <t>Según la NIIF 15, la Compañía reconoce los ingresos de los contratos con clientes en base al modelo de cinco pasos que se detallan a continuación:</t>
  </si>
  <si>
    <t>- Paso 1: Identificar contratos con clientes: Un contrato se define como el acuerdo entre dos o más partes, en donde se crean derechos y obligaciones requeridas y establece el criterio que se debe cumplir para cada contrato. Los contratos manejados son redactados y agrupados en el mismo tipo de contratos debido a que todos son categorizados en el mismo concepto de ventas de energía. - Paso 2: Identificar las obligaciones del contrato: Una obligación es una promesa en un contrato con un cliente para la transferencia de un bien o servicio. - Paso 3: Determinar el precio de la transacción: El precio de la transacción es el monto del pago que la Compañía espera tener el derecho a cambio de la transferencia del bien o servicio prometido al cliente. - Paso 4: Asignación del precio de la transacción: La Compañía reconoce el precio del contrato por pagar tal como se especifica en el contrato, sujeto a las condiciones y ajustes estipulados o deducciones propuestas, según aplique. - Paso 5: Reconocimiento del ingreso según el criterio establecido por la NIIF 15, la Compañía continúa reconociendo ingresos a lo largo del tiempo en lugar de un tiempo determinado.</t>
  </si>
  <si>
    <t>La Compañía satisface principalmente sus obligaciones de desempeño a través del tiempo, cuando, o a medida que, se satisface una obligación de desempeño, la Compañía reconoce como ingreso el monto del precio de la transacción que está asignado a dicha obligación de desempeño. El precio de la transacción es el monto de consideración al cual la Compañía espera tener derecho. El precio de la transacción se asigna a las obligaciones de desempeño en el contrato basado en precios de venta individual de los bienes o servicios prometidos.</t>
  </si>
  <si>
    <t>## Reconocimiento de Ingresos (continuación)</t>
  </si>
  <si>
    <t>El Grupo reconoce los ingresos en los períodos en que entrega la electricidad y provee capacidad de generación. Los precios contratados son facturados de conformidad con las provisiones aplicables a los contratos de venta de energía y las ventas del mercado ocasional son facturadas de conformidad con los precios prevalecientes del mercado. La unidad de medida de los precios de contrato es el megavatio MW. Los siguientes criterios deben ser cumplidos para reconocer los ingresos: (1) evidencia persuasiva de que existe el acuerdo; (2) la entrega ha ocurrido o el servicio ha sido provisto; (3) el precio al comprador es fijo o determinable; y (4) el cobro está razonablemente asegurado. Los ingresos son medidos a su valor razonable basados en la consideración recibida o que se recibirá por la venta de energía.</t>
  </si>
  <si>
    <t>### Utilidad Básica por Acción</t>
  </si>
  <si>
    <t>La utilidad básica por acción mide el desempeño del Grupo sobre el año reportado y se calcula dividiendo la utilidad entre el número promedio ponderado de acciones comunes en circulación durante el año.</t>
  </si>
  <si>
    <t>3. Administración del Riesgo de Instrumentos Financieros</t>
  </si>
  <si>
    <t>El riesgo de crédito se origina de los depósitos en bancos, cuentas por cobrar, efectivo restringido y consiste en que la contraparte sea incapaz de hacer frente a la obligación contraída, ocasionando pérdidas financieras al Grupo.</t>
  </si>
  <si>
    <t>El Grupo tiene políticas que aseguran que las cuentas por cobrar se limiten al importe de crédito y las cuentas por cobrar son monitoreadas periódicamente. Estos factores, entre otros, dan por resultado que la exposición del Grupo a cuentas incobrables no es significativa. El riesgo de crédito surge de las cuentas bancarias y las cuentas por cobrar.</t>
  </si>
  <si>
    <t>En cuanto a las cuentas bancarias, el Grupo mantiene una concentración de sus depósitos con Banco General, S. A., el cual cuenta con una clasificación de riesgo internacional de “BBB”, según la agencia calificadora de riesgo Standard &amp;amp; Poor’s y de “BBB-”, según la agencia calificadora de riesgo Fitch Ratings.</t>
  </si>
  <si>
    <t>En relación a las cuentas por cobrar, el Grupo tiene una concentración de sus ventas y cuentas por cobrar con las dos compañías de distribución de electricidad que operan en la República de Panamá. Las ventas realizadas a estos clientes representan aproximadamente el 78% (2024: 82%) del total de los ingresos y el 74% (2024: 80%) del total de las cuentas por cobrar al cierre del período. Esta concentración del riesgo es mitigada por el hecho de que la demanda de energía eléctrica en Panamá sigue creciendo sostenidamente y que el mercado de energía está muy bien estructurado y regulado por las autoridades gubernamentales. Para cada transacción de venta se requiere una garantía y el término de pago de facturas originadas en el mercado eléctrico de Panamá se promedia en un rango de 30 a 45 días a partir de la fecha de presentación de la factura. La garantía es una carta de crédito pagadera al cobro contra cualquier evento de incumplimiento por morosidad o pago incobrable. No se ha tenido ningún evento de incumplimiento por facturas no pagadas al 31 de diciembre de 2025.</t>
  </si>
  <si>
    <t>3. Administración del Riesgo de Instrumentos Financieros (Continuación)</t>
  </si>
  <si>
    <t>### Riesgo de Tasa de Interés</t>
  </si>
  <si>
    <t>El riesgo de tasa de interés surge de la posibilidad de que los flujos de efectivo futuros y los resultados financieros se vean afectados por variaciones en las tasas de interés de mercado.</t>
  </si>
  <si>
    <t>La exposición de la Compañía a este riesgo está relacionada con los siguientes instrumentos financieros:</t>
  </si>
  <si>
    <t>- Bonos por pagar a tasa fija, que generan pagos contractuales de intereses a una tasa previamente definida. - Depósitos a plazo a tasa fija, que generan ingresos financieros a tasas contractuales fijas durante su vigencia.</t>
  </si>
  <si>
    <t>Dado que la totalidad de estos instrumentos devenga intereses a tasa fija, la Compañía no se encuentra expuesta a variaciones en flujos de efectivo ni en resultados derivadas de cambios en las tasas de interés de mercado durante la vida contractual de dichos instrumentos.</t>
  </si>
  <si>
    <t>| | Menos de un Año | Entre 1 y 5 Años | Más de 5 Años | | --- | --- | --- | --- | | 2025 | | | | | Préstamos por pagar | 215,241 | 2,275,211 | - | | Bonos por pagar | 8,791,215 | 151,910,586 | - | | Intereses de bonos por pagar | 21,419 | - | - | | Cuentas por pagar | 1,148,554 | - | - | | Obligación por arrendamiento | 4,074 | - | - | | 2024 | | | | | Préstamos por pagar | 67,845 | 2,679,481 | - | | Bonos por pagar | 8,791,215 | 63,446,898 | 99,503,745 | | Intereses de bonos por pagar | 22,920 | - | - | | Cuentas por pagar | 614,193 | - | - | | Obligación por arrendamiento | 32,604 | 4,078 | - |</t>
  </si>
  <si>
    <t>-26-</t>
  </si>
  <si>
    <t>| | 2025 | 2024 | | --- | --- | --- | | Total de bonos y préstamos por pagar (Notas 16 y 17) | 133,740,452 | 142,997,326 | | Menos: Efectivo | (19,057,503) | (9,494,389) | | Activo financiero restringido | (4,260,349) | (4,197,349) | | Deuda neta | 110,422,600 | 129,305,588 | | Total de patrimonio | 162,157,402 | 155,342,892 | | Total de capital | 272,580,002 | 284,648,480 | | Razón de apalancamiento | 41% | 45% |</t>
  </si>
  <si>
    <t>## Medición del Valor Razonable</t>
  </si>
  <si>
    <t>Para propósitos de divulgación, las Normas de Contabilidad NIIF especifican una jerarquía del valor razonable que clasifica en tres niveles, en base a las variables utilizadas en las técnicas de valorización para medir el valor razonable. La jerarquía se basa en la transparencia de las variables que se utilizan en la valorización de un activo a la fecha de su valorización. Estos tres niveles son los siguientes:</t>
  </si>
  <si>
    <t>- Nivel 1: Precios cotizados (no ajustados) en mercados activos para activos y pasivos idénticos a la fecha de medición. - Nivel 2: Variables distintas a los precios cotizados incluidos en el Nivel 1 que son observables para el activo o pasivo, ya sea directamente (es decir, precios) o indirectamente (es decir, derivados de los precios). - Nivel 3: Variables no observables para el activo y pasivo.</t>
  </si>
  <si>
    <t>### Medición del Valor Razonable (continuación)</t>
  </si>
  <si>
    <t>El Grupo no mantiene activos y pasivos registrados a valor razonable en el estado consolidado de situación financiera. Para los instrumentos financieros que no están registrados a su valor razonable en el estado consolidado de situación financiera, su valor en libros se aproxima a su valor razonable, debido a su naturaleza de corto plazo y bajo riesgo de crédito (en los casos de activos). Estos instrumentos financieros incluyen: el efectivo, cuentas por cobrar, cuentas por pagar, préstamos por pagar (porción circulante) y cuentas con compañías relacionadas. Para los bonos y préstamos a largo plazo, el valor razonable se divulga en la Nota 16 (Bonos).</t>
  </si>
  <si>
    <t>4. Estimaciones de Contabilidad y Juicios Críticos</t>
  </si>
  <si>
    <t>### Estimaciones de Contabilidad</t>
  </si>
  <si>
    <t>#### Depreciación de Propiedad, Planta y Equipo</t>
  </si>
  <si>
    <t>El Grupo realiza ajustes en la evaluación de la vida estimada de los activos y en la determinación de valores residuales estimados, como aplique. La depreciación es calculada bajo el método de línea recta, basado en la vida útil estimada de los activos. Estas estimaciones son basadas en el análisis de los ciclos de vida de los activos y el valor potencial al final de su vida útil. El valor de residual y la vida útil son revisados y ajustados, de ser apropiado, al final de cada período.</t>
  </si>
  <si>
    <t>#### Impuesto sobre la Renta</t>
  </si>
  <si>
    <t>#### Estimación de Deterioro de la Plusvalía</t>
  </si>
  <si>
    <t>El Grupo verifica anualmente si la plusvalía ha sufrido un deterioro, de acuerdo con la política contable presentada en la Nota 2. El monto recuperable como unidad generadora de efectivo es determinada mediante el cálculo del valor en uso. Ese cálculo requiere del uso de estimaciones.</t>
  </si>
  <si>
    <t>5. Efectivo y Equivalentes de Efectivo</t>
  </si>
  <si>
    <t>El desglose del efectivo y equivalentes de efectivo se presenta a continuación:</t>
  </si>
  <si>
    <t>| | 2025 | 2024 | | --- | --- | --- | | Caja menuda | 1,107 | 2,038 | | Cuentas corrientes y ahorros | 3,056,396 | 9,492,351 | | Depósitos a plazo fijo | 16,000,000 | - | | Total de efectivo | 19,057,503 | 9,494,389 | | Menos: Depósito a plazo con vencimiento original mayor a tres meses | 8,000,000 | - | | Total de efectivo y equivalentes de efectivo para propósitos del estado consolidado de flujos de efectivo | 11,057,503 | 9,494,389 |</t>
  </si>
  <si>
    <t>Los depósitos a plazo fijo devengan un interés del 3.3750% (2024: 0%), con vencimientos entre marzo y junio de 2026.</t>
  </si>
  <si>
    <t>| | 2025 | 2024 | | --- | --- | --- | | Edemet-Edechi | 4,168,422 | 4,761,415 | | Elektra Noreste, S. A. | 2,590,274 | 2,207,186 | | Otras | 1,844,010 | 3,049,767 | | | 8,602,706 | 10,018,368 |</t>
  </si>
  <si>
    <t>Todas las cuentas por cobrar deben ser cobradas en los próximos dos meses. Al 31 de diciembre de 2025, no había cuentas por cobrar vencidas y deterioradas, por lo cual no se ha reconocido una reserva para pérdidas crediticias esperadas.</t>
  </si>
  <si>
    <t>7. Inventario de Repuestos y Suministros</t>
  </si>
  <si>
    <t>Inventario</t>
  </si>
  <si>
    <t>Los inventarios de repuesto y suministros se presentan de la siguiente forma:</t>
  </si>
  <si>
    <t>| | 2025 | 2024 | | --- | --- | --- | | Repuestos y piezas | 2,205,135 | 1,739,658 | | Combustible y lubricantes | 169,286 | 195,781 | | Otros insumos | 68,953 | 20,582 | | Inventario en tránsito | 223,036 | 359,578 | | | 2,666,409 | 2,315,599 |</t>
  </si>
  <si>
    <t>8. Gastos Pagados por Adelantado</t>
  </si>
  <si>
    <t>| | 2025 | 2024 | | --- | --- | --- | | Impuesto sobre la renta | 417,667 | 115,104 | | Seguros | 308,790 | 237,464 | | Otros | 110,329 | 123,117 | | | 836,786 | 475,685 |</t>
  </si>
  <si>
    <t>-30-</t>
  </si>
  <si>
    <t>Notas a los Estados Financieros Consolidados</t>
  </si>
  <si>
    <t>31 de diciembre de 2025</t>
  </si>
  <si>
    <t>9. Propiedad, Planta y Equipo, Neto</t>
  </si>
  <si>
    <t>La propiedad, planta y equipo se presentan a continuación:</t>
  </si>
  <si>
    <t xml:space="preserve">| | Terreno | Mobiliario y Equipo | Software | Velículos | Planta y equipo | Construcción en Proceso | Edificio | Mejoras | Total | | --- | --- | --- | --- | --- | --- | --- | --- | --- | --- | | Saldo neto al 31 de diciembre de 2023 | 13,271,214 | 128,130 | - | 58,868 | 261,014,404 | 3,585,503 | 70,567 | 14,449 | 278,143,135 | | Adiciones | - | 58,004 | - | 63,685 | 3,860,041 | (3,585,503) | - | 6,692 | 402,919 | | Depreciación | - | (50,593) | - | (30,318) | (12,314,078) | - | (2,524) | (3,655) | (12,401,168) | | Saldo neto al 31 de diciembre de 2024 | 13,271,214 | 135,541 | - | 92,235 | 252,560,367 | - | 68,043 | 17,486 | 266,144,886 | | Adiciones | - | 35,929 | 5,370 | 86,340 | 284,147 | - | - | 30,070 | 441,856 | | Depreciación | - | (59,655) | (313) | (39,266) | (12,366,041) | - | (2,488) | (7,386) | (12,475,149) | | Saldo neto al 31 de diciembre de 2025 | 13,271,214 | 111,815 | 5,057 | 139,309 | 240,478,473 | - | 65,555 | 40,170 | 254,111,593 | | 2025 | | | | | | | | | | | Costo | 13,271,214 | 576,043 | 5,370 | 684,704 | 388,580,243 | - | 99,240 | 177,864 | 403,394,678 | | Depreciación acumulada | - | (464,228) | (313) | (545,395) | (148,101,770) | - | (33,685) | (137,694) | (149,283,085) | | Saldo neto al 31 de diciembre de 2025 | 13,271,214 | 111,815 | 5,057 | 139,309 | 240,478,473 | - | 65,555 | 40,170 | 254,111,593 | | 2024 | | | | | | | | | | | Costo | 13,271,214 | 710,066 | - | 598,726 | 388,296,094 | - | 99,240 | 147,794 | 403,123,134 | | Depreciación acumulada </t>
  </si>
  <si>
    <t>Al 31 de diciembre de 2025 y 2024, la propiedad, planta y equipo se encuentran en garantía de los bonos por pagar (véase Nota 16).</t>
  </si>
  <si>
    <t>-31-</t>
  </si>
  <si>
    <t>9. Propiedad, Planta y Equipo, Neto (Continuación)</t>
  </si>
  <si>
    <t>10. Otros Activos</t>
  </si>
  <si>
    <t>| | 2025 | 2024 | | --- | --- | --- | | Adelanto en compras de terreno | 223,003 | 224,028 | | Fondo de cesantía | 304,815 | 273,086 | | Adelanto a proveedores y contratistas | 143,768 | 223,818 | | Intereses por cobrar de activo financiero restringido | 77,990 | 61,939 | | Depósito de garantía | 7,138 | 7,138 | | Otros | 25,206 | 37,510 | | | 781,920 | 827,543 | | Menos: Porción circulante | 497,274 | 551,482 | | Porción no circulante | 284,646 | 276,061 |</t>
  </si>
  <si>
    <t>11. Activo Financiero Restringido</t>
  </si>
  <si>
    <t>El activo financiero restringido corresponde a Hydro Caisán, S. A. por B/.4,260,349 (2024: B/.4,197,349) y se relaciona con los bonos corporativos emitidos que totalizaban B/.131,250,000 (2024: B/.140,250,000) (véase Nota 16).</t>
  </si>
  <si>
    <t>12. Plusvalía</t>
  </si>
  <si>
    <t>| | 2025 | 2024 | | --- | --- | --- | | Pedregalito 1 y 2 | 723,071 | 723,071 | | Cochea | 739,506 | 739,506 | | El Alto | 5,571,173 | 5,571,173 | | | 7,033,750 | 7,033,750 |</t>
  </si>
  <si>
    <t>Los importes recuperables de las unidades de efectivo se han calculado en función de su valor de uso, que se determina descontando los flujos futuros de efectivo esperados de la utilización continua de cada unidad. El cálculo del valor de uso se basa en los supuestos básicos siguientes:</t>
  </si>
  <si>
    <t>- Se utilizaron los resultados reales de funcionamiento del 2025 y el plan de negocio para el 2026 para proyectar los flujos futuros de efectivo. Los flujos futuros de efectivo fueron proyectados utilizando tasas de crecimiento promedio basadas en los supuestos a largo plazo de las tasas de crecimiento, proyección de hidrología anual, precio de potencia y energía contratados y precio proyectados de mercado ocasional. El período de pronóstico se basa en la perspectiva a largo plazo del Grupo que se determinó en 10 años.</t>
  </si>
  <si>
    <t>- La tasa de descuento del 9.33% (2024: 10.13%) se calculó sobre la base del costo promedio ponderado del capital (WACC, por sus siglas en inglés) para el Grupo.</t>
  </si>
  <si>
    <t>| | 2025 | 2024 | | --- | --- | --- | | Saldo neto al inicio del año | 499,640 | 512,733 | | Adiciones | 24,000 | - | | Amortización del año | (13,651) | (13,093) | | Saldo neto al final del año | 509,989 | 499,640 | | Valor neto en libros | | | | Costo | 717,616 | 717,616 | | Amortización acumulada | (207,627) | (217,976) | | Saldo neto | 509,989 | 499,640 |</t>
  </si>
  <si>
    <t>14. Arrendamientos</t>
  </si>
  <si>
    <t>El Grupo mantiene arrendada la oficina principal donde se encuentra su domicilio administrativo. El arrendamiento se contabiliza en el estado consolidado de situación financiera como un activo por derecho de uso y un pasivo por arrendamiento. El arrendamiento de propiedades generalmente tiene un plazo de arrendamiento que varía de 1 a 5 años, el cual puede tener condiciones que sean prorrogables. El pago del arrendamiento se realiza por montos fijos mensuales.</t>
  </si>
  <si>
    <t>14. Arrendamientos (Continuación)</t>
  </si>
  <si>
    <t>| | 2025 | 2024 | | --- | --- | --- | | Saldo neto al inicio del año | 36,682 | 69,290 | | Depreciación del año | (32,608) | (32,608) | | Saldo neto al final del año | 4,074 | 36,682 |</t>
  </si>
  <si>
    <t>| | 2025 | 2024 | | --- | --- | --- | | Activos por derecho de uso | | | | Costo | 314,345 | 314,345 | | Adenda al contrato | (64,530) | (64,530) | | Depreciación acumulada | (245,741) | (213,133) | | Valor neto | 4,074 | 36,682 | | Pasivos por arrendamientos | | | | Circulante | 4,074 | 32,604 | | No circulante | - | 4,078 | | | 4,074 | 36,682 |</t>
  </si>
  <si>
    <t>| | 2025 | 2024 | | --- | --- | --- | | Menos de un año | 36,000 | 36,000 | | Más de 1 año y menos de 5 años | 95,875 | 95,872 | | Total de pagos mínimos bajo arrendamiento | 131,872 | 131,872 | | Menos: Tasa de descuento | (127,798) | (95,190) | | Valor presente de los pagos mínimos | 4,074 | 36,682 | | Menos porción circulante | (4,074) | (32,604) | | Obligación de arrendamiento financiero largo plazo | - | 4,078 |</t>
  </si>
  <si>
    <t>| | 2025 | 2024 | | --- | --- | --- | | Agentes del mercado y otros proveedores | 1,142,597 | 607,649 | | Cuentas por pagar otras | 5,957 | 6,544 | | | 1,148,554 | 614,193 |</t>
  </si>
  <si>
    <t>| | 2025 | 2024 | | --- | --- | --- | | Hydro Caisán, S. A. | | | | Bonos corporativos con vencimiento el 5 de octubre de 2030 | 131,250,000 | 140,250,000 | | Intereses por pagar | 21,419 | 22,920 | | Costos de financiamiento diferidos, neto | (1,007,927) | (1,216,713) | | Bonos e intereses por pagar, neto | 130,263,492 | 139,056,207 | | Menos: Porción circulante | (8,791,215) | (8,791,215) | | Intereses por pagar | (21,419) | (22,920) | | Porción no circulante | 121,450,858 | 130,242,072 |</t>
  </si>
  <si>
    <t>Al 31 de diciembre, el movimiento de los bonos por pagar se presenta a continuación:</t>
  </si>
  <si>
    <t>| | 2025 | 2024 | | --- | --- | --- | | Saldo al inicio del año | 139,056,207 | 152,049,345 | | Pago de bonos | (9,000,000) | (12,750,000) | | Gasto por intereses | 8,323,100 | 7,452,517 | | Pago de intereses | (8,324,602) | (7,904,441) | | Amortización de costos financieros de emisión | 208,786 | 208,786 | | | 130,263,492 | 139,056,207 |</t>
  </si>
  <si>
    <t>| | 2025 | 2024 | | --- | --- | --- | | Saldo al inicio del año | 1,216,713 | 1,425,499 | | Amortización del año | (208,786) | (208,786) | | Saldo neto al final del año | 1,007,927 | 1,216,713 |</t>
  </si>
  <si>
    <t>Los intereses de los bonos por pagar ascendían a B/.21,419 (2024: B/.22,920).</t>
  </si>
  <si>
    <t>| | 2025 | 2024 | | --- | --- | --- | | A un año | 9,000,000 | 9,000,000 | | Entre 2 y 5 años | 122,250,000 | 36,000,000 | | Más de 5 años | - | 95,250,000 | | | 131,250,000 | 140,250,000 |</t>
  </si>
  <si>
    <t>Los Bonos corporativos, emitidos con fecha efectiva 5 de octubre 2020, están respaldados por fianza solidaria de Panama Power Holdings, Inc., y PPH Financing Services, S. A. y por un fideicomiso de garantía y contaba con fianza solidarias de Generadora Pedregalito, S. A., Generadora Río Chico, S. A, y Generadora Alto Valle, S. A.</t>
  </si>
  <si>
    <t>La emisión está respaldada por un fideicomiso de garantía cuyo fiduciario es BG Trust, Inc., al cual han sido y serán cedidos, según aplique, la totalidad de los activos correspondientes a bienes muebles e inmuebles, hipoteca sobre la concesión, todos los contratos, cesión de flujos, cuentas por cobrar, depósitos bancarios, cartas de crédito de garantía, y seguros de operación de la Subsidiarias Hydro Caisán, S. A.</t>
  </si>
  <si>
    <t>Adicionalmente, Hydro Caisán, S. A. se comprometió a causar que Panama Power Holdings, Inc. y las demás compañías de los Proyectos mantengan y cumplan de manera consolidada con una Razón de Cobertura de Servicio de Deuda mayor a 1.25x para los últimos doce (12) meses como requisito financiero y como condición para pagos restringidos. Al 31 de diciembre de 2025, la razón de cobertura de servicio de deuda es de 1.84x (2024: 1.83x).</t>
  </si>
  <si>
    <t>El valor razonable de los bonos por pagar al 31 de diciembre de 2025 es de B/.115,955,351 (2024: B/.110,119,162), determinado en base de flujos descontados de caja utilizando una tasa del 8.693% (2024: 10.833%) y está incluido en el Nivel 3 de la jerarquía del valor razonable.</t>
  </si>
  <si>
    <t>La tasa de descuento del 8.693% utilizada para estimar el valor razonable de los bonos se fundamenta en el rendimiento de los Bonos Globales de la República de Panamá, ajustado por el riesgo crediticio de la Compañía y el plazo remanente de los bonos a la fecha del informe. En consecuencia, dicha tasa representa una suposición que reflejaría las condiciones y expectativas de los participantes del mercado a la fecha de medición.</t>
  </si>
  <si>
    <t>Los préstamos por pagar están contratados con Banco General, S.A. y ascienden a B/.2,490,452 (2024: B/.2,747,326).</t>
  </si>
  <si>
    <t>| | 2025 | 2024 | | --- | --- | --- | | A 1 año | 215,241 | 67,845 | | Más de 1 año | 2,275,211 | 2,679,481 | | | 2,490,452 | 2,747,326 |</t>
  </si>
  <si>
    <t>En mayo de 2022, PPH Financing Services, S. A. suscribió un Acuerdo de Reembolso con Hydro Caisán, S. A., mediante el cual ésta se compromete a reembolsar a PPH Financing Services, Inc. los intereses y costos relacionados al Contrato de Línea de Adelantos No Rotativa para financiar la construcción de una mini central en El Alto, suscrita entre PPH Financing Services, S. A. y Banco General, S. A., mientras se encuentre vigente el financiamiento.</t>
  </si>
  <si>
    <t>| | 2025 | 2024 | | --- | --- | --- | | Reservas laborales | 737,865 | 626,807 | | Obras comunitarias | 595,242 | 472,560 | | Titulaciones en trámite | 161,236 | 147,902 | | Pasivos laborales | 50,175 | 50,916 | | Otros | 74,942 | 64,740 | | | 1,619,460 | 1,362,925 | | Menos: Porción circulante | 1,330,438 | 1,101,389 | | Porción no circulante | 289,022 | 261,536 |</t>
  </si>
  <si>
    <t>-39-</t>
  </si>
  <si>
    <t>El número total de acciones comunes autorizadas es de 26,250,000 acciones con valor nominal de B/.1 cada una. Al 31 de diciembre de 2025, la Compañía tenía emitidas y en circulación un total de 16,575,011 (2024: 16,575,011) acciones comunes.</t>
  </si>
  <si>
    <t>Las acciones comunes han sido registradas en el mercado secundario de la Bolsa Latinoamericana de Valores, S. A., en noviembre de 2011.</t>
  </si>
  <si>
    <t>-40-</t>
  </si>
  <si>
    <t>**Suscripción de Acciones Comunes (continuación)**</t>
  </si>
  <si>
    <t>| | 2025 | 2024 | | --- | --- | --- | | Valor de suscripción de acciones comunes | 134,477,692 | 142,765,197 | | Devolución parcial del excedente en valor de suscripción de acciones comunes | (2,486,252) | (8,287,505) | | Costos directos de emisión de acciones comunes | (23,988) | (23,988) | | Valor nominal de acciones comunes emitidas | (16,575,011) | (16,575,011) | | Excedente en valor de suscripción de acciones comunes | 115,392,441 | 117,878,693 |</t>
  </si>
  <si>
    <t>Panama Power Holdings, Inc. aprobó las siguientes distribuciones a sus accionistas comunes: B/.0.15 por acción común a ser pagada el 23 de diciembre de 2025, B/.0.15 por acción común a ser pagada el 23 de marzo de 2026, B/.0.15 por acción común a ser pagada el 23 de junio de 2026 y B/.0.15 por acción común a ser pagada el 23 de septiembre de 2026. Cada uno de estos pagos trimestrales se realizará mediante devolución parcial del excedente en valor de suscripción de acciones comunes y será pagado a los accionistas registrados en los libros de la compañía en las siguientes fechas: 16 de diciembre de 2025, 16 de marzo de 2026, 16 de junio de 2026 y 16 de septiembre de 2026, respectivamente.</t>
  </si>
  <si>
    <t>El número total de acciones preferidas autorizadas es de 3,750,000 acciones sin valor nominal. Al 31 de diciembre de 2025, la Compañía había emitido 3,597,000 (2024: 3,597,000) acciones preferidas.</t>
  </si>
  <si>
    <t>Los ingresos por venta de energía son reconocidos a través del tiempo y están compuestos y de la siguiente manera:</t>
  </si>
  <si>
    <t>| | 2025 | 2024 | | --- | --- | --- | | Ingresos por contratos con clientes | | | | Venta de energía - contratada | 20,082,345 | 26,320,917 | | Venta de capacidad - contratada | 13,011,862 | 11,084,284 | | | 33,094,207 | 37,405,201 | | Ingresos por mercado ocasional | | | | Venta de capacidad - mercado ocasional | 85,160 | 30,024 | | Venta de energía - mercado ocasional | 13,543,082 | 15,921,002 | | Servicios auxiliares y otros | 1,635,595 | 2,000,270 | | | 15,263,837 | 17,951,296 | | Total de ingresos por venta de energía | 48,358,044 | 55,356,497 | | Ingresos por crédito fiscal y otros | | | | Ingresos por crédito fiscal | 1,829,780 | 600,000 | | Otros ingresos | 92,427 | 42,966 | | | 1,922,207 | 642,966 |</t>
  </si>
  <si>
    <t>| | 2025 | 2024 | | --- | --- | --- | | Gastos de honorarios profesionales - otras partes relacionadas | 1,278,900 | 1,278,900 |</t>
  </si>
  <si>
    <t>El pago en concepto de salarios y otras compensaciones al personal gerencial clave por el año terminado el 31 de diciembre de 2025 era de B/.369,797 (2024: B/.282,546).</t>
  </si>
  <si>
    <t>| | 2025 | 2024 | | --- | --- | --- | | Depreciación y amortización (Notas 9, 13, 14) | 12,521,408 | 12,446,869 | | Costo de personal | 2,503,486 | 2,261,391 | | Fianzas y seguros | 1,715,633 | 1,789,413 | | Honorarios profesionales (Nota 21) | 1,311,586 | 1,301,049 | | Mantenimientos de planta | 1,061,842 | 735,830 | | Impuestos generales | 547,287 | 480,945 | | Ambientales y regulador | 509,766 | 426,737 | | Vehículos y transporte | 240,044 | 239,669 | | Vigilancia | 216,184 | 237,239 | | Ayuda comunitaria | 212,345 | 212,345 | | Servicios públicos, alquileres y gastos de oficina | 117,943 | 120,234 | | Auditoría | 84,622 | 84,345 | | Honorarios por comercialización | 62,175 | 51,600 | | Honorarios legales | 59,823 | 86,056 | | Otros | 46,153 | 34,010 | | | 21,210,297 | 20,507,732 |</t>
  </si>
  <si>
    <t>-43-</t>
  </si>
  <si>
    <t>| | 2025 | 2024 | | --- | --- | --- | | Utilidad neta | 9,300,804 | 9,481,233 | | Número promedio ponderado de acciones comunes | 16,575,011 | 16,575,011 | | Utilidad integral básica por acción | 0.56 | 0.57 |</t>
  </si>
  <si>
    <t>Al 31 de diciembre de 2025, aseguradoras y bancos locales habían emitido fianzas y cartas de garantías bancarias por un total de B/.13,544,255 (2024: B/.12,744,104), para respaldar obligaciones del Grupo como parte del giro de negocio.</t>
  </si>
  <si>
    <t>Las Centrales Hidroeléctricas Pedregalito 1, Pedregalito 2, Cochea y El Alto, han adquirido contratos de concesión de cincuenta años que otorgan ciertos derechos, incluyendo la generación y venta de electricidad a ser producidas por las plantas hidroeléctricas y los derechos de agua para el uso de los ríos Chico, Cochea y Chiriquí Viejo.</t>
  </si>
  <si>
    <t>La subsidiaria Hydro Caisán, S. A. está obligada a administrar, operar y dar mantenimiento a las plantas durante el término de los contratos. Dicho término podrá ser renovado por unos cincuenta años adicionales sujetos a la aprobación previa de la Autoridad Nacional de los Servicios Públicos (ASEP), que es el ente regulador de los servicios públicos.</t>
  </si>
  <si>
    <t>- La ASEP otorga a el Grupo una concesión para la generación de energía hidroeléctrica mediante la explotación del aprovechamiento hidroeléctrico ubicado sobre los ríos Chico, Cochea y Chiriquí Viejo. - La Compañía está autorizada a prestar el servicio público de generación de electricidad, el cual comprende la construcción, instalación, operación y mantenimiento de una central de generación eléctrica, con sus respectivas líneas de conexión a las redes de transmisión y equipos de transformación, con el fin de producir y vender energía en el sistema eléctrico nacional y/o internacional.</t>
  </si>
  <si>
    <t>- El término de la vigencia de cada una de las concesiones otorgadas tiene una duración de cincuenta (50) años. El mismo puede ser prorrogado por un período de hasta cincuenta (50) años, previa solicitud a la ASEP. - La Compañía tendrá la libre disponibilidad de los bienes propios y los bienes de los complejos. - La Compañía tendrá los derechos sobre los bienes inmuebles y derechos de vía o paso en el Área de Concesión pudiendo realizar todas las actividades necesarias para la generación, transporte y venta de energía hidroeléctrica. Así mismo, el Grupo también tendrá el derecho de vía o acceso a las áreas del complejo hidroeléctrico actualmente habilitadas y en uso. - La Compañía podrá solicitar la adquisición forzosa de inmuebles y la constitución de servidumbres a su favor conforme lo estipula la Ley No.6 de 1997 y su reglamento.</t>
  </si>
  <si>
    <t>Las siguientes centrales poseen derecho de concesión otorgado por la ASEP, y tienen emitidas Fianzas de Cumplimiento a favor de la ASEP y/o Contraloría General de la República, como es requerido por el contrato de concesión:</t>
  </si>
  <si>
    <t>| Planta | Río | Fecha de Refrendo de Contrato | Monto de la Fianza | | --- | --- | --- | --- | | Pedregalito 1 | Chico | 27 de julio de 2009 | 125,000 | | Cochea | Cochea | 27 de julio de 2009 | 100,000 | | El Alto | Chiriquí Viejo | 13 de abril de 2007 | 268,000 | | Pedregalito 2 | Chico | 29 de abril de 2011 | 85,000 |</t>
  </si>
  <si>
    <t>Mediante Resolución AN No. 18482-Elec del 14 de junio de 2023, la ASEP otorgó Licencia Definitiva a la Central Fotovoltaica Pedregalito Solar Power, para la construcción y explotación de un proyecto de generación fotovoltaica denominada Pedregalito Solar Power con una potencia nominal AC de 9.9MW.</t>
  </si>
  <si>
    <t>### Certificado de Operación Comercial</t>
  </si>
  <si>
    <t>Mediante nota No. ETE-DCND-GOP-PMP-408-2025 de 12 de mayo de 2025, el Centro Nacional de Despacho otorgó el Certificado de Entrada en Operación Comercial a la central fotovoltaica Pedregalito Solar Power, a partir de 2 de mayo de 2025.</t>
  </si>
  <si>
    <t>## Central Hidroeléctrica Pedregalito 1</t>
  </si>
  <si>
    <t>- Contratos de suministro de potencia y energía asociada firmados en junio de 2011 con Empresa de Distribución Eléctrica Metro-Oeste, S. A. (EDEMET), Empresa de Distribución Eléctrica Chiriquí, S. A. (EDECHI) y Elektra Noreste, S. A. (ENSA), que abarcan los períodos comprendidos de 2012 a 2029. Al 31 de diciembre de 2025, estos contratos estaban respaldados por fianzas de cumplimiento emitidas por Acerta Compañía de Seguros, S. A. por B/.307,310 (EDEMET), B/.30,699 (EDECHI) y B/.122,933 (ENSA).</t>
  </si>
  <si>
    <t>- Contratos de suministro de sólo energía firmados en junio de 2013 con las compañías Empresa de Distribución Eléctrica Metro Oeste, S. A. (EDEMET), Empresa de Distribución Eléctrica Chiriquí, S. A. (EDECHI) y Elektra Noreste, S. A. (ENSA), que abarcan los períodos comprendidos del 1 de diciembre de 2015 al 31 de diciembre de 2027. Al 31 de diciembre de 2025, estos contratos estaban respaldados por fianzas de cumplimiento emitidas por Acerta Compañía de Seguros, S. A. por B/.559,341 (EDEMET), B/.189,608 (EDECHI) y B/.233,470 (ENSA).</t>
  </si>
  <si>
    <t>## Central Hidroeléctrica Pedregalito 2</t>
  </si>
  <si>
    <t>-46-</t>
  </si>
  <si>
    <t>## Central Hidroeléctrica Cochea</t>
  </si>
  <si>
    <t>- Contrato de suministro de potencia y energía asociada firmado en julio de 2025 con Elektra Noreste, S. A. (ENSA), que abarca los períodos comprendidos de 2026 a 2040. Al 31 de diciembre de 2025 este contrato estaba respaldado por fianza de cumplimiento emitida por Acerta Compañía de Seguros, S. A. por B/.85,582. Este contrato es producto de una cesión por parte de un tercero, los costos asociados con el suministro de este contrato serán incluidos en el costo de venta de energía.</t>
  </si>
  <si>
    <t>## Central Hidroeléctrica El Alto</t>
  </si>
  <si>
    <t>- Contratos de suministro de largo plazo de potencia y energía firmados en octubre de 2008 con Empresa de Distribución Eléctrica Metro-Oeste, S. A. (EDEMET) y con Elektra Noreste, S. A. (ENSA), que abarcan los períodos comprendidos de 2016 a 2025. Con fecha efectiva 25 de julio de 2014, la ASEP aprobó la enmienda No.4 al Contrato DME-010-08 de Potencia y Energía suscrito entre Elektra Noreste, S. A. (ENSA) e Hydro Caisán, S. A., y la enmienda No.5 al Contrato No.05-08 de Potencia y Energía, suscrito entre Empresa Distribuidora Metro-Oeste (EDEMET), ambas enmiendas extienden la fecha de inicio del contrato hasta el 1 de enero de 2016. Al 31 de diciembre de 2025, estos contratos estaban respaldados por fianzas de cumplimiento emitidas por Acerta Compañía de Seguros, S. A. por B/.965,788 (EDEMET) y B/.288,363 (ENSA).</t>
  </si>
  <si>
    <t>## Central Hidroeléctrica El Alto (continuación)</t>
  </si>
  <si>
    <t>### Contratos de energía (continuación)</t>
  </si>
  <si>
    <t>- Contratos de suministro de Sólo Energía firmados en febrero de 2015 con las compañías Empresa de Distribución Eléctrica Metro-Oeste, S. A. (EDEMET) Empresa de Distribución Eléctrica Chiriquí, S. A. (EDECHI) y Elektra Noreste, S. A. (ENSA), que abarcan los períodos comprendidos del 1 de octubre de 2026 al 28 de febrero de 2030. Al 31 de diciembre de 2025, estos contratos estaban respaldados por fianzas de cumplimiento emitidas por Acerta Compañía de Seguros, S. A. por B/.57,300 (EDEMET), B/.262,624 (EDECHI) y B/.2,148,745 (ENSA).</t>
  </si>
  <si>
    <t>- Contratos de suministro de potencia y energía asociada firmado en julio de 2025 con Empresa de Distribución Eléctrica Chiriquí, S. A. (EDECHI) y Elektra Noreste, S. A. (ENSA), que abarcan los períodos comprendidos de 2026 a 2040. Al 31 de diciembre de 2025, estos contratos estaban respaldados por fianzas de cumplimiento emitidas por Acerta Compañía de Seguros, S.A. por B/.1,232,218 (EDECHI) y B/.1,361,440 (ENSA). Estos contratos son producto de una cesión por parte de un tercero, los costos asociados con el suministro de este contrato serán incluidos en el costo de venta de energía.</t>
  </si>
  <si>
    <t>## Central Fotovoltaica Pedregalito Solar Power</t>
  </si>
  <si>
    <t>## 25 Impuesto sobre la Renta</t>
  </si>
  <si>
    <t>Las declaraciones de impuesto sobre la renta de las compañías del Grupo están sujetas a revisión por las autoridades fiscales por los últimos tres años, incluyendo el año terminado el 31 de diciembre de 2025.</t>
  </si>
  <si>
    <t>Las compañías determinaron el monto del impuesto sobre la renta corriente y estimado a pagar, de conformidad al método tradicional, según se presenta a continuación:</t>
  </si>
  <si>
    <t>| | 2025 | 2024 | | --- | --- | --- | | Utilidad antes de impuesto sobre la renta | 14,188,102 | 14,098,618 | | Impuesto sobre la renta financiero a la tasa de 25% | 3,547,026 | 3,524,654 | | Efectos y partidas que afectan el cálculo fiscal del impuesto sobre la renta | | | | Arrastre de pérdida | (2,626) | (53,465) | | Ingresos por intereses no gravable | (136,689) | (88,533) | | Gastos no deducibles y otros | 47,429 | 20,399 | | Pérdida de entidades consolidadas no sujetas al impuesto sobre la renta | 445,657 | 390,722 | | Ingreso por crédito fiscal no gravables | (457,445) | (150,000) | | Otros ingresos no gravables | - | (20,379) | | Depreciación no deducible por uso del crédito fiscal | 618,757 | 618,757 | | Impuesto sobre la renta fiscal a la tasa efectiva del 25% | 4,062,109 | 4,242,155 | | Impuesto sobre dividendos | 504,318 | 386,936 | | Ajuste de impuesto sobre la renta | 421,442 | - | | Efectos fiscales de diferencias temporarias | (100,571) | (98,526) | | Impuesto sobre la renta diferido | - | 86,820 | | Gasto de impuesto sobre la renta | 4,887,298 | 4,617,385 | | Tasa efectiva | 34% | 33% |</t>
  </si>
  <si>
    <t>En el 2025, Panama Power Holdings, Inc. pagó B/.504,318 (2024: B/.386,936), correspondiente al impuesto de dividendos resultante de los dividendos declarados por sus subsidiarias Generadora Pedregalito, S. A., Generadora Río Chico, S. A., Generadora Alto Valle, S. A., Hydro Caisán, S. A. y Pedregalito Solar Power, S.A.</t>
  </si>
  <si>
    <t>El activo por impuesto sobre la renta diferido correspondería al arrastre de pérdida y se calculó en base a la tasa impositiva vigente. El movimiento de impuesto sobre la renta diferido activo se presenta a continuación:</t>
  </si>
  <si>
    <t>| | 2025 | 2024 | | --- | --- | --- | | Saldo al inicio del año | - | 86,820 | | Utilización del año | - | (86,820) | | Saldo final del año | - | - |</t>
  </si>
  <si>
    <t>Mediante Resolución No.201-2000 del 27 de abril de 2017, notificada a Hydro Caisán, S. A. el 31 de mayo de 2017, la Dirección General de Ingresos otorgó la autorización para el reconocimiento de estos incentivos fiscales por B/.45,000,000, correspondiente al 25% de la inversión directa realizada en el Proyecto Hidroeléctrico El Alto. Dicho crédito fiscal es aplicable como pago del 50% del impuesto sobre la renta causado en el período fiscal, hasta un máximo de diez años a partir de la entrada en operación comercial del proyecto (24 de octubre de 2014) o hasta que el 100% del crédito sea consumido, lo que ocurra primero. Debido al beneficio fiscal recibido no le era permitido a Hydro Caisán, S. A. reconocer como deducible, el 25% del gasto de depreciación correspondiente a la inversión directa.</t>
  </si>
  <si>
    <t>Al 31 de diciembre de 2025, la subsidiaria Hydro Caisán, S. A. utilizó B/.1,829,780 (2024: B/.600,000), lo cual fue aplicado al pago de impuesto sobre la renta corriente en el período fiscal 2024, período en el cual se le venció este beneficio fiscal.</t>
  </si>
  <si>
    <t>26. Evento Subsecuente</t>
  </si>
  <si>
    <t>### Fusión por absorción y reorganización corporativa</t>
  </si>
  <si>
    <t>La Escritura Pública No. 11,254 de 26 de diciembre de 2025 del Convenio de Fusión, mencionada en la Nota 1, quedó inscrita de manera definitiva en el Registro Público de Panamá, el 6 de enero de 2026.</t>
  </si>
  <si>
    <t>Como consecuencia de la fusión:</t>
  </si>
  <si>
    <t>- Las Sociedades Absorbidas dejaron de existir jurídicamente a partir de la fecha de inscripción. - Hydro Caisán, S.A. (la Compañía) continuó existiendo sin interrupción, manteniendo su personería jurídica, pacto social y estructura de gobierno corporativo.</t>
  </si>
  <si>
    <t>25. Evento Subsecuente (Continuación)</t>
  </si>
  <si>
    <t>## Fusión por absorción y reorganización corporativa (continuación)</t>
  </si>
  <si>
    <t>- Se produjo una transferencia universal de activos, pasivos, derechos, obligaciones, contratos y relaciones jurídicas de las Sociedades Absorbidas a favor de la Compañía. - Los derechos de terceros, incluyendo acreedores y tenedores de valores, así como los gravámenes existentes sobre los activos transferidos, no se vieron afectados por la fusión. - La fusión no implicó cambios en las condiciones de las emisiones de valores vigentes registradas ante la Superintendencia del Mercado de Valores de Panamá. No se generaron modificaciones automáticas en las obligaciones asociadas a los bonos corporativos emitidos por Hydro Caisán, S. A.</t>
  </si>
  <si>
    <t># 31 de diciembre de 2025</t>
  </si>
  <si>
    <t>La consolidación del estado de situación financiera al 31 de diciembre de 2025 se presenta a continuación:</t>
  </si>
  <si>
    <t xml:space="preserve">| | Total Consolidado | Eliminaciones | Sub-Total Consolidado | Panama Power Holdings, Inc. | Hydro Cañán, S.A. | PPH Financing Services, S. A. | | --- | --- | --- | --- | --- | --- | --- | | Activos | | | | | | | | Activos circulantes | | | | | | | | Efectivo y equivalentes de efectivo | 11,057,503 | - | 11,057,503 | 768,415 | 10,288,168 | 920 | | Depósito a plazo fijo mayor a 90 días | 8,000,000 | - | 8,000,000 | - | 8,000,000 | - | | Cuentas por cobrar | 8,602,706 | - | 8,602,706 | - | 8,602,706 | - | | Cuentas por cobrar - compañías relacionadas | - | (171,525,824) | 171,525,824 | 85,025,857 | 0 | 86,499,967 | | Inventario de repuestos y suministros | 2,666,409 | - | 2,666,409 | - | 2,666,409 | - | | Gastos pagados por adelantado | 836,786 | - | 836,786 | 24,833 | 811,953 | - | | Otros activos | 497,274 | - | 497,274 | 15,395 | 480,293 | 1,586 | | Total de activos circulantes | 31,660,678 | (171,525,824) | 203,186,502 | 85,834,500 | 30,849,529 | 86,502,473 | | Activos no circulantes | | | | | | | | Efectivo restringido | 4,260,349 | - | 4,260,349 | - | 4,260,349 | - | | Propiedad planta y equipo, neto | 254,111,593 | 2,712,557 | 251,399,036 | - | 251,399,036 | - | | Acciones | - | (15,029,360) | 15,029,360 | 15,029,360 | - | - | | Pharmáia | 7,033,750 | 231,413 | 6,802,337 | 6,802,337 | - | - | | Activos intangibles, neto | 509,989 | - | 509,989 | - | 509,989 | - | | Activo por derecho de uso | 4,074 | - | 4,074 | - | 4,074 | - | | Otros activos | 284,646 | - | 284,646 | </t>
  </si>
  <si>
    <t># Estado Consolidado de Resultado Integral</t>
  </si>
  <si>
    <t>La consolidación del estado de resultados por el periodo de doce meses terminado el 31 de diciembre de 2025</t>
  </si>
  <si>
    <t>Las calificaciones de Panama Power Holdings, Inc. y Subsidiarias (PPH) reflejan su posición sólida y competitiva dentro de la matriz de generación eléctrica en Panamá, así como la robustez de su generación de flujo de caja operativo (FCO). Esta fortaleza le ha permitido financiar la mayor parte de sus inversiones de capital en los últimos dos años, cumplir con sus obligaciones de servicio de deuda y realizar distribuciones a los accionistas.</t>
  </si>
  <si>
    <t>Las calificaciones también consideran la exposición de PPH al riesgo hidrológico, la concentración geográfica de su portafolio de generación y el entorno macroeconómico de Panamá, cuya calificación internacional de riesgo emisor (IDR; *issuer default rating*) es 'BB+' con Perspectiva Estable. Fitch Ratings proyecta que el indicador de apalancamiento (deuda total a EBITDA) de PPH sea cercano a 4.4x hacia finales de 2025 (diciembre 2023: 5.1x) respaldado por condiciones hidrológicas muy favorables durante 2024 y el primer año completo de operación de la planta solar y la mini central.</t>
  </si>
  <si>
    <t>Desempeño Operativo Sensible a Condiciones Climáticas: En 2024, el desempeño de PPH reflejó la sensibilidad de sus resultados a las condiciones hidrológicas, con ingresos de USD55 millones y un margen de EBITDA de 64% (2023: USD53 millones y 57%, respectivamente). Este incremento se atribuye principalmente a condiciones hídricas más favorables, un mejor control de costos y al resultado de la operación de un año completo del proyecto solar y la mini central. Para 2025, Fitch proyecta ingresos aproximados de USD50 millones y un margen de EBITDA de 61% (promedio 2020-2024: 65%), lo cual se alinea con un nivel de hidrología ligeramente superior al promedio de los últimos años.</t>
  </si>
  <si>
    <t>Diversificación de Activos de Generación: Con la entrada en operación de los proyectos de la planta solar de Pedregalito, con una capacidad instalada de 9.9 megavatios (MW) y la mini central de 1 MW, se ha fortalecido la diversificación de la matriz de generación de PPH, lo cual brinda una estabilidad mayor en la generación y en los ingresos de la compañía, además de proporcionar una fuente adicional de ingresos, principalmente a través de ventas en el mercado ocasional. Fitch espera que estos factores respalden una mejora gradual en el margen de EBITDA, proyectando niveles de entre 62% y 65% hacia adelante.</t>
  </si>
  <si>
    <t>Fortalecimiento Progresivo del Apalancamiento: Fitch proyecta que el apalancamiento (deuda neta a EBITDA) de la compañía permanezca cerca de 4.4x en los próximos tres años, apoyado por la generación operativa continua de EBITDA estimada en alrededor de USD31 millones anuales y amortizaciones graduales de deuda. La generación de EBITDA le ha permitido realizar amortizaciones promedio anual de USD9.5 millones.</t>
  </si>
  <si>
    <t>Exposición Baja a Riesgo Regulatorio: Las calificaciones de PPH continúan reflejando su exposición baja al riesgo regulatorio. El sector de generación eléctrica en Panamá opera bajo un esquema competitivo y no regulado, con intervenciones gubernamentales limitadas a subsidios al consumidor final. Fitch espera que, ante la reducción gradual de los precios de la energía, la intervención estatal siga a la baja durante los próximos años.</t>
  </si>
  <si>
    <t>Vínculo Matriz-Subsidiaria: Fitch califica a Hydro Caisán, S.A. (Hydro Caisán) bajo un enfoque consolidado, lo cual refleja las fortalezas crediticia y operativa de la compañía en relación con su matriz, PPH. La ausencia de restricciones legales para el acceso de la matriz a los flujos de caja y activos de la subsidiaria, así como el control total accionario, continúan respaldando este enfoque. Las decisiones de financiamiento se toman a nivel de la matriz y las emisiones de bonos de Hydro Caisán cuentan con el aval de PPH y sus subsidiarias. Asimismo, las acciones y activos productivos de las empresas hidroeléctricas respaldan las emisiones de deuda.</t>
  </si>
  <si>
    <t>| Calificaciones | | | --- | --- | | Hydro Caisán, S.A. | Calificaciones Nacionales de Largo Plazo A-(pan) | | Perspectivas | Calificaciones Nacionales de Largo Plazo Estable | | Panama Power Holdings, Inc. y Subsidiarias | Calificaciones Nacionales de Largo Plazo A-(pan) | | Perspectivas | Calificaciones Nacionales de Largo Plazo Estable | | Pulse aquí para ver la lista completa de calificaciones | | | Metodologías Aplicables | | | --- | --- | | Metodología de Vínculo de Calificación entre Matriz y Subsidiaria (Julio 2023) | | | Metodología de Calificaciones en Escala Nacional (Diciembre 2020) | | | Metodología de Calificación de Finanzas Corporativas (Febrero 2025) | | | Publicaciones Relacionadas | | | --- | --- | | Global Corporates Macro and Sector Forecasts | |</t>
  </si>
  <si>
    <t>Óscar Álvarez +52 81 4161 7090 oscar.alvarez@fitchratings.com</t>
  </si>
  <si>
    <t>Eva Rippeteau +1 212 908 9105 eva.rippeteau@fitchratings.com</t>
  </si>
  <si>
    <t>| (PAB miles) | 2022 | 2023 | 2024 | 2025P | 2026P | 2027P | | --- | --- | --- | --- | --- | --- | --- | | Ingresos Brutos | 57,204 | 53,187 | 55,356 | 49,327 | 51,725 | 50,885 | | Margen de EBITDA (%) | 68.0 | 57.1 | 64.1 | 61.5 | 65.5 | 65.0 | | Margen de Flujo de Fondos Libre (%) | 18.2 | 2.0 | 39.0 | — | — | — | | Deuda/EBITDA (x) | 4.0 | 5.1 | 4.0 | 4.4 | 3.6 | 3.4 | | EBITDA/Intereses (x) | 4.0 | 4.3 | 3.2 | 3.8 | 4.5 | 4.8 |</t>
  </si>
  <si>
    <t>x – Veces Fuente: Fitch Ratings, Fitch Solutions, PPH</t>
  </si>
  <si>
    <t>Las calificaciones de PPH e Hydro Caisán reflejan su posición sólida y competitiva en el despacho de energía en Panamá, un apalancamiento moderado y una estrategia de contratación con vencimientos de largo plazo, lo cual les permite mantener mayor estabilidad en sus ingresos, siempre que las condiciones hidrológicas sean favorables. Asimismo, consideran la exposición al deterioro de las condiciones macroeconómicas y, en menor medida, al riesgo regulatorio. Las calificaciones de PPH están limitadas por la concentración geográfica de su portafolio de generación, lo cual incrementa el riesgo hidrológico. Las calificaciones de Hydro Caisán también reflejan los lazos sólidos operacionales y legales con su matriz, PPH.</t>
  </si>
  <si>
    <t>En comparación con Electron Investment, S.A. (EISA) [BBB+(pan); Perspectiva Estable], PPH presenta una escala operativa mayor (PPH: 131.1 MW de capacidad instalada | EISA: 85.6 MW de capacidad instalada), una menor posición contratada, un apalancamiento esperado más bajo (2025 para PPH: 4.4x y EISA: 5.8x) y una exposición similar al riesgo hidrológico. En relación con AES Panama Generation Holdings, S.R.L. (AESPGH) [AA+(pan); Perspectiva Estable], PPH muestra un apalancamiento similar y una posición competitiva equiparable en el despacho, aunque cuenta con un portafolio de generación de menor escala (PPH 131.1 MW | AESPGH: 1.2 gigavatios), menor diversificación por fuente de generación y una concentración geográfica superior de sus activos.</t>
  </si>
  <si>
    <t>En los últimos tres años, el factor de carga anual de PPH ha promediado cerca de 43%, inferior al promedio de EISA de 66%, dado a que esta última cuenta con plantas de generación más eficientes.</t>
  </si>
  <si>
    <t>### Factores que Podrían, Individual o Colectivamente, Conducir a una Acción de Calificación Negativa/Baja</t>
  </si>
  <si>
    <t>- un apalancamiento sostenidamente mayor de 5.5x; - un flujo de fondos libre (FFL) negativo de forma recurrente; - presiones sobre el perfil de liquidez que resulten en una métrica de efectivo y equivalentes con respecto a deuda de corto plazo menor a 1x; - eventos operacionales que impidan el suministro de energía; - un deterioro de las condiciones macroeconómicas en Panamá que provoque una reducción en el consumo de energía; - una intervención regulatoria o política que afecte la rentabilidad de la empresa.</t>
  </si>
  <si>
    <t>- una ampliación del portafolio de generación de la compañía; - un fortalecimiento del margen de EBITDA, derivado de una estabilidad operativa mayor asociada a mejores niveles de hidrología, que permita un incremento en la generación de electricidad; - niveles de apalancamiento sostenidos inferiores a 4.5x a lo largo del ciclo; - cobertura de intereses a EBITDA de aproximadamente 3.5x durante el ciclo; - mantener un perfil de liquidez robusto.</t>
  </si>
  <si>
    <t>PPH mantiene un perfil de liquidez sólido. Al 31 de marzo de 2025, contaba con una posición de caja de USD12,6 millones y vencimientos de deuda de corto plazo por aproximadamente USD10 millones. Fitch estima que la compañía tiene la capacidad para generar un FCO suficiente para cubrir las inversiones de mantenimiento, las amortizaciones de deuda programadas y las distribuciones a accionistas, sin comprometer su perfil crediticio en el horizonte de proyección.</t>
  </si>
  <si>
    <t>## Escenario de Liquidez y Vencimiento de Deuda sin Refinanciamiento</t>
  </si>
  <si>
    <t>| (USD miles) | 31 dic 2024 | 31 mar 2025 | | --- | --- | --- | | Efectivo Disponible y Equivalentes | 13,692 | 16,815 | | Inversiones de Corto Plazo | — | — | | Menos: Efectivo Disponible y Equivalentes Restringidos | 4,197 | 4,198 | | Efectivo y Equivalentes Disponibles Definidos por Fitch | 9,494 | 12,617 | | Disponibilidad de Líneas de Crédito Comprometidas | — | — | | Total de Liquidez | 9,494 | 12,617 | | EBITDA después de Distribuciones a Compañías Asociadas y Participaciones Minoritarias de los Últimos 12 Meses | 35,475 | 38,573 | | Flujo de Fondos Libres de los Últimos 12 Meses | 21,603 | 22,303 |</t>
  </si>
  <si>
    <t>Fuente: Fitch Ratings, Fitch Solutions, PPH</t>
  </si>
  <si>
    <t>## Vencimientos de Deuda Programados</t>
  </si>
  <si>
    <t>| (USD miles) | 31 mar 2025 | | --- | --- | | 2025 | 9,122 | | 2026 | 9,000 | | 2027 | 9,000 | | 2028 | 9,000 | | 2029 | 9,000 | | Después | 94,912 | | Total | 140,033 |</t>
  </si>
  <si>
    <t>- un factor de carga (despacho) de 50% en 2025 y 40% entre 2026 y 2027, alineado con el promedio de los últimos ocho años; - una posición contratada promedio de aproximadamente 65% durante el período proyectado; - un apalancamiento cercano a 4x entre 2025 y 2026; - un margen de EBITDA promedio de 63% entre 2025 y 2026; - amortizaciones anuales de deuda por USD9 millones durante el período proyectado; - de acuerdo con las estimaciones de Fitch, se considerará que una porción del flujo de efectivo generado por la compañía (después de cubrir el pago de intereses, impuestos y amortizaciones de principal de la deuda) podría destinarse a inversiones adicionales de capital (capex; capital expenditure), retornos de capital a los accionistas u otros usos corporativos, siempre y cuando se cumplan las condiciones financieras del bono corporativo. En este sentido, la agencia asume un saldo de efectivo al cierre de cada año en torno a USD10 millones.</t>
  </si>
  <si>
    <t>| (PAB miles) | Histórico | | | Proyección | | | | --- | --- | --- | --- | --- | --- | --- | | | 2022 | 2023 | 2024 | 2025 | 2026 | 2027 | | Resumen de Estado de Resultados | | | | | | | | Ingresos | 57,204 | 53,187 | 55,356 | 49,327 | 51,725 | 50,885 | | Crecimiento de Ingresos (%) | 33.7 | -7.0 | 4.1 | -10.9 | 4.9 | -1.6 | | EBITDA (antes de Ingresos de Compañías Asociadas) | 38,880 | 30,371 | 35,475 | 30,333 | 33,900 | 33,072 | | Margen de EBITDA (%) | 68.0 | 57.1 | 64.1 | 61.5 | 65.5 | 65.0 | | EBITDA después de Distribuciones a Compañías Asociadas y Participaciones Minoritarias | 38,880 | 30,371 | 35,475 | 30,333 | 33,900 | 33,072 | | EBIT | 27,031 | 18,410 | 23,028 | 18,437 | 22,003 | 21,176 | | Margen de EBIT (%) | 47.3 | 34.6 | 41.6 | 37.4 | 42.5 | 41.6 | | Intereses Financieros Brutos | -10,140 | -9,645 | -9,292 | -8,045 | -7,476 | -6,911 | | Resultado antes de Impuestos (Incluyendo Ganancias/Pérdidas de Compañías Asociadas) | 19,006 | 11,177 | 14,099 | 10,392 | 14,527 | 14,265 | | Resumen de Balance General | | | | | | | | Efectivo Disponible y Equivalentes | 10,956 | 10,300 | 9,494 | 7,005 | 10,403 | 13,209 | | Deuda | 157,379 | 155,501 | 141,786 | 132,086 | 122,436 | 112,836 | | Deuda Neta | 146,423 | 145,201 | 132,291 | 125,081 | 112,033 | 99,626 | | Resumen del Flujo de Efectivo | | | | | | | | EBITDA | 38,880 | 30,371 | 35,475 | 30,333 | 33,900 | 33,072 | | Intereses Pagados en Efectivo | -9,776 | -6,997 | -11,177 | -8,045 | -7,476 | -6,911 | | Impuestos Pagado</t>
  </si>
  <si>
    <t>aNeto de costos de financiamiento diferidos. bDistribución sobre excedente en valor de suscripción de acciones comunes. x – Veces. Fuente: Fitch Ratings, Fitch Solutions, PPH</t>
  </si>
  <si>
    <t>Estructura Organizacional — Panama Power Holdings, Inc. y Subsidiarias (USD miles – UDM al 31 de marzo de 2025)</t>
  </si>
  <si>
    <t>¹Neto de costos de financiamiento diferidos. x – Veces. Fuente: Fitch Ratings, Fitch Solutions, PPH</t>
  </si>
  <si>
    <t>Informe de Calificación | 26 agosto 2025</t>
  </si>
  <si>
    <t>| Compañía | Calificación | Fecha de Estados Financieros | Ingresos (USD miles) | Margen de EBITDA (%) | Margen de Flujo de Fondos Libre (%) | Deuda/EBITDA (x) | EBITDA/Intereses (x) | | --- | --- | --- | --- | --- | --- | --- | --- | | Panama Power Holdings, Inc. y Subsidiarias | A-(pan) | | | | | | | | | A-(pan) | 2024 | 55,356 | 64.1 | 39.0 | 4.0 | 3.2 | | | A-(pan) | 2023 | 53,187 | 57.1 | 2.0 | 5.1 | 4.3 | | | BBB+(pan) | 2022 | 57,204 | 68.0 | 18.2 | 4.0 | 4.0 | | Electron Investment, S.A. | BBB+(pan) | | | | | | | | | BBB+(pan) | 2024 | 51,388 | 49.3 | 22.7 | 6.8 | 1.6 | | | BBB+(pan) | 2023 | 58,118 | 61.8 | 23.1 | 5.0 | 2.1 | | | BBB+(pan) | 2022 | 51,399 | 69.0 | 39.2 | 5.4 | 3.0 | | Grupo Melo, S.A. | AA-(pan) | | | | | | | | | AA-(pan) | 2024 | 474,337 | 7.7 | 3.2 | 2.3 | 7.5 | | | AA-(pan) | 2023 | 463,864 | 6.6 | -0.1 | 3.1 | 6.7 | | | AA-(pan) | 2022 | 479,444 | 8.0 | -3.0 | 2.5 | 10.8 | | Supermercados Xtra S.A. | | | | | | | | | | A+(pan) | 2024 | 857,434 | 6.8 | 3.0 | 3.6 | 2.3 | | | A+(pan) | 2023 | 865,508 | 7.2 | -1.8 | 3.4 | 4.3 | | | A+(pan) | 2022 | 832,798 | 6.9 | -1.4 | 3.4 | 3.8 |</t>
  </si>
  <si>
    <t>x – Veces Fuente: Fitch Ratings, Fitch Solutions, Reportes de las compañías</t>
  </si>
  <si>
    <t>| (USD miles) | Notas y Fórmulas | Valores Reportados | Ajustes por Arrendamientos | Otros Ajustes | Valores Ajustados por Fitch | | --- | --- | --- | --- | --- | --- | | Cifras al 31 de diciembre 2024 | | | | | | | Resumen de Estado de Resultados | | | | | | | Ingresos | | 55,356 | | | 55,356 | | EBITDA | (a) | 35,475 | | | 35,475 | | Depreciación y amortización | | 12,447 | | | 12,447 | | EBIT | | 23,028 | | | 23,028 | | Resumen de Deuda y Efectivo | | | | | | | Deuda | (b) | 141,786 | | | 141,786 | | Otra Deuda fuera de Balance | | — | | | | | Arrendamiento Equivalente a Deuda | | — | | | | | Deuda Ajustada por Arrendamientos | | 141,786 | | | 141,786 | | Efectivo Disponible y Equivalentes | (c) | 9,494 | | | 9,494 | | Efectivo y Equivalentes Restringidos | | — | 4,197 | 4,197 | 4,197 | | Resumen del Flujo de Efectivo | | | | | | | EBITDA | (a) | 35,475 | | | 35,475 | | Dividendos Recurrentes de Compañías Asociadas menos distribuciones a Participaciones Minoritarias | (d) | — | | | | | Intereses Pagados en Efectivo | (e) | -11,177 | | | -11,177 | | Intereses Recibidos en Efectivo | (f) | 363 | | | 363 | | Dividendos Preferentes (Pagados) | (g) | — | | | | | Impuestos en Efectivo (Pagados) | | -806 | | | -806 | | Otros cambios antes de FGO | | 691 | | | 691 | | Flujo Generado por las Operaciones (FGO) | (h) | 24,546 | | | 24,546 | | Variación del Capital de Trabajo (Definido por Fitch) | | -2,540 | | | -2,540 | | Flujo de Caja Operativo (FCO) | (i) | 22,006 | | | 22,006 | |</t>
  </si>
  <si>
    <t>Notas: Los elementos estandarizados presentados anteriormente se basan en la taxonomía de Fitch para el sector y la región dados. Los artículos reportados pueden no coincidir con la taxonomía de Fitch, pero se capturan en las líneas correspondientes en consecuencia. La deuda incluye otra deuda fuera de balance. x – Veces. Fuente: Fitch Ratings, Fitch Solutions, PPH</t>
  </si>
  <si>
    <t>Todas las calificaciones crediticias de Fitch Ratings (Fitch) están sujetas a ciertas limitaciones y estipulaciones. Por favor, lea estas limitaciones y estipulaciones en el siguiente enlace: https://www.fitchratings.com/understandingcreditratings. Además, las definiciones de calificación de Fitch para cada escala de calificación y categorías de calificación, incluidas las definiciones relacionadas con incumplimiento, están disponibles en https://www.fitchratings.com bajo el apartado de Definiciones de Calificación. ESMA y FCA están obligadas a publicar las tasas de incumplimiento históricas en un archivo central de acuerdo al Artículo 11(2) de la Regulación (EC) No. 1060/2009 del Parlamento Europeo y del Consejo del 16 de septiembre de 2009 y la Regulación de las Agencias de Calificación Crediticia (Enmienda, etc.) (Salida de la UE) de 2019, respectivamente. Las calificaciones públicas, criterios y metodologías están disponibles en este sitio en todo momento. El código de conducta, las políticas sobre confidencialidad, conflictos de interés, barreras para la información para con sus afiliadas, cumplimiento, y demás políticas y procedimientos de Fitch están también disponibles en la sección de Código de Conducta de este sitio. Los intereses relevantes de los directores y accionistas están disponibles en https://www.fitchratings.com/site/regulatory. Fitch puede haber proporcionado otro servicio admisible o complementario a la entidad calificada o a terceros relacionados. Los d</t>
  </si>
  <si>
    <t>Fitch Ratings, Inc. está registrada en la Comisión de Bolsa y Valores de Estados Unidos (en inglés, U.S. Securities and Exchange Commission) como una Organización de Calificación Estadística Reconocida a Nivel Nacional ("NRSRO", Nationally Recognized Statistical Rating Organization). Aunque ciertas subsidiarias de calificación crediticia de la NRSRO están enlistadas en el ítem 3 del documento "Form NRSRO" y, como tales, están autorizadas para emitir calificaciones crediticias en nombre de la NRSRO (ver https://www.fitchratings.com/site/regulatory), otras subsidiarias no están enlistadas en el documento "Form NRSRO" (las "no NRSRO") y, por tanto, las calificaciones crediticias emitidas por estas subsidiarias no son emitidas en nombre de la NRSRO. Sin embargo, personal de las subsidiarias no NRSRO puede participar en la determinación de calificaciones crediticias emitidas por, o en nombre de, la NRSRO. Solamente para Australia, Nueva Zelanda, Taiwán y Corea del Norte: Fitch Australia Pty Ltd tiene una licencia australiana de servicios financieros (licencia no. 337123) que le autoriza a proveer calificaciones crediticias solamente a "clientes mayoristas". La información de calificaciones crediticias publicada por Fitch no tiene el fin de ser utilizada por personas que sean "clientes minoristas" según la definición de la "Corporations Act 2001".</t>
  </si>
  <si>
    <t>Derechos de autor © 2025 por Fitch Ratings, Inc. y Fitch Ratings, Ltd. y sus subsidiarias. 33 Whitehall Street, New York, NY 10004. Teléfono: 1-800-753-4824, (212) 908-0500. La reproducción o distribución total o parcial está prohibida, salvo con permiso. Todos los derechos reservados.</t>
  </si>
  <si>
    <t>MD&amp;A — IN-A FY2025 (Panama Power Holdings, Inc.), Sección "Análisis de Resultados Financieros y Operativos" (transcripción verbatim del filing público; linaje archivo-línea en Source_Register).</t>
  </si>
  <si>
    <t>II. ANALISIS DE RESULTADOS FINANCIEROS Y OPERATIVOS</t>
  </si>
  <si>
    <t>Liquidez</t>
  </si>
  <si>
    <t>Al 31 de diciembre de 2025, PPH tiene un total de activos circulantes de $31,660,678 ($24,685,303 al 31</t>
  </si>
  <si>
    <t>de diciembre de 2024 y $26,443,110 al 31 de diciembre de 2023), compuesto por $19,057,503 en</t>
  </si>
  <si>
    <t>efectivo y equivalentes de efectivo ($9,494,389 al 31 de diciembre de 2024 y $10,299,859 al 31 de</t>
  </si>
  <si>
    <t>diciembre de 2023), $8,602,706 en cuentas por cobrar ($10,018,368 al 31 de diciembre de 2024 y</t>
  </si>
  <si>
    <t>$10,514,874 al 31 de diciembre de 2023), $2,666,409 en inventario de repuestos y consumibles</t>
  </si>
  <si>
    <t>($2,315,599 al 31 de diciembre de 2024 y $2,176,373 al 31 de diciembre de 2023), $836,786 en gastos</t>
  </si>
  <si>
    <t>pagados por anticipado ($475,685 al 31 de diciembre de 2024 y $1,400,465 al 31 de diciembre de 2023),</t>
  </si>
  <si>
    <t>$0 en crédito fiscal por inversión ($1,829,780 al 31 de diciembre de 2024 y $1,541,175 al 31 de diciembre</t>
  </si>
  <si>
    <t>de 2023) y $497,274 en otros activos ($551,482 al 31 de diciembre de 2024 y $510,364 al 31 de</t>
  </si>
  <si>
    <t>diciembre de 2023).</t>
  </si>
  <si>
    <t>Para el período terminado al 31 de diciembre de 2025, el flujo neto provisto por las actividades de</t>
  </si>
  <si>
    <t>operación totalizó $21,867,746. El flujo neto utilizado en las actividades de inversión fue de $465,856. El</t>
  </si>
  <si>
    <t>efectivo neto utilizado en las actividades de financiamiento fue de $11,838,776, producto principalmente</t>
  </si>
  <si>
    <t>de la amortización programada a capital de la emisión de bonos corporativos y de la devolución parcial de</t>
  </si>
  <si>
    <t>excedente en valor de suscripción de acciones comunes por un monto de $2,486,252 (Ver nota 19 de los</t>
  </si>
  <si>
    <t>estados financieros auditados que acompañan a este informe anual).</t>
  </si>
  <si>
    <t>La cuenta de efectivo aumentó en $9,563,114, cerrando el periodo en $19,057,503. Para los periodos</t>
  </si>
  <si>
    <t>terminados el 31 de diciembre de 2024 y 31 de diciembre de 2023, la cuenta de efectivo y equivalentes</t>
  </si>
  <si>
    <t>de efectivo cerró en $9,494,389 y $10,299,859, respectivamente.</t>
  </si>
  <si>
    <t>Recursos de Capital</t>
  </si>
  <si>
    <t>El capital social de PPH asciende a $131,972,452 al 31 de diciembre de 2025 ($134,458,704 al 31</t>
  </si>
  <si>
    <t>diciembre de 2024 y $142,746,209 al 31 de diciembre de 2023), compuesto de la siguiente manera</t>
  </si>
  <si>
    <t>$16,575,011 en acciones comunes, $115,392,441 en excedente en valor de suscripción de acciones</t>
  </si>
  <si>
    <t>comunes, $5,000 en acciones preferidas. PPH cuenta con un total de 30,000,000 acciones autorizadas,</t>
  </si>
  <si>
    <t>de las cuales 26,250,000 corresponden a acciones comunes con un valor nominal de $1 y 3,750,000 a</t>
  </si>
  <si>
    <t>acciones preferidas sin valor nominal. Al 31 de diciembre de 2025 PPH contaba con un total de</t>
  </si>
  <si>
    <t>16,575,011 acciones comunes emitidas y en circulación, sin cambios sobre el periodo anterior.</t>
  </si>
  <si>
    <t>Adicionalmente, al 31 de diciembre de 2025 la subsidiaria Hydro Caisán, S.A. mantenía financiamiento</t>
  </si>
  <si>
    <t>producto de la emisión de bonos corporativos de hasta $180,000,000 los cuales fueron aprobados por la</t>
  </si>
  <si>
    <t>Superintendencia de Mercado de Valores mediante Resolución No. SMV-421-20 de 21 de septiembre de</t>
  </si>
  <si>
    <t>2020 (Ver nota 16 de los estados financieros auditados que acompañan este informe).</t>
  </si>
  <si>
    <t>Con fecha 17 de mayo de 2022, la subsidiaria PPH Financing Services, S.A. celebró Contrato de Línea</t>
  </si>
  <si>
    <t>de Adelantos No Rotativa con Banco General, S. A. para financiar la construcción de una mini central de</t>
  </si>
  <si>
    <t>0.98MW de capacidad firme ubicada en la central hidroeléctrica El Alto. La facilidad cuenta con fianza</t>
  </si>
  <si>
    <t>solidaria de Panama Power Holdings, Inc.</t>
  </si>
  <si>
    <t>Con fecha 11 de mayo de 2023, la subsidiaria Pedregalito Solar Power, S. A. suscribió un contrato de</t>
  </si>
  <si>
    <t>crédito con Bac International Bank, Inc. por la suma de hasta $6,000,000 para el financiamiento de la</t>
  </si>
  <si>
    <t>planta solar. La facilidad contaba con fianza solidaria de Panama Power Holdings, Inc. Con fecha 30 de</t>
  </si>
  <si>
    <t>diciembre 2024, la subsidiaria canceló la totalidad del saldo adeudado a esta facilidad.</t>
  </si>
  <si>
    <t>Resultado de Operaciones</t>
  </si>
  <si>
    <t>Los resultados al 31 de diciembre de 2025, 2024 y 2023, reflejan la consolidación de las operaciones de</t>
  </si>
  <si>
    <t>las plantas hidroeléctricas operando en Panamá: Pedregalito 1, Pedregalito 2, Cochea y El Alto, y de la</t>
  </si>
  <si>
    <t>planta Pedregalito Solar Power.</t>
  </si>
  <si>
    <t>```</t>
  </si>
  <si>
    <t>## PDF Page 15</t>
  </si>
  <si>
    <t>```text</t>
  </si>
  <si>
    <t>Venta de Energía</t>
  </si>
  <si>
    <t>A continuación se presenta un resumen de la composición de la utilidad en venta de energía reflejada en</t>
  </si>
  <si>
    <t>el estado financiero.</t>
  </si>
  <si>
    <t xml:space="preserve">                                                                                                             31-dic-25 vs</t>
  </si>
  <si>
    <t>PPH Consolidado                                            31-dic-2025      31-dic-2024      31-dic-2023</t>
  </si>
  <si>
    <t xml:space="preserve">                                                                                                             31-dic-24</t>
  </si>
  <si>
    <t>ING</t>
  </si>
  <si>
    <t>Producción total                                                 470,665          497,784         374,482         (27,119)</t>
  </si>
  <si>
    <t>Suplidor de pérdidas de transmisión                              (19,250)         (22,248)        (12,211)           2,998</t>
  </si>
  <si>
    <t>Consumo propio                                                      (338)            (188)           (295)           (150)</t>
  </si>
  <si>
    <t>Compras al mercado ocasional                                       69,875           26,770          44,419          43,105</t>
  </si>
  <si>
    <t>Ventas (MWh)                                                     520,951          502,099         406,403           18,852</t>
  </si>
  <si>
    <t>Contratos de potencia y energía                        +</t>
  </si>
  <si>
    <t xml:space="preserve">     Volumen (MWh)                                               155,090          169,220          169,138        (14,130)</t>
  </si>
  <si>
    <t xml:space="preserve">     Precio Promedio ($/MWh)                                         108              101              101               7</t>
  </si>
  <si>
    <t xml:space="preserve">     Ingresos ($)                                             16,715,001       17,089,595       17,164,086       (374,594)</t>
  </si>
  <si>
    <t>Contratos de sólo Energía                              +</t>
  </si>
  <si>
    <t xml:space="preserve">     Volumen (MWh)                                               150,029          113,458          107,639          36,571</t>
  </si>
  <si>
    <t xml:space="preserve">     Precio Promedio ($/MWh)                                         109              126              129            (17)</t>
  </si>
  <si>
    <t xml:space="preserve">     Ingresos ($)                                             16,379,207       14,346,832       13,876,372       2,032,375</t>
  </si>
  <si>
    <t>Compras al mercado ocasional                           -</t>
  </si>
  <si>
    <t xml:space="preserve">    Volumen (MWh)                                                 69,875           26,770           44,419          43,105</t>
  </si>
  <si>
    <t xml:space="preserve">    Precio Promedio ($/MWh)                                           70              145              129            (75)</t>
  </si>
  <si>
    <t xml:space="preserve">    Gasto ($)                                                  4,891,665        3,891,656        5,722,889       1,000,009</t>
  </si>
  <si>
    <t>Ventas al mercado ocasional                            +</t>
  </si>
  <si>
    <t xml:space="preserve">     Volumen (MWh)                                               215,832          219,421          129,626         (3,589)</t>
  </si>
  <si>
    <t xml:space="preserve">     Precio Promedio ($/MWh)                                          63               73              113            (10)</t>
  </si>
  <si>
    <t xml:space="preserve">     Ingresos ($)                                             13,543,082       15,921,002       14,658,476     (2,377,920)</t>
  </si>
  <si>
    <t>Contratos de potencia entre agentes ($)                +          85,160           30,024            4,539          55,136</t>
  </si>
  <si>
    <t>Suplidor de pérdidas y consumo propio                  +</t>
  </si>
  <si>
    <t xml:space="preserve">      Volumen (MWh)                                               19,588           22,436          12,506          (2,848)</t>
  </si>
  <si>
    <t xml:space="preserve">      Precio Promedio ($)                                             68               72              69              (4)</t>
  </si>
  <si>
    <t xml:space="preserve">      Ingresos ($)                                             1,322,808        1,604,940         858,797        (282,132)</t>
  </si>
  <si>
    <t>Servicios auxiliares (operación remota El Alto) ($)    +         190,499          256,382         321,571         (65,883)</t>
  </si>
  <si>
    <t>Otros ingresos ($)                                     +         122,287          138,948           77,430        (16,661)</t>
  </si>
  <si>
    <t>Ingresos de generación, netos de compras al spot ($)          43,466,379       45,496,067      41,238,381      (2,029,688)</t>
  </si>
  <si>
    <t xml:space="preserve">      Ingresos/Producción Total ($/MWh)                               92               91             110               1</t>
  </si>
  <si>
    <t>Costos de producción ($)                                       1,856,410        2,603,529        2,308,121       (747,119)</t>
  </si>
  <si>
    <t>Utilidad menos costos de energía ($)                          41,609,969       42,892,538      38,930,260      (1,282,569)</t>
  </si>
  <si>
    <t>Para el período terminado al 31 de diciembre de 2025 las compañías operativas tuvieron una producción</t>
  </si>
  <si>
    <t>total de 470,665MWh, una disminución del 5% en comparación a la producción de 497,784MWh al 31 de</t>
  </si>
  <si>
    <t>diciembre de 2024. La producción al 31 de diciembre de 2023 fue de 374,482MWh.</t>
  </si>
  <si>
    <t>Las ventas excedieron la producción totalizando 520,951MWh al 31 de diciembre de 2025, en</t>
  </si>
  <si>
    <t>comparación a 502,099MWh al 31 de diciembre de 2024 y 406,403MWh al 31 de diciembre de 2023,</t>
  </si>
  <si>
    <t>dada la necesidad de suplir el déficit entre producción y entrega contractual de energía a través del</t>
  </si>
  <si>
    <t>mercado ocasional.</t>
  </si>
  <si>
    <t>Las compras en el mercado ocasional aumentaron en un 161% de 26,770MWh al 31 de diciembre de</t>
  </si>
  <si>
    <t>2024 a 69,875MWh al 31 de diciembre de 2025. Al 31 de diciembre de 2023 las compras ascendieron a</t>
  </si>
  <si>
    <t>44,419MWh.</t>
  </si>
  <si>
    <t>## PDF Page 16</t>
  </si>
  <si>
    <t>El precio promedio de compras en el mercado ocasional disminuyó de $145/MWh al 31 de diciembre de</t>
  </si>
  <si>
    <t>2024 a $70/MWh al 31 de diciembre de 2025. ($129/MWh al 31 de diciembre de 2023).</t>
  </si>
  <si>
    <t>Las ventas en el mercado ocasional disminuyeron en un 2% de 219,421MWh a 215,832MWh, aunado a</t>
  </si>
  <si>
    <t>una disminución en el precio promedio de ventas en el mercado ocasional de $73/MWh al 31 de</t>
  </si>
  <si>
    <t>diciembre de 2024 a $63/MWh al 31 de diciembre de 2025 resultó en una disminución en los ingresos por</t>
  </si>
  <si>
    <t>ventas en el mercado ocasional de $2,377,920. El precio promedio de ventas en el mercado ocasional</t>
  </si>
  <si>
    <t>disminuyó de $73/MWh al 31 de diciembre de 2024 a $63/MWh al 31 de diciembre de 2025. ($113/MWh</t>
  </si>
  <si>
    <t>al 31 de diciembre de 2023).</t>
  </si>
  <si>
    <t>Para los 12 meses terminados el 31 de diciembre de 2025, PPH generó una utilidad en venta de energía</t>
  </si>
  <si>
    <t>(neta de compras en el mercado ocasional y costos de producción) por un total de $41,609,969 en</t>
  </si>
  <si>
    <t>comparación a $42,892,538 al 31 de diciembre de 2024 ($38,930,260 al 31 de diciembre de 2023). Estos</t>
  </si>
  <si>
    <t>ingresos corresponden a la utilidad en venta de energía de las centrales hidroeléctricas El Alto por</t>
  </si>
  <si>
    <t>$24,256,130, Pedregalito 1 por $6,517,504, Pedregalito 2 por $4,055,079, Cochea por $5,552,229 y</t>
  </si>
  <si>
    <t>Pedregalito Solar Power por $1,229,027.</t>
  </si>
  <si>
    <t>Otros Ingresos</t>
  </si>
  <si>
    <t>Los otros ingresos por $1,922,207 al 31 de diciembre de 2025 ($642,966 al 31 de diciembre de 2024 y</t>
  </si>
  <si>
    <t>$2,169,724 de diciembre de 2023) corresponden al uso del crédito fiscal por inversión producto de la</t>
  </si>
  <si>
    <t>aprobación del crédito fiscal por inversión en la subsidiaria Hydro Caisán, S. A. y a otros ingresos</t>
  </si>
  <si>
    <t>misceláneos. El registro por utilización de crédito fiscal corresponde a un registro financiero el cual no</t>
  </si>
  <si>
    <t>representa flujo de efectivo.</t>
  </si>
  <si>
    <t>Gastos Operativos</t>
  </si>
  <si>
    <t>Los gastos operativos de PPH al 31 de diciembre de 2025 totalizaron $21,210,297 ($20,507,732 al 31 de</t>
  </si>
  <si>
    <t>diciembre de 2024 y $20,520,049 al 31 de diciembre de 2023). Al 31 de diciembre de 2025, el total de</t>
  </si>
  <si>
    <t>gastos operativos está compuesto de depreciación y amortización por $12,521,408 ($12,446,869 al 31 de</t>
  </si>
  <si>
    <t>diciembre de 2024 y $11,997,283 al 31 de diciembre de 2023), gastos de operación y mantenimiento por</t>
  </si>
  <si>
    <t>$3,004,212 ($2,549,512 al 31 de diciembre de 2024 y $2,841,019 al 31 de diciembre de 2023), gastos</t>
  </si>
  <si>
    <t>generales y administrativos por $5,684,677 ($5,511,351 al 31 de diciembre de 2024 y $5,554,329 al 31 de</t>
  </si>
  <si>
    <t>diciembre de 2023), otras pérdidas por $0 ($0 al 31 de diciembre de 2024 y $127,418 al 31 de diciembre</t>
  </si>
  <si>
    <t>de 2023).</t>
  </si>
  <si>
    <t>Para mayor detalle de los gastos operativos favor referirse a la nota 22 del estado financiero auditado que</t>
  </si>
  <si>
    <t>acompaña a este informe.</t>
  </si>
  <si>
    <t>Los costos financieros ascendieron a $8,681,196 en comparación a $9,291,709 al 31 de diciembre de</t>
  </si>
  <si>
    <t>2024, de los cuales $8,323,100 corresponden a gastos de intereses en comparación a $8,906,765 al 31</t>
  </si>
  <si>
    <t>de diciembre de 2024, esta reducción en gastos de intereses es producto de los abonos a capital</t>
  </si>
  <si>
    <t>realizados a los bonos corporativos de la subsidiaria Hydro Caisán (Ver nota 16 de los estados</t>
  </si>
  <si>
    <t>financieros auditados que acompañan a este informe anual). Al 31 de diciembre de 2023 los costos</t>
  </si>
  <si>
    <t>financieros totalizaron $9,645,428.</t>
  </si>
  <si>
    <t>Al 31 de diciembre de 2025 PPH registró una utilidad operativa por $22,321,879 ($23,027,772 al 31 de</t>
  </si>
  <si>
    <t>diciembre de 2024 y $20,579,935 al 31 de diciembre de 2023), y una utilidad neta de $9,300,804. Al 31</t>
  </si>
  <si>
    <t>de diciembre de 2024 se registró una utilidad neta de $9,481,233 y al 31 de diciembre de 2023 una</t>
  </si>
  <si>
    <t>utilidad neta de $7,227,003.</t>
  </si>
  <si>
    <t>Análisis del Balance General</t>
  </si>
  <si>
    <t>Activos</t>
  </si>
  <si>
    <t>Los activos al 31 de diciembre de 2025 totalizaron $297,865,079, una disminución de $5,008,592 en</t>
  </si>
  <si>
    <t>comparación a los $302,873,671 registrados al cierre del 31 de diciembre de 2024, producto</t>
  </si>
  <si>
    <t>## PDF Page 17</t>
  </si>
  <si>
    <t>principalmente a depreciación acumulada. Al 31 de diciembre de 2023 los activos totales cerraron en</t>
  </si>
  <si>
    <t>Los principales componentes del activo no circulante son:</t>
  </si>
  <si>
    <t xml:space="preserve">    -     Activo financiero restringido por $4,260,349 ($4,197,349 al 31 de diciembre de 2024 y $4,033,700</t>
  </si>
  <si>
    <t xml:space="preserve">          al 31 de diciembre de 2023), correspondiente a los fondos aportados a la Cuenta de Reserva de</t>
  </si>
  <si>
    <t xml:space="preserve">          Servicio de la Deuda, en respaldo del fideicomiso de garantía de los bonos emitidos por la</t>
  </si>
  <si>
    <t xml:space="preserve">          subsidiaria Hydro Caisán.</t>
  </si>
  <si>
    <t xml:space="preserve">   -      Propiedad, planta y equipo, neto de depreciación acumulada, por $254,111,593 ($266,144,886 al</t>
  </si>
  <si>
    <t xml:space="preserve">          31 de diciembre de 2024 y $278,143,135 al 31 de diciembre de 2023) compuesto por:</t>
  </si>
  <si>
    <t xml:space="preserve">                   o   Planta y equipo, neto de depreciación acumulada, por $240,478,473;</t>
  </si>
  <si>
    <t xml:space="preserve">                   o   Terrenos por $13,271,214, adquiridos por las subsidiarias de los proyectos;</t>
  </si>
  <si>
    <t xml:space="preserve">                   o   Edificio y mejoras (almacén y oficinas) y otros activos, neto de depreciación</t>
  </si>
  <si>
    <t xml:space="preserve">                       acumulada, por $361,906.</t>
  </si>
  <si>
    <t xml:space="preserve">    -     Plusvalía, generada por la adquisición de las compañías dueñas de los proyectos hidroeléctricos</t>
  </si>
  <si>
    <t xml:space="preserve">          a desarrollar, y otras sociedades dueñas de terrenos requeridos para el desarrollo de los</t>
  </si>
  <si>
    <t xml:space="preserve">          proyectos, la cual asciende a $7,033,750 al 31 de diciembre de 2025 ($7,033,750 al 31 de</t>
  </si>
  <si>
    <t xml:space="preserve">          diciembre de 2024 y 31 de diciembre de 2023).</t>
  </si>
  <si>
    <t xml:space="preserve">    -     Activos intangibles por $509,989 ($499,640 al 31 de diciembre de 2024 y $512,733 al 31 de</t>
  </si>
  <si>
    <t xml:space="preserve">          diciembre de 2023), los cuales corresponden a servidumbres.</t>
  </si>
  <si>
    <t xml:space="preserve">    -     Activo por derecho de uso correspondiente a registro de contrato de arrendamiento de oficinas,</t>
  </si>
  <si>
    <t xml:space="preserve">          en cumplimiento con la NIIF 16 por $4,074 ($36,682 al 31 de diciembre de 2024 y $69,290 al 31</t>
  </si>
  <si>
    <t xml:space="preserve">          de diciembre de 2023).</t>
  </si>
  <si>
    <t xml:space="preserve">    -     Impuesto sobre la renta diferido por $0 ($0 al 31 de diciembre de 2024 y $86,820 al 31 de</t>
  </si>
  <si>
    <t xml:space="preserve">          diciembre de 2023).</t>
  </si>
  <si>
    <t xml:space="preserve">    -     Crédito fiscal por inversión por $0 ($0 al 31 de diciembre de 2024 y $238,792 al 31 de diciembre</t>
  </si>
  <si>
    <t xml:space="preserve">          de 2023), el cual corresponde al saldo estimado de utilización de los créditos fiscales de la</t>
  </si>
  <si>
    <t xml:space="preserve">          subsidiaria Hydro Caisán, S.A.</t>
  </si>
  <si>
    <t xml:space="preserve">    -     Otros activos por $284,646 ($276,061 al 31 de diciembre de 2024 y $242,970 al 31 de diciembre</t>
  </si>
  <si>
    <t xml:space="preserve">          de 2023).</t>
  </si>
  <si>
    <t>Pasivos</t>
  </si>
  <si>
    <t>El pasivo circulante al 31 de diciembre de 2025 asciende a un monto de $11,692,586 ($14,343,612 al 31</t>
  </si>
  <si>
    <t>de diciembre de 2024 y $19,600,086 al 31 de diciembre de 2023), compuesto de cuentas por pagar por</t>
  </si>
  <si>
    <t>$1,148,554 ($614,193 al 31 de diciembre de 2024 y $1,515,059 al 31 de diciembre de 2023)</t>
  </si>
  <si>
    <t>principalmente a agentes del mercado, contratistas y suplidores de los proyectos, amortizaciones</t>
  </si>
  <si>
    <t>programadas de bonos por pagar emitidos por la subsidiaria Hydro Caisán por $8,791,215 neto de costos</t>
  </si>
  <si>
    <t>de financiamiento diferidos, ($8,791,215 al 31 de diciembre de 2024 y $12,541,215 al 31 de diciembre de</t>
  </si>
  <si>
    <t>2023), intereses de bonos por pagar por $21,419 ($22,920 al 31 de diciembre de 2024 y $2,297,125 al 31</t>
  </si>
  <si>
    <t>de diciembre de 2023), ingreso diferido por crédito fiscal en inversión por $0 ($1,829,780 al 31 de</t>
  </si>
  <si>
    <t>diciembre de 2024 y $1,541,175 al 31 de diciembre de 2023), impuesto sobre la renta por pagar por</t>
  </si>
  <si>
    <t>$181,645 ($1,883,666 al 31 de diciembre de 2024 y $30,637 al 31 de diciembre de 2023), porción</t>
  </si>
  <si>
    <t>corriente de obligación por arrendamiento por $4,074 ($32,604 al 31 de diciembre de 2024 y $32,604 al</t>
  </si>
  <si>
    <t>31 de diciembre de 2023), y otros pasivos por $1,330,438 ($1,101,389 al 31 de diciembre de 2024 y</t>
  </si>
  <si>
    <t>$1,223,799 al 31 de diciembre de 2023).</t>
  </si>
  <si>
    <t>## PDF Page 18</t>
  </si>
  <si>
    <t>El grupo suscribió contratos para el desarrollo de una planta solar con una capacidad de 9.90MW</t>
  </si>
  <si>
    <t>nominal, ubicada en el distrito de Alanje, provincia de Chiriquí. El costo total del proyecto ascendió a</t>
  </si>
  <si>
    <t>Con fecha 2 de febrero de 2022, dando cumplimiento a lo ordenado mediante Auto emitido por el</t>
  </si>
  <si>
    <t>Juzgado Segundo de Circuito de Coclé, Ramo Civil, Hydro Caisán, S.A. realizó el pago de la cuenta por</t>
  </si>
  <si>
    <t>pagar a contratista que mantenía por la suma de $1,500,000 mediante la emisión de un Certificado de</t>
  </si>
  <si>
    <t>Depósito Judicial emitido por el Banco Nacional de Panamá a favor de dicho Juzgado (Ver nota 24 de los</t>
  </si>
  <si>
    <t>El Pasivo no circulante el cual cerró el periodo en $124,015,091 ($133,187,167 al 31 de diciembre de</t>
  </si>
  <si>
    <t>2024 y $143,054,848 al 31 de diciembre de 2023), está compuesto de bonos por pagar emitidos por la</t>
  </si>
  <si>
    <t>subsidiaria Hydro Caisán por $121,450,858, neto de costos de financiamiento diferidos ($130,242,072 al</t>
  </si>
  <si>
    <t>31 de diciembre de 2024 y $139,033,286 al 31 de diciembre de 2023), préstamos por pagar por</t>
  </si>
  <si>
    <t>$2,275,211 ($2,679,481 al 31 de diciembre de 2024 y $3,503,256 al 31 de diciembre de 2023), ingreso</t>
  </si>
  <si>
    <t>diferido por crédito fiscal en inversión por $0 ($0 al 31 de diciembre de 2024 y $238,792 al 31 de</t>
  </si>
  <si>
    <t>diciembre de 2023), obligación por arrendamiento por $0 ($4,078 al 31 de diciembre de 2024 y $36,686</t>
  </si>
  <si>
    <t>al 31 de diciembre de 2023) y otros pasivos por $289,022 ($261,536 al 31 de diciembre de 2024 y</t>
  </si>
  <si>
    <t>$242,828 al 31 de diciembre de 2023).</t>
  </si>
  <si>
    <t>Bonos 2020</t>
  </si>
  <si>
    <t>Con fecha efectiva 5 de octubre de 2020, la subsidiaria Hydro Caisán ejerció la opción de redimir</t>
  </si>
  <si>
    <t>anticipadamente sin penalidad la totalidad de los bonos corporativos emitidos y en circulación por</t>
  </si>
  <si>
    <t>$90,000,000 y $130,000,000 con el producto de una nueva emisión de bonos corporativos por un total de</t>
  </si>
  <si>
    <t>$180,000,000 (los “Bonos 2020”).</t>
  </si>
  <si>
    <t>Los Bonos 2020 están respaldados por fianza solidaria de PPH y PPH Financing Services, S.A. y por un</t>
  </si>
  <si>
    <t>fideicomiso de garantía.</t>
  </si>
  <si>
    <t>Dicha emisión fue aprobada mediante Resolución No. SMV-421-20 de 21 de septiembre de 2020 por la</t>
  </si>
  <si>
    <t>Superintendencia de Mercado de Valores.</t>
  </si>
  <si>
    <t>La emisión está respaldada por el fideicomiso de garantía que respaldaba las emisiones anteriores y cuyo</t>
  </si>
  <si>
    <t>fiduciario es BG Trust, Inc., al cual han sido y serán cedidos, según aplique, la totalidad de los activos</t>
  </si>
  <si>
    <t>correspondientes a bienes muebles e inmuebles, hipoteca sobre la concesión, todos los contratos, cesión</t>
  </si>
  <si>
    <t>de flujos, cuentas por cobrar, depósitos bancarios, cartas de crédito de garantía, y seguros de operación</t>
  </si>
  <si>
    <t>de las centrales hidroeléctricas El Alto, Pedregalito 1, Pedregalito 2 y Cochea.</t>
  </si>
  <si>
    <t>Hydro Caisán, S.A. y sus garantes se obligan a cumplir con todos los aspectos ambientales, técnicos y</t>
  </si>
  <si>
    <t>comerciales requeridos para la operación de las centrales hidroeléctricas, a restricciones sobre la venta y</t>
  </si>
  <si>
    <t>endeudamiento no permitido sobre sus activos, y al cumplimiento de ciertas razones financieras de</t>
  </si>
  <si>
    <t>acuerdo a lo establecido en el prospecto.</t>
  </si>
  <si>
    <t>Dentro de los principales términos y condiciones de los Bonos 2020 se encuentran: a) plazo de diez años;</t>
  </si>
  <si>
    <t>b) amortizaciones trimestrales fijas a capital por $1,750,000 e intereses a una tasa fija de 5.875%; c)</t>
  </si>
  <si>
    <t>barrido de caja anual obligatorio por $2,000,000, pagadero parcial o totalmente en cualquier fecha de</t>
  </si>
  <si>
    <t>pago de interés, acumulable en caso de no contar con el flujo suficiente para el pago del mismo, y</t>
  </si>
  <si>
    <t>opcional en caso de suscribir nuevos contratos de energía que resulten en una Razón de Cobertura de</t>
  </si>
  <si>
    <t>Servicio de Deuda mayor a 1.50x; d) Cuenta de Reserva de Servicio de Deuda de tres meses de pago de</t>
  </si>
  <si>
    <t>capital (exceptuando el barrido de caja) e intereses.</t>
  </si>
  <si>
    <t>Adicionalmente, Hydro Caisán se comprometió a causar que PPH subsidiarias mantenga y cumpla de</t>
  </si>
  <si>
    <t>manera consolidada con una Razón de Cobertura de Servicio de Deuda mayor a 1.25x para los últimos</t>
  </si>
  <si>
    <t>doce (12) meses como requisito financiero y como condición para pagos restringidos.</t>
  </si>
  <si>
    <t>## PDF Page 19</t>
  </si>
  <si>
    <t>Los bonos fueron emitidos en su totalidad a través de la Bolsa de Valores de Panamá y 100% suscritos</t>
  </si>
  <si>
    <t>por un sindicado de bancos liderado por Banco General, S. A. Banco General, S. A. actúa como agente</t>
  </si>
  <si>
    <t>de pago, registro y transferencia de la emisión.</t>
  </si>
  <si>
    <t>La totalidad de los términos y condiciones de los Bonos 2020 se encuentran en la página web de la</t>
  </si>
  <si>
    <t>Superintendencia del Mercado de Valores, Bolsa Latinoamericana de Valores y página web de la</t>
  </si>
  <si>
    <t>Compañía (www.panamapower.net).</t>
  </si>
  <si>
    <t>Al 31 de diciembre de 2025, el saldo bruto a capital de los bonos totalizó $131,250,000. La subsidiaria</t>
  </si>
  <si>
    <t>Hydro Caisán, S.A. realizó, en adición a la amortización a capital trimestral por $1,750,000, la</t>
  </si>
  <si>
    <t>amortización correspondiente al barrido de caja anual por $2,000,000 correspondiente al periodo en</t>
  </si>
  <si>
    <t>curso.</t>
  </si>
  <si>
    <t>Todas las razones financieras antes citadas se evalúan con base a los estados financieros consolidados</t>
  </si>
  <si>
    <t>de PPH y Subsidiarias.</t>
  </si>
  <si>
    <t>A continuación se presenta un análisis del cálculo de la razón financiera (covenant) correspondiente a los</t>
  </si>
  <si>
    <t>últimos cuatro trimestres:</t>
  </si>
  <si>
    <t xml:space="preserve">     Análisis de Covenant Financiero</t>
  </si>
  <si>
    <t xml:space="preserve">   PPH &amp; Subsidiarias                                         31/3/25       30/6/25       30/9/25      31/12/25</t>
  </si>
  <si>
    <t xml:space="preserve">   Utilidad / Pérdida Neta                               ($1,898,316)    $2,119,433    $4,446,264    $4,633,423</t>
  </si>
  <si>
    <t xml:space="preserve"> + Impuesto sobre la renta                                   $925,760      $591,870    $1,557,420    $1,812,248</t>
  </si>
  <si>
    <t xml:space="preserve"> + Costos financieros, neto                                $2,109,058    $2,050,477    $1,987,053    $1,987,189</t>
  </si>
  <si>
    <t xml:space="preserve"> + Depreciación                                            $3,207,027    $3,138,449    $3,036,816    $3,139,118</t>
  </si>
  <si>
    <t xml:space="preserve"> - Ingreso por crédito fiscal                              $1,829,780             -             -             -</t>
  </si>
  <si>
    <t xml:space="preserve">     EBITDA                                               $2,513,749     $7,900,229   $11,027,553   $11,571,978</t>
  </si>
  <si>
    <t xml:space="preserve">     EBITDA últimos 12 meses                             $36,543,652    $36,130,031   $34,443,127   $33,013,509</t>
  </si>
  <si>
    <t xml:space="preserve">     Gasto de intereses                                   $2,117,569     $2,078,894    $2,091,968    $2,034,669</t>
  </si>
  <si>
    <t xml:space="preserve">     Amortizaciones y repago de deuda                     $1,804,385     $1,890,631    $1,950,697    $2,006,874</t>
  </si>
  <si>
    <t xml:space="preserve">     Barrido de caja                                               -              -    $2,000,000             -</t>
  </si>
  <si>
    <t xml:space="preserve">     Servicio de la Deuda últimos 12 meses               $18,932,478    $18,694,176   $18,647,856   $17,975,687</t>
  </si>
  <si>
    <t xml:space="preserve">     Covenant Financiero                     Requerido       31/3/25        30/6/25       30/9/25      31/12/25</t>
  </si>
  <si>
    <t xml:space="preserve">     Cobertura de Servicio de Deuda           &gt; 1.25x          1.93x          1.93x         1.85x         1.84x</t>
  </si>
  <si>
    <t>Patrimonio</t>
  </si>
  <si>
    <t>El Patrimonio de PPH al 31 de diciembre de 2025 es de $162,157,402. Al 31 de diciembre de 2024 y 31</t>
  </si>
  <si>
    <t>de diciembre de 2023 el Patrimonio totalizó $155,342,892 y $154,149,366, respectivamente.</t>
  </si>
  <si>
    <t>D.       Análisis de Perspectivas</t>
  </si>
  <si>
    <t>Los resultados financieros de PPH son impactados por la hidrología, los precios de energía en el</t>
  </si>
  <si>
    <t>mercado ocasional, y la capacidad de transmisión de la energía producida, todos factores externos a la</t>
  </si>
  <si>
    <t>empresa.</t>
  </si>
  <si>
    <t>Aunque PPH cuenta con un alto nivel de contratos con precios fijos para su energía en el corto plazo, un</t>
  </si>
  <si>
    <t>porcentaje significativo de su producción estimada anual está sujeto a los precios en el mercado</t>
  </si>
  <si>
    <t>ocasional. Los precios en el mercado ocasional son impactados por diferentes variables entre ellas los</t>
  </si>
  <si>
    <t>precios del gas natural, petróleo, y carbón, el comportamiento y manejo de los embalses de las</t>
  </si>
  <si>
    <t>## PDF Page 20</t>
  </si>
  <si>
    <t>principales hidroeléctricas del país, la producción de plantas de generación existentes, la entrada en los</t>
  </si>
  <si>
    <t>últimos años de nuevas fuentes de generación como el gas, fotovoltaicos y eólicos, limitaciones con</t>
  </si>
  <si>
    <t>respecto al sistema nacional de transmisión y la demanda de energía en el país.</t>
  </si>
  <si>
    <t>PPH sigue evaluando oportunidades para: (i) diversificar su portafolio de activos con el objetivo de mitigar</t>
  </si>
  <si>
    <t>los impactos de baja hidrología en años secos y (ii) optimizar su nivel de contratación de energía para el</t>
  </si>
  <si>
    <t>futuro.</t>
  </si>
  <si>
    <t>Generation_PPA - source-visible MW/MWh, price, and revenue bridge</t>
  </si>
  <si>
    <t>Filing facts only; use NOT_DISCLOSED where notes/MD&amp;A are silent</t>
  </si>
  <si>
    <t>Anios</t>
  </si>
  <si>
    <t>A. Capacity and generation (MW -&gt; MWh)</t>
  </si>
  <si>
    <t xml:space="preserve">  Capacity MW - El Alto</t>
  </si>
  <si>
    <t xml:space="preserve">  Capacity MW - Pedregalito 1</t>
  </si>
  <si>
    <t xml:space="preserve">  Capacity MW - Pedregalito 2</t>
  </si>
  <si>
    <t xml:space="preserve">  Capacity MW - Cochea</t>
  </si>
  <si>
    <t xml:space="preserve">  Capacity MW - Mini Central El Alto</t>
  </si>
  <si>
    <t xml:space="preserve">  Capacity MW - Pedregalito Solar</t>
  </si>
  <si>
    <t xml:space="preserve">  Total visible capacity (MW)</t>
  </si>
  <si>
    <t xml:space="preserve">  NOT_DISCLOSED: disponibilidad (AVF) no divulgada en el filing — el CF neto ya la embebe.</t>
  </si>
  <si>
    <t xml:space="preserve">  Plant factor / net CF - active</t>
  </si>
  <si>
    <t xml:space="preserve">  Hours per year</t>
  </si>
  <si>
    <t xml:space="preserve">  Generation MWh - El Alto</t>
  </si>
  <si>
    <t xml:space="preserve">  Generation MWh - Pedregalito 1</t>
  </si>
  <si>
    <t xml:space="preserve">  Generation MWh - Pedregalito 2</t>
  </si>
  <si>
    <t xml:space="preserve">  Generation MWh - Cochea</t>
  </si>
  <si>
    <t xml:space="preserve">  Generation MWh - Mini Central El Alto</t>
  </si>
  <si>
    <t xml:space="preserve">  Generation MWh - Pedregalito Solar</t>
  </si>
  <si>
    <t xml:space="preserve">  Historical generation MWh from filing</t>
  </si>
  <si>
    <t xml:space="preserve">  Total generation MWh</t>
  </si>
  <si>
    <t>A2. CND per-plant physical layer (MW x CF x 8.760 -&gt; GWh, tied to CND)</t>
  </si>
  <si>
    <t xml:space="preserve">  Source: CND generacion_YYYY.xlsx (hoja Generacion, fila 19 TOTAL, col GENPED/RCHICO/ALTOVALLE/HCAISAN/PEDREGALITO SOLAR POWER) + sector research note + maintainer research note</t>
  </si>
  <si>
    <t xml:space="preserve">  Historical FY21-25 only (blue literals, cited); forecast columns explicit NOT_DISCLOSED — per-plant CND forecast wiring is Tasks 2-4.</t>
  </si>
  <si>
    <t xml:space="preserve">  Pedregalito 1 (GENPED) - MW (CND/ASEP)</t>
  </si>
  <si>
    <t xml:space="preserve">  Pedregalito 1 (GENPED) - GWh (CND actual)</t>
  </si>
  <si>
    <t xml:space="preserve">  Pedregalito 1 (GENPED) - CF literal (GWh/(MW*8.76))</t>
  </si>
  <si>
    <t xml:space="preserve">    Note: Discrepancia §7.1 (data-foundation, NO resuelta): MW=20.089 ASEP (adoptado) vs 19.9 MW en el registro de concesiones .csv; una versión previa usaba 20.1.</t>
  </si>
  <si>
    <t xml:space="preserve">  Pedregalito 2 (RCHICO) - MW (CND/ASEP)</t>
  </si>
  <si>
    <t xml:space="preserve">  Pedregalito 2 (RCHICO) - GWh (CND actual)</t>
  </si>
  <si>
    <t xml:space="preserve">  Pedregalito 2 (RCHICO) - CF literal (GWh/(MW*8.76))</t>
  </si>
  <si>
    <t xml:space="preserve">  Cochea (ALTOVALLE) - MW (CND/ASEP)</t>
  </si>
  <si>
    <t xml:space="preserve">  Cochea (ALTOVALLE) - GWh (CND actual)</t>
  </si>
  <si>
    <t xml:space="preserve">  Cochea (ALTOVALLE) - CF literal (GWh/(MW*8.76))</t>
  </si>
  <si>
    <t xml:space="preserve">  El Alto + Mini El Alto (HCAISAN) - MW (CND/ASEP)</t>
  </si>
  <si>
    <t xml:space="preserve">  El Alto + Mini El Alto (HCAISAN) - GWh (CND actual)</t>
  </si>
  <si>
    <t xml:space="preserve">  El Alto + Mini El Alto (HCAISAN) - CF literal (GWh/(MW*8.76))</t>
  </si>
  <si>
    <t xml:space="preserve">    Note: Discrepancia §7.2 (data-foundation, NO resuelta): Mini El Alto (0.98 MW) COD mar-2024 sube el denominador de 72.2 (FY21-23, El Alto solo) a 73.18 (FY24-25); denominador CF de flota corregido a vintage ASEP (120.309/121.289 MW 2023/24) — la pagina curada usaba 121.28/122.26, que ya contaba Mini El Alto en 2023 pre-COD. NUEVO hallazgo (Task 1, verificado en CND_ESTADISTICAS_Capacidad_Instalada.pdf, columnas por posicion calibradas contra GENPED/RCHICO): la tabla ASEP registra el salto de El Alto standalone 60-&gt;72.2 ya en 2021 (OK, consistente con FY21-23=72.2), pero el 0.98 MW de Mini El Alto solo aparece en la columna 2025 de la tabla ASEP (no en 2024) pese al COD mar-2024. Este build usa la convencion 'ano de COD' (73.18 desde FY24) para reproducir el CF §2 ya vetteado; la lectura estricta columna-por-columna de ASEP pondria FY24 en 72.2 y solo FY25 en 73.18. NO resuelto — bandera para Source_Register/Task 11.</t>
  </si>
  <si>
    <t xml:space="preserve">  Pedregalito Solar (9.9 MWac) - MW (CND/ASEP)</t>
  </si>
  <si>
    <t xml:space="preserve">  Pedregalito Solar (9.9 MWac) - GWh (CND actual)</t>
  </si>
  <si>
    <t xml:space="preserve">  Pedregalito Solar (9.9 MWac) - CF literal (GWh/(MW*8.76))</t>
  </si>
  <si>
    <t xml:space="preserve">  Pedregalito Solar (9.9 MWac) - CF COD-adjusted (~8mo since COD)</t>
  </si>
  <si>
    <t xml:space="preserve">    Note: COD may-2025. FY23 (2.612 GWh) y FY24 (17.743 GWh) son inyecciones de prueba pre-COD, no generacion comercial (flag, no silently fijado). ASEP solo registra esta capacidad desde FY2025; el MW aplicado a FY21-24 es el nameplate de diseno (9.9 MWac), no una cifra ASEP FY-especifica. Se reporta CF literal (8.76 kh completas) y CF COD-ajustado (~8 meses may-dic), ambos rotulados.</t>
  </si>
  <si>
    <t xml:space="preserve">  Total PPH GWh (CND, sum of plants)</t>
  </si>
  <si>
    <t xml:space="preserve">  Tie: FY21-25 total must equal 432.4 / 558.8 / 381.0 / 505.4 / 476.6 GWh (Step-1, generation-actuals-cnd.md).</t>
  </si>
  <si>
    <t>A3. PPA contract ladder (26 contracts, dual-source: market CSV + Nota 1 OCR)</t>
  </si>
  <si>
    <t xml:space="preserve">  Sources: a working file kept by the maintainer (grupo economico "PANA POWER HOLDING"; 26 distinct contract IDs; extracted via python csv module, raw-XML/csv, 2026-07-12)</t>
  </si>
  <si>
    <t xml:space="preserve">  Sources: OCR: a working file kept by the maintainer:312-412 (Nota 1, tabla PPA)</t>
  </si>
  <si>
    <t xml:space="preserve">  Classification: DCD = capacidad + energia (12); SED = solo energia (12); BRIDGE = puente corto sep-24-&gt;nov-25 (2). 12+12+2=26, dual-source cross-validated.</t>
  </si>
  <si>
    <t xml:space="preserve">  DRIVER_DETAIL_PENDING: la sigla "SED" no esta definida en la documentación de dominio para este CSV legado (Tipo de contrato). Nota de investigacion (pasada 4, F2): en las licitaciones NUEVAS (01-26/02-24) "SED/SEO" = codigo de contrato Solo Energia Diaria/Ocasional -- no confirmado que sea la MISMA definicion que el Tipo=SED de este CSV historico 2013-2015; no se asume, solo se cita como candidato.</t>
  </si>
  <si>
    <t xml:space="preserve">  NOT_DISCLOSED: Pedregalito Solar Power no tiene contrato propio en el CSV (26 contratos son todos Tecnologia=Hidro). El Nota 1 OCR le atribuye Licit.02-24 @ $0.06942/kWh (2025-2030), pero investigacion (licitaciones deep-research, correccion #2) NO encuentra ese precio en la adjudicacion primaria de la 02-24 (que da Pedregalito Solar adjudicada a 54.421 USD/MWh = $0.054421/kWh) -- resolucion 100% spot-vs-CSV diferida a Task 4, no se construye aqui una fila PPA para Solar.</t>
  </si>
  <si>
    <t xml:space="preserve">  -- El Alto (Hydro Caisan) --</t>
  </si>
  <si>
    <t xml:space="preserve">    05-08 E5 | El Alto (Hydro Caisan) x EDEMET (DCD, 01-ene-15-&gt;31-dic-25) - Potencia (MW, CSV)</t>
  </si>
  <si>
    <t xml:space="preserve">      Precio potencia ($/kW-mes, CSV)</t>
  </si>
  <si>
    <t xml:space="preserve">      Precio energia ($/kWh, CSV)</t>
  </si>
  <si>
    <t xml:space="preserve">      Note: Licit. 01-08 (mitad EDEMET) -- STEP-1 TIE-OUT. Precio potencia paso $31.00-&gt;$31.62/kW-mes y energia $0.0300-&gt;$0.0306/kWh dentro de la vigencia del CSV; se usa la tasa terminal FY25 (empata con OCR Nota1 linea 334-341 y audit_report). Vence 31-dic-2025.</t>
  </si>
  <si>
    <t xml:space="preserve">    DME-010-08 E4 | El Alto (Hydro Caisan) x ENSA (DCD, 01-ene-16-&gt;31-dic-26) - Potencia (MW, CSV)</t>
  </si>
  <si>
    <t xml:space="preserve">      Note: Licit. 01-08 (mitad ENSA) -- STEP-1 TIE-OUT. Misma escalada de precio que la pierna EDEMET. Vence 31-dic-2026 -- UN ANO DESPUES que la pierna EDEMET (31-dic-2025): el cliff de El Alto tiene DOS fechas, no una.</t>
  </si>
  <si>
    <t xml:space="preserve">    31-13. | El Alto (Hydro Caisan) x EDEMET (SED, 01-dic-15-&gt;31-dic-27) - Potencia (MW, CSV)</t>
  </si>
  <si>
    <t xml:space="preserve">    40-13. | El Alto (Hydro Caisan) x EDECHI (SED, 01-dic-15-&gt;31-dic-27) - Potencia (MW, CSV)</t>
  </si>
  <si>
    <t xml:space="preserve">    DME-016-13 | El Alto (Hydro Caisan) x ENSA (SED, 01-dic-15-&gt;31-dic-27) - Potencia (MW, CSV)</t>
  </si>
  <si>
    <t xml:space="preserve">    60-23 | El Alto (Hydro Caisan) x EDECHI (BRIDGE, 01-sep-24-&gt;30-sep-24) - Potencia (MW, CSV)</t>
  </si>
  <si>
    <t xml:space="preserve">      Note: Puente de 1 mes (sep-24).</t>
  </si>
  <si>
    <t xml:space="preserve">    DME-029-23 | El Alto (Hydro Caisan) x ENSA (BRIDGE, 01-sep-24-&gt;30-nov-25) - Potencia (MW, CSV)</t>
  </si>
  <si>
    <t xml:space="preserve">      Note: Puente sep-24-&gt;nov-25; precio de energia observado en el CSV oscila $0.08-$0.10/kWh segun mes (varios meses sin despacho, precio y MW en 0); se usa el techo $0.10/kWh como representativo (coincide con el rango $0.08-$0.10/kWh del brief).</t>
  </si>
  <si>
    <t xml:space="preserve">  -- Pedregalito --</t>
  </si>
  <si>
    <t xml:space="preserve">    28-11 E1 | Pedregalito x EDEMET (DCD, 01-ene-15-&gt;31-dic-29) - Potencia (MW, CSV)</t>
  </si>
  <si>
    <t xml:space="preserve">    40-11 E1 | Pedregalito x EDECHI (DCD, 01-ene-15-&gt;31-dic-29) - Potencia (MW, CSV)</t>
  </si>
  <si>
    <t xml:space="preserve">      Note: El CSV trae DOS filas con este mismo ID literal, una sin espacio final y otra con espacio final ("40-11 E1 "), con series mensuales de Potencia ligeramente distintas (una estacional 0.1206-0.26227, la otra plana 0.26227) -- posible duplicado/variante de captura en la fuente; se listan ambas filas tal como aparecen en el CSV (ver fila siguiente), sin fusionar ni silenciosamente descartar ninguna.</t>
  </si>
  <si>
    <t xml:space="preserve">    40-11 E1 [variante CSV: ID con espacio final] | Pedregalito x EDECHI (DCD, 01-ene-15-&gt;31-dic-29) - Potencia (MW, CSV)</t>
  </si>
  <si>
    <t xml:space="preserve">    DME-021-11 | Pedregalito x ENSA (DCD, 01-ene-15-&gt;31-dic-29) - Potencia (MW, CSV)</t>
  </si>
  <si>
    <t xml:space="preserve">    28-13 | Pedregalito x EDEMET (SED, 01-dic-15-&gt;31-dic-27) - Potencia (MW, CSV)</t>
  </si>
  <si>
    <t xml:space="preserve">    37-13. | Pedregalito x EDECHI (SED, 01-dic-15-&gt;31-dic-27) - Potencia (MW, CSV)</t>
  </si>
  <si>
    <t xml:space="preserve">    DME-018-13 | Pedregalito x ENSA (SED, 01-dic-15-&gt;31-dic-27) - Potencia (MW, CSV)</t>
  </si>
  <si>
    <t xml:space="preserve">  -- Rio Chico --</t>
  </si>
  <si>
    <t xml:space="preserve">    29-11 E1 | Rio Chico x EDEMET (DCD, 01-ene-15-&gt;31-dic-29) - Potencia (MW, CSV)</t>
  </si>
  <si>
    <t xml:space="preserve">    41-11 E1 | Rio Chico x EDECHI (DCD, 01-ene-15-&gt;31-dic-29) - Potencia (MW, CSV)</t>
  </si>
  <si>
    <t xml:space="preserve">    DME-023-11 | Rio Chico x ENSA (DCD, 01-ene-15-&gt;31-dic-29) - Potencia (MW, CSV)</t>
  </si>
  <si>
    <t xml:space="preserve">    29-13. | Rio Chico x EDEMET (SED, 01-dic-15-&gt;31-dic-27) - Potencia (MW, CSV)</t>
  </si>
  <si>
    <t xml:space="preserve">    38-13. | Rio Chico x EDECHI (SED, 01-dic-15-&gt;31-dic-27) - Potencia (MW, CSV)</t>
  </si>
  <si>
    <t xml:space="preserve">    DME-019-13 | Rio Chico x ENSA (SED, 01-dic-15-&gt;31-dic-27) - Potencia (MW, CSV)</t>
  </si>
  <si>
    <t xml:space="preserve">  -- Alto Valle --</t>
  </si>
  <si>
    <t xml:space="preserve">    30-11 E1 | Alto Valle x EDEMET (DCD, 01-jul-15-&gt;30-jun-30) - Potencia (MW, CSV)</t>
  </si>
  <si>
    <t xml:space="preserve">      Note: Vence 30-jun-2030 (FY2030 solo medio ano). El CSV repite esta fila completa dos veces byte-a-byte (mismos valores en todos los campos y meses) -- duplicado de captura inocuo en la fuente, no una segunda tranche del contrato.</t>
  </si>
  <si>
    <t xml:space="preserve">    42-11 E1 | Alto Valle x EDECHI (DCD, 01-jul-15-&gt;30-jun-30) - Potencia (MW, CSV)</t>
  </si>
  <si>
    <t xml:space="preserve">      Note: Vence 30-jun-2030 (FY2030 solo medio ano).</t>
  </si>
  <si>
    <t xml:space="preserve">    DME-024-11 | Alto Valle x ENSA (DCD, 01-ene-15-&gt;31-dic-29) - Potencia (MW, CSV)</t>
  </si>
  <si>
    <t xml:space="preserve">    30-13. | Alto Valle x EDEMET (SED, 01-dic-15-&gt;31-dic-27) - Potencia (MW, CSV)</t>
  </si>
  <si>
    <t xml:space="preserve">    39-13. | Alto Valle x EDECHI (SED, 01-dic-15-&gt;31-dic-27) - Potencia (MW, CSV)</t>
  </si>
  <si>
    <t xml:space="preserve">    DME-011-13 | Alto Valle x ENSA (SED, 01-ene-13-&gt;31-dic-27) - Potencia (MW, CSV)</t>
  </si>
  <si>
    <t xml:space="preserve">      Note: OCR_REVIEW_REQUIRED: el CSV da $0.01325/kWh, 10x por debajo del vintage SED de las demas plantas ($0.132-0.1325/kWh) y del propio Nota1 de Alto Valle (licitacion 02-13, $0.1325/kWh). Probable error de captura de un decimal en la fuente CSV (0.1325 vs 0.01325); se transcribe tal como esta en la fuente, sin corregir.</t>
  </si>
  <si>
    <t>A3a. Step 1 tie-out -- El Alto DCD (Licit. 01-08) combined capacity</t>
  </si>
  <si>
    <t xml:space="preserve">  Combined El Alto DCD capacity (EDEMET + ENSA, MW)</t>
  </si>
  <si>
    <t xml:space="preserve">  Tie check: FY25 combined MW = 22.141 (OCR Nota1 22.14MW mensual + audit_report)</t>
  </si>
  <si>
    <t xml:space="preserve">  Cite: OCR: a working file kept by the maintainer:334-341 (Hydro Caisan table, Licitacion 01-08 column: Capacidad contratada 22.14MW mensual, Precio potencia $31.62/kW-mes, Precio energia $0.0306/kWh).</t>
  </si>
  <si>
    <t>A3b. El Alto cliff calendar (dual cited groups -- filing claim vs verified award)</t>
  </si>
  <si>
    <t xml:space="preserve">  FLAG: EL_ALTO_CLIFF -- Licit.01-08 DCD expiry EDEMET 31-dic-2025 / ENSA 31-dic-2026 (two dates, not one -- see Step 1 tie-out rows above). Task 6 forecast driver = the VERIFIED AWARD group below, NEVER the filing-claim group.</t>
  </si>
  <si>
    <t xml:space="preserve">  --- Group 1: FILING CLAIM (issuer's own disclosure, verbatim) -- DO NOT USE AS FORECAST DRIVER ---</t>
  </si>
  <si>
    <t xml:space="preserve">  Cite: OCR: a working file kept by the maintainer:334-343 (Hydro Caisan table, column "06-12"). Label "Licit.06-12" REFUTED by research: the real ETESA LPI 06-12 was a 2012/13 COAL tender (Res. GC-04-2013, Termo Energia S.A., never materialized) -- either the ID or the 2026-2040 window is a mis-mapping in the OCR/filing note. See maintainer research note (correccion #1). Encoded here as the issuer's disclosed claim only, NOT as fact.</t>
  </si>
  <si>
    <t xml:space="preserve">  Filing claim: plazo (label text only, see note)</t>
  </si>
  <si>
    <t>2026-2040 (per OCR; window unverified, see refutation above)</t>
  </si>
  <si>
    <t xml:space="preserve">  Filing claim: capacidad contratada (MW anual, max of disclosed range 10.05-12.09)</t>
  </si>
  <si>
    <t xml:space="preserve">  Filing claim: precio potencia ($/kW-mes, disclosed range $9.5-$10, lower bound shown)</t>
  </si>
  <si>
    <t xml:space="preserve">  Filing claim: precio energia ($/kWh, disclosed range $0.0954-$0.1004, lower bound shown)</t>
  </si>
  <si>
    <t xml:space="preserve">  Note: Generadora Alto Valle's OWN Nota 1 table also carries a "06-12 (2026-2040)" column (0.76MW anual, $9.5/kW-mes, $0.0954/kWh) -- same refuted ID label; research's verified-award table (GC-02-2026) does NOT list Pedregalito/Rio Chico/Alto Valle as awardees at all. Out of Task 2 scope (El Alto only); flagged for Task 4/6 attention, not resolved here.</t>
  </si>
  <si>
    <t xml:space="preserve">  --- Group 2: VERIFIED AWARD (GC-02-2026 / LPI 01-26, adjudicada 5-may-2026, firme) -- FORECAST INPUT DEFAULT (Task 6 consumes this group) ---</t>
  </si>
  <si>
    <t xml:space="preserve">  Cite: maintainer research note (Pendiente#1 CERRADO table, Anexo No.1) + maintainer research note (timing, Anexo A Res. AN 21370-Elec).</t>
  </si>
  <si>
    <t xml:space="preserve">  Verified award: potencia firme (MW, Renglon 2 SP)</t>
  </si>
  <si>
    <t xml:space="preserve">  Verified award: precio potencia ($/kW-mes)</t>
  </si>
  <si>
    <t xml:space="preserve">  Verified award: potencia firme inicio de suministro (label text)</t>
  </si>
  <si>
    <t>1-jul-2028 (82 meses; contratos firmados a mas tardar 4-ago-2026)</t>
  </si>
  <si>
    <t xml:space="preserve">  Verified award: energia SED (MWh asignados, 16 meses)</t>
  </si>
  <si>
    <t xml:space="preserve">  Verified award: precio energia SED ($/kWh, = $47.3/MWh)</t>
  </si>
  <si>
    <t xml:space="preserve">  Verified award: energia SEO (MWh asignados, 58 meses)</t>
  </si>
  <si>
    <t xml:space="preserve">  Verified award: precio energia SEO ($/kWh, = $36.1/MWh)</t>
  </si>
  <si>
    <t xml:space="preserve">  Verified award: energia (SED+SEO) inicio de suministro (label text)</t>
  </si>
  <si>
    <t>1-jul-2026 (liquidacion retroactiva si falta registro a esa fecha)</t>
  </si>
  <si>
    <t xml:space="preserve">  Note: valle de ~1.5-2.5 anos (dic-2025/26 -&gt; jul-2028) practicamente sin ingreso por potencia -- el modelo debe mostrarlo explicito, no suavizarlo (pasada4, Anexo A). Colapso de ~98% del ingreso por capacidad de El Alto ($31.62/kW-mes x 22.14MW -&gt; $3.24/kW-mes x 4.4MW).</t>
  </si>
  <si>
    <t>A4. Price layer -- CND spot + potencia ocasional + blended PPA price (Task 3)</t>
  </si>
  <si>
    <t xml:space="preserve">  Source: a working file kept by the maintainer -&gt; Costo_Marginal_Historico.xlsx (hojas "2015-2024"/"2025-2030", cols DIA/MES/ANO/HORA/costo marginal $/MWh); promedio simple de la serie horaria completa por ano calendario, raw-XML unzip (sin openpyxl), 2026-07-12</t>
  </si>
  <si>
    <t xml:space="preserve">  Artefactos investigados (brief Task 3): la fila "ano='2'" documentada resulto ser un artefacto de PARSEO (header row 3 mal leido por un regex que no filtra el atributo t="s"; desaparece por completo al filtrar shared-strings correctamente), no un defecto de la fuente. Si existe un cluster real de filas duplicadas en 24-dic-2023 horas 11-15 (13 filas para 5 horas, 8 de mas); se probaron 3 estrategias de exclusion (keep-first/keep-last/promedio) y las 3 alejan el promedio FY23 de 120.71 (dan 120.59/120.80/120.67). El promedio simple SIN excluir nada ya empata las 5 cifras publicadas al centavo -- se codifica ese numero; el cluster se deja documentado, no aplicado (aplicarlo aleja el numero del objetivo).</t>
  </si>
  <si>
    <t xml:space="preserve">  Spot / merchant price, CND hourly annual mean ($/MWh)</t>
  </si>
  <si>
    <t xml:space="preserve">  Tie check: ROUND(spot,2) = published CND/ASEP annual average</t>
  </si>
  <si>
    <t xml:space="preserve">  DUAL SPOT DISCLOSURE: esta fila (anchor generation_ppa.price_layer.spot_mwh, fila 170) FY25 = 66.3559 $/MWh (media horaria CND del mercado completo) vs la fila "Spot / merchant price ($/MWh) - active" de la Seccion B (anchor pxq.spot_price, fuente MD&amp;A del emisor via HIST_EVIDENCE) FY25 = 63.00 $/MWh -- gap ~5.3%. NO es un error a corregir: son dos conceptos distintos (estimacion single-year divulgada por el emisor en su MD&amp;A vs promedio horario del costo marginal de TODO el mercado CND). Regla downstream (controller, 2026-07-12): esta fila CND = referencia de mercado para drivers/forecast; la fila MD&amp;A = estimacion divulgada del emisor, se conserva como disclosure; el amarre que gobierna el buildup historico de Task 4 es la reconciliacion a Nota 20 (EEFF $), con el implicit-price check como banda -- nunca elegir una cifra "a ciegas".</t>
  </si>
  <si>
    <t xml:space="preserve">  Source: CND_ESTADISTICAS_Precio_Potencia_Mercado_Ocasional_&lt;YYYY&gt;.csv (precio spot de potencia diario, $/KW-mes; promedio de valores diarios, marcadores "----"/"-" excluidos como faltante genuino); Task 0 fix-pass + recompute independiente Task 3, 2026-07-12</t>
  </si>
  <si>
    <t xml:space="preserve">  UNIDAD AUTENTICA: $/kW-mes (precio spot de potencia diario, CND) -- NO es $/MWh. El label "$/MWh" de la interfaz original de este task era un error de referencia (Task 0 correction, controller 2026-07-12); no se inventa conversion de unidad alguna. La banda monomico 102-120 B/./MWh (proxy ASEP) es una metrica DISTINTA y no aplica a esta fila.</t>
  </si>
  <si>
    <t xml:space="preserve">  Contexto: Nota 20 "Capacidad ocasional" es un renglon de ingreso pequeno (25,850/23,832/4,539/30,024/85,160 B/. FY21-25) -- esta fila existe por honestidad de fuente, no para cargar el modelo.</t>
  </si>
  <si>
    <t xml:space="preserve">  Potencia ocasional, CND daily spot annual mean ($/kW-mes)</t>
  </si>
  <si>
    <t>A4a. Blended PPA price per plant (black same-sheet formula over A3 ladder rows)</t>
  </si>
  <si>
    <t xml:space="preserve">  Metodologia: promedio de "Precio energia ($/kWh)" ponderado por MW contratado, entre todos los contratos activos (DCD+SED+BRIDGE) de la planta ese ano, x1000 -&gt; $/MWh. Ponderar por MW contratado (no por MWh despachado) es una decision de modelado explicita -- el volumen de energia por-contrato no esta divulgado; se documenta, no se oculta. Hereda sin corregir los dos artefactos de captura del CSV que Task 2 ya dejo sin fusionar (variante "40-11 E1" con espacio final en Pedregalito; repeticion byte-a-byte "30-11 E1" en Alto Valle) -- ambos de impacto marginal en el promedio ponderado.</t>
  </si>
  <si>
    <t xml:space="preserve">  Blended PPA price - El Alto (Hydro Caisan) ($/MWh, MW-weighted)</t>
  </si>
  <si>
    <t xml:space="preserve">  Blended PPA price - Pedregalito ($/MWh, MW-weighted)</t>
  </si>
  <si>
    <t xml:space="preserve">  Blended PPA price - Rio Chico ($/MWh, MW-weighted)</t>
  </si>
  <si>
    <t xml:space="preserve">  Blended PPA price - Alto Valle ($/MWh, MW-weighted)</t>
  </si>
  <si>
    <t>A5. DERIVED revenue buildup per plant x channel, reconciled to Nota 20 (Task 4)</t>
  </si>
  <si>
    <t xml:space="preserve">  DERIVED: Nota 20 discloses the $ split only at emisor level; the filing never opens it by plant. Per-plant channel revenue below is built bottom-up from Task 1 (CND actual GWh/plant) + Task 2 (PPA ladder MW/price per contract) + Task 3 (blended PPA price + CND spot price per plant), then rolled up and reconciled to the Nota 20 emisor total per channel per year -- the residual row EXPOSES the gap, it never absorbs it.</t>
  </si>
  <si>
    <t xml:space="preserve">  Nota 20 source (per FY, own primary filing, re-verified verbatim, 0 discrepancies vs the task brief): FY21/22 PPH_2022_page_by_page_transcription.md:3843-3878 (Nota 20 'Ingresos', columna FY21 comparativa); FY23 PPH_2023_page_by_page_transcription.md:3877-3900 (Nota 20 'Ingresos', columna FY23); FY24 PPH_2024_page_by_page_transcription.md:3876-3900 (Nota 19 'Ingresos' -- renumerada en el vintage FY24 -- columna FY24); FY25 PPH_2025_page_by_page_transcription.md:3921-3947 (Nota 20 'Ingresos', columna FY25).</t>
  </si>
  <si>
    <t>A5a. Nota 20 reconciliation target (blue literals, EEFF/OCR verbatim)</t>
  </si>
  <si>
    <t xml:space="preserve">  Nota 20: Energia contratada</t>
  </si>
  <si>
    <t xml:space="preserve">  Nota 20: Capacidad contratada</t>
  </si>
  <si>
    <t xml:space="preserve">  Nota 20: Energia ocasional</t>
  </si>
  <si>
    <t xml:space="preserve">  Nota 20: Capacidad ocasional</t>
  </si>
  <si>
    <t xml:space="preserve">  Nota 20: Serv. auxiliares y otros</t>
  </si>
  <si>
    <t xml:space="preserve">  Nota 20: Ingresos por credito fiscal y otros (SEPARADA -- nunca fundir con revenue)</t>
  </si>
  <si>
    <t xml:space="preserve">  Nota: la IS auditada mantiene 'Ingresos por credito fiscal y otros' SEPARADA de venta de energia (el MD&amp;A a veces la funde) -- se conserva separada aqui, per house rule.</t>
  </si>
  <si>
    <t xml:space="preserve">  Nota 20: Total de ingresos por venta de energia (suma de los 5 canales, sin credito fiscal)</t>
  </si>
  <si>
    <t>A5b. Per-plant x channel buildup (black same-sheet formulas)</t>
  </si>
  <si>
    <t xml:space="preserve">  --   Pedregalito 1 (GENPED) --</t>
  </si>
  <si>
    <t xml:space="preserve">    Contracted MWh (Nota 1 'Energia asociada por ano', punto medio -- ver flag)</t>
  </si>
  <si>
    <t xml:space="preserve">      02-10 (18,746) + 02-13 (19,326 punto medio), constante FY21-25. FLAG: estimado NOMINAL/steady-state a 68% factor de carga (misma pagina, linea 394-395: "el cual puede fluctuar dependiendo de la demanda") -- NO es un volumen anual real desagregado por FY; se usa como el mejor punto de referencia disclosed, el residual del canal expone cuanto se aparta la entrega real de este diseno nominal.</t>
  </si>
  <si>
    <t xml:space="preserve">    Capacidad contratada $ (Sum DCD: MW x 1000 kW/MW x $/kW-mes x 12)</t>
  </si>
  <si>
    <t xml:space="preserve">    Energia contratada $ (Contracted MWh x Blended PPA price)</t>
  </si>
  <si>
    <t xml:space="preserve">    Spot/merchant MWh (MAX(0, GWh actual x1000 - Contracted MWh))</t>
  </si>
  <si>
    <t xml:space="preserve">    Energia ocasional $ (Spot MWh x CND spot price)</t>
  </si>
  <si>
    <t xml:space="preserve">    Plant revenue (Capacidad+Energia contratada+ocasional)</t>
  </si>
  <si>
    <t xml:space="preserve">    Implicit price ($/MWh = plant revenue / (GWh actual x1000))</t>
  </si>
  <si>
    <t xml:space="preserve">    Band check: implicit price in [0.85x,1.15x] of min/max(CND spot, blended PPA)</t>
  </si>
  <si>
    <t xml:space="preserve">  --   Pedregalito 2 (RCHICO) --</t>
  </si>
  <si>
    <t xml:space="preserve">      02-10 (10,210) + 02-13 (11,588.5 punto medio), constante FY21-25. FLAG: estimado NOMINAL/steady-state a 68% factor de carga (misma pagina, linea 394-395: "el cual puede fluctuar dependiendo de la demanda") -- NO es un volumen anual real desagregado por FY; se usa como el mejor punto de referencia disclosed, el residual del canal expone cuanto se aparta la entrega real de este diseno nominal.</t>
  </si>
  <si>
    <t xml:space="preserve">  --   Cochea (ALTOVALLE) --</t>
  </si>
  <si>
    <t xml:space="preserve">      02-10 (13,729) + 02-13 (14,897 punto medio), constante FY21-25. FLAG: estimado NOMINAL/steady-state a 68% factor de carga (misma pagina, linea 394-395: "el cual puede fluctuar dependiendo de la demanda") -- NO es un volumen anual real desagregado por FY; se usa como el mejor punto de referencia disclosed, el residual del canal expone cuanto se aparta la entrega real de este diseno nominal.</t>
  </si>
  <si>
    <t xml:space="preserve">  --   El Alto + Mini El Alto (HCAISAN) --</t>
  </si>
  <si>
    <t xml:space="preserve">      01-08 (131,884, FY21-25) + 02-13 (42,973 punto medio, FY21-25) [+ 01-23 puente 27,071 punto medio, solo FY24-25 -&gt; 174,857 FY21-23, 201,928 FY24-25]. FLAG: estimado NOMINAL/steady-state a 68% factor de carga (misma pagina, linea 394-395: "el cual puede fluctuar dependiendo de la demanda") -- NO es un volumen anual real desagregado por FY; se usa como el mejor punto de referencia disclosed, el residual del canal expone cuanto se aparta la entrega real de este diseno nominal.</t>
  </si>
  <si>
    <t xml:space="preserve">  --   Pedregalito Solar (9.9 MWac) --</t>
  </si>
  <si>
    <t xml:space="preserve">    NOT_DISCLOSED:   Pedregalito Solar (9.9 MWac) no tiene contrato PPA propio en el CSV/Nota 1 (Task 2 flag) -- 100% de su generacion se trata como spot/merchant abajo.</t>
  </si>
  <si>
    <t xml:space="preserve">    Spot/merchant MWh (100% -- sin contrato PPA propio, Task 2 flag)</t>
  </si>
  <si>
    <t xml:space="preserve">      FLAG: FY23 (2.612 GWh) y FY24 (17.743 GWh) son inyecciones de prueba pre-COD (Task 1 note), no ventas comerciales confirmadas -- se incluyen aqui como spot por completitud mecanica de la formula (no se excluyen a mano, eso seria forzar), pero su tratamiento de ingreso real es NOT_DISCLOSED.</t>
  </si>
  <si>
    <t xml:space="preserve">    Band check: implicit price in [0.85x,1.15x] of CND spot (no PPA reference -- 100% spot plant)</t>
  </si>
  <si>
    <t>A5c. Roll-up per channel vs Nota 20 + reconciliation residual</t>
  </si>
  <si>
    <t xml:space="preserve">  POWER_REVENUE_BUILD_TIE tolerance (USD)</t>
  </si>
  <si>
    <t xml:space="preserve">  Buildup: Capacidad contratada (sum of plants)</t>
  </si>
  <si>
    <t xml:space="preserve">  POWER_REVENUE_BUILD_TIE_resid: Capacidad contratada (buildup - Nota 20)</t>
  </si>
  <si>
    <t xml:space="preserve">  Tie status: Capacidad contratada (|resid| &lt;= tolerance?)</t>
  </si>
  <si>
    <t xml:space="preserve">  Buildup: Energia contratada (sum of plants)</t>
  </si>
  <si>
    <t xml:space="preserve">  POWER_REVENUE_BUILD_TIE_resid: Energia contratada (buildup - Nota 20)</t>
  </si>
  <si>
    <t xml:space="preserve">  Tie status: Energia contratada (|resid| &lt;= tolerance?)</t>
  </si>
  <si>
    <t xml:space="preserve">  Buildup: Energia ocasional (sum of plants)</t>
  </si>
  <si>
    <t xml:space="preserve">  POWER_REVENUE_BUILD_TIE_resid: Energia ocasional (buildup - Nota 20)</t>
  </si>
  <si>
    <t xml:space="preserve">  Tie status: Energia ocasional (|resid| &lt;= tolerance?)</t>
  </si>
  <si>
    <t xml:space="preserve">  Capacidad ocasional y Servicios auxiliares y otros: SIN key disclosed a nivel planta -- se mantienen a nivel EMISOR (= Nota 20 literal); el residual = 0 es trivial por construccion (ausencia de derivacion, no una reconciliacion real) -- flagged, no oculto.</t>
  </si>
  <si>
    <t xml:space="preserve">  POWER_REVENUE_BUILD_TIE_resid: Capacidad ocasional (EMISOR-level only, trivial 0)</t>
  </si>
  <si>
    <t xml:space="preserve">  POWER_REVENUE_BUILD_TIE_resid: Serv. auxiliares y otros (EMISOR-level only, trivial 0)</t>
  </si>
  <si>
    <t>A6. Cost buildup -- variable per plant (deficit x spot) + transmission (EEFF) + fixed at emisor (Task 5)</t>
  </si>
  <si>
    <t xml:space="preserve">  Variable cost of energy ties to EEFF: Compras de energia y costos asociados + Cargo de transmision (Costo de Energia section of the IS). No fuel line -- 100% hydro/solar (Costo de Energia never carries a 'Combustible' line item in any vintage; corroborated independently below via the CND per-plant Costo Variable check).</t>
  </si>
  <si>
    <t xml:space="preserve">  Source (per FY, own primary filing, re-verified verbatim): FY21/22 PPH_2022_page_by_page_transcription.md:2022-2023,2031-2032 ('Costo de Energia' + 'Gastos Operativos', columna FY21 comparativa); FY23 PPH_2023_page_by_page_transcription.md:2042-2043,2051-2052 (columna FY23); FY24 PPH_2024_page_by_page_transcription.md:1989-1990,1998-1999 (columna FY24); FY25 PPH_2025_page_by_page_transcription.md:2108-2109,2117-2118 (columna FY25).</t>
  </si>
  <si>
    <t>A6a. EEFF variable-cost reconciliation target (blue literals, verbatim)</t>
  </si>
  <si>
    <t xml:space="preserve">  EEFF: Compras de energia y costos asociados</t>
  </si>
  <si>
    <t xml:space="preserve">  EEFF: Cargo de transmision</t>
  </si>
  <si>
    <t xml:space="preserve">  EEFF: Total de costo de energia (Compras + Transmision)</t>
  </si>
  <si>
    <t xml:space="preserve">  Internal check: this subtotal ties EXACTLY to the IS's own disclosed 'Total de costo de energia' line every FY (5,795,245 / 10,410,422 / 14,257,108 / 12,463,959 / 6,748,075) -- confirms compras+transmision is the complete, correctly-cited variable-cost universe, nothing missing.</t>
  </si>
  <si>
    <t>A6b. CND Costo Variable Historico -- per-plant check (own-generation dispatch cost)</t>
  </si>
  <si>
    <t xml:space="preserve">  Source: a working file kept by the maintainer -&gt; Costo_Variable_Historico.xls (OLE2/BIFF legacy, converted via LibreOffice headless --convert-to xlsx for raw-XML unzip; sheets 2021-2025, cols NOMBRE/DIA/MES/ANO/POTENCIA(MW)/COSTO VARIABLE($/MWh)/EMPRESA) filtered EMPRESA in {GENPED,RCHICO,ALTOVALLE,HCAISAN,PEDSOLPOW}; 10,389 daily obs FY21-25, min=avg=max=$0.0000/MWh in every grouping, 2026-07-12</t>
  </si>
  <si>
    <t xml:space="preserve">  Format note (inspected before encoding, per brief instruction): the zip's ONLY member is Costo_Variable_Historico.xls, legacy OLE2/BIFF binary (NOT a zip container) -- raw-XML unzip requires a format conversion first (LibreOffice headless, a conversion utility, not openpyxl) to reach the same XML-unzip discipline used elsewhere in this file.</t>
  </si>
  <si>
    <t xml:space="preserve">    Pedregalito 1 (GENPED) - CND own-generation costo variable ($/MWh, dispatch merit-order bid)</t>
  </si>
  <si>
    <t xml:space="preserve">    Pedregalito 2 (RCHICO) - CND own-generation costo variable ($/MWh, dispatch merit-order bid)</t>
  </si>
  <si>
    <t xml:space="preserve">    Cochea (ALTOVALLE) - CND own-generation costo variable ($/MWh, dispatch merit-order bid)</t>
  </si>
  <si>
    <t xml:space="preserve">    El Alto + Mini El Alto (HCAISAN) - CND own-generation costo variable ($/MWh, dispatch merit-order bid)</t>
  </si>
  <si>
    <t xml:space="preserve">    Pedregalito Solar (9.9 MWac) - CND own-generation costo variable ($/MWh, dispatch merit-order bid)</t>
  </si>
  <si>
    <t xml:space="preserve">  Tie check: all 5 plants, all FY21-25 -&gt; $0.0000/MWh (100% hydro/solar, no fuel/marginal cost)</t>
  </si>
  <si>
    <t xml:space="preserve">  NOTE: this file measures the plant's OWN dispatch/merit-order cost (fuel + variable O&amp;M bid into CND) -- $0 for renewables, as found -- NOT the EEFF 'Compras de energia' line (which is PPH's MARKET-SIDE cost of buying spot energy, an entirely different economic layer this file cannot bound). It corroborates the house 'no fuel line' rule; it is NOT a numeric band for the buildup below (see A6c root-cause note -- that residual is a genuinely different, larger, honestly-diagnosed gap).</t>
  </si>
  <si>
    <t>A6c. Per-plant variable cost buildup: spot purchases for PPA delivery deficit (black same-sheet formulas)</t>
  </si>
  <si>
    <t xml:space="preserve">  Formula (per plant): Deficit MWh = MAX(0, Contracted MWh [Nota 1, Task 4 row] - Generated MWh [Task 1 GWh x1000]); Variable $ = Deficit MWh x CND spot price ($/MWh, Task 3 row). Units: Contracted/Generated both in MWh after the x1000 GWh-&gt;MWh conversion; spot price in $/MWh; product in $. Solar has no PPA (Task 2/4 flag) -- committed=0, so deficit=0 by construction, not a real reconciliation.</t>
  </si>
  <si>
    <t xml:space="preserve">    Deficit MWh (MAX(0, Contracted MWh - Generated MWh))</t>
  </si>
  <si>
    <t xml:space="preserve">    Variable cost $ (Deficit MWh x CND spot $/MWh)</t>
  </si>
  <si>
    <t xml:space="preserve">    Deficit MWh (no PPA committed volume -- Task 2/4 flag, deficit=0 by construction)</t>
  </si>
  <si>
    <t xml:space="preserve">  COST_BUILD_TIE tolerance (USD)</t>
  </si>
  <si>
    <t xml:space="preserve">  Buildup: Variable cost, spot-for-deficit (sum of plants)</t>
  </si>
  <si>
    <t>A6d. Transmission (EMISOR level, no disclosed per-plant driver) + total variable-cost reconciliation</t>
  </si>
  <si>
    <t xml:space="preserve">  Cargo de transmision: reconciliation target = the EMISOR-level EEFF literal (row above). CORRECTION (fix pass, review 2026-07-12): the original claim 'no disclosed per-plant key' was WRONG -- the filing's 'Consolidacion de Estado de Resultados Integral' (pag ~87-90 de cada vintage) DOES break Cargo de transmision down by legal subsidiary = by plant, audited, FY22-FY24 (FY25: subsidiarias fusionadas en una sola Hydro Caisan, S.A. -- el split por planta termina en FY24; FY21: sin vintage 2021 en el mirror, la consolidacion del filing 2022 cubre solo 2022). Audited per-plant values encoded verbatim in A6g below.</t>
  </si>
  <si>
    <t xml:space="preserve">  Buildup: Total variable cost (Variable spot-for-deficit + Transmision)</t>
  </si>
  <si>
    <t xml:space="preserve">  COST_BUILD_TIE_resid: Total variable cost (buildup - EEFF target)</t>
  </si>
  <si>
    <t xml:space="preserve">  Tie status: Total variable cost (|resid| &lt;= tolerance?)</t>
  </si>
  <si>
    <t xml:space="preserve">  ROOT CAUSE (diagnosed, not tuned -- order-of-magnitude check applied before reporting per the Task 4 lesson): for all 4 PPA-contracted plants, Task 1's disclosed generated GWh EXCEEDS Task 4's disclosed Contracted MWh (Nota 1 nominal design estimate) in EVERY single FY21-25 column (e.g. HCAISAN: min generated 221.3 GWh (FY23) vs max contracted 201.9 GWh (FY24-25); GENPED: min generated 63.0 GWh vs contracted 38.1 GWh; RCHICO: min generated 39.9 GWh vs contracted 21.8 GWh; ALTOVALLE: min generated 54.2 GWh vs contracted 28.6 GWh) -- so MAX(0, contracted-generated)=0 for all 20 plant-years, and the buildup is mechanically $0 (transmision-only). This is NOT a units/formula bug (verified: formula matches the brief's own prescription literally; units checked; the CND own-generation cost check above independently confirms $0 fuel cost for the same plants, consistent evidence, not a broken term). The real 'Compras de energia' driver is very likely an INTRA-YEAR (monthly/hourly firm-delivery-profile) mismatch -- PPH's DCD contracts carry a firm CAPACIDAD commitment that must be met hour-by-hour/dry-season, even in years where ANNUAL generation nets out above the annual nominal contracted MWh design estimate -- which this annual-point-estimate model structurally cannot capture with currently disclosed data. PRECISION (fix pass, review 2026-07-12) -- the data gap has two distinct halves, previously conflated: (a) monthly per-plant GENERATION *IS* disclosed (the same CND generacion_YYYY.xlsx Task 1 cites: filas Enero..Diciembre por planta, fila 19 = TOTAL -- verified raw-XML 2026-07-12); (b) what is NOT disclosed at fine grain is only the CONTRACTUAL side -- the monthly/hourly firm-delivery commitment schedule per contract. CORROBORATION (audited, A6g below): the filing's own consolidating IS shows Hydro Caisan (El Alto -- the fleet's DCD-heavy plant, 22.14 MW firm) carrying 84.4% / 86.3% / 90.9% of total Compras de energia in FY22/FY23/FY24 -- the purchases concentrate exactly where the firm-supply obligations concentrate, consistent with the intra-year deficit hypothesis and inconsistent with a uniform per-MWh cost. Candidate secondary drivers (not modeled, NOT_DISCLOSED at this granularity): contract-level (not plant-aggregate) shortfalls, and the small 'Suplidor de perdidas de transmision' MD&amp;A line (only $8-28K/yr -- far too small to explain the multi-million-dollar gap on its own). EXPOSED via the residual row above, never tuned toward zero.</t>
  </si>
  <si>
    <t>A6e. Fixed costs at EMISOR level (O&amp;M + G&amp;A, Nota 22/21 'Gastos Operativos') -- zero invented per-plant allocation</t>
  </si>
  <si>
    <t xml:space="preserve">  Fixed costs stay at EMISOR level as the model's reconciliation targets. CORRECTION (fix pass, review 2026-07-12): the original claim 'no disclosed per-plant key exists' was WRONG -- Nota 22/21 itself does not open O&amp;M/G&amp;A by plant, but the filing's 'Consolidacion de Estado de Resultados Integral' DOES (per legal subsidiary = per plant, audited, FY22-FY24; FY25 merged single entity). Those audited per-plant values are encoded verbatim in A6g below; still zero INVENTED allocation anywhere.</t>
  </si>
  <si>
    <t xml:space="preserve">  EEFF: Operacion y mantenimiento (Nota 22/21)</t>
  </si>
  <si>
    <t xml:space="preserve">  EEFF: Generales y administrativos (Notas 20/21 y 22)</t>
  </si>
  <si>
    <t xml:space="preserve">  EEFF: Total O&amp;M + G&amp;A (emisor level)</t>
  </si>
  <si>
    <t>A6f. Nota 22/21 'Gastos Operativos' sub-line memo (informational, EMISOR level, NOT separately allocated)</t>
  </si>
  <si>
    <t xml:space="preserve">  Source (per FY, own primary filing): FY21/22 PPH_2022_page_by_page_transcription.md:3895-3899 (Nota 22 'Gastos Operativos', columna FY21 comparativa); FY23 PPH_2023_page_by_page_transcription.md:3934-3937 (columna FY23); FY24 PPH_2024_page_by_page_transcription.md:3936-3939 (columna FY24, Nota 21 renumerada); FY25 PPH_2025_page_by_page_transcription.md:3981-3984 (columna FY25, Nota 22). Brief anchors FY25 only (seguros 1.72M / personal 2.50M / mantenimientos 1.06M -- all three match exactly); the full FY21-25 series below was independently recovered and cross-vintage verified (each vintage's comparative column matches the prior vintage's primary column exactly).</t>
  </si>
  <si>
    <t xml:space="preserve">  FLAG: this trio is only PART of Nota 22/21's ~14 line items (also Depreciacion y amortizacion, Honorarios profesionales, Impuestos generales, Ambientales y regulador, Vehiculos y transporte, Vigilancia, Ayuda comunitaria, Servicios publicos/alquileres/oficina, Auditoria, Honorarios comercializacion, Honorarios legales, Otros -- none modeled here, out of this task's scope) -- informational disclosure-completeness memo only, never used as a reconciliation target and never allocated per plant.</t>
  </si>
  <si>
    <t xml:space="preserve">    Nota 22/21: Costo de personal</t>
  </si>
  <si>
    <t xml:space="preserve">    Nota 22/21: Fianzas y seguros</t>
  </si>
  <si>
    <t xml:space="preserve">    Nota 22/21: Mantenimientos de planta</t>
  </si>
  <si>
    <t>A6g. Consolidacion IS por subsidiaria (verbatim, auditada) -- el split por planta SI esta divulgado (fix pass)</t>
  </si>
  <si>
    <t xml:space="preserve">  Sources: FY22 PPH_2022_page_by_page_transcription.md:4532-4570 ('Estado Consolidado de Resultado Integral' por subsidiaria, pag 90, ano terminado 31-dic-2022); FY23 PPH_2023_page_by_page_transcription.md:4504-4549 ('Consolidacion de Estado de Resultados Integral', pag 88, ano 2023); FY24 PPH_2024_page_by_page_transcription.md:4513-4560 ('Consolidacion de Estado de Resultados Integral', pag 87, ano 2024); FY25 PPH_2025_page_by_page_transcription.md:4522-4568 ('Estado Consolidado de Resultado Integral', pag 85, ano 2025 -- entidad unica Hydro Caisan, S.A. post-fusion).</t>
  </si>
  <si>
    <t xml:space="preserve">  CORRECTION (review 2026-07-12): the original Task 5 claim 'no disclosed per-plant key exists' for compras/transmision/O&amp;M/G&amp;A is RETRACTED -- this audited consolidating schedule IS the disclosed per-subsidiary (= per-plant) key. Subsidiaria legal -&gt; planta: Generadora Alto Valle-&gt;ALTOVALLE, Pedregalito Solar Power-&gt;SOLAR, Hydro Caisan-&gt;HCAISAN, Generadora Pedregalito-&gt;GENPED, Generadora Rio Chico-&gt;RCHICO (+ entidades no-planta: holdco, PPMS, Rio Chico Solar Power, PPH Financing).</t>
  </si>
  <si>
    <t xml:space="preserve">  DISCLOSURE WINDOW: cada vintage trae la consolidacion SOLO de su ano primario -&gt; split por planta disponible FY22/FY23/FY24. FY25: subsidiarias FUSIONADAS en una sola Hydro Caisan, S.A. (la columna HCAISAN FY25 = entidad unica, NO comparable como planta) -- el split por planta termina en FY24. FY21: NOT_DISCLOSED (no existe vintage 2021 en el mirror; la consolidacion del filing 2022 cubre solo 2022 -- la instruccion de review decia 'FY21-FY24', la evidencia soporta FY22-FY24; se codifica lo divulgado, divergencia expuesta). '-' impreso en la tabla = nil -&gt; 0 azul citado; columna/ano ausente -&gt; NOT_DISCLOSED.</t>
  </si>
  <si>
    <t xml:space="preserve">  CONSOL_IS_TIE tolerance (USD)</t>
  </si>
  <si>
    <t xml:space="preserve">  IS emisor: Venta de energia (target)</t>
  </si>
  <si>
    <t xml:space="preserve">  IS emisor: Depreciacion y amortizacion (target)</t>
  </si>
  <si>
    <t xml:space="preserve">  -- Venta de energia (por subsidiaria) --</t>
  </si>
  <si>
    <t xml:space="preserve">    Generadora Alto Valle, S.A. -&gt; Cochea (ALTOVALLE)</t>
  </si>
  <si>
    <t xml:space="preserve">    Pedregalito Solar Power, S.A. (SOLAR)</t>
  </si>
  <si>
    <t xml:space="preserve">    Hydro Caisan, S.A. -&gt; El Alto (HCAISAN; FY25 = entidad unica post-fusion, ya no solo-planta)</t>
  </si>
  <si>
    <t xml:space="preserve">    Generadora Pedregalito, S.A. (GENPED)</t>
  </si>
  <si>
    <t xml:space="preserve">    Generadora Rio Chico, S.A. (RCHICO)</t>
  </si>
  <si>
    <t xml:space="preserve">    Roll-up: Venta de energia (suma subsidiarias)</t>
  </si>
  <si>
    <t xml:space="preserve">    CONSOL_IS_TIE_resid: Venta de energia (roll-up - EEFF emisor)</t>
  </si>
  <si>
    <t xml:space="preserve">    Tie status: Venta de energia (|resid| &lt;= tolerance?)</t>
  </si>
  <si>
    <t xml:space="preserve">  -- Compras de energia y costos asociados (por subsidiaria) --</t>
  </si>
  <si>
    <t xml:space="preserve">    Roll-up: Compras de energia y costos asociados (suma subsidiarias)</t>
  </si>
  <si>
    <t xml:space="preserve">    CONSOL_IS_TIE_resid: Compras de energia y costos asociados (roll-up - EEFF emisor)</t>
  </si>
  <si>
    <t xml:space="preserve">    Tie status: Compras de energia y costos asociados (|resid| &lt;= tolerance?)</t>
  </si>
  <si>
    <t xml:space="preserve">  -- Cargo de transmision (por subsidiaria) --</t>
  </si>
  <si>
    <t xml:space="preserve">    Roll-up: Cargo de transmision (suma subsidiarias)</t>
  </si>
  <si>
    <t xml:space="preserve">    CONSOL_IS_TIE_resid: Cargo de transmision (roll-up - EEFF emisor)</t>
  </si>
  <si>
    <t xml:space="preserve">    Tie status: Cargo de transmision (|resid| &lt;= tolerance?)</t>
  </si>
  <si>
    <t xml:space="preserve">  -- Depreciacion y amortizacion (por subsidiaria) --</t>
  </si>
  <si>
    <t xml:space="preserve">    Roll-up: Depreciacion y amortizacion (suma subsidiarias)</t>
  </si>
  <si>
    <t xml:space="preserve">    CONSOL_IS_TIE_resid: Depreciacion y amortizacion (roll-up - EEFF emisor)</t>
  </si>
  <si>
    <t xml:space="preserve">    Tie status: Depreciacion y amortizacion (|resid| &lt;= tolerance?)</t>
  </si>
  <si>
    <t xml:space="preserve">  -- Operacion y mantenimiento (por subsidiaria) --</t>
  </si>
  <si>
    <t xml:space="preserve">    Roll-up: Operacion y mantenimiento (suma subsidiarias)</t>
  </si>
  <si>
    <t xml:space="preserve">    CONSOL_IS_TIE_resid: Operacion y mantenimiento (roll-up - EEFF emisor)</t>
  </si>
  <si>
    <t xml:space="preserve">    Tie status: Operacion y mantenimiento (|resid| &lt;= tolerance?)</t>
  </si>
  <si>
    <t xml:space="preserve">  -- Generales y administrativos (por subsidiaria) --</t>
  </si>
  <si>
    <t xml:space="preserve">    Panama Power Holdings, Inc. (holdco)</t>
  </si>
  <si>
    <t xml:space="preserve">    Panama Power Management Services, S.A. (no-planta)</t>
  </si>
  <si>
    <t xml:space="preserve">    Rio Chico Solar Power, S.A. (no-planta; columna solo en el vintage FY22)</t>
  </si>
  <si>
    <t xml:space="preserve">    PPH Financing Services, S.A. (no-planta)</t>
  </si>
  <si>
    <t xml:space="preserve">    Roll-up: Generales y administrativos (suma subsidiarias)</t>
  </si>
  <si>
    <t xml:space="preserve">    CONSOL_IS_TIE_resid: Generales y administrativos (roll-up - EEFF emisor)</t>
  </si>
  <si>
    <t xml:space="preserve">    Tie status: Generales y administrativos (|resid| &lt;= tolerance?)</t>
  </si>
  <si>
    <t xml:space="preserve">  Cross-check: compras HCAISAN / compras total emisor (% -- corrobora hipotesis intra-anual; FY25 = 100% trivial, entidad unica)</t>
  </si>
  <si>
    <t xml:space="preserve">  Lectura: Hydro Caisan (El Alto -- la planta DCD-pesada de la flota, 22.14 MW firmes Licit.01-08) carga 84.4% / 86.3% / 90.9% de las compras totales FY22/23/24 (auditado, esta misma tabla) -- las compras se concentran exactamente donde se concentran las obligaciones de suministro firme, consistente con la hipotesis intra-anual del ROOT CAUSE de A6d e inconsistente con un costo uniforme por MWh generado.</t>
  </si>
  <si>
    <t>B. Price drivers ($/MWh)</t>
  </si>
  <si>
    <t xml:space="preserve">  PPA / contracted price ($/MWh)</t>
  </si>
  <si>
    <t xml:space="preserve">  Spot / merchant price ($/MWh) - active</t>
  </si>
  <si>
    <t>C. Channel MWh</t>
  </si>
  <si>
    <t xml:space="preserve">  PPA active fraction - El Alto</t>
  </si>
  <si>
    <t xml:space="preserve">  PPA active fraction - Pedregalito 1</t>
  </si>
  <si>
    <t xml:space="preserve">  PPA active fraction - Pedregalito 2</t>
  </si>
  <si>
    <t xml:space="preserve">  PPA active fraction - Cochea</t>
  </si>
  <si>
    <t xml:space="preserve">  PPA active fraction - Mini Central El Alto</t>
  </si>
  <si>
    <t xml:space="preserve">  PPA active fraction - Pedregalito Solar</t>
  </si>
  <si>
    <t xml:space="preserve">  Contracted / PPA MWh</t>
  </si>
  <si>
    <t xml:space="preserve">  Spot / merchant MWh</t>
  </si>
  <si>
    <t>D. Revenue bridge (MWh x price)</t>
  </si>
  <si>
    <t xml:space="preserve">  Modelo revenue line</t>
  </si>
  <si>
    <t xml:space="preserve">  PPA revenue</t>
  </si>
  <si>
    <t xml:space="preserve">  Spot / merchant revenue</t>
  </si>
  <si>
    <t xml:space="preserve">  Ingreso capacidad (award GC-02-2026, El Alto — VALLE FY27)</t>
  </si>
  <si>
    <t xml:space="preserve">  Total energy revenue (Generation_PPA)</t>
  </si>
  <si>
    <t xml:space="preserve">  Implied total price ($/MWh = revenue / MWh)</t>
  </si>
  <si>
    <t xml:space="preserve">  Revenue tie tolerance</t>
  </si>
  <si>
    <t xml:space="preserve">  Tie: Generation_PPA revenue - Modelo revenue</t>
  </si>
  <si>
    <t>Debt_Schedule — Bonos 2020 (Hydro Caisán) · DSCR / LLCR / PLCR · covenant ≥ 1.25x (Nota 16)</t>
  </si>
  <si>
    <t>Saldo bruto y covenant: Nota 16 + MD&amp;A EE.FF. FY2025 (5.875% fijo, amort. trim. $1.75M, barrido $2.0M/año)</t>
  </si>
  <si>
    <t>A. ROLL DE DEUDA — Bonos 2020 (saldo bruto a capital, Nota 16)</t>
  </si>
  <si>
    <t xml:space="preserve">  Saldo bruto inicial</t>
  </si>
  <si>
    <t xml:space="preserve">  (−) Amortización programada (4 × $1.75M/trim., Nota 16)</t>
  </si>
  <si>
    <t xml:space="preserve">  (−) Barrido de caja anual ($2.0M, Nota 16)</t>
  </si>
  <si>
    <t xml:space="preserve">  Saldo bruto final</t>
  </si>
  <si>
    <t>B. INTERESES Y COSTOS FINANCIEROS (→ ModeloFinanciero!20)</t>
  </si>
  <si>
    <t xml:space="preserve">  Tasa de interés fija Bonos 2020 (Nota 16)</t>
  </si>
  <si>
    <t xml:space="preserve">  Gasto de interés bonos (tasa × saldo bruto promedio)</t>
  </si>
  <si>
    <t xml:space="preserve">  (+) Amortización costos financiamiento diferidos (Nota 16)</t>
  </si>
  <si>
    <t xml:space="preserve">  (+) Otros costos financieros (préstamos/otros, plano FY25A)</t>
  </si>
  <si>
    <t xml:space="preserve">  Costos financieros totales (→ MF!20)</t>
  </si>
  <si>
    <t>C. COBERTURA DE SERVICIO DE DEUDA (DSCR) — covenant Nota 16 (≥ 1.25x)</t>
  </si>
  <si>
    <t xml:space="preserve">  EBITDA (MF: util. operativa + D&amp;A − ingreso crédito fiscal)</t>
  </si>
  <si>
    <t xml:space="preserve">  Servicio de deuda (interés + amort. programada + barrido)</t>
  </si>
  <si>
    <t xml:space="preserve">  DSCR covenant (EBITDA / servicio de deuda)</t>
  </si>
  <si>
    <t xml:space="preserve">  Covenant mínimo (Nota 16)</t>
  </si>
  <si>
    <t xml:space="preserve">  ESTADO covenant</t>
  </si>
  <si>
    <t>NOTA FY25A: modelo DSCR 1.94x vs Nota 16 divulgado 1.84x — diferencia metodológica: interés avg-balance bond-only $7,975,313 vs Gasto por intereses Nota 16 $8,323,100 (−$347,788) + servicio de deuda anualizado $9.0M vs suma trimestral real MD&amp;A $9,652,587; columnas forecast no afectadas.</t>
  </si>
  <si>
    <t>D. DSCR ANALÍTICO (CFADS) — lente crédito</t>
  </si>
  <si>
    <t xml:space="preserve">  CFADS (EBITDA − impuesto pagado − capex mantenimiento)</t>
  </si>
  <si>
    <t xml:space="preserve">  DSCR analítico (CFADS / servicio de deuda)</t>
  </si>
  <si>
    <t>E. LLCR / PLCR — cobertura vida-préstamo / vida-proyecto (nuevas; @Kd 5.875%, no WACC)</t>
  </si>
  <si>
    <t xml:space="preserve">  Tasa de descuento Kd (costo de deuda, Nota 16)</t>
  </si>
  <si>
    <t xml:space="preserve">  VP(CFADS vida remanente del préstamo @Kd)</t>
  </si>
  <si>
    <t xml:space="preserve">  Deuda vigente (saldo bruto inicial del período)</t>
  </si>
  <si>
    <t xml:space="preserve">  LLCR (VP CFADS vida-préstamo / deuda vigente)</t>
  </si>
  <si>
    <t xml:space="preserve">  Reserva de servicio de deuda (DSRA, Nota 11 — activo restringido)</t>
  </si>
  <si>
    <t xml:space="preserve">  PLCR ((VP CFADS + DSRA) / deuda vigente)</t>
  </si>
  <si>
    <t>F. NOTAS / FLAGS</t>
  </si>
  <si>
    <t>Vencimiento Oct-2030 (plazo 10 años): repago terminal/balloon y refinanciación NOT_DISCLOSED en Nota 16 (prospecto no OCR). El schedule modela solo la amortización divulgada de $9M/año; el saldo bruto FY30E ($86.25M) queda vigente al vencimiento.</t>
  </si>
  <si>
    <t>Barrido de caja $2.0M: obligatorio salvo DSCR&gt;1.50x por nuevos contratos (entonces opcional) — Nota 16. Modelado como obligatorio (conservador).</t>
  </si>
  <si>
    <t>Préstamos por pagar (Nota 17, ~$2.5M) e intereses de préstamo mantenidos planos — DRIVER_DETAIL_PENDING (Nota 17 no divulga cronograma forward claro).</t>
  </si>
  <si>
    <t>LLCR/PLCR&lt;1.0x reflejan la dependencia de refinanciación del balloon terminal + el cliff PPA; NO son un breach de DSCR periódico (el covenant es DSCR). PLCR trunca la vida-proyecto a FY30E (concesión hidro post-2030 fuera del horizonte de 5 años) → cota inferior.</t>
  </si>
  <si>
    <t>DSCR&lt;1.25x en FY27E/FY28E/FY30E por el cliff PPA (expiración El Alto + valle de capacidad FY27) — EXPUESTO, no ocultado. Histórico divulgado FY22-25: 1.47x–2.15x (todos &gt;1.25x).</t>
  </si>
  <si>
    <t>Valuation — DCF por activo (vida finita) + sensibilidad hidrología × spot</t>
  </si>
  <si>
    <t>en B/. sin escala salvo indicado (%, x, $/acción)</t>
  </si>
  <si>
    <t>Archetype proyecto-finance : DCF vida-finita a fin de concesión + terminal salvage; Gordon = lane renovación/cota-superior, NO base. EBITDA por activo = A6g auditada; WACC consolidado (per-activo no divulgado).</t>
  </si>
  <si>
    <t>A. WACC (CAPM + CRP; Hamada visible) — consolidado; per-activo NO soportado (D/E por planta no divulgado)</t>
  </si>
  <si>
    <t xml:space="preserve">  Tasa libre de riesgo Rf (UST 30Y, FRED may-2026)</t>
  </si>
  <si>
    <t xml:space="preserve">  Prima de riesgo de mercado ERP (Damodaran implícita)</t>
  </si>
  <si>
    <t xml:space="preserve">  Prima de riesgo país Panamá CRP (Damodaran)</t>
  </si>
  <si>
    <t xml:space="preserve">  Beta desapalancada β_u (Damodaran utility/power)</t>
  </si>
  <si>
    <t xml:space="preserve">  D/V objetivo — JUICIO sobre book (target no divulgado): deuda fin. total FY24 $141.84M / (141.84 + patrimonio 155.34M) = 47.7% book (MF!E{50,51,52,55,58,59,61}/E70), redondeado a 45%</t>
  </si>
  <si>
    <t xml:space="preserve">  E/V = 1 − D/V</t>
  </si>
  <si>
    <t xml:space="preserve">  D/E = D/V ÷ E/V</t>
  </si>
  <si>
    <t xml:space="preserve">  Tasa impositiva estatutaria ISR Panamá (DCF normalizado)</t>
  </si>
  <si>
    <t xml:space="preserve">  Beta reapalancada Hamada β_l = β_u×(1+(1−t)×D/E)</t>
  </si>
  <si>
    <t xml:space="preserve">  Ke = Rf + β_l×ERP + CRP</t>
  </si>
  <si>
    <t xml:space="preserve">  Kd (cupón Bonos 2020, Nota 16)</t>
  </si>
  <si>
    <t xml:space="preserve">  Kd después de impuestos = Kd×(1−t)</t>
  </si>
  <si>
    <t xml:space="preserve">  WACC = E/V×Ke + D/V×Kd×(1−t)</t>
  </si>
  <si>
    <t xml:space="preserve">  g terminal (house 2.0%; v71 usó 2.5%)</t>
  </si>
  <si>
    <t>B. Factor de descuento (@WACC, convención fin de año t=1..5)</t>
  </si>
  <si>
    <t xml:space="preserve">  Factor de descuento 1/(1+WACC)^t</t>
  </si>
  <si>
    <t>C. Horizonte por activo — concesiones ASEP 50 años (Nota 24); +50 renovable ⇒ lane Gordon, NO base</t>
  </si>
  <si>
    <t xml:space="preserve">  El Alto (HCAISAN): refrendo 13-abr-2007 → fin 2057 (N=27 años desde FY30)</t>
  </si>
  <si>
    <t xml:space="preserve">  Pedregalito 1 (GENPED): refrendo 27-jul-2009 → fin 2059 (N=29)</t>
  </si>
  <si>
    <t xml:space="preserve">  Pedregalito 2 (RCHICO): refrendo 29-abr-2011 → fin 2061 (N=31)</t>
  </si>
  <si>
    <t xml:space="preserve">  Cochea (ALTOVALLE): refrendo 27-jul-2009 → fin 2059 (N=29)</t>
  </si>
  <si>
    <t xml:space="preserve">  Pedregalito Solar: Licencia Definitiva 14-jun-2023 (Res. AN 18482-Elec, INA_2024) — término NO divulgado → vida-panel ~2055 (N=25) DRIVER_DETAIL_PENDING; inmaterial (&lt;4% EBITDA)</t>
  </si>
  <si>
    <t>D. DCF por activo — EBITDA (A6g auditada FY22-24 → Supuestos F forecast) → UFCF → PV @ WACC; VT vida-finita a fin de concesión</t>
  </si>
  <si>
    <t xml:space="preserve">  El Alto + Mini (HCAISAN)</t>
  </si>
  <si>
    <t xml:space="preserve">    EBITDA planta (rev − compras − O&amp;M − G&amp;A; Supuestos F)</t>
  </si>
  <si>
    <t xml:space="preserve">    D&amp;A planta (A6g FY24 auditada, held flat)</t>
  </si>
  <si>
    <t xml:space="preserve">    UFCF planta = EBITDA − MAX(0,EBIT)×t (EBIT=EBITDA−D&amp;A)</t>
  </si>
  <si>
    <t xml:space="preserve">    PV(UFCF explícito) = UFCF × factor descuento</t>
  </si>
  <si>
    <t xml:space="preserve">    VP explícito (Σ FY26-30)</t>
  </si>
  <si>
    <t xml:space="preserve">    UFCF normalizado terminal = EBITDA_FY30×(1−t) [capex sostenim.≈escudo D&amp;A]</t>
  </si>
  <si>
    <t xml:space="preserve">    Factor annuity finito (g,WACC,N=27) a fin de concesión</t>
  </si>
  <si>
    <t xml:space="preserve">    VT @FY30 (finito) = UFCF norm × factor</t>
  </si>
  <si>
    <t xml:space="preserve">    PV(VT) = VT ÷ (1+WACC)^5</t>
  </si>
  <si>
    <t xml:space="preserve">    EV activo = VP explícito + PV(VT)</t>
  </si>
  <si>
    <t xml:space="preserve">  Pedregalito 1 (GENPED)</t>
  </si>
  <si>
    <t xml:space="preserve">    Factor annuity finito (g,WACC,N=29) a fin de concesión</t>
  </si>
  <si>
    <t xml:space="preserve">  Pedregalito 2 (RCHICO)</t>
  </si>
  <si>
    <t xml:space="preserve">    Factor annuity finito (g,WACC,N=31) a fin de concesión</t>
  </si>
  <si>
    <t xml:space="preserve">  Cochea (ALTOVALLE)</t>
  </si>
  <si>
    <t xml:space="preserve">  Pedregalito Solar (SOLAR)</t>
  </si>
  <si>
    <t xml:space="preserve">    Factor annuity finito (g,WACC,N=25) a fin de concesión</t>
  </si>
  <si>
    <t xml:space="preserve">  Corporativo y no-asignado (transmisión emisor + G&amp;A holdco/otros + true-up O&amp;M − capex; sin escudo fiscal, EBIT&lt;0)</t>
  </si>
  <si>
    <t xml:space="preserve">    EBITDA corporativo (−transmisión − G&amp;A holdco/otros − true-up O&amp;M)</t>
  </si>
  <si>
    <t xml:space="preserve">    Capex mantenimiento (MF adiciones PP&amp;E, emisor)</t>
  </si>
  <si>
    <t xml:space="preserve">    UFCF corporativo = EBITDA corp + capex (conservador, sin escudo)</t>
  </si>
  <si>
    <t xml:space="preserve">    PV(UFCF corp explícito)</t>
  </si>
  <si>
    <t xml:space="preserve">    VP explícito corp (Σ)</t>
  </si>
  <si>
    <t xml:space="preserve">    UFCF norm terminal corp = UFCF corp FY30</t>
  </si>
  <si>
    <t xml:space="preserve">    Factor annuity finito corp (N=27, concesión más corta)</t>
  </si>
  <si>
    <t xml:space="preserve">    VT corp @FY30 (finito)</t>
  </si>
  <si>
    <t xml:space="preserve">    PV(VT corp)</t>
  </si>
  <si>
    <t xml:space="preserve">    EV corp = VP explícito + PV(VT)</t>
  </si>
  <si>
    <t xml:space="preserve">  Tie EBITDA: Σ activos + corp − Debt_Schedule!21 (=0; solo columnas forecast G:K — el histórico B:F no tiene buildup por activo aquí, A6g cubre FY22-24)</t>
  </si>
  <si>
    <t xml:space="preserve">  UFCF consolidado (Σ activos + corp)</t>
  </si>
  <si>
    <t>E. Enterprise Value y puente EV→Equity (net debt = Debt_Schedule + EEFF, sin refi inventado)</t>
  </si>
  <si>
    <t xml:space="preserve">  Enterprise Value consolidado (vida-finita) = Σ EV activos + corp</t>
  </si>
  <si>
    <t xml:space="preserve">  (memo) VP explícito consolidado (Σ activos + corp)</t>
  </si>
  <si>
    <t xml:space="preserve">  — Puente a Equity (deuda financiera neta FY25A) —</t>
  </si>
  <si>
    <t xml:space="preserve">  (+) Bonos 2020 saldo bruto FY25 (Nota 16 gobierna gross)</t>
  </si>
  <si>
    <t xml:space="preserve">  (+) Intereses de bonos por pagar</t>
  </si>
  <si>
    <t xml:space="preserve">  (+) Préstamos por pagar (corr. + no corr., Nota 17)</t>
  </si>
  <si>
    <t xml:space="preserve">  (+) Pasivos por arrendamientos</t>
  </si>
  <si>
    <t xml:space="preserve">  (−) Efectivo + depósito a plazo (no restringido)</t>
  </si>
  <si>
    <t xml:space="preserve">  (−) DSRA restringida (Nota 11; recuperable al venc./refi)</t>
  </si>
  <si>
    <t xml:space="preserve">  Deuda financiera neta FY25A</t>
  </si>
  <si>
    <t xml:space="preserve">  Equity value (vida-finita) = EV − deuda neta</t>
  </si>
  <si>
    <t xml:space="preserve">  Acciones comunes en circulación (INA Nota 19)</t>
  </si>
  <si>
    <t xml:space="preserve">  Valor por acción (vida-finita)</t>
  </si>
  <si>
    <t xml:space="preserve">  Precio de mercado FY25 cierre (INA p.28)</t>
  </si>
  <si>
    <t xml:space="preserve">  Prima/(descuento) valor vs mercado</t>
  </si>
  <si>
    <t>F. Lane alterna Gordon (perpetuidad = renovación ASEP +50a) — COTA SUPERIOR / referencia, NO base</t>
  </si>
  <si>
    <t xml:space="preserve">  UFCF normalizado consolidado (Σ activos + corp)</t>
  </si>
  <si>
    <t xml:space="preserve">  VT Gordon @FY30 = UFCF norm × (1+g)/(WACC−g)</t>
  </si>
  <si>
    <t xml:space="preserve">  PV(VT Gordon) = VT ÷ (1+WACC)^5</t>
  </si>
  <si>
    <t xml:space="preserve">  EV Gordon = VP explícito consolidado + PV(VT Gordon)</t>
  </si>
  <si>
    <t xml:space="preserve">  Equity Gordon = EV − deuda neta</t>
  </si>
  <si>
    <t xml:space="preserve">  Valor por acción Gordon (cota superior)</t>
  </si>
  <si>
    <t>G. Cross-check v71 VIVO (PPH_3STMT_DCF_v71_rowheight_blanktrim.xlsx, hoja Valuation) — lane-a-lane, pre-cliff</t>
  </si>
  <si>
    <t xml:space="preserve">  v71 EV Gordon (v71 Valuation!G40; WACC 7.33%, g 2.5%, pre-cliff)</t>
  </si>
  <si>
    <t xml:space="preserve">  v71 Equity Gordon (v71 Valuation!G43; $19.56/acción G45)</t>
  </si>
  <si>
    <t xml:space="preserve">  v71 EV vida-finita (v71 Valuation!G56; concesión 2059 avg, decline −2% FY31-60)</t>
  </si>
  <si>
    <t xml:space="preserve">  v71 Equity vida-finita (v71 Valuation!G57; $8.41/acción G58)</t>
  </si>
  <si>
    <t xml:space="preserve">  Δ EV lane finita: mía vs v71 finita</t>
  </si>
  <si>
    <t xml:space="preserve">  Δ EV lane Gordon: mía vs v71 Gordon</t>
  </si>
  <si>
    <t xml:space="preserve">  Δ Equity lane finita: mía vs v71 finita</t>
  </si>
  <si>
    <t xml:space="preserve">  Causa del gap (ambos lanes): (1) cliff PPA verificado — EBITDA FY30 post-cliff $11.2M vs v71 pre-cliff (v71 no modela el valle GC-02-2026 ni el merchant default); (2) mi terminal normaliza EBITDA×(1−t) vs v71 UFCF FY30 $22.1M con harvest D&amp;A; (3) g 2.0% vs 2.5%. Esperado material-menor (brief). Deltas lane-a-lane; nunca finite-vs-Gordon cruzado.</t>
  </si>
  <si>
    <t xml:space="preserve">  MEMO superseded: audit_report Wave-1/2 pre-rebuild (REBUILD_PLAN_V2:332-336, 2026-05) decía EV $323.9M / Equity $219.2M / $13.23 — artefacto anterior al v71 vivo, NO es v71; se conserva solo como referencia histórica.</t>
  </si>
  <si>
    <t>H. Sensibilidad hidrología × spot — forma reducida: Δequity = factor-capitaliz. × MWh merchant(FY30) × Δspot × (1−t); contratado FIJO</t>
  </si>
  <si>
    <t xml:space="preserve">  Factor capitalización = Σ factor descuento explícito + factor-finito × DF_FY30</t>
  </si>
  <si>
    <t xml:space="preserve">  MWh merchant FY30 (Base, Generation_PPA)</t>
  </si>
  <si>
    <t xml:space="preserve">  Spot referencia FY30 Base ($/MWh)</t>
  </si>
  <si>
    <t xml:space="preserve">  Hidrología ↓ / Spot →  ($/MWh, equity value $)</t>
  </si>
  <si>
    <t xml:space="preserve">  Bear (seco, FY23) ×0.90</t>
  </si>
  <si>
    <t xml:space="preserve">  Base (mediana) ×1.00</t>
  </si>
  <si>
    <t xml:space="preserve">  Bull (húmedo, FY22) ×1.10</t>
  </si>
  <si>
    <t xml:space="preserve">  Centro (Base × spot 55) = equity base por construcción; monótono: ↑spot y ↑hidrología ⇒ ↑equity</t>
  </si>
  <si>
    <t xml:space="preserve">  Sensibilidad WACC ±0.5% (repricing completo explícito+terminal; centro = WACC vivo, tie exacto al equity base)</t>
  </si>
  <si>
    <t xml:space="preserve">  WACC del escenario</t>
  </si>
  <si>
    <t xml:space="preserve">  Equity (vida-finita) @ WACC escenario</t>
  </si>
  <si>
    <t>I. Notas y flags</t>
  </si>
  <si>
    <t xml:space="preserve">  WACC per-activo NOT_DISCLOSED (D/E por planta no divulgado; deuda al nivel Hydro Caisán, covenant PPH consolidado) → WACC consolidado 7.33% aplicado a todos, documentado.</t>
  </si>
  <si>
    <t xml:space="preserve">  Balloon Oct-2030 $86.25M NOT_DISCLOSED refi (Task 8): net debt usado tal cual, SIN supuesto de refinanciamiento; LLCR&lt;1x (0.12-0.54) implica dependencia de refi — cita Task 8.</t>
  </si>
  <si>
    <t xml:space="preserve">  Terminal vida-finita a fin de concesión (2057-2061) por activo; salvage ≈ 0 (reversión de activos/tierra a ASEP al vencimiento; PV a 27-31a inmaterial) — flagged.</t>
  </si>
  <si>
    <t xml:space="preserve">  UFCF norm terminal = EBITDA×(1−t): asume capex sostenimiento ≈ escudo D&amp;A en régimen (evita capitalizar el harvest temporal D&amp;A&gt;&gt;capex). Lane harvest (add-back D&amp;A pleno) = upside no-base.</t>
  </si>
  <si>
    <t xml:space="preserve">  Impuesto DCF = estatutario 25% normalizado, por-activo floor 0 EBIT (standalone, sin group relief) ≠ efectivo 34.45% del P&amp;L (split estatutario-vs-efectivo, doctrina). Crédito fiscal Ley-45 excluido del EBITDA (conservador; cliffea per audit_report).</t>
  </si>
  <si>
    <t xml:space="preserve">  ΔWC = 0: capital de trabajo held flat en el forecast (MF filas 84-89 vacías G:K) — citado, no inventado.</t>
  </si>
  <si>
    <t xml:space="preserve">  Convención descuento fin-de-año (t=1..5, VT a ^5); v71 usó mid-year. Discrepancia documentada; end-year más conservador.</t>
  </si>
  <si>
    <t>Source_Register — power archetype. Every row traces to a published filing (OCR text) or to a working file kept by the maintainer.</t>
  </si>
  <si>
    <t>Status semantics: OK = citation resolved to an existing artifact. SOURCE_GAP = traceability missing (visible, not hidden). NOT_DISCLOSED = no registration/manifest found for this issuer.</t>
  </si>
  <si>
    <t>source_id</t>
  </si>
  <si>
    <t>kind</t>
  </si>
  <si>
    <t>ticker</t>
  </si>
  <si>
    <t>filing</t>
  </si>
  <si>
    <t>year</t>
  </si>
  <si>
    <t>nota</t>
  </si>
  <si>
    <t>tabla_ocr</t>
  </si>
  <si>
    <t>feeds_sheet</t>
  </si>
  <si>
    <t>feeds_anchor</t>
  </si>
  <si>
    <t>date</t>
  </si>
  <si>
    <t>status</t>
  </si>
  <si>
    <t>evidence_count</t>
  </si>
  <si>
    <t>note</t>
  </si>
  <si>
    <t>OCR_ROOT:pph</t>
  </si>
  <si>
    <t>OCR_ROOT</t>
  </si>
  <si>
    <t>PPHO</t>
  </si>
  <si>
    <t>EEFF; Notas_EEFF</t>
  </si>
  <si>
    <t>OCR of the published filings</t>
  </si>
  <si>
    <t>Annual reports (INA) of pph</t>
  </si>
  <si>
    <t>EEFF_FILING:ina_ppho_2022_0</t>
  </si>
  <si>
    <t>EEFF_FILING</t>
  </si>
  <si>
    <t>EEFF; Notas_EEFF; MD&amp;A</t>
  </si>
  <si>
    <t>00-index.md; 01-eeff.md; 02-notas.md; 03-mda.md; 09-otros.md</t>
  </si>
  <si>
    <t>FY22 (A)</t>
  </si>
  <si>
    <t>111</t>
  </si>
  <si>
    <t>markdown.md sha256=663558049dc00503...</t>
  </si>
  <si>
    <t>EEFF_FILING:ina_ppho_2023_0</t>
  </si>
  <si>
    <t>FY23 (A)</t>
  </si>
  <si>
    <t>108</t>
  </si>
  <si>
    <t>markdown.md sha256=f49ff90f6adca2a7...</t>
  </si>
  <si>
    <t>EEFF_FILING:ina_ppho_2024_0</t>
  </si>
  <si>
    <t>FY24 (A)</t>
  </si>
  <si>
    <t>107</t>
  </si>
  <si>
    <t>markdown.md sha256=f5ac8f7095d3cc1b...</t>
  </si>
  <si>
    <t>EEFF_FILING:ina_ppho_2025_0</t>
  </si>
  <si>
    <t>FY25 (A)</t>
  </si>
  <si>
    <t>104</t>
  </si>
  <si>
    <t>markdown.md sha256=78bd6c38fb48d3ba...</t>
  </si>
  <si>
    <t>NOTA:INA_PPHO_2022_0.pdf#1</t>
  </si>
  <si>
    <t>NOTA</t>
  </si>
  <si>
    <t>Notas_EEFF</t>
  </si>
  <si>
    <t>NOTA:INA_PPHO_2022_0.pdf#10</t>
  </si>
  <si>
    <t>NOTA:INA_PPHO_2022_0.pdf#11</t>
  </si>
  <si>
    <t>NOTA:INA_PPHO_2022_0.pdf#12</t>
  </si>
  <si>
    <t>NOTA:INA_PPHO_2022_0.pdf#13</t>
  </si>
  <si>
    <t>NOTA:INA_PPHO_2022_0.pdf#14</t>
  </si>
  <si>
    <t>NOTA:INA_PPHO_2022_0.pdf#15</t>
  </si>
  <si>
    <t>NOTA:INA_PPHO_2022_0.pdf#16</t>
  </si>
  <si>
    <t>NOTA:INA_PPHO_2022_0.pdf#17</t>
  </si>
  <si>
    <t>NOTA:INA_PPHO_2022_0.pdf#18</t>
  </si>
  <si>
    <t>NOTA:INA_PPHO_2022_0.pdf#19</t>
  </si>
  <si>
    <t>NOTA:INA_PPHO_2022_0.pdf#2</t>
  </si>
  <si>
    <t>96</t>
  </si>
  <si>
    <t>NOTA:INA_PPHO_2022_0.pdf#20</t>
  </si>
  <si>
    <t>NOTA:INA_PPHO_2022_0.pdf#21</t>
  </si>
  <si>
    <t>NOTA:INA_PPHO_2022_0.pdf#22</t>
  </si>
  <si>
    <t>NOTA:INA_PPHO_2022_0.pdf#23</t>
  </si>
  <si>
    <t>NOTA:INA_PPHO_2022_0.pdf#24</t>
  </si>
  <si>
    <t>NOTA:INA_PPHO_2022_0.pdf#25</t>
  </si>
  <si>
    <t>NOTA:INA_PPHO_2022_0.pdf#26</t>
  </si>
  <si>
    <t>73</t>
  </si>
  <si>
    <t>NOTA:INA_PPHO_2022_0.pdf#3</t>
  </si>
  <si>
    <t>NOTA:INA_PPHO_2022_0.pdf#4</t>
  </si>
  <si>
    <t>NOTA:INA_PPHO_2022_0.pdf#5</t>
  </si>
  <si>
    <t>NOTA:INA_PPHO_2022_0.pdf#6</t>
  </si>
  <si>
    <t>NOTA:INA_PPHO_2022_0.pdf#7</t>
  </si>
  <si>
    <t>NOTA:INA_PPHO_2022_0.pdf#8</t>
  </si>
  <si>
    <t>NOTA:INA_PPHO_2022_0.pdf#9</t>
  </si>
  <si>
    <t>NOTA:INA_PPHO_2023_0.pdf#1</t>
  </si>
  <si>
    <t>NOTA:INA_PPHO_2023_0.pdf#10</t>
  </si>
  <si>
    <t>NOTA:INA_PPHO_2023_0.pdf#11</t>
  </si>
  <si>
    <t>NOTA:INA_PPHO_2023_0.pdf#12</t>
  </si>
  <si>
    <t>NOTA:INA_PPHO_2023_0.pdf#13</t>
  </si>
  <si>
    <t>NOTA:INA_PPHO_2023_0.pdf#14</t>
  </si>
  <si>
    <t>NOTA:INA_PPHO_2023_0.pdf#15</t>
  </si>
  <si>
    <t>NOTA:INA_PPHO_2023_0.pdf#16</t>
  </si>
  <si>
    <t>NOTA:INA_PPHO_2023_0.pdf#17</t>
  </si>
  <si>
    <t>NOTA:INA_PPHO_2023_0.pdf#18</t>
  </si>
  <si>
    <t>NOTA:INA_PPHO_2023_0.pdf#19</t>
  </si>
  <si>
    <t>NOTA:INA_PPHO_2023_0.pdf#2</t>
  </si>
  <si>
    <t>NOTA:INA_PPHO_2023_0.pdf#20</t>
  </si>
  <si>
    <t>NOTA:INA_PPHO_2023_0.pdf#21</t>
  </si>
  <si>
    <t>NOTA:INA_PPHO_2023_0.pdf#22</t>
  </si>
  <si>
    <t>NOTA:INA_PPHO_2023_0.pdf#23</t>
  </si>
  <si>
    <t>NOTA:INA_PPHO_2023_0.pdf#24</t>
  </si>
  <si>
    <t>28</t>
  </si>
  <si>
    <t>NOTA:INA_PPHO_2023_0.pdf#25</t>
  </si>
  <si>
    <t>NOTA:INA_PPHO_2023_0.pdf#3</t>
  </si>
  <si>
    <t>NOTA:INA_PPHO_2023_0.pdf#4</t>
  </si>
  <si>
    <t>NOTA:INA_PPHO_2023_0.pdf#5</t>
  </si>
  <si>
    <t>NOTA:INA_PPHO_2023_0.pdf#6</t>
  </si>
  <si>
    <t>NOTA:INA_PPHO_2023_0.pdf#7</t>
  </si>
  <si>
    <t>NOTA:INA_PPHO_2023_0.pdf#8</t>
  </si>
  <si>
    <t>NOTA:INA_PPHO_2023_0.pdf#9</t>
  </si>
  <si>
    <t>NOTA:INA_PPHO_2024_0.pdf#1</t>
  </si>
  <si>
    <t>NOTA:INA_PPHO_2024_0.pdf#10</t>
  </si>
  <si>
    <t>NOTA:INA_PPHO_2024_0.pdf#11</t>
  </si>
  <si>
    <t>NOTA:INA_PPHO_2024_0.pdf#12</t>
  </si>
  <si>
    <t>NOTA:INA_PPHO_2024_0.pdf#13</t>
  </si>
  <si>
    <t>NOTA:INA_PPHO_2024_0.pdf#14</t>
  </si>
  <si>
    <t>NOTA:INA_PPHO_2024_0.pdf#15</t>
  </si>
  <si>
    <t>NOTA:INA_PPHO_2024_0.pdf#16</t>
  </si>
  <si>
    <t>NOTA:INA_PPHO_2024_0.pdf#17</t>
  </si>
  <si>
    <t>NOTA:INA_PPHO_2024_0.pdf#18</t>
  </si>
  <si>
    <t>NOTA:INA_PPHO_2024_0.pdf#19</t>
  </si>
  <si>
    <t>NOTA:INA_PPHO_2024_0.pdf#2</t>
  </si>
  <si>
    <t>121</t>
  </si>
  <si>
    <t>NOTA:INA_PPHO_2024_0.pdf#20</t>
  </si>
  <si>
    <t>NOTA:INA_PPHO_2024_0.pdf#21</t>
  </si>
  <si>
    <t>NOTA:INA_PPHO_2024_0.pdf#22</t>
  </si>
  <si>
    <t>NOTA:INA_PPHO_2024_0.pdf#23</t>
  </si>
  <si>
    <t>NOTA:INA_PPHO_2024_0.pdf#24</t>
  </si>
  <si>
    <t>NOTA:INA_PPHO_2024_0.pdf#25</t>
  </si>
  <si>
    <t>72</t>
  </si>
  <si>
    <t>NOTA:INA_PPHO_2024_0.pdf#3</t>
  </si>
  <si>
    <t>NOTA:INA_PPHO_2024_0.pdf#4</t>
  </si>
  <si>
    <t>NOTA:INA_PPHO_2024_0.pdf#5</t>
  </si>
  <si>
    <t>NOTA:INA_PPHO_2024_0.pdf#6</t>
  </si>
  <si>
    <t>NOTA:INA_PPHO_2024_0.pdf#7</t>
  </si>
  <si>
    <t>NOTA:INA_PPHO_2024_0.pdf#8</t>
  </si>
  <si>
    <t>NOTA:INA_PPHO_2024_0.pdf#9</t>
  </si>
  <si>
    <t>NOTA:INA_PPHO_2025_0.pdf#1</t>
  </si>
  <si>
    <t>NOTA:INA_PPHO_2025_0.pdf#10</t>
  </si>
  <si>
    <t>NOTA:INA_PPHO_2025_0.pdf#11</t>
  </si>
  <si>
    <t>NOTA:INA_PPHO_2025_0.pdf#12</t>
  </si>
  <si>
    <t>NOTA:INA_PPHO_2025_0.pdf#13</t>
  </si>
  <si>
    <t>NOTA:INA_PPHO_2025_0.pdf#14</t>
  </si>
  <si>
    <t>NOTA:INA_PPHO_2025_0.pdf#15</t>
  </si>
  <si>
    <t>NOTA:INA_PPHO_2025_0.pdf#16</t>
  </si>
  <si>
    <t>NOTA:INA_PPHO_2025_0.pdf#17</t>
  </si>
  <si>
    <t>NOTA:INA_PPHO_2025_0.pdf#18</t>
  </si>
  <si>
    <t>NOTA:INA_PPHO_2025_0.pdf#19</t>
  </si>
  <si>
    <t>NOTA:INA_PPHO_2025_0.pdf#2</t>
  </si>
  <si>
    <t>NOTA:INA_PPHO_2025_0.pdf#20</t>
  </si>
  <si>
    <t>NOTA:INA_PPHO_2025_0.pdf#21</t>
  </si>
  <si>
    <t>NOTA:INA_PPHO_2025_0.pdf#22</t>
  </si>
  <si>
    <t>NOTA:INA_PPHO_2025_0.pdf#23</t>
  </si>
  <si>
    <t>NOTA:INA_PPHO_2025_0.pdf#24</t>
  </si>
  <si>
    <t>30</t>
  </si>
  <si>
    <t>NOTA:INA_PPHO_2025_0.pdf#25</t>
  </si>
  <si>
    <t>83</t>
  </si>
  <si>
    <t>NOTA:INA_PPHO_2025_0.pdf#26</t>
  </si>
  <si>
    <t>NOTA:INA_PPHO_2025_0.pdf#3</t>
  </si>
  <si>
    <t>29</t>
  </si>
  <si>
    <t>NOTA:INA_PPHO_2025_0.pdf#4</t>
  </si>
  <si>
    <t>NOTA:INA_PPHO_2025_0.pdf#5</t>
  </si>
  <si>
    <t>NOTA:INA_PPHO_2025_0.pdf#6</t>
  </si>
  <si>
    <t>NOTA:INA_PPHO_2025_0.pdf#7</t>
  </si>
  <si>
    <t>NOTA:INA_PPHO_2025_0.pdf#8</t>
  </si>
  <si>
    <t>NOTA:INA_PPHO_2025_0.pdf#9</t>
  </si>
  <si>
    <t>DRIVER: | MEMO fix pass 2026-07-12: NO cableado a MF — MF!13 (Operacion y mantenimiento) va flat FY25 (A) (3,004,212); routearlo via fila 46 (G&amp;A -&gt; MF!14) duplicaria O&amp;M. Driver auditado disponible para</t>
  </si>
  <si>
    <t>DRIVER_OTHER</t>
  </si>
  <si>
    <t>Supuestos</t>
  </si>
  <si>
    <t>O&amp;M total proforma $ (amarra a Nota 22 emisor FY24 = 2,549,512)</t>
  </si>
  <si>
    <t>SOURCE_GAP</t>
  </si>
  <si>
    <t>Unclassified _source citation shape:  | MEMO fix pass 2026-07-12: NO cableado a MF — MF!13 (Operacion y mantenimiento) va flat FY25 (A) (3,004,212); routearlo via fila 46 (G&amp;A -&gt; MF!14) duplicaria O&amp;M. Driver auditado disponible para Task 8+ si se recablea MF!13.</t>
  </si>
  <si>
    <t>DRIVER:EEFF:Venta de energía</t>
  </si>
  <si>
    <t>DRIVER_EEFF</t>
  </si>
  <si>
    <t>Ingreso energía FY25 (A) (auditado, ref EEFF)</t>
  </si>
  <si>
    <t>DRIVER:F1 fila 76: suma generacion por planta (CF ENSO Bear/Base/Bull por planta, CND A2). Filas 16-21 = memo legacy CF-flota (ya no suman al total forecast).</t>
  </si>
  <si>
    <t>Generación neta total (MWh)</t>
  </si>
  <si>
    <t>Unclassified _source citation shape: F1 fila 76: suma generacion por planta (CF ENSO Bear/Base/Bull por planta, CND A2). Filas 16-21 = memo legacy CF-flota (ya no suman al total forecast).</t>
  </si>
  <si>
    <t>DRIVER:F2 fila 83 (award GC-02-2026 SED+SEO, MWh/ano activo) + F1 generacion Ped1(55)/Ped2(60)/Cochea(65) mientras PPA vigente (expiries dic-29/jun-30; sin re-contratacion asumida — ausentes de GC-02-</t>
  </si>
  <si>
    <t>MWh contratado (potencia+energía y solo-energía)</t>
  </si>
  <si>
    <t>Unclassified _source citation shape: F2 fila 83 (award GC-02-2026 SED+SEO, MWh/ano activo) + F1 generacion Ped1(55)/Ped2(60)/Cochea(65) mientras PPA vigente (expiries dic-29/jun-30; sin re-contratacion asumida — ausentes de GC-02-2026).</t>
  </si>
  <si>
    <t xml:space="preserve">DRIVER:F2/F3: forecast = blended Seccion F (ingresos contratados: award GC-02-2026 fila 85 + PPAs vigentes filas 92/94/96) / MWh contratados fila 32; K = award + 0.5xCochea a 91.649 $/MWh (A4a). Solo </t>
  </si>
  <si>
    <t>PPA contratado ($/MWh, blended realizado FY25 potencia+energía)</t>
  </si>
  <si>
    <t>Unclassified _source citation shape: F2/F3: forecast = blended Seccion F (ingresos contratados: award GC-02-2026 fila 85 + PPAs vigentes filas 92/94/96) / MWh contratados fila 32; K = award + 0.5xCochea a 91.649 $/MWh (A4a). Solo energia (capacidad va como termino propio en fila 39). Label pinned por contrato ACTIVE pph_pilot_energy_pxq_v0 (node ppa_blended_price) — hist B-F sigue siendo blended realizado.</t>
  </si>
  <si>
    <t>DRIVER:F4 fila 102: $/MWh firming (mediana FY22-24 auditada A6g, HCAISAN 84-91% de compras) x MWh comprometido El Alto (fila 83).</t>
  </si>
  <si>
    <t>Compras de energía y costos asociados (firming spot, hidrología)</t>
  </si>
  <si>
    <t>Unclassified _source citation shape: F4 fila 102: $/MWh firming (mediana FY22-24 auditada A6g, HCAISAN 84-91% de compras) x MWh comprometido El Alto (fila 83).</t>
  </si>
  <si>
    <t>DRIVER:F4 fila 116 (G&amp;A total auditado A6g FY24, por subsidiaria) - fila 44 honorarios. Fila 46 = 44+45 = 5,511,351 = G&amp;A emisor FY24.</t>
  </si>
  <si>
    <t>Resto G&amp;A (= G&amp;A total F4 auditado A6g − honorarios)</t>
  </si>
  <si>
    <t>Unclassified _source citation shape: F4 fila 116 (G&amp;A total auditado A6g FY24, por subsidiaria) - fila 44 honorarios. Fila 46 = 44+45 = 5,511,351 = G&amp;A emisor FY24.</t>
  </si>
  <si>
    <t>DRIVER:Fila 22 (= F1 fila 76, generacion total ENSO) - fila 32 (contratado). Referencia via fila 22 para mantener el nodo de contrato total_generation_mwh vivo (no decorativo).</t>
  </si>
  <si>
    <t>MWh spot / merchant (residual)</t>
  </si>
  <si>
    <t>Unclassified _source citation shape: Fila 22 (= F1 fila 76, generacion total ENSO) - fila 32 (contratado). Referencia via fila 22 para mantener el nodo de contrato total_generation_mwh vivo (no decorativo).</t>
  </si>
  <si>
    <t>DRIVER:Generation_PPA!A2 (CND generacion_YYYY.xlsx, CF por planta FY21-25) + sector research note (Bear=FY23 seco, Bull=FY22 humedo, Base=mediana)</t>
  </si>
  <si>
    <t>Pedregalito 1 (GENPED) — CF Bear (FY23 seco)</t>
  </si>
  <si>
    <t>Unclassified _source citation shape: Generation_PPA!A2 (CND generacion_YYYY.xlsx, CF por planta FY21-25) + sector research note (Bear=FY23 seco, Bull=FY22 humedo, Base=mediana)</t>
  </si>
  <si>
    <t>DRIVER:Generation_PPA!A3b Group 2 (adjudicacion verificada GC-02-2026/LPI 01-26) + maintainer research note</t>
  </si>
  <si>
    <t>El Alto — Capacidad contratada activa (MW): FY26 ENSA half -&gt; valle -&gt; award 4.4 MW</t>
  </si>
  <si>
    <t>Unclassified _source citation shape: Generation_PPA!A3b Group 2 (adjudicacion verificada GC-02-2026/LPI 01-26) + maintainer research note</t>
  </si>
  <si>
    <t>DRIVER:Generation_PPA!A4a (blended PPA $/MWh, MW-weighted) + sector research note; post-expiry: Supuestos!26 Spot/merchant activo (Task 3, CND) — driver merchant post-expir</t>
  </si>
  <si>
    <t>Pedregalito 1 (GENPED) — Precio ($/MWh): PPA blended hasta expiry, luego merchant(spot)</t>
  </si>
  <si>
    <t>Unclassified _source citation shape: Generation_PPA!A4a (blended PPA $/MWh, MW-weighted) + sector research note; post-expiry: Supuestos!26 Spot/merchant activo (Task 3, CND) — driver merchant post-expiry</t>
  </si>
  <si>
    <t>DRIVER:Generation_PPA!A6g (Consolidacion IS por subsidiaria, auditada FY24; suma amarra a Nota 22/21 emisor)</t>
  </si>
  <si>
    <t>O&amp;M — Cochea (ALTOVALLE) (A6g FY24 auditado, held flat)</t>
  </si>
  <si>
    <t>Unclassified _source citation shape: Generation_PPA!A6g (Consolidacion IS por subsidiaria, auditada FY24; suma amarra a Nota 22/21 emisor)</t>
  </si>
  <si>
    <t>DRIVER:Generation_PPA!A6g (compras HCAISAN auditada FY22-24) + row397 (HCAISAN=84-91% de compras totales)</t>
  </si>
  <si>
    <t>Compras — $/MWh sobre volumen comprometido HCAISAN (mediana FY22-24 auditada, A6g)</t>
  </si>
  <si>
    <t>Unclassified _source citation shape: Generation_PPA!A6g (compras HCAISAN auditada FY22-24) + row397 (HCAISAN=84-91% de compras totales)</t>
  </si>
  <si>
    <t>DRIVER:Ingreso PPA (37) + spot/merchant (38) + capacidad El Alto (F2 fila 82: valle FY27 = 0 explicito, award 4.4MW@3.24 desde jul-2028). EEFF Venta de energia incluye canales de capacidad (Nota 20).</t>
  </si>
  <si>
    <t>TOTAL INGRESO ENERGÍA</t>
  </si>
  <si>
    <t>Unclassified _source citation shape: Ingreso PPA (37) + spot/merchant (38) + capacidad El Alto (F2 fila 82: valle FY27 = 0 explicito, award 4.4MW@3.24 desde jul-2028). EEFF Venta de energia incluye canales de capacidad (Nota 20).</t>
  </si>
  <si>
    <t>DRIVER:a working file kept by the maintainer</t>
  </si>
  <si>
    <t>DRIVER_DATA</t>
  </si>
  <si>
    <t>Factor de planta NETO (CF) — activo</t>
  </si>
  <si>
    <t>DRIVER:Supuestos!26 Spot/merchant activo (Task 3, CND) — driver merchant post-expiry</t>
  </si>
  <si>
    <t>El Alto — MWh merchant (residual) = Generacion - contratada</t>
  </si>
  <si>
    <t>Unclassified _source citation shape: Supuestos!26 Spot/merchant activo (Task 3, CND) — driver merchant post-expiry</t>
  </si>
  <si>
    <t>GENPPA:CND generacion_YYYY.xlsx (hoja Generacion, fila 19 TOTAL, col GENPED/RCHICO/ALTOVALLE/HCAISAN/PEDREGALITO SOLAR POWER) + sector research note + maintainer research note</t>
  </si>
  <si>
    <t>GENPPA_RESEARCH</t>
  </si>
  <si>
    <t>Generation_PPA</t>
  </si>
  <si>
    <t>Pedregalito 1 (GENPED) - GWh (CND actual); Pedregalito 2 (RCHICO) - GWh (CND actual); Cochea (ALTOVALLE) - GWh (CND actual)</t>
  </si>
  <si>
    <t>CND generacion_YYYY.xlsx (hoja Generacion, fila 19 TOTAL, col GENPED/RCHICO/ALTOVALLE/HCAISAN/PEDREGALITO SOLAR POWER) + sector research note + maintainer research note</t>
  </si>
  <si>
    <t>GENPPA:CND_ESTADISTICAS_Capacidad_Instalada.pdf (ASEP) via maintainer research note</t>
  </si>
  <si>
    <t>Pedregalito 1 (GENPED) - MW (CND/ASEP); Pedregalito 2 (RCHICO) - MW (CND/ASEP); Cochea (ALTOVALLE) - MW (CND/ASEP)</t>
  </si>
  <si>
    <t>CND_ESTADISTICAS_Capacidad_Instalada.pdf (ASEP) via maintainer research note</t>
  </si>
  <si>
    <t>GENPPA:IS consolidado: PPH_2022:2017 (FY21/22), PPH_2023:2037 (FY23), PPH_2024:1986 (FY24), PPH_2025:2105 (FY25)</t>
  </si>
  <si>
    <t>GENPPA_OCR</t>
  </si>
  <si>
    <t>IS emisor: Venta de energia (target)</t>
  </si>
  <si>
    <t>IS consolidado: PPH_2022:2017 (FY21/22), PPH_2023:2037 (FY23), PPH_2024:1986 (FY24), PPH_2025:2105 (FY25)</t>
  </si>
  <si>
    <t>GENPPA:IS consolidado: PPH_2022:2030 (FY21/22), PPH_2023:2050 (FY23), PPH_2024:1997 (FY24), PPH_2025:2116 (FY25)</t>
  </si>
  <si>
    <t>IS emisor: Depreciacion y amortizacion (target)</t>
  </si>
  <si>
    <t>IS consolidado: PPH_2022:2030 (FY21/22), PPH_2023:2050 (FY23), PPH_2024:1997 (FY24), PPH_2025:2116 (FY25)</t>
  </si>
  <si>
    <t>GENPPA:a working file kept by the maintainer -&gt; Costo_Marginal_Historico.xlsx (hojas "2015-2024"/"2025-2030", cols DIA/MES/ANO/H</t>
  </si>
  <si>
    <t>GENPPA_DATA</t>
  </si>
  <si>
    <t>Spot / merchant price, CND hourly annual mean ($/MWh)</t>
  </si>
  <si>
    <t>a working file kept by the maintainer -&gt; Costo_Marginal_Historico.xlsx (hojas "2015-2024"/"2025-2030", cols DIA/MES/ANO/HORA/costo marginal $/MWh); promedio simple de la serie horaria completa por ano calendario, raw-XML unzip (sin openpyxl), 2026-07-12</t>
  </si>
  <si>
    <t>GENPPA:a working file kept by the maintainer -&gt; Costo_Variable_Historico.xls (OLE2/BIFF legacy, converted via LibreOffice headle</t>
  </si>
  <si>
    <t>Pedregalito 1 (GENPED) - CND own-generation costo variable ($/MWh, dispatch merit-order bid); Pedregalito 2 (RCHICO) - CND own-generation costo variable ($/MWh, dispatch merit-order bid); Cochea (ALTOVALLE) - CND own-generation costo variable ($/MWh, dispatch merit-order bid)</t>
  </si>
  <si>
    <t>a working file kept by the maintainer -&gt; Costo_Variable_Historico.xls (OLE2/BIFF legacy, converted via LibreOffice headless --convert-to xlsx for raw-XML unzip; sheets 2021-2025, cols NOMBRE/DIA/MES/ANO/POTENCIA(MW)/COSTO VARIABLE($/MWh)/EMPRESA) filtered EMPRESA in {GENPED,RCHICO,ALTOVALLE,HCAISAN,PEDSOLPOW}; 10,389 daily obs FY21-25, min=avg=max=$0.0000/MWh in every grouping, 2026-07-12</t>
  </si>
  <si>
    <t>GENPPA:CND_ESTADISTICAS_Precio_Potencia_Mercado_Ocasional_&lt;YYYY&gt;.csv (precio spot de potencia diario, $/KW-mes; promedio de valores diar</t>
  </si>
  <si>
    <t>Potencia ocasional, CND daily spot annual mean ($/kW-mes)</t>
  </si>
  <si>
    <t>CND_ESTADISTICAS_Precio_Potencia_Mercado_Ocasional_&lt;YYYY&gt;.csv (precio spot de potencia diario, $/KW-mes; promedio de valores diarios, marcadores "----"/"-" excluidos como faltante genuino); Task 0 fix-pass + recompute independiente Task 3, 2026-07-12</t>
  </si>
  <si>
    <t>GENPPA:a working file kept by the maintainer (grupo economico "PANA POWER HOLDING"; 26 distinct contract IDs; extracted via python csv m</t>
  </si>
  <si>
    <t>05-08 E5 | El Alto (Hydro Caisan) x EDEMET (DCD, 01-ene-15-&gt;31-dic-25) - Potencia (MW, CSV); Precio potencia ($/kW-mes, CSV); Precio energia ($/kWh, CSV)</t>
  </si>
  <si>
    <t>a working file kept by the maintainer (grupo economico "PANA POWER HOLDING"; 26 distinct contract IDs; extracted via python csv module, raw-XML/csv, 2026-07-12); contract ID 05-08 E5</t>
  </si>
  <si>
    <t>28-11 E1 | Pedregalito x EDEMET (DCD, 01-ene-15-&gt;31-dic-29) - Potencia (MW, CSV); Precio potencia ($/kW-mes, CSV); Precio energia ($/kWh, CSV)</t>
  </si>
  <si>
    <t>a working file kept by the maintainer (grupo economico "PANA POWER HOLDING"; 26 distinct contract IDs; extracted via python csv module, raw-XML/csv, 2026-07-12); contract ID 28-11 E1</t>
  </si>
  <si>
    <t>28-13 | Pedregalito x EDEMET (SED, 01-dic-15-&gt;31-dic-27) - Potencia (MW, CSV); Precio energia ($/kWh, CSV)</t>
  </si>
  <si>
    <t>a working file kept by the maintainer (grupo economico "PANA POWER HOLDING"; 26 distinct contract IDs; extracted via python csv module, raw-XML/csv, 2026-07-12); contract ID 28-13</t>
  </si>
  <si>
    <t>29-11 E1 | Rio Chico x EDEMET (DCD, 01-ene-15-&gt;31-dic-29) - Potencia (MW, CSV); Precio potencia ($/kW-mes, CSV); Precio energia ($/kWh, CSV)</t>
  </si>
  <si>
    <t>a working file kept by the maintainer (grupo economico "PANA POWER HOLDING"; 26 distinct contract IDs; extracted via python csv module, raw-XML/csv, 2026-07-12); contract ID 29-11 E1</t>
  </si>
  <si>
    <t>29-13. | Rio Chico x EDEMET (SED, 01-dic-15-&gt;31-dic-27) - Potencia (MW, CSV); Precio energia ($/kWh, CSV)</t>
  </si>
  <si>
    <t>a working file kept by the maintainer (grupo economico "PANA POWER HOLDING"; 26 distinct contract IDs; extracted via python csv module, raw-XML/csv, 2026-07-12); contract ID 29-13.</t>
  </si>
  <si>
    <t>30-11 E1 | Alto Valle x EDEMET (DCD, 01-jul-15-&gt;30-jun-30) - Potencia (MW, CSV); Precio potencia ($/kW-mes, CSV); Precio energia ($/kWh, CSV)</t>
  </si>
  <si>
    <t>a working file kept by the maintainer (grupo economico "PANA POWER HOLDING"; 26 distinct contract IDs; extracted via python csv module, raw-XML/csv, 2026-07-12); contract ID 30-11 E1</t>
  </si>
  <si>
    <t>30-13. | Alto Valle x EDEMET (SED, 01-dic-15-&gt;31-dic-27) - Potencia (MW, CSV); Precio energia ($/kWh, CSV)</t>
  </si>
  <si>
    <t>a working file kept by the maintainer (grupo economico "PANA POWER HOLDING"; 26 distinct contract IDs; extracted via python csv module, raw-XML/csv, 2026-07-12); contract ID 30-13.</t>
  </si>
  <si>
    <t>31-13. | El Alto (Hydro Caisan) x EDEMET (SED, 01-dic-15-&gt;31-dic-27) - Potencia (MW, CSV); Precio energia ($/kWh, CSV)</t>
  </si>
  <si>
    <t>a working file kept by the maintainer (grupo economico "PANA POWER HOLDING"; 26 distinct contract IDs; extracted via python csv module, raw-XML/csv, 2026-07-12); contract ID 31-13.</t>
  </si>
  <si>
    <t>37-13. | Pedregalito x EDECHI (SED, 01-dic-15-&gt;31-dic-27) - Potencia (MW, CSV); Precio energia ($/kWh, CSV)</t>
  </si>
  <si>
    <t>a working file kept by the maintainer (grupo economico "PANA POWER HOLDING"; 26 distinct contract IDs; extracted via python csv module, raw-XML/csv, 2026-07-12); contract ID 37-13.</t>
  </si>
  <si>
    <t>38-13. | Rio Chico x EDECHI (SED, 01-dic-15-&gt;31-dic-27) - Potencia (MW, CSV); Precio energia ($/kWh, CSV)</t>
  </si>
  <si>
    <t>a working file kept by the maintainer (grupo economico "PANA POWER HOLDING"; 26 distinct contract IDs; extracted via python csv module, raw-XML/csv, 2026-07-12); contract ID 38-13.</t>
  </si>
  <si>
    <t>39-13. | Alto Valle x EDECHI (SED, 01-dic-15-&gt;31-dic-27) - Potencia (MW, CSV); Precio energia ($/kWh, CSV)</t>
  </si>
  <si>
    <t>a working file kept by the maintainer (grupo economico "PANA POWER HOLDING"; 26 distinct contract IDs; extracted via python csv module, raw-XML/csv, 2026-07-12); contract ID 39-13.</t>
  </si>
  <si>
    <t>40-11 E1 | Pedregalito x EDECHI (DCD, 01-ene-15-&gt;31-dic-29) - Potencia (MW, CSV); Precio potencia ($/kW-mes, CSV); Precio energia ($/kWh, CSV)</t>
  </si>
  <si>
    <t>a working file kept by the maintainer (grupo economico "PANA POWER HOLDING"; 26 distinct contract IDs; extracted via python csv module, raw-XML/csv, 2026-07-12); contract ID 40-11 E1</t>
  </si>
  <si>
    <t>40-11 E1 [variante CSV: ID con espacio final] | Pedregalito x EDECHI (DCD, 01-ene-15-&gt;31-dic-29) - Potencia (MW, CSV); Precio potencia ($/kW-mes, CSV); Precio energia ($/kWh, CSV)</t>
  </si>
  <si>
    <t>a working file kept by the maintainer (grupo economico "PANA POWER HOLDING"; 26 distinct contract IDs; extracted via python csv module, raw-XML/csv, 2026-07-12); contract ID 40-11 E1 [variante CSV: ID con espacio final]</t>
  </si>
  <si>
    <t>40-13. | El Alto (Hydro Caisan) x EDECHI (SED, 01-dic-15-&gt;31-dic-27) - Potencia (MW, CSV); Precio energia ($/kWh, CSV)</t>
  </si>
  <si>
    <t>a working file kept by the maintainer (grupo economico "PANA POWER HOLDING"; 26 distinct contract IDs; extracted via python csv module, raw-XML/csv, 2026-07-12); contract ID 40-13.</t>
  </si>
  <si>
    <t>41-11 E1 | Rio Chico x EDECHI (DCD, 01-ene-15-&gt;31-dic-29) - Potencia (MW, CSV); Precio potencia ($/kW-mes, CSV); Precio energia ($/kWh, CSV)</t>
  </si>
  <si>
    <t>a working file kept by the maintainer (grupo economico "PANA POWER HOLDING"; 26 distinct contract IDs; extracted via python csv module, raw-XML/csv, 2026-07-12); contract ID 41-11 E1</t>
  </si>
  <si>
    <t>42-11 E1 | Alto Valle x EDECHI (DCD, 01-jul-15-&gt;30-jun-30) - Potencia (MW, CSV); Precio potencia ($/kW-mes, CSV); Precio energia ($/kWh, CSV)</t>
  </si>
  <si>
    <t>a working file kept by the maintainer (grupo economico "PANA POWER HOLDING"; 26 distinct contract IDs; extracted via python csv module, raw-XML/csv, 2026-07-12); contract ID 42-11 E1</t>
  </si>
  <si>
    <t>60-23 | El Alto (Hydro Caisan) x EDECHI (BRIDGE, 01-sep-24-&gt;30-sep-24) - Potencia (MW, CSV); Precio energia ($/kWh, CSV)</t>
  </si>
  <si>
    <t>a working file kept by the maintainer (grupo economico "PANA POWER HOLDING"; 26 distinct contract IDs; extracted via python csv module, raw-XML/csv, 2026-07-12); contract ID 60-23</t>
  </si>
  <si>
    <t>DME-010-08 E4 | El Alto (Hydro Caisan) x ENSA (DCD, 01-ene-16-&gt;31-dic-26) - Potencia (MW, CSV); Precio potencia ($/kW-mes, CSV); Precio energia ($/kWh, CSV)</t>
  </si>
  <si>
    <t>a working file kept by the maintainer (grupo economico "PANA POWER HOLDING"; 26 distinct contract IDs; extracted via python csv module, raw-XML/csv, 2026-07-12); contract ID DME-010-08 E4</t>
  </si>
  <si>
    <t>DME-011-13 | Alto Valle x ENSA (SED, 01-ene-13-&gt;31-dic-27) - Potencia (MW, CSV); Precio energia ($/kWh, CSV)</t>
  </si>
  <si>
    <t>a working file kept by the maintainer (grupo economico "PANA POWER HOLDING"; 26 distinct contract IDs; extracted via python csv module, raw-XML/csv, 2026-07-12); contract ID DME-011-13</t>
  </si>
  <si>
    <t>DME-016-13 | El Alto (Hydro Caisan) x ENSA (SED, 01-dic-15-&gt;31-dic-27) - Potencia (MW, CSV); Precio energia ($/kWh, CSV)</t>
  </si>
  <si>
    <t>a working file kept by the maintainer (grupo economico "PANA POWER HOLDING"; 26 distinct contract IDs; extracted via python csv module, raw-XML/csv, 2026-07-12); contract ID DME-016-13</t>
  </si>
  <si>
    <t>DME-018-13 | Pedregalito x ENSA (SED, 01-dic-15-&gt;31-dic-27) - Potencia (MW, CSV); Precio energia ($/kWh, CSV)</t>
  </si>
  <si>
    <t>a working file kept by the maintainer (grupo economico "PANA POWER HOLDING"; 26 distinct contract IDs; extracted via python csv module, raw-XML/csv, 2026-07-12); contract ID DME-018-13</t>
  </si>
  <si>
    <t>DME-019-13 | Rio Chico x ENSA (SED, 01-dic-15-&gt;31-dic-27) - Potencia (MW, CSV); Precio energia ($/kWh, CSV)</t>
  </si>
  <si>
    <t>a working file kept by the maintainer (grupo economico "PANA POWER HOLDING"; 26 distinct contract IDs; extracted via python csv module, raw-XML/csv, 2026-07-12); contract ID DME-019-13</t>
  </si>
  <si>
    <t>DME-021-11 | Pedregalito x ENSA (DCD, 01-ene-15-&gt;31-dic-29) - Potencia (MW, CSV); Precio potencia ($/kW-mes, CSV); Precio energia ($/kWh, CSV)</t>
  </si>
  <si>
    <t>a working file kept by the maintainer (grupo economico "PANA POWER HOLDING"; 26 distinct contract IDs; extracted via python csv module, raw-XML/csv, 2026-07-12); contract ID DME-021-11</t>
  </si>
  <si>
    <t>DME-023-11 | Rio Chico x ENSA (DCD, 01-ene-15-&gt;31-dic-29) - Potencia (MW, CSV); Precio potencia ($/kW-mes, CSV); Precio energia ($/kWh, CSV)</t>
  </si>
  <si>
    <t>a working file kept by the maintainer (grupo economico "PANA POWER HOLDING"; 26 distinct contract IDs; extracted via python csv module, raw-XML/csv, 2026-07-12); contract ID DME-023-11</t>
  </si>
  <si>
    <t>DME-024-11 | Alto Valle x ENSA (DCD, 01-ene-15-&gt;31-dic-29) - Potencia (MW, CSV); Precio potencia ($/kW-mes, CSV); Precio energia ($/kWh, CSV)</t>
  </si>
  <si>
    <t>a working file kept by the maintainer (grupo economico "PANA POWER HOLDING"; 26 distinct contract IDs; extracted via python csv module, raw-XML/csv, 2026-07-12); contract ID DME-024-11</t>
  </si>
  <si>
    <t>DME-029-23 | El Alto (Hydro Caisan) x ENSA (BRIDGE, 01-sep-24-&gt;30-nov-25) - Potencia (MW, CSV); Precio energia ($/kWh, CSV)</t>
  </si>
  <si>
    <t>a working file kept by the maintainer (grupo economico "PANA POWER HOLDING"; 26 distinct contract IDs; extracted via python csv module, raw-XML/csv, 2026-07-12); contract ID DME-029-23</t>
  </si>
  <si>
    <t>GENPPA:OCR: a working file kept by the maintainer:335</t>
  </si>
  <si>
    <t>Filing claim: plazo (label text only, see note)</t>
  </si>
  <si>
    <t>a working file kept by the maintainer:335</t>
  </si>
  <si>
    <t>GENPPA:OCR: a working file kept by the maintainer:338</t>
  </si>
  <si>
    <t>Filing claim: capacidad contratada (MW anual, max of disclosed range 10.05-12.09)</t>
  </si>
  <si>
    <t>a working file kept by the maintainer:338</t>
  </si>
  <si>
    <t>GENPPA:OCR: a working file kept by the maintainer:339</t>
  </si>
  <si>
    <t>Filing claim: precio potencia ($/kW-mes, disclosed range $9.5-$10, lower bound shown)</t>
  </si>
  <si>
    <t>a working file kept by the maintainer:339</t>
  </si>
  <si>
    <t>GENPPA:OCR: a working file kept by the maintainer:340</t>
  </si>
  <si>
    <t>Filing claim: precio energia ($/kWh, disclosed range $0.0954-$0.1004, lower bound shown)</t>
  </si>
  <si>
    <t>a working file kept by the maintainer:340</t>
  </si>
  <si>
    <t>GENPPA:PPH_2024_page_by_page_transcription.md:4513-4560 ('Consolidacion de Estado de Resultados Integral', pag 87, ano 2024)</t>
  </si>
  <si>
    <t>Generadora Alto Valle, S.A. -&gt; Cochea (ALTOVALLE); Pedregalito Solar Power, S.A. (SOLAR); Hydro Caisan, S.A. -&gt; El Alto (HCAISAN; FY25 = entidad unica post-fusion, ya no solo-planta)</t>
  </si>
  <si>
    <t>34</t>
  </si>
  <si>
    <t>PPH_2024_page_by_page_transcription.md:4513-4560 ('Consolidacion de Estado de Resultados Integral', pag 87, ano 2024)</t>
  </si>
  <si>
    <t>GENPPA:PPH_2025_page_by_page_transcription.md:2108-2109,2117-2118 (columna FY25)</t>
  </si>
  <si>
    <t>EEFF: Compras de energia y costos asociados; EEFF: Cargo de transmision; EEFF: Operacion y mantenimiento (Nota 22/21)</t>
  </si>
  <si>
    <t>PPH_2025_page_by_page_transcription.md:2108-2109,2117-2118 (columna FY25)</t>
  </si>
  <si>
    <t>GENPPA:PPH_2025_page_by_page_transcription.md:334-341 (Licit. 01-08: 131,884 MWh/ano; Licit. 02-13: 35,340-50,606 MWh/ano, punto medio 42,973; Licit. 01-23 puente 2024-2025: 20,459-33,683 MWh/ano, pun</t>
  </si>
  <si>
    <t>Contracted MWh (Nota 1 'Energia asociada por ano', punto medio -- ver flag)</t>
  </si>
  <si>
    <t>PPH_2025_page_by_page_transcription.md:334-341 (Licit. 01-08: 131,884 MWh/ano; Licit. 02-13: 35,340-50,606 MWh/ano, punto medio 42,973; Licit. 01-23 puente 2024-2025: 20,459-33,683 MWh/ano, punto medio 27,071, solo FY24-25)</t>
  </si>
  <si>
    <t>GENPPA:PPH_2025_page_by_page_transcription.md:346-355 (Licit. 02-10: 18,746 MWh/ano; Licit. 02-13: 18,885-19,767 MWh/ano, punto medio 19,326)</t>
  </si>
  <si>
    <t>PPH_2025_page_by_page_transcription.md:346-355 (Licit. 02-10: 18,746 MWh/ano; Licit. 02-13: 18,885-19,767 MWh/ano, punto medio 19,326)</t>
  </si>
  <si>
    <t>GENPPA:PPH_2025_page_by_page_transcription.md:358-367 (Licit. 02-10: 10,210 MWh/ano; Licit. 02-13: 10,996-12,181 MWh/ano, punto medio 11,588.5)</t>
  </si>
  <si>
    <t>PPH_2025_page_by_page_transcription.md:358-367 (Licit. 02-10: 10,210 MWh/ano; Licit. 02-13: 10,996-12,181 MWh/ano, punto medio 11,588.5)</t>
  </si>
  <si>
    <t>GENPPA:PPH_2025_page_by_page_transcription.md:370-379 (Licit. 02-10: 13,729 MWh/ano; Licit. 02-13: 13,129-16,665 MWh/ano, punto medio 14,897; Licit. 06-12 2026-2040 EXCLUIDA -- fuera de la ventana his</t>
  </si>
  <si>
    <t>PPH_2025_page_by_page_transcription.md:370-379 (Licit. 02-10: 13,729 MWh/ano; Licit. 02-13: 13,129-16,665 MWh/ano, punto medio 14,897; Licit. 06-12 2026-2040 EXCLUIDA -- fuera de la ventana historica FY21-25)</t>
  </si>
  <si>
    <t>GENPPA:PPH_2025_page_by_page_transcription.md:3921-3947 (Nota 20 'Ingresos', columna FY25)</t>
  </si>
  <si>
    <t>Nota 20: Energia contratada; Nota 20: Capacidad contratada; Nota 20: Energia ocasional</t>
  </si>
  <si>
    <t>PPH_2025_page_by_page_transcription.md:3921-3947 (Nota 20 'Ingresos', columna FY25)</t>
  </si>
  <si>
    <t>GENPPA:PPH_2025_page_by_page_transcription.md:3981-3984 (columna FY25, Nota 22)</t>
  </si>
  <si>
    <t>Nota 22/21: Costo de personal; Nota 22/21: Fianzas y seguros; Nota 22/21: Mantenimientos de planta</t>
  </si>
  <si>
    <t>PPH_2025_page_by_page_transcription.md:3981-3984 (columna FY25, Nota 22)</t>
  </si>
  <si>
    <t>GENPPA:maintainer research note F4/Pendiente#1 table</t>
  </si>
  <si>
    <t>Verified award: potencia firme (MW, Renglon 2 SP); Verified award: precio potencia ($/kW-mes); Verified award: energia SED (MWh asignados, 16 meses)</t>
  </si>
  <si>
    <t>maintainer research note F4/Pendiente#1 table</t>
  </si>
  <si>
    <t>GENPPA:maintainer research note Anexo A</t>
  </si>
  <si>
    <t>Verified award: potencia firme inicio de suministro (label text); Verified award: energia (SED+SEO) inicio de suministro (label text)</t>
  </si>
  <si>
    <t>maintainer research note Anexo A</t>
  </si>
  <si>
    <t>GENPPA:a working file kept by the maintainer</t>
  </si>
  <si>
    <t>Capacity MW - El Alto; Capacity MW - Pedregalito 1; Capacity MW - Pedregalito 2</t>
  </si>
  <si>
    <t>DISCREPANCY:GENPED_MW</t>
  </si>
  <si>
    <t>DISCREPANCY</t>
  </si>
  <si>
    <t>maintainer research note</t>
  </si>
  <si>
    <t>46214</t>
  </si>
  <si>
    <t>GENPED (Pedregalito 1): ASEP capacity table 20.089 MW ADOPTED vs 19.9 MW in the concesiones registry CSV (centrales_generacion_electrica_dic31.csv, row "Generadora Pedregalito S.A." / "Pedregalito I"). Divergence cited in-sheet, ASEP vintage used for CF denominator. maintainer research note (line 66).</t>
  </si>
  <si>
    <t>DISCREPANCY:CF_DENOMINATOR_VINTAGE</t>
  </si>
  <si>
    <t>CF denominators use ASEP-vintage MW (120.309/121.289 MW for 2023/2024), not the curated-page totals (121.28/122.26 MW) — the curated page counted Mini El Alto (0.98 MW) in 2023 pre-COD. Corrected to ASEP vintage. maintainer research note (line 67).</t>
  </si>
  <si>
    <t>DISCREPANCY:MINI_EL_ALTO_COD_STEP_YEAR</t>
  </si>
  <si>
    <t>Mini Central El Alto (0.98 MW, COD mar-2024) step-year judgment call: FY24 HCAISAN MW kept at 73.18 (full Mini-El-Alto contribution) per maintainer research note (line 34), but the ASEP capacity PDF's own 2025 column shows only 0.98 MW allocated to Mini El Alto that year — internally inconsistent step-year presentation in the ASEP source itself. Flagged unresolved in-sheet (Task 1, progress.md:39); no invented reconciliation.</t>
  </si>
  <si>
    <t>DISCREPANCY:SOLAR_COD</t>
  </si>
  <si>
    <t>Pedregalito Solar Power (9.9 MWac): COD may-2025 per maintainer research note (line 35) — 2.6 GWh test-generation FY23, 17.7 GWh pre-COD FY24, 0.197 full-year CF FY25 (~0.30 COD-adjusted), both rotulados.</t>
  </si>
  <si>
    <t>DISCREPANCY:CND_FILES_NOT_TWINS</t>
  </si>
  <si>
    <t>centrales_generacion_electrica_dic31.csv (23-may) and .xlsx (28-may) share the same filename convention but are NOT twins — the .xlsx adds the solar row absent from the .csv. Both must be read independently, never assumed interchangeable. maintainer research note (line 68).</t>
  </si>
  <si>
    <t>DISCREPANCY:GENERACION_2026_UNEVEN_COVERAGE</t>
  </si>
  <si>
    <t>generacion_2026.xlsx has uneven plant coverage: GENPED/RCHICO/ALTOVALLE only through enero, HCAISAN/Solar through abril. Unresolved whether this is a CND load artifact or genuine reporting-lag; not used as a full-year 2026 actual anywhere downstream. maintainer research note (line 69).</t>
  </si>
  <si>
    <t>DISCREPANCY:FY23_SPOT_ARTIFACTS_CORRECTED</t>
  </si>
  <si>
    <t>CORRECTION to maintainer research note/§4 (lines 51,70), which characterized "8 spurious hourly obs + a año='2' row" in the FY23 spot series as source-data artifacts to exclude: Task 3 (progress.md:48) found this was a PARSING pitfall, not a source defect — the raw hourly mean ties 5/5 to the cent with NO exclusions applied (reviewer reproduced independently from scratch). The data-foundation doc's original wording is superseded; this corrected wording is the one of record.</t>
  </si>
  <si>
    <t>DISCREPANCY:POTENCIA_OCASIONAL_UNITS_CORRECTED</t>
  </si>
  <si>
    <t>CORRECTION to maintainer research note (line 52), which cited a "102-120 B/./MWh" band as the potencia-ocasional proxy: the potencia ocasional series (CND_ESTADISTICAS_Precio_Potencia_Mercado_Ocasional_&lt;YYYY&gt;.csv) is a DAILY capacity spot in $/kW-mes, NOT $/MWh — the 102-120 band belongs to the separate monómico-price proxy (ASEP PDF sección IX), a plan-reference error now corrected (Task 0, progress.md:33). Verified per-year potencia-ocasional means: 2021=0.3177, 2022=0.2472, 2023=0.2758, 2024=0.3048, 2025=0.1964 ($/kW-mes; 2026 partial ene-abr=0.1504).</t>
  </si>
  <si>
    <t>DISCREPANCY:MINI_CENTRAL_EL_ALTO_SUBUNIT</t>
  </si>
  <si>
    <t>Mini Central El Alto (0.98 MW, COD mar-2024) is encoded as its own Generation_PPA rows — distinct Capacity MW / Generation MWh / PPA active fraction lines (a working file kept by the maintainer, e.g. "Capacity MW - Mini Central El Alto") — not silently folded into the El Alto (HCAISAN) parent MW figure.</t>
  </si>
  <si>
    <t>DISCREPANCY:MINI_PEDREGALITO_1_UNVERIFIED</t>
  </si>
  <si>
    <t>Task 5 flagged a possible "Mini Pedregalito 1" CND sub-unit analogous to Mini Central El Alto, not captured in Task 1's per-plant MW figures. Task 11 verification searched the concesiones registry CSV, sector research note, and the Generation_PPA plan and could NOT independently locate a distinct "Mini Pedregalito 1" artifact (the concesiones CSV lists only a single 19.9 MW "Pedregalito I" row; no mini sub-unit). Registered SOURCE_GAP rather than silently dropped or fabricated — needs a pointer from whoever raised the Task 5 flag, or drop it as a false positive before the next issuer reuses this mold.</t>
  </si>
  <si>
    <t>DISCREPANCY:A6G_CONSOLIDATING_IS_VINTAGE_SCOPE</t>
  </si>
  <si>
    <t>A6g per-subsidiary consolidating IS ("Consolidación de Estado de Resultados Integral") is disclosed FY22-FY24 only — 3 vintages (PPH_2022:4548 covers FY21+FY22 combined page but the per-sub split table itself is FY22; PPH_2023:4522 FY23; PPH_2024:4530 FY24); FY21 has no standalone per-sub vintage (correctly NOT_DISCLOSED, not invented); FY25 merges the opcos into a single Hydro Caisán entity post-absorption (Nota 26, 6-ene-2026). progress.md:65.</t>
  </si>
  <si>
    <t>DISCREPANCY:DUAL_SPOT_DISCLOSURE</t>
  </si>
  <si>
    <t>Dual-spot disclosure: CND hourly-mean market spot 66.36 $/MWh (2025) vs MD&amp;A issuer-estimate disclosure 63.00 $/MWh (2025) — both real, both cited, encoded as a disclosure row (Generation_PPA row ~172) rather than collapsed to one number. Governing tie for revenue = Nota 20 + implicit-price band (Task 4/Task 3, progress.md:49).</t>
  </si>
  <si>
    <t>DISCREPANCY:SOLAR_LICENCIA_DEFINITIVA</t>
  </si>
  <si>
    <t>Pedregalito Solar Power: Licencia Definitiva 14-jun-2023 (Resolución AN 18482-Elec), INA_2024 pages 179-181 (page_by_page_transcription). Término (expiry) of the license is NOT_DISCLOSED in the filing — flagged, not assumed. progress.md:109.</t>
  </si>
  <si>
    <t>DISCREPANCY:CLIFF_SOURCING_REFUTED</t>
  </si>
  <si>
    <t>El Alto post-2025 cliff replacement: the filing's own OCR text (Nota 1) claims "Licit.06-12" as the successor to the expiring Licit.01-08 contract. Research REFUTES this filing claim: maintainer research note (F4/Pendiente#1 table) and maintainer research note (Anexo A) both independently identify the verified award as LPI 01-26/GC-02-2026 (SED 47.3x16m / SEO 36.1x58m energy from 1-jul-2026, 4.4 MW @ $3.24/kW-mes potencia from 1-jul-2028), NOT Licit.06-12. Both the filing's claim AND the verified award are dual-encoded in Generation_PPA (Task 2 decision, progress.md:41); Task 6 drives the forecast off the verified award per the signed cliff spec.</t>
  </si>
  <si>
    <t>DISCREPANCY:EL_ALTO_CONCESSIONS_HORIZON</t>
  </si>
  <si>
    <t>Valuation</t>
  </si>
  <si>
    <t>Concesiones ASEP (refrendo + 50 años, Nota 24): El Alto → 2057, Pedregalito 1 → 2059, Cochea → 2059, Pedregalito 2 → 2061 — all three vintages verified (progress.md:102); all OUTLAST both the 2030 bond maturity and the FY30 forecast horizon, which is why the DCF finite-life terminal uses per-concession expiry, not a fixed corporate horizon.</t>
  </si>
  <si>
    <t>_CHANGELOG — generation record for pph.</t>
  </si>
  <si>
    <t>Internal build history omitted from the public export. Record public changes below.</t>
  </si>
  <si>
    <t>_CHECKS panel — power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</si>
  <si>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</si>
  <si>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</si>
  <si>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</si>
  <si>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</si>
  <si>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</si>
  <si>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</si>
  <si>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hardness</t>
  </si>
  <si>
    <t>tolerance</t>
  </si>
  <si>
    <t>expected</t>
  </si>
  <si>
    <t>UNIVERSAL CHECKS</t>
  </si>
  <si>
    <t>BS_BALANCE</t>
  </si>
  <si>
    <t>UNIVERSAL | expected 0; hard fail if ABS(value) &gt; hard_tie_tolerance. Observed: UEPII critical gate &lt;10 for BS/cash; BG hard reconciliation &gt;=1000 because full USD. | source applies_to: all 16 archetypes</t>
  </si>
  <si>
    <t>hard</t>
  </si>
  <si>
    <t>1000 USD</t>
  </si>
  <si>
    <t>expected 0; hard fail if ABS(value) &gt; hard_tie_tolerance. Observed: UEPII critical gate &lt;10 for BS/cash; BG hard reconciliation &gt;=1000 because full USD. Default full-USD hard tie threshold is $1,000 unless the workbook declares a tighter scale-aware tolerance.</t>
  </si>
  <si>
    <t>CASH_TIE</t>
  </si>
  <si>
    <t>UNIVERSAL | expected 0; use hard_tie_tolerance; if cash includes restricted cash/time deposits, define cash_component role explicitly. | source applies_to: all 16 archetypes</t>
  </si>
  <si>
    <t>Observed hard tie threshold for model-to-model cash residuals; define cash-component role when restricted cash/time deposits exist.</t>
  </si>
  <si>
    <t>CF_ROLLFORWARD</t>
  </si>
  <si>
    <t>UNIVERSAL | expected 0; hard_tie_tolerance; historical rows may be WARN if source CF transcript is incomplete. | source applies_to: all 16 where CF is modeled</t>
  </si>
  <si>
    <t>expected 0; hard_tie_tolerance; historical rows may be WARN if source CF transcript is incomplete. Default full-USD hard tie threshold is $1,000 unless the workbook declares a tighter scale-aware tolerance.</t>
  </si>
  <si>
    <t>NI_TIE_TO_EQUITY</t>
  </si>
  <si>
    <t>UNIVERSAL | expected 0; hard_tie_tolerance. | source applies_to: all 16</t>
  </si>
  <si>
    <t>No semantic anchors resolved for NI_TIE_TO_EQUITY.</t>
  </si>
  <si>
    <t>NI_SIGN_SANITY</t>
  </si>
  <si>
    <t>UNIVERSAL | expected 0; sign convention must be stated in row description. | source applies_to: all 16</t>
  </si>
  <si>
    <t>expected 0; sign convention must be stated in row description. Default full-USD hard tie threshold is $1,000 unless the workbook declares a tighter scale-aware tolerance.</t>
  </si>
  <si>
    <t>RE_ROLLFORWARD</t>
  </si>
  <si>
    <t>UNIVERSAL | expected 0; hard_tie_tolerance. | source applies_to: all 16 with RE row</t>
  </si>
  <si>
    <t>expected 0; hard_tie_tolerance. Default full-USD hard tie threshold is $1,000 unless the workbook declares a tighter scale-aware tolerance.</t>
  </si>
  <si>
    <t>EQUITY_TOTAL_TIE</t>
  </si>
  <si>
    <t>BS_LINEITEM_SUM_ASSETS</t>
  </si>
  <si>
    <t>BS_LINEITEM_SUM_LIAB_EQUITY</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</si>
  <si>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</si>
  <si>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</si>
  <si>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</si>
  <si>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</si>
  <si>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</si>
  <si>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</si>
  <si>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</si>
  <si>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</si>
  <si>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</si>
  <si>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</si>
  <si>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</si>
  <si>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CONDITIONAL CHECKS</t>
  </si>
  <si>
    <t>PPE_SCHEDULE_TIE</t>
  </si>
  <si>
    <t>ARCHETYPE/conditional | expected 0; hard_tie_tolerance. | source applies_to: operating-EBITDA, power, utility, downstream fuel, other non-financials</t>
  </si>
  <si>
    <t>No semantic anchors resolved for PPE_SCHEDULE_TIE.</t>
  </si>
  <si>
    <t>LEASE_SCHEDULE_TIE</t>
  </si>
  <si>
    <t>ARCHETYPE/conditional | expected 0; hard_tie_tolerance. | source applies_to: IFRS-16 issuers</t>
  </si>
  <si>
    <t>No semantic anchors resolved for LEASE_SCHEDULE_TIE.</t>
  </si>
  <si>
    <t>DEBT_SCHEDULE_TIE</t>
  </si>
  <si>
    <t>ARCHETYPE/conditional | expected 0; hard_tie_tolerance; project-finance debt can include accrued interest/unamortized cost roles. | source applies_to: non-bank-lender, power, utility, operating-EBITDA with debt</t>
  </si>
  <si>
    <t>No semantic anchors resolved for DEBT_SCHEDULE_TIE.</t>
  </si>
  <si>
    <t>POWER CHECKS</t>
  </si>
  <si>
    <t>POWER_REVENUE_BUILD_TIE</t>
  </si>
  <si>
    <t>ARCHETYPE | expected 0; hard_tie_tolerance. | source applies_to: power, utility</t>
  </si>
  <si>
    <t>POWER_CHANNEL_VOLUME_TIE</t>
  </si>
  <si>
    <t>ARCHETYPE | expected 0; observed UEPII uses N/A for years without channel split. | source applies_to: power, utility</t>
  </si>
  <si>
    <t>volume_tolerance</t>
  </si>
  <si>
    <t>expected 0; observed UEPII uses N/A for years without channel split.</t>
  </si>
  <si>
    <t>POWER_CAPACITY_CEILING</t>
  </si>
  <si>
    <t>ARCHETYPE | PASS/FAIL or 0/1; threshold from hours-per-year parameter. | source applies_to: power, utility</t>
  </si>
  <si>
    <t>Per-plant ceiling GWh&lt;=MW*8.76 over Generation_PPA A2 physical rows (Pedregalito 1 (GENPED); Pedregalito 2 (RCHICO); Cochea (ALTOVALLE); El Alto + Mini El Alto (HCAISAN); Pedregalito Solar (9.9 MWac)). Residual = count of plant-years exceeding the ceiling that period. Tested only where GWh is CND-disclosed numeric (FY21-25); FY26-30 GWh is NOT_DISCLOSED in A2 (forecast physical layer not modeled, Generation_PPA row 34) so those columns are blank, not a verified pass.</t>
  </si>
  <si>
    <t>POWER_DSRA_COVERAGE</t>
  </si>
  <si>
    <t>ARCHETYPE | expected 0; UEPII tail uses &lt;=1 tolerance in U2 rows. | source applies_to: project-finance power/utility</t>
  </si>
  <si>
    <t>1 model currency or ratio residual</t>
  </si>
  <si>
    <t>DSRA required = 0.25x(amortizacion programada ex-barrido + gasto de interes bonos), per Nota 16's disclosed DSRA definition ('Cuenta de Reserva de Servicio de Deuda de tres meses de pago de capital (exceptuando el barrido de caja) e intereses'; INA_2025_full.md L3661-3662, 'Bonos por Pagar (Continuacion)', PDF p.69). Tested where Debt_Schedule provides a DSRA balance (FY26E-FY30E). Residual = MAX(0, shortfall); 0 = fully funded.</t>
  </si>
  <si>
    <t>POWER_DSCR_COVENANT</t>
  </si>
  <si>
    <t>ARCHETYPE | must be &gt;=0 or explicit business-warning text; not always a mechanical blocker. | source applies_to: project-finance power/utility</t>
  </si>
  <si>
    <t>soft</t>
  </si>
  <si>
    <t>0 cushion</t>
  </si>
  <si>
    <t>&gt;=0</t>
  </si>
  <si>
    <t>Soft covenant-visibility row (controller decision 2026-07-13): a breach emits a named WARN, never FAIL, so MASTER_STATUS stays governed by hard checks only. The DSCR&lt;1.25x cliff-driven breach (PPA/capacity cliff; covenant 'mayor a 1.25x' consolidado, Nota 16, INA_2025_full.md L3666-3669, floor row Debt_Schedule!24) remains visible in-sheet -- Category D business/covenant risk per checks-and-tie-out-discipline.md, documented not recolored.</t>
  </si>
  <si>
    <t>POWER_DEBT_FACE_ZERO</t>
  </si>
  <si>
    <t>ARCHETYPE | PASS/FAIL; tail-life projects. | source applies_to: finite-life project finance</t>
  </si>
  <si>
    <t>Debt_Schedule!F11 (Saldo bruto final, formula-derived: opening - amort.programada - barrido, not itself a hardcode) tied to Nota 16 tabla de vencimientos, bonos con vencimiento 5-oct-2030 (INA_2025_full.md L3564, repetido L3620; PDF pp.67-68; MD&amp;A secundaria L1094) = $131,250,000.</t>
  </si>
  <si>
    <t>OPERATING_GP_OR_EBITDA_TIE</t>
  </si>
  <si>
    <t>ARCHETYPE | expected 0; hard_tie_tolerance. | source applies_to: operating-EBITDA, downstream fuel, power when EBITDA is used</t>
  </si>
  <si>
    <t>EBITDA = Utilidad operativa + Depreciación y amortización − Ingresos por crédito fiscal y otros (same combination Debt_Schedule!21 uses for the DSCR/LLCR/PLCR EBITDA input; definition matches the issuer's own MD&amp;A EBITDA build, INA_2025_full.md L1108-1114). FY21-25 tie ModeloFinanciero vs EEFF: since MF historicals are a direct EEFF passthrough, this verifies the MF-EEFF passthrough of the EBITDA block is unbroken and the covenant-EBITDA definition is wired consistently -- it is NOT an independent external-source tie.</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</si>
  <si>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</si>
  <si>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</si>
  <si>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</si>
  <si>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</si>
  <si>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</si>
  <si>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</si>
  <si>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</si>
  <si>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</si>
  <si>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Supuestos: 48 cells written, at N11, N12, N13, N14, N15, N16, N17, N18, N19, N20, N21, N26, N27, N28, N29 and 33 more; Notas_EEFF: 1 cell written, at A3; Generation_PPA: 11 cells written, at A33, A38, A58, A59, A61, A143, A148, A156, A168, A174, A281; Debt_Schedule: 1 cell written, at A32; Valuation: 2 cells written, at A4, A129; Source_Register: 113 cells written, at A2, I5, M5, A120, M120, A121, M121, A122, M122, A126, M126, A128, M128, A129, M129 and 98 more; _CHANGELOG: data A1:H45 -&gt; A1:A3 (rows 45 -&gt; 3, columns 8 -&gt; 1), 277 cells written, at A2, A3, B3, C3, D3, E3, F3, G3, H3, A4, B4, C4, D4, E4, F4 and 262 more.
Other actions: clear x1.
Agent: OpenFinmods export</t>
  </si>
  <si>
    <t>Compare against source and review public copy</t>
  </si>
</sst>
</file>

<file path=xl/styles.xml><?xml version="1.0" encoding="utf-8"?>
<styleSheet xmlns="http://schemas.openxmlformats.org/spreadsheetml/2006/main">
  <numFmts count="17">
    <numFmt numFmtId="164" formatCode="General"/>
    <numFmt numFmtId="165" formatCode="#,##0;(#,##0);-"/>
    <numFmt numFmtId="166" formatCode="@"/>
    <numFmt numFmtId="167" formatCode="#,##0;[Red](#,##0);-"/>
    <numFmt numFmtId="168" formatCode="0.0%"/>
    <numFmt numFmtId="169" formatCode="0"/>
    <numFmt numFmtId="170" formatCode="0.00"/>
    <numFmt numFmtId="171" formatCode="#,##0"/>
    <numFmt numFmtId="172" formatCode="yyyy-mm-dd"/>
    <numFmt numFmtId="173" formatCode="$#,##0.00"/>
    <numFmt numFmtId="174" formatCode="0.000"/>
    <numFmt numFmtId="175" formatCode="0.0000"/>
    <numFmt numFmtId="176" formatCode="0.00&quot;x&quot;"/>
    <numFmt numFmtId="177" formatCode="0.000%"/>
    <numFmt numFmtId="178" formatCode="$#,##0"/>
    <numFmt numFmtId="179" formatCode="0.00%"/>
    <numFmt numFmtId="180" formatCode="yyyy\-mm\-dd hh:mm"/>
  </numFmts>
  <fonts count="16">
    <font>
      <sz val="11"/>
      <color theme="1"/>
      <name val="Calibri"/>
      <family val="2"/>
      <scheme val="minor"/>
    </font>
    <font>
      <sz val="11"/>
      <color rgb="FF000000"/>
      <name val="Calibri"/>
      <family val="2"/>
      <scheme val="minor"/>
    </font>
    <font>
      <b/>
      <i val="0"/>
      <strike val="0"/>
      <sz val="10"/>
      <color rgb="FF000000"/>
      <name val="Arial"/>
    </font>
    <font>
      <b val="0"/>
      <i val="0"/>
      <strike val="0"/>
      <sz val="10"/>
      <color rgb="FF0432FF"/>
      <name val="Arial"/>
    </font>
    <font>
      <b/>
      <i val="0"/>
      <strike val="0"/>
      <sz val="10"/>
      <color rgb="FF0432FF"/>
      <name val="Arial"/>
    </font>
    <font>
      <b val="0"/>
      <i val="0"/>
      <strike val="0"/>
      <sz val="10"/>
      <color rgb="FF000000"/>
      <name val="Arial"/>
    </font>
    <font>
      <b val="0"/>
      <i val="0"/>
      <strike val="0"/>
      <sz val="10"/>
      <name val="Arial"/>
    </font>
    <font>
      <b val="0"/>
      <i val="0"/>
      <strike val="0"/>
      <sz val="10"/>
      <color rgb="FF00703C"/>
      <name val="Arial"/>
    </font>
    <font>
      <b/>
      <i val="0"/>
      <strike val="0"/>
      <sz val="11"/>
      <color rgb="FF000000"/>
      <name val="Arial"/>
    </font>
    <font>
      <b/>
      <i val="0"/>
      <strike val="0"/>
      <sz val="10"/>
      <color rgb="FF00703C"/>
      <name val="Arial"/>
    </font>
    <font>
      <b val="0"/>
      <i/>
      <strike val="0"/>
      <sz val="10"/>
      <color rgb="FF000000"/>
      <name val="Arial"/>
    </font>
    <font>
      <sz val="10"/>
      <color rgb="FF000000"/>
      <name val="Arial"/>
    </font>
    <font>
      <b/>
      <sz val="10"/>
      <color rgb="FF000000"/>
      <name val="Arial"/>
    </font>
    <font>
      <sz val="10"/>
      <color rgb="FF00703C"/>
      <name val="Arial"/>
    </font>
    <font>
      <b val="0"/>
      <i val="0"/>
      <strike val="0"/>
      <sz val="10"/>
      <color rgb="FF000000"/>
      <name val="Arial"/>
      <family val="2"/>
      <scheme val="minor"/>
    </font>
    <font>
      <b/>
      <i val="0"/>
      <strike val="0"/>
      <sz val="10"/>
      <color rgb="FF000000"/>
      <name val="Arial"/>
      <family val="2"/>
      <scheme val="minor"/>
    </font>
  </fonts>
  <fills count="5">
    <fill>
      <patternFill patternType="none"/>
    </fill>
    <fill>
      <patternFill patternType="gray125"/>
    </fill>
    <fill>
      <patternFill patternType="solid">
        <fgColor rgb="FFDCE6F1"/>
        <bgColor rgb="FFDCE6F1"/>
      </patternFill>
    </fill>
    <fill>
      <patternFill patternType="solid">
        <fgColor rgb="FFF2F2F2"/>
        <bgColor rgb="FFF2F2F2"/>
      </patternFill>
    </fill>
    <fill>
      <patternFill patternType="solid">
        <fgColor rgb="FFFFF2CC"/>
        <bgColor rgb="FFFFF2CC"/>
      </patternFill>
    </fill>
  </fills>
  <borders count="4">
    <border/>
    <border>
      <left style="thin">
        <color rgb="FF000000"/>
      </left>
    </border>
    <border>
      <top style="thin">
        <color rgb="FF000000"/>
      </top>
    </border>
    <border>
      <left style="thin">
        <color rgb="FF000000"/>
      </left>
      <top style="thin">
        <color rgb="FF000000"/>
      </top>
    </border>
  </borders>
  <cellStyleXfs count="1">
    <xf numFmtId="0" fontId="1" fillId="0" borderId="0"/>
  </cellStyleXfs>
  <cellXfs count="1507">
    <xf numFmtId="0" fontId="1" fillId="0" borderId="0" xfId="0" applyFont="1"/>
    <xf numFmtId="164" fontId="2" fillId="2" borderId="1" xfId="0" applyNumberFormat="1" applyFont="1" applyFill="1" applyBorder="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5" fontId="4" fillId="0" borderId="2" xfId="0" applyNumberFormat="1" applyFont="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4" fontId="5" fillId="0" borderId="0" xfId="0" applyNumberFormat="1" applyFont="1" applyAlignment="1">
      <alignment horizontal="left" vertical="bottom" textRotation="0" indent="0" readingOrder="0"/>
    </xf>
    <xf numFmtId="164" fontId="6" fillId="0" borderId="0" xfId="0" applyNumberFormat="1" applyFont="1"/>
    <xf numFmtId="165" fontId="3" fillId="0" borderId="1" xfId="0" applyNumberFormat="1" applyFont="1" applyBorder="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5" fontId="4" fillId="0" borderId="3" xfId="0" applyNumberFormat="1" applyFont="1" applyBorder="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6" fillId="0" borderId="1" xfId="0" applyNumberFormat="1" applyFont="1" applyBorder="1"/>
    <xf numFmtId="164" fontId="2" fillId="3" borderId="0" xfId="0" applyNumberFormat="1" applyFont="1" applyFill="1" applyAlignment="1">
      <alignment horizontal="left" vertical="bottom" textRotation="0"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4" fontId="5" fillId="0" borderId="0" xfId="0" applyNumberFormat="1" applyFont="1"/>
    <xf numFmtId="167" fontId="3" fillId="0" borderId="0" xfId="0" applyNumberFormat="1" applyFont="1" applyAlignment="1">
      <alignment horizontal="right" vertical="top" textRotation="0" indent="0" readingOrder="0"/>
    </xf>
    <xf numFmtId="164" fontId="2" fillId="3" borderId="0" xfId="0" applyNumberFormat="1" applyFont="1" applyFill="1" applyAlignment="1">
      <alignment horizontal="left" vertical="top" textRotation="0" wrapText="1" indent="0" readingOrder="0"/>
    </xf>
    <xf numFmtId="164" fontId="2" fillId="2" borderId="0" xfId="0" applyNumberFormat="1" applyFont="1" applyFill="1" applyAlignment="1">
      <alignment horizontal="left" vertical="top" textRotation="0" wrapText="1" indent="0" readingOrder="0"/>
    </xf>
    <xf numFmtId="164" fontId="8" fillId="0" borderId="0" xfId="0" applyNumberFormat="1" applyFont="1"/>
    <xf numFmtId="168" fontId="5" fillId="0" borderId="0" xfId="0" applyNumberFormat="1" applyFont="1" applyAlignment="1">
      <alignment horizontal="right" vertical="bottom" textRotation="0" indent="0" readingOrder="0"/>
    </xf>
    <xf numFmtId="164" fontId="6" fillId="0" borderId="0" xfId="0" applyNumberFormat="1" applyFont="1"/>
    <xf numFmtId="169" fontId="5" fillId="0" borderId="0" xfId="0" applyNumberFormat="1" applyFont="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4" fontId="6" fillId="2" borderId="0" xfId="0" applyNumberFormat="1" applyFont="1" applyFill="1"/>
    <xf numFmtId="165" fontId="5"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4" fontId="6" fillId="2" borderId="1" xfId="0" applyNumberFormat="1" applyFont="1" applyFill="1" applyBorder="1"/>
    <xf numFmtId="165" fontId="5" fillId="0" borderId="0" xfId="0" applyNumberFormat="1" applyFont="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64" fontId="6" fillId="3" borderId="0" xfId="0" applyNumberFormat="1" applyFont="1" applyFill="1"/>
    <xf numFmtId="164" fontId="5" fillId="0" borderId="0" xfId="0" applyNumberFormat="1" applyFont="1" applyAlignment="1">
      <alignment horizontal="left" vertical="bottom" textRotation="0" indent="0" readingOrder="0"/>
    </xf>
    <xf numFmtId="164" fontId="6" fillId="0" borderId="1" xfId="0" applyNumberFormat="1" applyFont="1" applyBorder="1"/>
    <xf numFmtId="168" fontId="3" fillId="4" borderId="1" xfId="0" applyNumberFormat="1" applyFont="1" applyFill="1" applyBorder="1" applyAlignment="1">
      <alignment horizontal="right" vertical="bottom" textRotation="0" indent="0" readingOrder="0"/>
    </xf>
    <xf numFmtId="164" fontId="2" fillId="2" borderId="1" xfId="0" applyNumberFormat="1" applyFont="1" applyFill="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9" fontId="5" fillId="0" borderId="1" xfId="0" applyNumberFormat="1" applyFont="1" applyBorder="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5" fontId="9" fillId="0" borderId="2"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2" fillId="0" borderId="3" xfId="0" applyNumberFormat="1" applyFont="1" applyBorder="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6" fillId="2" borderId="0" xfId="0" applyNumberFormat="1" applyFont="1" applyFill="1"/>
    <xf numFmtId="164" fontId="6" fillId="3" borderId="0" xfId="0" applyNumberFormat="1" applyFont="1" applyFill="1"/>
    <xf numFmtId="164" fontId="6" fillId="0" borderId="0" xfId="0" applyNumberFormat="1" applyFont="1"/>
    <xf numFmtId="165" fontId="5" fillId="0" borderId="1" xfId="0" applyNumberFormat="1" applyFont="1" applyBorder="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6" fillId="2" borderId="1" xfId="0" applyNumberFormat="1" applyFont="1" applyFill="1" applyBorder="1"/>
    <xf numFmtId="164" fontId="2" fillId="2" borderId="1" xfId="0" applyNumberFormat="1" applyFont="1" applyFill="1" applyBorder="1" applyAlignment="1">
      <alignment horizontal="right" vertical="bottom" textRotation="0" indent="0" readingOrder="0"/>
    </xf>
    <xf numFmtId="164" fontId="6" fillId="0" borderId="1" xfId="0" applyNumberFormat="1" applyFont="1" applyBorder="1"/>
    <xf numFmtId="164" fontId="2" fillId="2" borderId="0" xfId="0" applyNumberFormat="1" applyFont="1" applyFill="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4" fontId="2" fillId="3" borderId="0" xfId="0" applyNumberFormat="1" applyFont="1" applyFill="1" applyAlignment="1">
      <alignment horizontal="left" vertical="top" textRotation="0" wrapText="1" indent="0" readingOrder="0"/>
    </xf>
    <xf numFmtId="164" fontId="5" fillId="0" borderId="0" xfId="0" applyNumberFormat="1" applyFont="1"/>
    <xf numFmtId="164" fontId="2" fillId="2" borderId="0" xfId="0" applyNumberFormat="1" applyFont="1" applyFill="1" applyAlignment="1">
      <alignment horizontal="left" vertical="top" textRotation="0" wrapText="1" indent="0" readingOrder="0"/>
    </xf>
    <xf numFmtId="164" fontId="8" fillId="0" borderId="0" xfId="0" applyNumberFormat="1" applyFont="1"/>
    <xf numFmtId="168" fontId="3" fillId="4" borderId="0" xfId="0" applyNumberFormat="1" applyFont="1" applyFill="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6" fillId="0" borderId="0" xfId="0" applyNumberFormat="1" applyFont="1"/>
    <xf numFmtId="168" fontId="5" fillId="0" borderId="0" xfId="0" applyNumberFormat="1" applyFont="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6" fillId="3" borderId="0" xfId="0" applyNumberFormat="1" applyFont="1" applyFill="1"/>
    <xf numFmtId="164" fontId="2" fillId="3" borderId="0" xfId="0" applyNumberFormat="1" applyFont="1" applyFill="1" applyAlignment="1">
      <alignment horizontal="left" vertical="bottom" textRotation="0" indent="0" readingOrder="0"/>
    </xf>
    <xf numFmtId="169" fontId="5" fillId="0" borderId="0" xfId="0" applyNumberFormat="1" applyFont="1" applyAlignment="1">
      <alignment horizontal="right" vertical="bottom" textRotation="0" indent="0" readingOrder="0"/>
    </xf>
    <xf numFmtId="164" fontId="2" fillId="2" borderId="1" xfId="0" applyNumberFormat="1" applyFont="1" applyFill="1" applyBorder="1" applyAlignment="1">
      <alignment horizontal="right" vertical="bottom" textRotation="0" indent="0" readingOrder="0"/>
    </xf>
    <xf numFmtId="168" fontId="3" fillId="4" borderId="1" xfId="0" applyNumberFormat="1" applyFont="1" applyFill="1" applyBorder="1" applyAlignment="1">
      <alignment horizontal="right" vertical="bottom" textRotation="0" indent="0" readingOrder="0"/>
    </xf>
    <xf numFmtId="169" fontId="5" fillId="0" borderId="1" xfId="0" applyNumberFormat="1" applyFont="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6" fillId="2" borderId="0" xfId="0" applyNumberFormat="1" applyFont="1" applyFill="1"/>
    <xf numFmtId="164" fontId="6" fillId="0" borderId="1" xfId="0" applyNumberFormat="1" applyFont="1" applyBorder="1"/>
    <xf numFmtId="164" fontId="2" fillId="2" borderId="0" xfId="0" applyNumberFormat="1" applyFont="1" applyFill="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6" fillId="2" borderId="1" xfId="0" applyNumberFormat="1" applyFont="1" applyFill="1" applyBorder="1"/>
    <xf numFmtId="168" fontId="5" fillId="0" borderId="1" xfId="0" applyNumberFormat="1" applyFont="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4" fontId="6" fillId="0" borderId="0" xfId="0" applyNumberFormat="1" applyFont="1"/>
    <xf numFmtId="165" fontId="5" fillId="0" borderId="0" xfId="0" applyNumberFormat="1" applyFont="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6" fillId="2" borderId="0" xfId="0" applyNumberFormat="1" applyFont="1" applyFill="1"/>
    <xf numFmtId="164" fontId="2" fillId="3" borderId="0" xfId="0" applyNumberFormat="1" applyFont="1" applyFill="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4" fontId="6" fillId="3" borderId="0" xfId="0" applyNumberFormat="1" applyFont="1" applyFill="1"/>
    <xf numFmtId="165" fontId="2" fillId="0" borderId="3" xfId="0" applyNumberFormat="1" applyFont="1" applyBorder="1" applyAlignment="1">
      <alignment horizontal="right" vertical="bottom" textRotation="0" indent="0" readingOrder="0"/>
    </xf>
    <xf numFmtId="164" fontId="6" fillId="0" borderId="1" xfId="0" applyNumberFormat="1" applyFont="1" applyBorder="1"/>
    <xf numFmtId="164" fontId="6" fillId="2" borderId="1" xfId="0" applyNumberFormat="1" applyFont="1" applyFill="1" applyBorder="1"/>
    <xf numFmtId="164" fontId="2" fillId="2" borderId="1" xfId="0" applyNumberFormat="1" applyFont="1" applyFill="1" applyBorder="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5" fontId="7" fillId="0" borderId="1" xfId="0" applyNumberFormat="1" applyFont="1" applyBorder="1" applyAlignment="1">
      <alignment horizontal="right" vertical="bottom"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4" fontId="2" fillId="3" borderId="0" xfId="0" applyNumberFormat="1" applyFont="1" applyFill="1" applyAlignment="1">
      <alignment horizontal="left" vertical="top" textRotation="0" wrapText="1" indent="0" readingOrder="0"/>
    </xf>
    <xf numFmtId="164" fontId="5" fillId="0" borderId="0" xfId="0" applyNumberFormat="1" applyFont="1"/>
    <xf numFmtId="164" fontId="2" fillId="2" borderId="0" xfId="0" applyNumberFormat="1" applyFont="1" applyFill="1" applyAlignment="1">
      <alignment horizontal="left" vertical="top" textRotation="0" wrapText="1" indent="0" readingOrder="0"/>
    </xf>
    <xf numFmtId="164" fontId="2" fillId="0" borderId="0" xfId="0" applyNumberFormat="1" applyFont="1"/>
    <xf numFmtId="164" fontId="6" fillId="0" borderId="0" xfId="0" applyNumberFormat="1" applyFont="1"/>
    <xf numFmtId="168" fontId="3" fillId="4" borderId="0" xfId="0" applyNumberFormat="1" applyFont="1" applyFill="1" applyAlignment="1">
      <alignment horizontal="right" vertical="bottom" textRotation="0" indent="0" readingOrder="0"/>
    </xf>
    <xf numFmtId="164" fontId="6" fillId="3" borderId="0" xfId="0" applyNumberFormat="1" applyFont="1" applyFill="1"/>
    <xf numFmtId="168" fontId="5" fillId="0" borderId="1" xfId="0" applyNumberFormat="1" applyFont="1" applyBorder="1" applyAlignment="1">
      <alignment horizontal="right" vertical="bottom" textRotation="0" indent="0" readingOrder="0"/>
    </xf>
    <xf numFmtId="164" fontId="6" fillId="2" borderId="1" xfId="0" applyNumberFormat="1" applyFont="1" applyFill="1" applyBorder="1"/>
    <xf numFmtId="168" fontId="5" fillId="0" borderId="0" xfId="0" applyNumberFormat="1" applyFont="1" applyAlignment="1">
      <alignment horizontal="right" vertical="bottom" textRotation="0" indent="0" readingOrder="0"/>
    </xf>
    <xf numFmtId="169" fontId="5" fillId="0" borderId="1" xfId="0" applyNumberFormat="1" applyFont="1" applyBorder="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8" fontId="3" fillId="4" borderId="1" xfId="0" applyNumberFormat="1" applyFont="1" applyFill="1" applyBorder="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6" fillId="0" borderId="1" xfId="0" applyNumberFormat="1" applyFont="1" applyBorder="1"/>
    <xf numFmtId="164" fontId="6" fillId="2" borderId="0" xfId="0" applyNumberFormat="1" applyFont="1" applyFill="1"/>
    <xf numFmtId="169" fontId="3" fillId="4" borderId="0" xfId="0" applyNumberFormat="1" applyFont="1" applyFill="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4" fontId="2" fillId="2" borderId="1" xfId="0" applyNumberFormat="1" applyFont="1" applyFill="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4" fontId="6" fillId="0" borderId="0" xfId="0" applyNumberFormat="1" applyFont="1"/>
    <xf numFmtId="165" fontId="5"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6" fillId="2" borderId="1" xfId="0" applyNumberFormat="1" applyFont="1" applyFill="1" applyBorder="1"/>
    <xf numFmtId="164" fontId="2" fillId="3" borderId="0" xfId="0" applyNumberFormat="1" applyFont="1" applyFill="1" applyAlignment="1">
      <alignment horizontal="left" vertical="bottom" textRotation="0" indent="0" readingOrder="0"/>
    </xf>
    <xf numFmtId="165" fontId="2" fillId="0" borderId="2" xfId="0" applyNumberFormat="1" applyFont="1" applyBorder="1" applyAlignment="1">
      <alignment horizontal="right" vertical="bottom" textRotation="0" indent="0" readingOrder="0"/>
    </xf>
    <xf numFmtId="164" fontId="6" fillId="3" borderId="0" xfId="0" applyNumberFormat="1" applyFont="1" applyFill="1"/>
    <xf numFmtId="164" fontId="6" fillId="0" borderId="1" xfId="0" applyNumberFormat="1" applyFont="1" applyBorder="1"/>
    <xf numFmtId="164" fontId="2" fillId="3" borderId="0" xfId="0" applyNumberFormat="1" applyFont="1" applyFill="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2" fillId="2" borderId="1" xfId="0" applyNumberFormat="1" applyFont="1" applyFill="1" applyBorder="1" applyAlignment="1">
      <alignment horizontal="right" vertical="bottom" textRotation="0" indent="0" readingOrder="0"/>
    </xf>
    <xf numFmtId="164" fontId="6" fillId="2" borderId="0" xfId="0" applyNumberFormat="1" applyFont="1" applyFill="1"/>
    <xf numFmtId="165" fontId="7" fillId="0" borderId="1" xfId="0" applyNumberFormat="1" applyFont="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4" fontId="6" fillId="0" borderId="0" xfId="0" applyNumberFormat="1" applyFont="1"/>
    <xf numFmtId="165" fontId="5"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6" fillId="2" borderId="1" xfId="0" applyNumberFormat="1" applyFont="1" applyFill="1" applyBorder="1"/>
    <xf numFmtId="164" fontId="2" fillId="3" borderId="0" xfId="0" applyNumberFormat="1" applyFont="1" applyFill="1" applyAlignment="1">
      <alignment horizontal="left" vertical="bottom" textRotation="0" indent="0" readingOrder="0"/>
    </xf>
    <xf numFmtId="165" fontId="2" fillId="0" borderId="2" xfId="0" applyNumberFormat="1" applyFont="1" applyBorder="1" applyAlignment="1">
      <alignment horizontal="right" vertical="bottom" textRotation="0" indent="0" readingOrder="0"/>
    </xf>
    <xf numFmtId="164" fontId="6" fillId="3" borderId="0" xfId="0" applyNumberFormat="1" applyFont="1" applyFill="1"/>
    <xf numFmtId="164" fontId="6" fillId="0" borderId="1" xfId="0" applyNumberFormat="1" applyFont="1" applyBorder="1"/>
    <xf numFmtId="164" fontId="2" fillId="3" borderId="0" xfId="0" applyNumberFormat="1" applyFont="1" applyFill="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2" fillId="2" borderId="1" xfId="0" applyNumberFormat="1" applyFont="1" applyFill="1" applyBorder="1" applyAlignment="1">
      <alignment horizontal="right" vertical="bottom" textRotation="0" indent="0" readingOrder="0"/>
    </xf>
    <xf numFmtId="164" fontId="6" fillId="2" borderId="0" xfId="0" applyNumberFormat="1" applyFont="1" applyFill="1"/>
    <xf numFmtId="165" fontId="7" fillId="0" borderId="1" xfId="0" applyNumberFormat="1" applyFont="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4" fontId="6" fillId="0" borderId="0" xfId="0" applyNumberFormat="1" applyFont="1"/>
    <xf numFmtId="165" fontId="5"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6" fillId="2" borderId="1" xfId="0" applyNumberFormat="1" applyFont="1" applyFill="1" applyBorder="1"/>
    <xf numFmtId="164" fontId="2" fillId="3" borderId="0" xfId="0" applyNumberFormat="1" applyFont="1" applyFill="1" applyAlignment="1">
      <alignment horizontal="left" vertical="bottom" textRotation="0" indent="0" readingOrder="0"/>
    </xf>
    <xf numFmtId="165" fontId="2" fillId="0" borderId="2" xfId="0" applyNumberFormat="1" applyFont="1" applyBorder="1" applyAlignment="1">
      <alignment horizontal="right" vertical="bottom" textRotation="0" indent="0" readingOrder="0"/>
    </xf>
    <xf numFmtId="164" fontId="6" fillId="3" borderId="0" xfId="0" applyNumberFormat="1" applyFont="1" applyFill="1"/>
    <xf numFmtId="164" fontId="6" fillId="0" borderId="1" xfId="0" applyNumberFormat="1" applyFont="1" applyBorder="1"/>
    <xf numFmtId="164" fontId="2" fillId="3" borderId="0" xfId="0" applyNumberFormat="1" applyFont="1" applyFill="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2" fillId="2" borderId="1" xfId="0" applyNumberFormat="1" applyFont="1" applyFill="1" applyBorder="1" applyAlignment="1">
      <alignment horizontal="right" vertical="bottom" textRotation="0" indent="0" readingOrder="0"/>
    </xf>
    <xf numFmtId="164" fontId="6" fillId="2" borderId="0" xfId="0" applyNumberFormat="1" applyFont="1" applyFill="1"/>
    <xf numFmtId="165" fontId="7" fillId="0" borderId="1" xfId="0" applyNumberFormat="1" applyFont="1" applyBorder="1" applyAlignment="1">
      <alignment horizontal="right" vertical="bottom"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4" fontId="2" fillId="3" borderId="0" xfId="0" applyNumberFormat="1" applyFont="1" applyFill="1" applyAlignment="1">
      <alignment horizontal="left" vertical="top" textRotation="0" wrapText="1" indent="0" readingOrder="0"/>
    </xf>
    <xf numFmtId="164" fontId="2" fillId="2" borderId="0" xfId="0" applyNumberFormat="1" applyFont="1" applyFill="1" applyAlignment="1">
      <alignment horizontal="left" vertical="top" textRotation="0" wrapText="1" indent="0" readingOrder="0"/>
    </xf>
    <xf numFmtId="164" fontId="2" fillId="0" borderId="0" xfId="0" applyNumberFormat="1" applyFont="1"/>
    <xf numFmtId="164" fontId="5" fillId="0" borderId="0" xfId="0" applyNumberFormat="1" applyFont="1"/>
    <xf numFmtId="168" fontId="5"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6" fillId="3" borderId="0" xfId="0" applyNumberFormat="1" applyFont="1" applyFill="1"/>
    <xf numFmtId="164" fontId="6" fillId="0" borderId="0" xfId="0" applyNumberFormat="1" applyFont="1"/>
    <xf numFmtId="168" fontId="3" fillId="4" borderId="1" xfId="0" applyNumberFormat="1" applyFont="1" applyFill="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6" fillId="0" borderId="1" xfId="0" applyNumberFormat="1" applyFont="1" applyBorder="1"/>
    <xf numFmtId="164" fontId="6" fillId="2" borderId="0" xfId="0" applyNumberFormat="1" applyFont="1" applyFill="1"/>
    <xf numFmtId="168" fontId="5" fillId="0" borderId="1" xfId="0" applyNumberFormat="1" applyFont="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4" fontId="2" fillId="2" borderId="1" xfId="0" applyNumberFormat="1" applyFont="1" applyFill="1" applyBorder="1" applyAlignment="1">
      <alignment horizontal="right" vertical="bottom" textRotation="0" indent="0" readingOrder="0"/>
    </xf>
    <xf numFmtId="164" fontId="6" fillId="2" borderId="1" xfId="0" applyNumberFormat="1" applyFont="1" applyFill="1" applyBorder="1"/>
    <xf numFmtId="169" fontId="5" fillId="0" borderId="1" xfId="0" applyNumberFormat="1" applyFont="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4" fontId="6" fillId="0" borderId="0" xfId="0" applyNumberFormat="1" applyFont="1"/>
    <xf numFmtId="165" fontId="5"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6" fillId="2" borderId="1" xfId="0" applyNumberFormat="1" applyFont="1" applyFill="1" applyBorder="1"/>
    <xf numFmtId="164" fontId="2" fillId="3" borderId="0" xfId="0" applyNumberFormat="1" applyFont="1" applyFill="1" applyAlignment="1">
      <alignment horizontal="left" vertical="bottom" textRotation="0" indent="0" readingOrder="0"/>
    </xf>
    <xf numFmtId="165" fontId="2" fillId="0" borderId="2" xfId="0" applyNumberFormat="1" applyFont="1" applyBorder="1" applyAlignment="1">
      <alignment horizontal="right" vertical="bottom" textRotation="0" indent="0" readingOrder="0"/>
    </xf>
    <xf numFmtId="164" fontId="6" fillId="3" borderId="0" xfId="0" applyNumberFormat="1" applyFont="1" applyFill="1"/>
    <xf numFmtId="164" fontId="6" fillId="0" borderId="1" xfId="0" applyNumberFormat="1" applyFont="1" applyBorder="1"/>
    <xf numFmtId="164" fontId="2" fillId="3" borderId="0" xfId="0" applyNumberFormat="1" applyFont="1" applyFill="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2" fillId="2" borderId="1" xfId="0" applyNumberFormat="1" applyFont="1" applyFill="1" applyBorder="1" applyAlignment="1">
      <alignment horizontal="right" vertical="bottom" textRotation="0" indent="0" readingOrder="0"/>
    </xf>
    <xf numFmtId="164" fontId="6" fillId="2" borderId="0" xfId="0" applyNumberFormat="1" applyFont="1" applyFill="1"/>
    <xf numFmtId="165" fontId="7" fillId="0" borderId="1" xfId="0" applyNumberFormat="1" applyFont="1" applyBorder="1" applyAlignment="1">
      <alignment horizontal="right" vertical="bottom" textRotation="0" indent="0" readingOrder="0"/>
    </xf>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4" fontId="2" fillId="3" borderId="0" xfId="0" applyNumberFormat="1" applyFont="1" applyFill="1" applyAlignment="1">
      <alignment horizontal="left" vertical="top" textRotation="0" wrapText="1" indent="0" readingOrder="0"/>
    </xf>
    <xf numFmtId="164" fontId="2" fillId="2" borderId="0" xfId="0" applyNumberFormat="1" applyFont="1" applyFill="1" applyAlignment="1">
      <alignment horizontal="left" vertical="top" textRotation="0" wrapText="1" indent="0" readingOrder="0"/>
    </xf>
    <xf numFmtId="164" fontId="2" fillId="0" borderId="0" xfId="0" applyNumberFormat="1" applyFont="1"/>
    <xf numFmtId="164" fontId="5" fillId="0" borderId="0" xfId="0" applyNumberFormat="1" applyFont="1"/>
    <xf numFmtId="166" fontId="5" fillId="0" borderId="0" xfId="0" applyNumberFormat="1" applyFont="1" applyAlignment="1">
      <alignment horizontal="left" vertical="top" textRotation="0" wrapText="1" indent="0" readingOrder="0"/>
    </xf>
    <xf numFmtId="166" fontId="5"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4" fontId="2" fillId="3" borderId="0" xfId="0" applyNumberFormat="1" applyFont="1" applyFill="1" applyAlignment="1">
      <alignment horizontal="left" vertical="top" textRotation="0" wrapText="1" indent="0" readingOrder="0"/>
    </xf>
    <xf numFmtId="164" fontId="5" fillId="0" borderId="0" xfId="0" applyNumberFormat="1" applyFont="1"/>
    <xf numFmtId="164" fontId="2" fillId="2" borderId="0" xfId="0" applyNumberFormat="1" applyFont="1" applyFill="1" applyAlignment="1">
      <alignment horizontal="left" vertical="top" textRotation="0" wrapText="1" indent="0" readingOrder="0"/>
    </xf>
    <xf numFmtId="164" fontId="2" fillId="0" borderId="0" xfId="0" applyNumberFormat="1" applyFont="1"/>
    <xf numFmtId="164" fontId="5" fillId="0" borderId="0" xfId="0" applyNumberFormat="1" applyFont="1" applyAlignment="1">
      <alignment horizontal="left" vertical="bottom" textRotation="0" indent="0" readingOrder="0"/>
    </xf>
    <xf numFmtId="165" fontId="5" fillId="0" borderId="0" xfId="0" applyNumberFormat="1" applyFont="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6" fillId="2" borderId="0" xfId="0" applyNumberFormat="1" applyFont="1" applyFill="1"/>
    <xf numFmtId="164" fontId="2" fillId="2" borderId="1" xfId="0" applyNumberFormat="1" applyFont="1" applyFill="1" applyBorder="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6" fillId="0" borderId="0" xfId="0" applyNumberFormat="1" applyFont="1"/>
    <xf numFmtId="165" fontId="5" fillId="0" borderId="1" xfId="0" applyNumberFormat="1" applyFont="1" applyBorder="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4" fontId="2" fillId="2" borderId="0" xfId="0" applyNumberFormat="1" applyFont="1" applyFill="1" applyAlignment="1">
      <alignment horizontal="right" vertical="bottom" textRotation="0" indent="0" readingOrder="0"/>
    </xf>
    <xf numFmtId="164" fontId="6" fillId="2" borderId="1" xfId="0" applyNumberFormat="1" applyFont="1" applyFill="1" applyBorder="1"/>
    <xf numFmtId="164" fontId="2" fillId="3" borderId="0" xfId="0" applyNumberFormat="1" applyFont="1" applyFill="1" applyAlignment="1">
      <alignment horizontal="left" vertical="bottom" textRotation="0" indent="0" readingOrder="0"/>
    </xf>
    <xf numFmtId="164" fontId="6" fillId="3" borderId="0" xfId="0" applyNumberFormat="1" applyFont="1" applyFill="1"/>
    <xf numFmtId="164" fontId="6" fillId="0" borderId="1" xfId="0" applyNumberFormat="1" applyFont="1" applyBorder="1"/>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4" fontId="2" fillId="3" borderId="0" xfId="0" applyNumberFormat="1" applyFont="1" applyFill="1" applyAlignment="1">
      <alignment horizontal="left" vertical="top" textRotation="0" wrapText="1" indent="0" readingOrder="0"/>
    </xf>
    <xf numFmtId="164" fontId="5" fillId="0" borderId="0" xfId="0" applyNumberFormat="1" applyFont="1"/>
    <xf numFmtId="164" fontId="2" fillId="2" borderId="0" xfId="0" applyNumberFormat="1" applyFont="1" applyFill="1" applyAlignment="1">
      <alignment horizontal="left" vertical="top" textRotation="0" wrapText="1" indent="0" readingOrder="0"/>
    </xf>
    <xf numFmtId="164" fontId="2" fillId="0" borderId="0" xfId="0" applyNumberFormat="1" applyFont="1"/>
    <xf numFmtId="164" fontId="6" fillId="3" borderId="0" xfId="0" applyNumberFormat="1" applyFont="1" applyFill="1"/>
    <xf numFmtId="168" fontId="5" fillId="0" borderId="0" xfId="0" applyNumberFormat="1" applyFont="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4" fontId="6" fillId="0" borderId="0" xfId="0" applyNumberFormat="1" applyFont="1"/>
    <xf numFmtId="169" fontId="5" fillId="0" borderId="0" xfId="0" applyNumberFormat="1" applyFont="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8" fontId="3" fillId="4" borderId="1" xfId="0" applyNumberFormat="1" applyFont="1" applyFill="1" applyBorder="1" applyAlignment="1">
      <alignment horizontal="right" vertical="bottom" textRotation="0" indent="0" readingOrder="0"/>
    </xf>
    <xf numFmtId="164" fontId="6" fillId="0" borderId="1" xfId="0" applyNumberFormat="1" applyFont="1" applyBorder="1"/>
    <xf numFmtId="164" fontId="2" fillId="2" borderId="0" xfId="0" applyNumberFormat="1" applyFont="1" applyFill="1" applyAlignment="1">
      <alignment horizontal="right" vertical="bottom" textRotation="0" indent="0" readingOrder="0"/>
    </xf>
    <xf numFmtId="164" fontId="6" fillId="2" borderId="0" xfId="0" applyNumberFormat="1" applyFont="1" applyFill="1"/>
    <xf numFmtId="165" fontId="7" fillId="0" borderId="0" xfId="0" applyNumberFormat="1" applyFont="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8" fontId="5" fillId="0" borderId="1" xfId="0" applyNumberFormat="1" applyFont="1" applyBorder="1" applyAlignment="1">
      <alignment horizontal="right" vertical="bottom" textRotation="0" indent="0" readingOrder="0"/>
    </xf>
    <xf numFmtId="164" fontId="2" fillId="2" borderId="1" xfId="0" applyNumberFormat="1" applyFont="1" applyFill="1" applyBorder="1" applyAlignment="1">
      <alignment horizontal="right" vertical="bottom" textRotation="0" indent="0" readingOrder="0"/>
    </xf>
    <xf numFmtId="164" fontId="6" fillId="2" borderId="1" xfId="0" applyNumberFormat="1" applyFont="1" applyFill="1" applyBorder="1"/>
    <xf numFmtId="169" fontId="5" fillId="0" borderId="1" xfId="0" applyNumberFormat="1" applyFont="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4" fontId="6" fillId="3" borderId="0" xfId="0" applyNumberFormat="1" applyFont="1" applyFill="1"/>
    <xf numFmtId="164" fontId="2" fillId="2" borderId="0" xfId="0" applyNumberFormat="1" applyFont="1" applyFill="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2" fillId="0" borderId="3" xfId="0" applyNumberFormat="1" applyFont="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5" fontId="7" fillId="0" borderId="1" xfId="0" applyNumberFormat="1" applyFont="1" applyBorder="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6" fillId="0" borderId="0" xfId="0" applyNumberFormat="1" applyFont="1"/>
    <xf numFmtId="164" fontId="6" fillId="0" borderId="1" xfId="0" applyNumberFormat="1" applyFont="1" applyBorder="1"/>
    <xf numFmtId="164" fontId="2" fillId="2" borderId="1" xfId="0" applyNumberFormat="1" applyFont="1" applyFill="1" applyBorder="1" applyAlignment="1">
      <alignment horizontal="right" vertical="bottom" textRotation="0" indent="0" readingOrder="0"/>
    </xf>
    <xf numFmtId="164" fontId="6" fillId="2" borderId="0" xfId="0" applyNumberFormat="1" applyFont="1" applyFill="1"/>
    <xf numFmtId="164" fontId="2" fillId="3" borderId="0" xfId="0" applyNumberFormat="1" applyFont="1" applyFill="1" applyAlignment="1">
      <alignment horizontal="left" vertical="bottom" textRotation="0" indent="0" readingOrder="0"/>
    </xf>
    <xf numFmtId="164" fontId="6" fillId="2" borderId="1" xfId="0" applyNumberFormat="1" applyFont="1" applyFill="1" applyBorder="1"/>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4" fontId="2" fillId="3" borderId="0" xfId="0" applyNumberFormat="1" applyFont="1" applyFill="1" applyAlignment="1">
      <alignment horizontal="left" vertical="top" textRotation="0" wrapText="1" indent="0" readingOrder="0"/>
    </xf>
    <xf numFmtId="164" fontId="2" fillId="2" borderId="0" xfId="0" applyNumberFormat="1" applyFont="1" applyFill="1" applyAlignment="1">
      <alignment horizontal="left" vertical="top" textRotation="0" wrapText="1" indent="0" readingOrder="0"/>
    </xf>
    <xf numFmtId="164" fontId="5" fillId="0" borderId="0" xfId="0" applyNumberFormat="1" applyFont="1"/>
    <xf numFmtId="164" fontId="2" fillId="0" borderId="0" xfId="0" applyNumberFormat="1" applyFont="1"/>
    <xf numFmtId="164" fontId="6" fillId="2" borderId="1" xfId="0" applyNumberFormat="1" applyFont="1" applyFill="1" applyBorder="1"/>
    <xf numFmtId="168" fontId="5" fillId="0" borderId="0" xfId="0" applyNumberFormat="1" applyFont="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4" fontId="6" fillId="0" borderId="0" xfId="0" applyNumberFormat="1" applyFont="1"/>
    <xf numFmtId="169" fontId="5" fillId="0" borderId="1" xfId="0" applyNumberFormat="1" applyFont="1" applyBorder="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8" fontId="3" fillId="4" borderId="1" xfId="0" applyNumberFormat="1" applyFont="1" applyFill="1" applyBorder="1" applyAlignment="1">
      <alignment horizontal="right" vertical="bottom" textRotation="0" indent="0" readingOrder="0"/>
    </xf>
    <xf numFmtId="164" fontId="6" fillId="3" borderId="0" xfId="0" applyNumberFormat="1" applyFont="1" applyFill="1"/>
    <xf numFmtId="168" fontId="5" fillId="0" borderId="1" xfId="0" applyNumberFormat="1" applyFont="1" applyBorder="1" applyAlignment="1">
      <alignment horizontal="right" vertical="bottom" textRotation="0" indent="0" readingOrder="0"/>
    </xf>
    <xf numFmtId="164" fontId="6" fillId="2" borderId="0" xfId="0" applyNumberFormat="1" applyFont="1" applyFill="1"/>
    <xf numFmtId="169" fontId="5" fillId="0" borderId="0" xfId="0" applyNumberFormat="1" applyFont="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4" fontId="2" fillId="2" borderId="0" xfId="0" applyNumberFormat="1" applyFont="1" applyFill="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6" fillId="0" borderId="1" xfId="0" applyNumberFormat="1" applyFont="1" applyBorder="1"/>
    <xf numFmtId="169" fontId="3" fillId="4" borderId="0" xfId="0" applyNumberFormat="1" applyFont="1" applyFill="1" applyAlignment="1">
      <alignment horizontal="right" vertical="bottom" textRotation="0" indent="0" readingOrder="0"/>
    </xf>
    <xf numFmtId="164" fontId="2" fillId="2" borderId="1" xfId="0" applyNumberFormat="1" applyFont="1" applyFill="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4" fontId="6" fillId="2" borderId="0" xfId="0" applyNumberFormat="1" applyFont="1" applyFill="1"/>
    <xf numFmtId="164" fontId="2" fillId="2" borderId="0" xfId="0" applyNumberFormat="1" applyFont="1" applyFill="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2" fillId="0" borderId="3" xfId="0" applyNumberFormat="1" applyFont="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4" fontId="6" fillId="0" borderId="0" xfId="0" applyNumberFormat="1" applyFont="1"/>
    <xf numFmtId="165" fontId="7" fillId="0" borderId="1" xfId="0" applyNumberFormat="1" applyFont="1" applyBorder="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2" fillId="2" borderId="1" xfId="0" applyNumberFormat="1" applyFont="1" applyFill="1" applyBorder="1" applyAlignment="1">
      <alignment horizontal="right" vertical="bottom" textRotation="0" indent="0" readingOrder="0"/>
    </xf>
    <xf numFmtId="164" fontId="6" fillId="3" borderId="0" xfId="0" applyNumberFormat="1" applyFont="1" applyFill="1"/>
    <xf numFmtId="164" fontId="6" fillId="2" borderId="1" xfId="0" applyNumberFormat="1" applyFont="1" applyFill="1" applyBorder="1"/>
    <xf numFmtId="164" fontId="2" fillId="3" borderId="0" xfId="0" applyNumberFormat="1" applyFont="1" applyFill="1" applyAlignment="1">
      <alignment horizontal="left" vertical="bottom" textRotation="0" indent="0" readingOrder="0"/>
    </xf>
    <xf numFmtId="164" fontId="6" fillId="0" borderId="1" xfId="0" applyNumberFormat="1" applyFont="1" applyBorder="1"/>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4" fontId="2" fillId="3" borderId="0" xfId="0" applyNumberFormat="1" applyFont="1" applyFill="1" applyAlignment="1">
      <alignment horizontal="left" vertical="top" textRotation="0" wrapText="1" indent="0" readingOrder="0"/>
    </xf>
    <xf numFmtId="164" fontId="2" fillId="2" borderId="0" xfId="0" applyNumberFormat="1" applyFont="1" applyFill="1" applyAlignment="1">
      <alignment horizontal="left" vertical="top" textRotation="0" wrapText="1" indent="0" readingOrder="0"/>
    </xf>
    <xf numFmtId="164" fontId="5" fillId="0" borderId="0" xfId="0" applyNumberFormat="1" applyFont="1"/>
    <xf numFmtId="164" fontId="2" fillId="0" borderId="0" xfId="0" applyNumberFormat="1" applyFont="1"/>
    <xf numFmtId="164" fontId="6" fillId="2" borderId="1" xfId="0" applyNumberFormat="1" applyFont="1" applyFill="1" applyBorder="1"/>
    <xf numFmtId="168" fontId="5" fillId="0" borderId="0" xfId="0" applyNumberFormat="1" applyFont="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4" fontId="6" fillId="0" borderId="0" xfId="0" applyNumberFormat="1" applyFont="1"/>
    <xf numFmtId="169" fontId="5" fillId="0" borderId="1" xfId="0" applyNumberFormat="1" applyFont="1" applyBorder="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8" fontId="3" fillId="4" borderId="1" xfId="0" applyNumberFormat="1" applyFont="1" applyFill="1" applyBorder="1" applyAlignment="1">
      <alignment horizontal="right" vertical="bottom" textRotation="0" indent="0" readingOrder="0"/>
    </xf>
    <xf numFmtId="164" fontId="6" fillId="3" borderId="0" xfId="0" applyNumberFormat="1" applyFont="1" applyFill="1"/>
    <xf numFmtId="168" fontId="5" fillId="0" borderId="1" xfId="0" applyNumberFormat="1" applyFont="1" applyBorder="1" applyAlignment="1">
      <alignment horizontal="right" vertical="bottom" textRotation="0" indent="0" readingOrder="0"/>
    </xf>
    <xf numFmtId="164" fontId="6" fillId="2" borderId="0" xfId="0" applyNumberFormat="1" applyFont="1" applyFill="1"/>
    <xf numFmtId="169" fontId="5" fillId="0" borderId="0" xfId="0" applyNumberFormat="1" applyFont="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4" fontId="2" fillId="2" borderId="0" xfId="0" applyNumberFormat="1" applyFont="1" applyFill="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6" fillId="0" borderId="1" xfId="0" applyNumberFormat="1" applyFont="1" applyBorder="1"/>
    <xf numFmtId="169" fontId="3" fillId="4" borderId="0" xfId="0" applyNumberFormat="1" applyFont="1" applyFill="1" applyAlignment="1">
      <alignment horizontal="right" vertical="bottom" textRotation="0" indent="0" readingOrder="0"/>
    </xf>
    <xf numFmtId="164" fontId="2" fillId="2" borderId="1" xfId="0" applyNumberFormat="1" applyFont="1" applyFill="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4" fontId="6" fillId="2" borderId="0" xfId="0" applyNumberFormat="1" applyFont="1" applyFill="1"/>
    <xf numFmtId="164" fontId="2" fillId="2" borderId="0" xfId="0" applyNumberFormat="1" applyFont="1" applyFill="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2" fillId="0" borderId="3" xfId="0" applyNumberFormat="1" applyFont="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4" fontId="6" fillId="0" borderId="0" xfId="0" applyNumberFormat="1" applyFont="1"/>
    <xf numFmtId="165" fontId="7" fillId="0" borderId="1" xfId="0" applyNumberFormat="1" applyFont="1" applyBorder="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2" fillId="2" borderId="1" xfId="0" applyNumberFormat="1" applyFont="1" applyFill="1" applyBorder="1" applyAlignment="1">
      <alignment horizontal="right" vertical="bottom" textRotation="0" indent="0" readingOrder="0"/>
    </xf>
    <xf numFmtId="164" fontId="6" fillId="3" borderId="0" xfId="0" applyNumberFormat="1" applyFont="1" applyFill="1"/>
    <xf numFmtId="164" fontId="6" fillId="2" borderId="1" xfId="0" applyNumberFormat="1" applyFont="1" applyFill="1" applyBorder="1"/>
    <xf numFmtId="164" fontId="2" fillId="3" borderId="0" xfId="0" applyNumberFormat="1" applyFont="1" applyFill="1" applyAlignment="1">
      <alignment horizontal="left" vertical="bottom" textRotation="0" indent="0" readingOrder="0"/>
    </xf>
    <xf numFmtId="164" fontId="6" fillId="0" borderId="1" xfId="0" applyNumberFormat="1" applyFont="1" applyBorder="1"/>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4" fontId="2" fillId="3" borderId="0" xfId="0" applyNumberFormat="1" applyFont="1" applyFill="1" applyAlignment="1">
      <alignment horizontal="left" vertical="top" textRotation="0" wrapText="1" indent="0" readingOrder="0"/>
    </xf>
    <xf numFmtId="164" fontId="2" fillId="2" borderId="0" xfId="0" applyNumberFormat="1" applyFont="1" applyFill="1" applyAlignment="1">
      <alignment horizontal="left" vertical="top" textRotation="0" wrapText="1" indent="0" readingOrder="0"/>
    </xf>
    <xf numFmtId="164" fontId="5" fillId="0" borderId="0" xfId="0" applyNumberFormat="1" applyFont="1"/>
    <xf numFmtId="164" fontId="2" fillId="0" borderId="0" xfId="0" applyNumberFormat="1" applyFont="1"/>
    <xf numFmtId="170" fontId="5" fillId="0" borderId="0" xfId="0" applyNumberFormat="1" applyFont="1" applyAlignment="1">
      <alignment horizontal="right" vertical="bottom" textRotation="0" indent="0" readingOrder="0"/>
    </xf>
    <xf numFmtId="164" fontId="6" fillId="3" borderId="0" xfId="0" applyNumberFormat="1" applyFont="1" applyFill="1"/>
    <xf numFmtId="165" fontId="3" fillId="4" borderId="0" xfId="0" applyNumberFormat="1" applyFont="1" applyFill="1" applyAlignment="1">
      <alignment horizontal="right" vertical="bottom" textRotation="0" indent="0" readingOrder="0"/>
    </xf>
    <xf numFmtId="171" fontId="5"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6" fillId="0" borderId="0" xfId="0" applyNumberFormat="1" applyFont="1"/>
    <xf numFmtId="168" fontId="5" fillId="0" borderId="0" xfId="0" applyNumberFormat="1" applyFont="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9" fontId="5" fillId="0" borderId="0" xfId="0" applyNumberFormat="1" applyFont="1" applyAlignment="1">
      <alignment horizontal="right" vertical="bottom" textRotation="0" indent="0" readingOrder="0"/>
    </xf>
    <xf numFmtId="170" fontId="3" fillId="4" borderId="0" xfId="0" applyNumberFormat="1" applyFont="1" applyFill="1" applyAlignment="1">
      <alignment horizontal="right" vertical="bottom" textRotation="0" indent="0" readingOrder="0"/>
    </xf>
    <xf numFmtId="165" fontId="3" fillId="4" borderId="1" xfId="0" applyNumberFormat="1" applyFont="1" applyFill="1" applyBorder="1" applyAlignment="1">
      <alignment horizontal="right" vertical="bottom" textRotation="0" indent="0" readingOrder="0"/>
    </xf>
    <xf numFmtId="164" fontId="6" fillId="2" borderId="1" xfId="0" applyNumberFormat="1" applyFont="1" applyFill="1" applyBorder="1"/>
    <xf numFmtId="164" fontId="2" fillId="2" borderId="0" xfId="0" applyNumberFormat="1" applyFont="1" applyFill="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71" fontId="2" fillId="0" borderId="2" xfId="0" applyNumberFormat="1" applyFont="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71" fontId="5" fillId="0" borderId="1" xfId="0" applyNumberFormat="1" applyFont="1" applyBorder="1" applyAlignment="1">
      <alignment horizontal="right" vertical="bottom" textRotation="0" indent="0" readingOrder="0"/>
    </xf>
    <xf numFmtId="164" fontId="6" fillId="2" borderId="0" xfId="0" applyNumberFormat="1" applyFont="1" applyFill="1"/>
    <xf numFmtId="164" fontId="2" fillId="0" borderId="2" xfId="0" applyNumberFormat="1" applyFont="1" applyBorder="1" applyAlignment="1">
      <alignment horizontal="left" vertical="bottom" textRotation="0" indent="0" readingOrder="0"/>
    </xf>
    <xf numFmtId="164" fontId="6" fillId="0" borderId="1" xfId="0" applyNumberFormat="1" applyFont="1" applyBorder="1"/>
    <xf numFmtId="171" fontId="3" fillId="4" borderId="0" xfId="0" applyNumberFormat="1" applyFont="1" applyFill="1" applyAlignment="1">
      <alignment horizontal="right" vertical="bottom" textRotation="0" indent="0" readingOrder="0"/>
    </xf>
    <xf numFmtId="164" fontId="2" fillId="2" borderId="1" xfId="0" applyNumberFormat="1" applyFont="1" applyFill="1" applyBorder="1" applyAlignment="1">
      <alignment horizontal="right" vertical="bottom" textRotation="0" indent="0" readingOrder="0"/>
    </xf>
    <xf numFmtId="170" fontId="5" fillId="0" borderId="1" xfId="0" applyNumberFormat="1" applyFont="1" applyBorder="1" applyAlignment="1">
      <alignment horizontal="right" vertical="bottom" textRotation="0" indent="0" readingOrder="0"/>
    </xf>
    <xf numFmtId="168" fontId="3" fillId="4" borderId="1" xfId="0" applyNumberFormat="1" applyFont="1" applyFill="1" applyBorder="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69" fontId="5" fillId="0" borderId="1" xfId="0" applyNumberFormat="1" applyFont="1" applyBorder="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70" fontId="3" fillId="4" borderId="1" xfId="0" applyNumberFormat="1" applyFont="1" applyFill="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71" fontId="2" fillId="0" borderId="3" xfId="0" applyNumberFormat="1" applyFont="1" applyBorder="1" applyAlignment="1">
      <alignment horizontal="right" vertical="bottom" textRotation="0" indent="0" readingOrder="0"/>
    </xf>
    <xf numFmtId="169" fontId="3" fillId="4" borderId="0" xfId="0" applyNumberFormat="1" applyFont="1" applyFill="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71" fontId="3" fillId="4" borderId="1" xfId="0" applyNumberFormat="1" applyFont="1" applyFill="1" applyBorder="1" applyAlignment="1">
      <alignment horizontal="right" vertical="bottom" textRotation="0" indent="0" readingOrder="0"/>
    </xf>
    <xf numFmtId="164" fontId="6" fillId="2" borderId="0" xfId="0" applyNumberFormat="1" applyFont="1" applyFill="1"/>
    <xf numFmtId="165" fontId="5" fillId="0" borderId="0" xfId="0" applyNumberFormat="1" applyFont="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6" fillId="0" borderId="0" xfId="0" applyNumberFormat="1" applyFont="1"/>
    <xf numFmtId="164" fontId="5" fillId="0" borderId="0" xfId="0" applyNumberFormat="1" applyFont="1" applyAlignment="1">
      <alignment horizontal="left" vertical="bottom" textRotation="0" indent="0" readingOrder="0"/>
    </xf>
    <xf numFmtId="164" fontId="2" fillId="3" borderId="0" xfId="0" applyNumberFormat="1" applyFont="1" applyFill="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6" fillId="0" borderId="1" xfId="0" applyNumberFormat="1" applyFont="1" applyBorder="1"/>
    <xf numFmtId="164" fontId="2" fillId="0" borderId="2" xfId="0" applyNumberFormat="1" applyFont="1" applyBorder="1" applyAlignment="1">
      <alignment horizontal="left" vertical="bottom" textRotation="0" indent="0" readingOrder="0"/>
    </xf>
    <xf numFmtId="164" fontId="6" fillId="3" borderId="0" xfId="0" applyNumberFormat="1" applyFont="1" applyFill="1"/>
    <xf numFmtId="165" fontId="7" fillId="0" borderId="1" xfId="0" applyNumberFormat="1" applyFont="1" applyBorder="1" applyAlignment="1">
      <alignment horizontal="right" vertical="bottom" textRotation="0" indent="0" readingOrder="0"/>
    </xf>
    <xf numFmtId="164" fontId="2" fillId="2" borderId="1" xfId="0" applyNumberFormat="1" applyFont="1" applyFill="1" applyBorder="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4" fontId="6" fillId="2" borderId="1" xfId="0" applyNumberFormat="1" applyFont="1" applyFill="1" applyBorder="1"/>
    <xf numFmtId="171"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5" fillId="0" borderId="0" xfId="0" applyNumberFormat="1" applyFont="1" applyAlignment="1">
      <alignment horizontal="right" vertical="bottom" textRotation="0" indent="0" readingOrder="0"/>
    </xf>
    <xf numFmtId="164" fontId="6" fillId="0" borderId="0" xfId="0" applyNumberFormat="1" applyFont="1"/>
    <xf numFmtId="164" fontId="10" fillId="0" borderId="0" xfId="0" applyNumberFormat="1" applyFont="1" applyAlignment="1">
      <alignment horizontal="left" vertical="bottom" textRotation="0" indent="0" readingOrder="0"/>
    </xf>
    <xf numFmtId="164" fontId="6" fillId="2" borderId="1" xfId="0" applyNumberFormat="1" applyFont="1" applyFill="1" applyBorder="1"/>
    <xf numFmtId="164" fontId="6" fillId="3" borderId="0" xfId="0" applyNumberFormat="1" applyFont="1" applyFill="1"/>
    <xf numFmtId="165" fontId="2" fillId="0" borderId="2" xfId="0" applyNumberFormat="1" applyFont="1" applyBorder="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4" fontId="2" fillId="2" borderId="0" xfId="0" applyNumberFormat="1" applyFont="1" applyFill="1" applyAlignment="1">
      <alignment horizontal="right" vertical="bottom" textRotation="0" indent="0" readingOrder="0"/>
    </xf>
    <xf numFmtId="164" fontId="6" fillId="2" borderId="0" xfId="0" applyNumberFormat="1" applyFont="1" applyFill="1"/>
    <xf numFmtId="169" fontId="5" fillId="0" borderId="0" xfId="0" applyNumberFormat="1" applyFont="1" applyAlignment="1">
      <alignment horizontal="right" vertical="bottom" textRotation="0" indent="0" readingOrder="0"/>
    </xf>
    <xf numFmtId="164" fontId="2" fillId="2" borderId="1" xfId="0" applyNumberFormat="1" applyFont="1" applyFill="1" applyBorder="1" applyAlignment="1">
      <alignment horizontal="right" vertical="bottom" textRotation="0" indent="0" readingOrder="0"/>
    </xf>
    <xf numFmtId="171" fontId="2" fillId="0" borderId="2" xfId="0" applyNumberFormat="1" applyFont="1" applyBorder="1" applyAlignment="1">
      <alignment horizontal="right" vertical="bottom" textRotation="0" indent="0" readingOrder="0"/>
    </xf>
    <xf numFmtId="164" fontId="6" fillId="0" borderId="1" xfId="0" applyNumberFormat="1" applyFont="1" applyBorder="1"/>
    <xf numFmtId="165" fontId="5" fillId="0" borderId="1" xfId="0" applyNumberFormat="1" applyFont="1" applyBorder="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2" fillId="0" borderId="0" xfId="0" applyNumberFormat="1" applyFont="1" applyAlignment="1">
      <alignment horizontal="left" vertical="bottom" textRotation="0" indent="0" readingOrder="0"/>
    </xf>
    <xf numFmtId="169" fontId="5" fillId="0" borderId="1" xfId="0" applyNumberFormat="1" applyFont="1" applyBorder="1" applyAlignment="1">
      <alignment horizontal="right" vertical="bottom" textRotation="0" indent="0" readingOrder="0"/>
    </xf>
    <xf numFmtId="166" fontId="5" fillId="0" borderId="0" xfId="0" applyNumberFormat="1" applyFont="1" applyAlignment="1">
      <alignment horizontal="left" vertical="top" textRotation="0" indent="0" readingOrder="0"/>
    </xf>
    <xf numFmtId="166" fontId="5" fillId="0" borderId="0" xfId="0" applyNumberFormat="1" applyFont="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3" fillId="0" borderId="0" xfId="0" applyNumberFormat="1" applyFont="1" applyAlignment="1">
      <alignment horizontal="right" vertical="top" textRotation="0" indent="0" readingOrder="0"/>
    </xf>
    <xf numFmtId="164" fontId="2" fillId="2" borderId="0" xfId="0" applyNumberFormat="1" applyFont="1" applyFill="1" applyAlignment="1">
      <alignment horizontal="left" vertical="top" textRotation="0" wrapText="1" indent="0" readingOrder="0"/>
    </xf>
    <xf numFmtId="164" fontId="2" fillId="3" borderId="0" xfId="0" applyNumberFormat="1" applyFont="1" applyFill="1" applyAlignment="1">
      <alignment horizontal="left" vertical="top" textRotation="0" wrapText="1" indent="0" readingOrder="0"/>
    </xf>
    <xf numFmtId="164" fontId="5" fillId="0" borderId="0" xfId="0" applyNumberFormat="1" applyFont="1"/>
    <xf numFmtId="164" fontId="2" fillId="0" borderId="0" xfId="0" applyNumberFormat="1" applyFont="1"/>
    <xf numFmtId="164" fontId="6" fillId="0" borderId="0" xfId="0" applyNumberFormat="1" applyFont="1"/>
    <xf numFmtId="171"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2" fillId="0" borderId="2" xfId="0" applyNumberFormat="1" applyFont="1" applyBorder="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10" fillId="0" borderId="0" xfId="0" applyNumberFormat="1" applyFont="1" applyAlignment="1">
      <alignment horizontal="left" vertical="bottom" textRotation="0" indent="0" readingOrder="0"/>
    </xf>
    <xf numFmtId="164" fontId="6" fillId="0" borderId="1" xfId="0" applyNumberFormat="1" applyFont="1" applyBorder="1"/>
    <xf numFmtId="170" fontId="5" fillId="0" borderId="0" xfId="0" applyNumberFormat="1" applyFont="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4" fontId="6" fillId="3" borderId="0" xfId="0" applyNumberFormat="1" applyFont="1" applyFill="1"/>
    <xf numFmtId="169" fontId="5" fillId="0" borderId="0" xfId="0" applyNumberFormat="1" applyFont="1" applyAlignment="1">
      <alignment horizontal="right" vertical="bottom" textRotation="0" indent="0" readingOrder="0"/>
    </xf>
    <xf numFmtId="171" fontId="2" fillId="0" borderId="2" xfId="0" applyNumberFormat="1" applyFont="1" applyBorder="1" applyAlignment="1">
      <alignment horizontal="right" vertical="bottom" textRotation="0" indent="0" readingOrder="0"/>
    </xf>
    <xf numFmtId="164" fontId="6" fillId="2" borderId="0" xfId="0" applyNumberFormat="1" applyFont="1" applyFill="1"/>
    <xf numFmtId="164" fontId="2" fillId="2" borderId="0" xfId="0" applyNumberFormat="1" applyFont="1" applyFill="1" applyAlignment="1">
      <alignment horizontal="right" vertical="bottom" textRotation="0" indent="0" readingOrder="0"/>
    </xf>
    <xf numFmtId="164" fontId="6" fillId="2" borderId="1" xfId="0" applyNumberFormat="1" applyFont="1" applyFill="1" applyBorder="1"/>
    <xf numFmtId="164" fontId="2" fillId="2" borderId="1" xfId="0" applyNumberFormat="1" applyFont="1" applyFill="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9" fontId="5" fillId="0" borderId="1" xfId="0" applyNumberFormat="1" applyFont="1" applyBorder="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6" fillId="3" borderId="0" xfId="0" applyNumberFormat="1" applyFont="1" applyFill="1"/>
    <xf numFmtId="165" fontId="9" fillId="0" borderId="2" xfId="0" applyNumberFormat="1" applyFont="1" applyBorder="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6" fillId="2" borderId="0" xfId="0" applyNumberFormat="1" applyFont="1" applyFill="1"/>
    <xf numFmtId="164" fontId="2" fillId="2" borderId="0" xfId="0" applyNumberFormat="1" applyFont="1" applyFill="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2" fillId="0" borderId="2" xfId="0" applyNumberFormat="1" applyFont="1" applyBorder="1" applyAlignment="1">
      <alignment horizontal="left" vertical="bottom" textRotation="0" indent="0" readingOrder="0"/>
    </xf>
    <xf numFmtId="165" fontId="2" fillId="0" borderId="3" xfId="0" applyNumberFormat="1" applyFont="1" applyBorder="1" applyAlignment="1">
      <alignment horizontal="right" vertical="bottom" textRotation="0" indent="0" readingOrder="0"/>
    </xf>
    <xf numFmtId="164" fontId="6" fillId="0" borderId="0" xfId="0" applyNumberFormat="1" applyFont="1"/>
    <xf numFmtId="164" fontId="2" fillId="3" borderId="0" xfId="0" applyNumberFormat="1" applyFont="1" applyFill="1" applyAlignment="1">
      <alignment horizontal="right" vertical="bottom" textRotation="0" indent="0" readingOrder="0"/>
    </xf>
    <xf numFmtId="164" fontId="2" fillId="2" borderId="1" xfId="0" applyNumberFormat="1" applyFont="1" applyFill="1" applyBorder="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4" fontId="6" fillId="2" borderId="1" xfId="0" applyNumberFormat="1" applyFont="1" applyFill="1" applyBorder="1"/>
    <xf numFmtId="164" fontId="6" fillId="0" borderId="1" xfId="0" applyNumberFormat="1" applyFont="1" applyBorder="1"/>
    <xf numFmtId="164" fontId="5" fillId="0" borderId="0" xfId="0" applyNumberFormat="1" applyFont="1" applyAlignment="1">
      <alignment horizontal="left" vertical="bottom" textRotation="0" indent="0" readingOrder="0"/>
    </xf>
    <xf numFmtId="164" fontId="5" fillId="0" borderId="0" xfId="0" applyNumberFormat="1" applyFont="1"/>
    <xf numFmtId="164" fontId="2" fillId="3" borderId="0" xfId="0" applyNumberFormat="1" applyFont="1" applyFill="1" applyAlignment="1">
      <alignment horizontal="left" vertical="bottom" textRotation="0" indent="0" readingOrder="0"/>
    </xf>
    <xf numFmtId="164" fontId="2" fillId="2" borderId="1" xfId="0" applyNumberFormat="1" applyFont="1" applyFill="1" applyBorder="1" applyAlignment="1">
      <alignment horizontal="left" vertical="bottom" textRotation="0" indent="0" readingOrder="0"/>
    </xf>
    <xf numFmtId="165" fontId="5" fillId="0" borderId="0" xfId="0" applyNumberFormat="1" applyFont="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5" fillId="0" borderId="0" xfId="0" applyNumberFormat="1" applyFont="1" applyAlignment="1">
      <alignment horizontal="center" vertical="bottom" textRotation="0" indent="0" readingOrder="0"/>
    </xf>
    <xf numFmtId="165" fontId="5" fillId="0" borderId="1" xfId="0" applyNumberFormat="1" applyFont="1" applyBorder="1" applyAlignment="1">
      <alignment horizontal="right" vertical="bottom" textRotation="0" indent="0" readingOrder="0"/>
    </xf>
    <xf numFmtId="164" fontId="2" fillId="2" borderId="1" xfId="0" applyNumberFormat="1" applyFont="1" applyFill="1" applyBorder="1" applyAlignment="1">
      <alignment horizontal="right" vertical="bottom" textRotation="0" indent="0" readingOrder="0"/>
    </xf>
    <xf numFmtId="164" fontId="2" fillId="0" borderId="0" xfId="0" applyNumberFormat="1" applyFont="1" applyAlignment="1">
      <alignment horizontal="center" vertical="bottom" textRotation="0" indent="0" readingOrder="0"/>
    </xf>
    <xf numFmtId="164" fontId="2" fillId="0" borderId="0" xfId="0" applyNumberFormat="1" applyFont="1" applyAlignment="1">
      <alignment horizontal="left" vertical="bottom" textRotation="0" indent="0" readingOrder="0"/>
    </xf>
    <xf numFmtId="165" fontId="5" fillId="0" borderId="0" xfId="0" applyNumberFormat="1" applyFont="1" applyAlignment="1">
      <alignment horizontal="right" vertical="bottom" textRotation="0" indent="0" readingOrder="0"/>
    </xf>
    <xf numFmtId="164" fontId="6" fillId="2" borderId="0" xfId="0" applyNumberFormat="1" applyFont="1" applyFill="1"/>
    <xf numFmtId="170" fontId="2" fillId="0" borderId="2" xfId="0" applyNumberFormat="1" applyFont="1" applyBorder="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5" fontId="3" fillId="4" borderId="0" xfId="0" applyNumberFormat="1" applyFont="1" applyFill="1" applyAlignment="1">
      <alignment horizontal="right" vertical="bottom" textRotation="0" indent="0" readingOrder="0"/>
    </xf>
    <xf numFmtId="168" fontId="3" fillId="4" borderId="1" xfId="0" applyNumberFormat="1" applyFont="1" applyFill="1" applyBorder="1" applyAlignment="1">
      <alignment horizontal="right" vertical="bottom" textRotation="0" indent="0" readingOrder="0"/>
    </xf>
    <xf numFmtId="170" fontId="3" fillId="4" borderId="0" xfId="0" applyNumberFormat="1" applyFont="1" applyFill="1" applyAlignment="1">
      <alignment horizontal="right" vertical="bottom" textRotation="0" indent="0" readingOrder="0"/>
    </xf>
    <xf numFmtId="164" fontId="6" fillId="3" borderId="0" xfId="0" applyNumberFormat="1" applyFont="1" applyFill="1"/>
    <xf numFmtId="164" fontId="5" fillId="0" borderId="0" xfId="0" applyNumberFormat="1" applyFont="1" applyAlignment="1">
      <alignment horizontal="left" vertical="bottom" textRotation="0" indent="0" readingOrder="0"/>
    </xf>
    <xf numFmtId="164" fontId="6" fillId="0" borderId="0" xfId="0" applyNumberFormat="1" applyFont="1"/>
    <xf numFmtId="170" fontId="3" fillId="4" borderId="1" xfId="0" applyNumberFormat="1" applyFont="1" applyFill="1" applyBorder="1" applyAlignment="1">
      <alignment horizontal="right" vertical="bottom" textRotation="0" indent="0" readingOrder="0"/>
    </xf>
    <xf numFmtId="170" fontId="5" fillId="0" borderId="1" xfId="0" applyNumberFormat="1" applyFont="1" applyBorder="1" applyAlignment="1">
      <alignment horizontal="right" vertical="bottom" textRotation="0" indent="0" readingOrder="0"/>
    </xf>
    <xf numFmtId="164" fontId="2" fillId="3" borderId="0" xfId="0" applyNumberFormat="1" applyFont="1" applyFill="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70" fontId="2" fillId="0" borderId="3" xfId="0" applyNumberFormat="1" applyFont="1" applyBorder="1" applyAlignment="1">
      <alignment horizontal="right" vertical="bottom" textRotation="0" indent="0" readingOrder="0"/>
    </xf>
    <xf numFmtId="165" fontId="3" fillId="4" borderId="1" xfId="0" applyNumberFormat="1" applyFont="1" applyFill="1" applyBorder="1" applyAlignment="1">
      <alignment horizontal="right" vertical="bottom" textRotation="0" indent="0" readingOrder="0"/>
    </xf>
    <xf numFmtId="164" fontId="6" fillId="0" borderId="1" xfId="0" applyNumberFormat="1" applyFont="1" applyBorder="1"/>
    <xf numFmtId="168" fontId="5" fillId="0" borderId="1" xfId="0" applyNumberFormat="1" applyFont="1" applyBorder="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70" fontId="3" fillId="0" borderId="0" xfId="0" applyNumberFormat="1" applyFont="1" applyAlignment="1">
      <alignment horizontal="right" vertical="bottom" textRotation="0" indent="0" readingOrder="0"/>
    </xf>
    <xf numFmtId="164" fontId="6" fillId="2" borderId="1" xfId="0" applyNumberFormat="1" applyFont="1" applyFill="1" applyBorder="1"/>
    <xf numFmtId="164" fontId="2" fillId="2" borderId="0" xfId="0" applyNumberFormat="1" applyFont="1" applyFill="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5" fontId="4" fillId="0" borderId="2" xfId="0" applyNumberFormat="1" applyFont="1" applyBorder="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64" fontId="2" fillId="2" borderId="1" xfId="0" applyNumberFormat="1" applyFont="1" applyFill="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5" fontId="7" fillId="0" borderId="1" xfId="0" applyNumberFormat="1" applyFont="1" applyBorder="1" applyAlignment="1">
      <alignment horizontal="right" vertical="bottom" textRotation="0" indent="0" readingOrder="0"/>
    </xf>
    <xf numFmtId="164" fontId="5" fillId="0" borderId="0" xfId="0" applyNumberFormat="1" applyFont="1"/>
    <xf numFmtId="164" fontId="2" fillId="0" borderId="0" xfId="0" applyNumberFormat="1" applyFont="1" applyAlignment="1">
      <alignment horizontal="center" vertical="bottom" textRotation="0" indent="0" readingOrder="0"/>
    </xf>
    <xf numFmtId="172" fontId="5" fillId="0" borderId="0" xfId="0" applyNumberFormat="1" applyFont="1"/>
    <xf numFmtId="164" fontId="2" fillId="0" borderId="0" xfId="0" applyNumberFormat="1" applyFont="1"/>
    <xf numFmtId="164" fontId="9" fillId="0" borderId="0" xfId="0" applyNumberFormat="1" applyFont="1" applyAlignment="1">
      <alignment horizontal="center" vertical="bottom" textRotation="0" indent="0" readingOrder="0"/>
    </xf>
    <xf numFmtId="164" fontId="5" fillId="0" borderId="0" xfId="0" applyNumberFormat="1" applyFont="1"/>
    <xf numFmtId="164" fontId="2" fillId="0" borderId="0" xfId="0" applyNumberFormat="1" applyFont="1"/>
    <xf numFmtId="173" fontId="5" fillId="0" borderId="0" xfId="0" applyNumberFormat="1" applyFont="1"/>
    <xf numFmtId="168" fontId="5" fillId="0" borderId="0" xfId="0" applyNumberFormat="1" applyFont="1" applyAlignment="1">
      <alignment horizontal="right" vertical="bottom" textRotation="0" indent="0" readingOrder="0"/>
    </xf>
    <xf numFmtId="164" fontId="2" fillId="3" borderId="0" xfId="0" applyNumberFormat="1" applyFont="1" applyFill="1" applyAlignment="1">
      <alignment horizontal="center" vertical="bottom" textRotation="0" indent="0" readingOrder="0"/>
    </xf>
    <xf numFmtId="164" fontId="5" fillId="0" borderId="0" xfId="0" applyNumberFormat="1" applyFont="1" applyAlignment="1">
      <alignment horizontal="left" vertical="bottom" textRotation="0" indent="0" readingOrder="0"/>
    </xf>
    <xf numFmtId="165" fontId="2" fillId="0" borderId="2" xfId="0" applyNumberFormat="1" applyFont="1" applyBorder="1" applyAlignment="1">
      <alignment horizontal="right" vertical="bottom" textRotation="0" indent="0" readingOrder="0"/>
    </xf>
    <xf numFmtId="171" fontId="5" fillId="0" borderId="0" xfId="0" applyNumberFormat="1" applyFont="1" applyAlignment="1">
      <alignment horizontal="right" vertical="bottom" textRotation="0" indent="0" readingOrder="0"/>
    </xf>
    <xf numFmtId="164" fontId="6" fillId="0" borderId="1" xfId="0" applyNumberFormat="1" applyFont="1" applyBorder="1"/>
    <xf numFmtId="164" fontId="6" fillId="3" borderId="0" xfId="0" applyNumberFormat="1" applyFont="1" applyFill="1"/>
    <xf numFmtId="164" fontId="6" fillId="0" borderId="0" xfId="0" applyNumberFormat="1" applyFont="1"/>
    <xf numFmtId="170" fontId="5" fillId="0" borderId="0" xfId="0" applyNumberFormat="1" applyFont="1" applyAlignment="1">
      <alignment horizontal="right" vertical="bottom" textRotation="0" indent="0" readingOrder="0"/>
    </xf>
    <xf numFmtId="164" fontId="10" fillId="0" borderId="0" xfId="0" applyNumberFormat="1" applyFont="1" applyAlignment="1">
      <alignment horizontal="left" vertical="bottom" textRotation="0" indent="0" readingOrder="0"/>
    </xf>
    <xf numFmtId="171" fontId="4" fillId="0" borderId="2" xfId="0" applyNumberFormat="1" applyFont="1" applyBorder="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70" fontId="3" fillId="0" borderId="0" xfId="0" applyNumberFormat="1" applyFont="1" applyAlignment="1">
      <alignment horizontal="right" vertical="bottom" textRotation="0" indent="0" readingOrder="0"/>
    </xf>
    <xf numFmtId="164" fontId="2" fillId="2" borderId="0" xfId="0" applyNumberFormat="1" applyFont="1" applyFill="1" applyAlignment="1">
      <alignment horizontal="center" vertical="bottom" textRotation="0" indent="0" readingOrder="0"/>
    </xf>
    <xf numFmtId="171" fontId="3" fillId="4" borderId="0" xfId="0" applyNumberFormat="1" applyFont="1" applyFill="1" applyAlignment="1">
      <alignment horizontal="right" vertical="bottom" textRotation="0" indent="0" readingOrder="0"/>
    </xf>
    <xf numFmtId="164" fontId="2" fillId="2" borderId="0" xfId="0" applyNumberFormat="1" applyFont="1" applyFill="1" applyAlignment="1">
      <alignment horizontal="center" vertical="bottom" textRotation="0" indent="0" readingOrder="0"/>
    </xf>
    <xf numFmtId="169" fontId="5" fillId="0" borderId="0" xfId="0" applyNumberFormat="1" applyFont="1" applyAlignment="1">
      <alignment horizontal="right" vertical="bottom" textRotation="0" indent="0" readingOrder="0"/>
    </xf>
    <xf numFmtId="164" fontId="6" fillId="2" borderId="0" xfId="0" applyNumberFormat="1" applyFont="1" applyFill="1"/>
    <xf numFmtId="170" fontId="3" fillId="4" borderId="0" xfId="0" applyNumberFormat="1" applyFont="1" applyFill="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64" fontId="2" fillId="2" borderId="1" xfId="0" applyNumberFormat="1" applyFont="1" applyFill="1" applyBorder="1" applyAlignment="1">
      <alignment horizontal="center" vertical="bottom" textRotation="0" indent="0" readingOrder="0"/>
    </xf>
    <xf numFmtId="164" fontId="2" fillId="3" borderId="0" xfId="0" applyNumberFormat="1" applyFont="1" applyFill="1" applyAlignment="1">
      <alignment horizontal="center" vertical="bottom" textRotation="0" indent="0" readingOrder="0"/>
    </xf>
    <xf numFmtId="164" fontId="6" fillId="2" borderId="1" xfId="0" applyNumberFormat="1" applyFont="1" applyFill="1" applyBorder="1"/>
    <xf numFmtId="169" fontId="5" fillId="0" borderId="1" xfId="0" applyNumberFormat="1" applyFont="1" applyBorder="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71" fontId="3"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6" fillId="3" borderId="0" xfId="0" applyNumberFormat="1" applyFont="1" applyFill="1"/>
    <xf numFmtId="164" fontId="6" fillId="0" borderId="0" xfId="0" applyNumberFormat="1" applyFont="1"/>
    <xf numFmtId="165" fontId="2" fillId="0" borderId="2" xfId="0" applyNumberFormat="1" applyFont="1" applyBorder="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4" fontId="2" fillId="3" borderId="0" xfId="0" applyNumberFormat="1" applyFont="1" applyFill="1" applyAlignment="1">
      <alignment horizontal="center" vertical="bottom" textRotation="0" indent="0" readingOrder="0"/>
    </xf>
    <xf numFmtId="171" fontId="5" fillId="0" borderId="0" xfId="0" applyNumberFormat="1" applyFont="1" applyAlignment="1">
      <alignment horizontal="right" vertical="bottom" textRotation="0" indent="0" readingOrder="0"/>
    </xf>
    <xf numFmtId="164" fontId="10" fillId="0" borderId="0" xfId="0" applyNumberFormat="1" applyFont="1" applyAlignment="1">
      <alignment horizontal="left" vertical="bottom" textRotation="0" indent="0" readingOrder="0"/>
    </xf>
    <xf numFmtId="165" fontId="7" fillId="0" borderId="0" xfId="0" applyNumberFormat="1" applyFont="1" applyAlignment="1">
      <alignment horizontal="right" vertical="bottom" textRotation="0" indent="0" readingOrder="0"/>
    </xf>
    <xf numFmtId="164" fontId="6" fillId="2" borderId="1" xfId="0" applyNumberFormat="1" applyFont="1" applyFill="1" applyBorder="1"/>
    <xf numFmtId="170" fontId="5" fillId="0" borderId="0" xfId="0" applyNumberFormat="1" applyFont="1" applyAlignment="1">
      <alignment horizontal="right" vertical="bottom" textRotation="0" indent="0" readingOrder="0"/>
    </xf>
    <xf numFmtId="165" fontId="3" fillId="4" borderId="0" xfId="0" applyNumberFormat="1" applyFont="1" applyFill="1" applyAlignment="1">
      <alignment horizontal="right" vertical="bottom" textRotation="0" indent="0" readingOrder="0"/>
    </xf>
    <xf numFmtId="169" fontId="5" fillId="0" borderId="0" xfId="0" applyNumberFormat="1" applyFont="1" applyAlignment="1">
      <alignment horizontal="right" vertical="bottom" textRotation="0" indent="0" readingOrder="0"/>
    </xf>
    <xf numFmtId="164" fontId="6" fillId="2" borderId="0" xfId="0" applyNumberFormat="1" applyFont="1" applyFill="1"/>
    <xf numFmtId="164" fontId="2" fillId="2" borderId="0" xfId="0" applyNumberFormat="1" applyFont="1" applyFill="1" applyAlignment="1">
      <alignment horizontal="center" vertical="bottom" textRotation="0" indent="0" readingOrder="0"/>
    </xf>
    <xf numFmtId="169" fontId="5" fillId="0" borderId="1" xfId="0" applyNumberFormat="1" applyFont="1" applyBorder="1" applyAlignment="1">
      <alignment horizontal="right" vertical="bottom" textRotation="0" indent="0" readingOrder="0"/>
    </xf>
    <xf numFmtId="164" fontId="6" fillId="0" borderId="1" xfId="0" applyNumberFormat="1" applyFont="1" applyBorder="1"/>
    <xf numFmtId="165" fontId="5" fillId="0" borderId="1" xfId="0" applyNumberFormat="1" applyFont="1" applyBorder="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68" fontId="5" fillId="0" borderId="0" xfId="0" applyNumberFormat="1" applyFont="1" applyAlignment="1">
      <alignment horizontal="right" vertical="bottom" textRotation="0" indent="0" readingOrder="0"/>
    </xf>
    <xf numFmtId="174" fontId="5" fillId="0" borderId="0" xfId="0" applyNumberFormat="1" applyFont="1" applyAlignment="1">
      <alignment horizontal="right" vertical="bottom" textRotation="0" indent="0" readingOrder="0"/>
    </xf>
    <xf numFmtId="164" fontId="6" fillId="2" borderId="0" xfId="0" applyNumberFormat="1" applyFont="1" applyFill="1"/>
    <xf numFmtId="170" fontId="2" fillId="0" borderId="2" xfId="0" applyNumberFormat="1" applyFont="1" applyBorder="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8" fontId="3" fillId="4" borderId="1" xfId="0" applyNumberFormat="1" applyFont="1" applyFill="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4" fontId="6" fillId="0" borderId="0" xfId="0" applyNumberFormat="1" applyFont="1"/>
    <xf numFmtId="168" fontId="3" fillId="4" borderId="0" xfId="0" applyNumberFormat="1" applyFont="1" applyFill="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4" fontId="6" fillId="3" borderId="0" xfId="0" applyNumberFormat="1" applyFont="1" applyFill="1"/>
    <xf numFmtId="174" fontId="3" fillId="4" borderId="0" xfId="0" applyNumberFormat="1" applyFont="1" applyFill="1" applyAlignment="1">
      <alignment horizontal="right" vertical="bottom" textRotation="0" indent="0" readingOrder="0"/>
    </xf>
    <xf numFmtId="164" fontId="6" fillId="0" borderId="1" xfId="0" applyNumberFormat="1" applyFont="1" applyBorder="1"/>
    <xf numFmtId="165" fontId="5"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70" fontId="3" fillId="4" borderId="1" xfId="0" applyNumberFormat="1" applyFont="1" applyFill="1" applyBorder="1" applyAlignment="1">
      <alignment horizontal="right" vertical="bottom" textRotation="0" indent="0" readingOrder="0"/>
    </xf>
    <xf numFmtId="170" fontId="3" fillId="4" borderId="0" xfId="0" applyNumberFormat="1" applyFont="1" applyFill="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4" fontId="2" fillId="3" borderId="0" xfId="0" applyNumberFormat="1" applyFont="1" applyFill="1" applyAlignment="1">
      <alignment horizontal="center" vertical="bottom" textRotation="0" indent="0" readingOrder="0"/>
    </xf>
    <xf numFmtId="164" fontId="2" fillId="2" borderId="1" xfId="0" applyNumberFormat="1" applyFont="1" applyFill="1" applyBorder="1" applyAlignment="1">
      <alignment horizontal="center" vertical="bottom" textRotation="0" indent="0" readingOrder="0"/>
    </xf>
    <xf numFmtId="164" fontId="6" fillId="2" borderId="1" xfId="0" applyNumberFormat="1" applyFont="1" applyFill="1" applyBorder="1"/>
    <xf numFmtId="165" fontId="2" fillId="0" borderId="3" xfId="0" applyNumberFormat="1" applyFont="1" applyBorder="1" applyAlignment="1">
      <alignment horizontal="right" vertical="bottom" textRotation="0" indent="0" readingOrder="0"/>
    </xf>
    <xf numFmtId="165" fontId="4" fillId="0" borderId="2" xfId="0" applyNumberFormat="1" applyFont="1" applyBorder="1" applyAlignment="1">
      <alignment horizontal="right" vertical="bottom" textRotation="0" indent="0" readingOrder="0"/>
    </xf>
    <xf numFmtId="165" fontId="3" fillId="4" borderId="0" xfId="0" applyNumberFormat="1" applyFont="1" applyFill="1" applyAlignment="1">
      <alignment horizontal="right" vertical="bottom" textRotation="0" indent="0" readingOrder="0"/>
    </xf>
    <xf numFmtId="170" fontId="5" fillId="0" borderId="1" xfId="0" applyNumberFormat="1" applyFont="1" applyBorder="1" applyAlignment="1">
      <alignment horizontal="right" vertical="bottom" textRotation="0" indent="0" readingOrder="0"/>
    </xf>
    <xf numFmtId="174" fontId="2" fillId="0" borderId="2" xfId="0" applyNumberFormat="1" applyFont="1" applyBorder="1" applyAlignment="1">
      <alignment horizontal="right" vertical="bottom" textRotation="0" indent="0" readingOrder="0"/>
    </xf>
    <xf numFmtId="165" fontId="3" fillId="4" borderId="1" xfId="0" applyNumberFormat="1" applyFont="1" applyFill="1" applyBorder="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70" fontId="3" fillId="0" borderId="0" xfId="0" applyNumberFormat="1" applyFont="1" applyAlignment="1">
      <alignment horizontal="right" vertical="bottom" textRotation="0" indent="0" readingOrder="0"/>
    </xf>
    <xf numFmtId="164" fontId="2" fillId="2" borderId="0" xfId="0" applyNumberFormat="1" applyFont="1" applyFill="1" applyAlignment="1">
      <alignment horizontal="center" vertical="bottom" textRotation="0" indent="0" readingOrder="0"/>
    </xf>
    <xf numFmtId="168" fontId="5" fillId="0" borderId="1" xfId="0" applyNumberFormat="1" applyFont="1" applyBorder="1" applyAlignment="1">
      <alignment horizontal="right" vertical="bottom" textRotation="0" indent="0" readingOrder="0"/>
    </xf>
    <xf numFmtId="174" fontId="2" fillId="0" borderId="3" xfId="0" applyNumberFormat="1" applyFont="1" applyBorder="1" applyAlignment="1">
      <alignment horizontal="right" vertical="bottom" textRotation="0" indent="0" readingOrder="0"/>
    </xf>
    <xf numFmtId="174" fontId="5" fillId="0" borderId="1" xfId="0" applyNumberFormat="1" applyFont="1" applyBorder="1" applyAlignment="1">
      <alignment horizontal="right" vertical="bottom" textRotation="0" indent="0" readingOrder="0"/>
    </xf>
    <xf numFmtId="170" fontId="2" fillId="0" borderId="3" xfId="0" applyNumberFormat="1" applyFont="1" applyBorder="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5" fontId="7" fillId="0" borderId="1" xfId="0" applyNumberFormat="1" applyFont="1" applyBorder="1" applyAlignment="1">
      <alignment horizontal="right" vertical="bottom" textRotation="0" indent="0" readingOrder="0"/>
    </xf>
    <xf numFmtId="170" fontId="3" fillId="4" borderId="0" xfId="0" applyNumberFormat="1" applyFont="1" applyFill="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74" fontId="5" fillId="0" borderId="0" xfId="0" applyNumberFormat="1" applyFont="1" applyAlignment="1">
      <alignment horizontal="right" vertical="bottom" textRotation="0" indent="0" readingOrder="0"/>
    </xf>
    <xf numFmtId="174" fontId="5" fillId="0" borderId="1" xfId="0" applyNumberFormat="1" applyFont="1" applyBorder="1" applyAlignment="1">
      <alignment horizontal="right" vertical="bottom" textRotation="0" indent="0" readingOrder="0"/>
    </xf>
    <xf numFmtId="170" fontId="2" fillId="0" borderId="2" xfId="0" applyNumberFormat="1" applyFont="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74" fontId="2" fillId="0" borderId="2" xfId="0" applyNumberFormat="1" applyFont="1" applyBorder="1" applyAlignment="1">
      <alignment horizontal="right" vertical="bottom" textRotation="0" indent="0" readingOrder="0"/>
    </xf>
    <xf numFmtId="164" fontId="6" fillId="3" borderId="0" xfId="0" applyNumberFormat="1" applyFont="1" applyFill="1"/>
    <xf numFmtId="165" fontId="2" fillId="0" borderId="2"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6" fillId="2" borderId="0" xfId="0" applyNumberFormat="1" applyFont="1" applyFill="1"/>
    <xf numFmtId="174" fontId="3" fillId="4" borderId="0" xfId="0" applyNumberFormat="1" applyFont="1" applyFill="1" applyAlignment="1">
      <alignment horizontal="right" vertical="bottom" textRotation="0" indent="0" readingOrder="0"/>
    </xf>
    <xf numFmtId="164" fontId="6" fillId="0" borderId="0" xfId="0" applyNumberFormat="1" applyFont="1"/>
    <xf numFmtId="165" fontId="7" fillId="0" borderId="0" xfId="0" applyNumberFormat="1" applyFont="1" applyAlignment="1">
      <alignment horizontal="right" vertical="bottom" textRotation="0" indent="0" readingOrder="0"/>
    </xf>
    <xf numFmtId="170" fontId="3" fillId="4" borderId="1" xfId="0" applyNumberFormat="1" applyFont="1" applyFill="1" applyBorder="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5" fontId="3" fillId="4" borderId="0" xfId="0" applyNumberFormat="1" applyFont="1" applyFill="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64" fontId="2" fillId="2" borderId="0" xfId="0" applyNumberFormat="1" applyFont="1" applyFill="1" applyAlignment="1">
      <alignment horizontal="center" vertical="bottom" textRotation="0" indent="0" readingOrder="0"/>
    </xf>
    <xf numFmtId="165" fontId="4" fillId="0" borderId="2" xfId="0" applyNumberFormat="1" applyFont="1" applyBorder="1" applyAlignment="1">
      <alignment horizontal="right" vertical="bottom" textRotation="0" indent="0" readingOrder="0"/>
    </xf>
    <xf numFmtId="168" fontId="3" fillId="4" borderId="1" xfId="0" applyNumberFormat="1" applyFont="1" applyFill="1" applyBorder="1" applyAlignment="1">
      <alignment horizontal="right" vertical="bottom" textRotation="0" indent="0" readingOrder="0"/>
    </xf>
    <xf numFmtId="164" fontId="6" fillId="0" borderId="1" xfId="0" applyNumberFormat="1" applyFont="1" applyBorder="1"/>
    <xf numFmtId="164" fontId="2" fillId="3" borderId="0" xfId="0" applyNumberFormat="1" applyFont="1" applyFill="1" applyAlignment="1">
      <alignment horizontal="center" vertical="bottom" textRotation="0" indent="0" readingOrder="0"/>
    </xf>
    <xf numFmtId="170" fontId="2" fillId="0" borderId="3" xfId="0" applyNumberFormat="1" applyFont="1" applyBorder="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4" fontId="2" fillId="0" borderId="2" xfId="0" applyNumberFormat="1" applyFont="1" applyBorder="1" applyAlignment="1">
      <alignment horizontal="left" vertical="bottom" textRotation="0" indent="0" readingOrder="0"/>
    </xf>
    <xf numFmtId="164" fontId="6" fillId="2" borderId="1" xfId="0" applyNumberFormat="1" applyFont="1" applyFill="1" applyBorder="1"/>
    <xf numFmtId="165" fontId="3" fillId="4" borderId="1" xfId="0" applyNumberFormat="1" applyFont="1" applyFill="1" applyBorder="1" applyAlignment="1">
      <alignment horizontal="right" vertical="bottom" textRotation="0" indent="0" readingOrder="0"/>
    </xf>
    <xf numFmtId="170" fontId="5" fillId="0" borderId="1" xfId="0" applyNumberFormat="1" applyFont="1" applyBorder="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70" fontId="3" fillId="0" borderId="0" xfId="0" applyNumberFormat="1" applyFont="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74" fontId="2" fillId="0" borderId="3" xfId="0" applyNumberFormat="1" applyFont="1" applyBorder="1" applyAlignment="1">
      <alignment horizontal="right" vertical="bottom" textRotation="0" indent="0" readingOrder="0"/>
    </xf>
    <xf numFmtId="170" fontId="3" fillId="4" borderId="0" xfId="0" applyNumberFormat="1" applyFont="1" applyFill="1" applyAlignment="1">
      <alignment horizontal="right" vertical="bottom" textRotation="0" indent="0" readingOrder="0"/>
    </xf>
    <xf numFmtId="174" fontId="5" fillId="0" borderId="0" xfId="0" applyNumberFormat="1" applyFont="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74" fontId="3" fillId="4" borderId="0" xfId="0" applyNumberFormat="1" applyFont="1" applyFill="1" applyAlignment="1">
      <alignment horizontal="right" vertical="bottom" textRotation="0" indent="0" readingOrder="0"/>
    </xf>
    <xf numFmtId="164" fontId="6" fillId="2" borderId="0" xfId="0" applyNumberFormat="1" applyFont="1" applyFill="1"/>
    <xf numFmtId="165" fontId="5" fillId="0" borderId="0" xfId="0" applyNumberFormat="1" applyFont="1" applyAlignment="1">
      <alignment horizontal="right" vertical="bottom" textRotation="0" indent="0" readingOrder="0"/>
    </xf>
    <xf numFmtId="164" fontId="6" fillId="0" borderId="1" xfId="0" applyNumberFormat="1" applyFont="1" applyBorder="1"/>
    <xf numFmtId="166" fontId="5" fillId="0" borderId="0" xfId="0" applyNumberFormat="1" applyFont="1" applyAlignment="1">
      <alignment horizontal="right" vertical="bottom" textRotation="0" indent="0" readingOrder="0"/>
    </xf>
    <xf numFmtId="175" fontId="5" fillId="0" borderId="0" xfId="0" applyNumberFormat="1" applyFont="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4" fontId="6" fillId="2" borderId="1" xfId="0" applyNumberFormat="1" applyFont="1" applyFill="1" applyBorder="1"/>
    <xf numFmtId="175" fontId="3" fillId="4" borderId="0" xfId="0" applyNumberFormat="1" applyFont="1" applyFill="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74" fontId="5" fillId="0" borderId="1" xfId="0" applyNumberFormat="1" applyFont="1" applyBorder="1" applyAlignment="1">
      <alignment horizontal="right" vertical="bottom" textRotation="0" indent="0" readingOrder="0"/>
    </xf>
    <xf numFmtId="170" fontId="5" fillId="0" borderId="1" xfId="0" applyNumberFormat="1" applyFont="1" applyBorder="1" applyAlignment="1">
      <alignment horizontal="right" vertical="bottom" textRotation="0" indent="0" readingOrder="0"/>
    </xf>
    <xf numFmtId="175" fontId="3" fillId="4" borderId="1" xfId="0" applyNumberFormat="1" applyFont="1" applyFill="1" applyBorder="1" applyAlignment="1">
      <alignment horizontal="right" vertical="bottom" textRotation="0" indent="0" readingOrder="0"/>
    </xf>
    <xf numFmtId="164" fontId="6" fillId="3" borderId="0" xfId="0" applyNumberFormat="1" applyFont="1" applyFill="1"/>
    <xf numFmtId="164" fontId="5" fillId="0" borderId="0" xfId="0" applyNumberFormat="1" applyFont="1" applyAlignment="1">
      <alignment horizontal="left" vertical="bottom" textRotation="0" indent="0" readingOrder="0"/>
    </xf>
    <xf numFmtId="170" fontId="3" fillId="4" borderId="1" xfId="0" applyNumberFormat="1" applyFont="1" applyFill="1" applyBorder="1" applyAlignment="1">
      <alignment horizontal="right" vertical="bottom" textRotation="0" indent="0" readingOrder="0"/>
    </xf>
    <xf numFmtId="164" fontId="6" fillId="0" borderId="0" xfId="0" applyNumberFormat="1" applyFont="1"/>
    <xf numFmtId="165" fontId="7" fillId="0" borderId="1" xfId="0" applyNumberFormat="1" applyFont="1" applyBorder="1" applyAlignment="1">
      <alignment horizontal="right" vertical="bottom" textRotation="0" indent="0" readingOrder="0"/>
    </xf>
    <xf numFmtId="168" fontId="3" fillId="4" borderId="1" xfId="0" applyNumberFormat="1" applyFont="1" applyFill="1" applyBorder="1" applyAlignment="1">
      <alignment horizontal="right" vertical="bottom" textRotation="0" indent="0" readingOrder="0"/>
    </xf>
    <xf numFmtId="174" fontId="3" fillId="4" borderId="1" xfId="0" applyNumberFormat="1" applyFont="1" applyFill="1" applyBorder="1" applyAlignment="1">
      <alignment horizontal="right" vertical="bottom" textRotation="0" indent="0" readingOrder="0"/>
    </xf>
    <xf numFmtId="165" fontId="3" fillId="4" borderId="0" xfId="0" applyNumberFormat="1" applyFont="1" applyFill="1" applyAlignment="1">
      <alignment horizontal="right" vertical="bottom" textRotation="0" indent="0" readingOrder="0"/>
    </xf>
    <xf numFmtId="164" fontId="2" fillId="2" borderId="0" xfId="0" applyNumberFormat="1" applyFont="1" applyFill="1" applyAlignment="1">
      <alignment horizontal="center" vertical="bottom" textRotation="0" indent="0" readingOrder="0"/>
    </xf>
    <xf numFmtId="170" fontId="2" fillId="0" borderId="2" xfId="0" applyNumberFormat="1" applyFont="1" applyBorder="1" applyAlignment="1">
      <alignment horizontal="right" vertical="bottom" textRotation="0" indent="0" readingOrder="0"/>
    </xf>
    <xf numFmtId="165" fontId="4" fillId="0" borderId="2" xfId="0" applyNumberFormat="1" applyFont="1" applyBorder="1" applyAlignment="1">
      <alignment horizontal="right" vertical="bottom" textRotation="0" indent="0" readingOrder="0"/>
    </xf>
    <xf numFmtId="166" fontId="5" fillId="0" borderId="1" xfId="0" applyNumberFormat="1" applyFont="1" applyBorder="1" applyAlignment="1">
      <alignment horizontal="right" vertical="bottom" textRotation="0" indent="0" readingOrder="0"/>
    </xf>
    <xf numFmtId="174" fontId="2" fillId="0" borderId="2" xfId="0" applyNumberFormat="1" applyFont="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8" fontId="3" fillId="0" borderId="0" xfId="0" applyNumberFormat="1" applyFont="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4" fontId="2" fillId="3" borderId="0" xfId="0" applyNumberFormat="1" applyFont="1" applyFill="1" applyAlignment="1">
      <alignment horizontal="center" vertical="bottom" textRotation="0" indent="0" readingOrder="0"/>
    </xf>
    <xf numFmtId="165" fontId="2" fillId="0" borderId="3" xfId="0" applyNumberFormat="1" applyFont="1" applyBorder="1" applyAlignment="1">
      <alignment horizontal="right" vertical="bottom" textRotation="0" indent="0" readingOrder="0"/>
    </xf>
    <xf numFmtId="170" fontId="3" fillId="0" borderId="0" xfId="0" applyNumberFormat="1" applyFont="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3" fillId="4" borderId="1" xfId="0" applyNumberFormat="1" applyFont="1" applyFill="1" applyBorder="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74" fontId="2" fillId="0" borderId="3" xfId="0" applyNumberFormat="1" applyFont="1" applyBorder="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75" fontId="5" fillId="0" borderId="1" xfId="0" applyNumberFormat="1" applyFont="1" applyBorder="1" applyAlignment="1">
      <alignment horizontal="right" vertical="bottom" textRotation="0" indent="0" readingOrder="0"/>
    </xf>
    <xf numFmtId="170" fontId="2" fillId="0" borderId="3" xfId="0" applyNumberFormat="1" applyFont="1" applyBorder="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75" fontId="3" fillId="4" borderId="0" xfId="0" applyNumberFormat="1" applyFont="1" applyFill="1" applyAlignment="1">
      <alignment horizontal="right" vertical="bottom" textRotation="0" indent="0" readingOrder="0"/>
    </xf>
    <xf numFmtId="174" fontId="3" fillId="4" borderId="0" xfId="0" applyNumberFormat="1" applyFont="1" applyFill="1" applyAlignment="1">
      <alignment horizontal="right" vertical="bottom" textRotation="0" indent="0" readingOrder="0"/>
    </xf>
    <xf numFmtId="164" fontId="6" fillId="0" borderId="0" xfId="0" applyNumberFormat="1" applyFont="1"/>
    <xf numFmtId="175" fontId="5" fillId="0" borderId="1" xfId="0" applyNumberFormat="1" applyFont="1" applyBorder="1" applyAlignment="1">
      <alignment horizontal="right" vertical="bottom" textRotation="0" indent="0" readingOrder="0"/>
    </xf>
    <xf numFmtId="164" fontId="6" fillId="2" borderId="0" xfId="0" applyNumberFormat="1" applyFont="1" applyFill="1"/>
    <xf numFmtId="174" fontId="5" fillId="0" borderId="0" xfId="0" applyNumberFormat="1" applyFont="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70" fontId="3" fillId="4" borderId="1" xfId="0" applyNumberFormat="1" applyFont="1" applyFill="1" applyBorder="1" applyAlignment="1">
      <alignment horizontal="right" vertical="bottom" textRotation="0" indent="0" readingOrder="0"/>
    </xf>
    <xf numFmtId="164" fontId="6" fillId="3" borderId="0" xfId="0" applyNumberFormat="1" applyFont="1" applyFill="1"/>
    <xf numFmtId="168" fontId="3" fillId="4" borderId="0" xfId="0" applyNumberFormat="1" applyFont="1" applyFill="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75" fontId="3" fillId="4" borderId="1" xfId="0" applyNumberFormat="1" applyFont="1" applyFill="1" applyBorder="1" applyAlignment="1">
      <alignment horizontal="right" vertical="bottom" textRotation="0" indent="0" readingOrder="0"/>
    </xf>
    <xf numFmtId="175" fontId="5" fillId="0" borderId="0" xfId="0" applyNumberFormat="1" applyFont="1" applyAlignment="1">
      <alignment horizontal="right" vertical="bottom" textRotation="0" indent="0" readingOrder="0"/>
    </xf>
    <xf numFmtId="170" fontId="5" fillId="0" borderId="1" xfId="0" applyNumberFormat="1" applyFont="1" applyBorder="1" applyAlignment="1">
      <alignment horizontal="right" vertical="bottom" textRotation="0" indent="0" readingOrder="0"/>
    </xf>
    <xf numFmtId="170" fontId="3" fillId="4" borderId="0" xfId="0" applyNumberFormat="1" applyFont="1" applyFill="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4" fontId="6" fillId="0" borderId="1" xfId="0" applyNumberFormat="1" applyFont="1" applyBorder="1"/>
    <xf numFmtId="165" fontId="3" fillId="4" borderId="0" xfId="0" applyNumberFormat="1" applyFont="1" applyFill="1" applyAlignment="1">
      <alignment horizontal="right" vertical="bottom" textRotation="0" indent="0" readingOrder="0"/>
    </xf>
    <xf numFmtId="174" fontId="5" fillId="0" borderId="1"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74" fontId="2" fillId="0" borderId="2" xfId="0" applyNumberFormat="1" applyFont="1" applyBorder="1" applyAlignment="1">
      <alignment horizontal="right" vertical="bottom" textRotation="0" indent="0" readingOrder="0"/>
    </xf>
    <xf numFmtId="164" fontId="2" fillId="3" borderId="0" xfId="0" applyNumberFormat="1" applyFont="1" applyFill="1" applyAlignment="1">
      <alignment horizontal="center" vertical="bottom" textRotation="0" indent="0" readingOrder="0"/>
    </xf>
    <xf numFmtId="174" fontId="3" fillId="4" borderId="1" xfId="0" applyNumberFormat="1" applyFont="1" applyFill="1" applyBorder="1" applyAlignment="1">
      <alignment horizontal="right" vertical="bottom" textRotation="0" indent="0" readingOrder="0"/>
    </xf>
    <xf numFmtId="166" fontId="5" fillId="0" borderId="0" xfId="0" applyNumberFormat="1" applyFont="1" applyAlignment="1">
      <alignment horizontal="right" vertical="bottom" textRotation="0" indent="0" readingOrder="0"/>
    </xf>
    <xf numFmtId="166" fontId="5"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5" fontId="3" fillId="4" borderId="1" xfId="0" applyNumberFormat="1" applyFont="1" applyFill="1" applyBorder="1" applyAlignment="1">
      <alignment horizontal="right" vertical="bottom" textRotation="0" indent="0" readingOrder="0"/>
    </xf>
    <xf numFmtId="168" fontId="3" fillId="4" borderId="1" xfId="0" applyNumberFormat="1" applyFont="1" applyFill="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64" fontId="6" fillId="2" borderId="1" xfId="0" applyNumberFormat="1" applyFont="1" applyFill="1" applyBorder="1"/>
    <xf numFmtId="174" fontId="2" fillId="0" borderId="3" xfId="0" applyNumberFormat="1" applyFont="1" applyBorder="1" applyAlignment="1">
      <alignment horizontal="right" vertical="bottom" textRotation="0" indent="0" readingOrder="0"/>
    </xf>
    <xf numFmtId="164" fontId="2" fillId="2" borderId="0" xfId="0" applyNumberFormat="1" applyFont="1" applyFill="1" applyAlignment="1">
      <alignment horizontal="center" vertical="bottom" textRotation="0" indent="0" readingOrder="0"/>
    </xf>
    <xf numFmtId="170" fontId="2" fillId="0" borderId="2" xfId="0" applyNumberFormat="1" applyFont="1" applyBorder="1" applyAlignment="1">
      <alignment horizontal="right" vertical="bottom" textRotation="0" indent="0" readingOrder="0"/>
    </xf>
    <xf numFmtId="165" fontId="4" fillId="0" borderId="2" xfId="0" applyNumberFormat="1" applyFont="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5" fontId="7" fillId="0" borderId="1" xfId="0" applyNumberFormat="1" applyFont="1" applyBorder="1" applyAlignment="1">
      <alignment horizontal="right" vertical="bottom" textRotation="0" indent="0" readingOrder="0"/>
    </xf>
    <xf numFmtId="170" fontId="3" fillId="0" borderId="0" xfId="0" applyNumberFormat="1" applyFont="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70" fontId="2" fillId="0" borderId="3" xfId="0" applyNumberFormat="1" applyFont="1" applyBorder="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74" fontId="3" fillId="4" borderId="0" xfId="0" applyNumberFormat="1" applyFont="1" applyFill="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70" fontId="3" fillId="4" borderId="1" xfId="0" applyNumberFormat="1" applyFont="1" applyFill="1" applyBorder="1" applyAlignment="1">
      <alignment horizontal="right" vertical="bottom" textRotation="0" indent="0" readingOrder="0"/>
    </xf>
    <xf numFmtId="170" fontId="3" fillId="4" borderId="0" xfId="0" applyNumberFormat="1" applyFont="1" applyFill="1" applyAlignment="1">
      <alignment horizontal="right" vertical="bottom" textRotation="0" indent="0" readingOrder="0"/>
    </xf>
    <xf numFmtId="164" fontId="6" fillId="2" borderId="0" xfId="0" applyNumberFormat="1" applyFont="1" applyFill="1"/>
    <xf numFmtId="174" fontId="5" fillId="0" borderId="0" xfId="0" applyNumberFormat="1" applyFont="1" applyAlignment="1">
      <alignment horizontal="right" vertical="bottom" textRotation="0" indent="0" readingOrder="0"/>
    </xf>
    <xf numFmtId="174" fontId="3" fillId="4" borderId="1" xfId="0" applyNumberFormat="1" applyFont="1" applyFill="1" applyBorder="1" applyAlignment="1">
      <alignment horizontal="right" vertical="bottom" textRotation="0" indent="0" readingOrder="0"/>
    </xf>
    <xf numFmtId="175" fontId="3" fillId="4" borderId="0" xfId="0" applyNumberFormat="1" applyFont="1" applyFill="1" applyAlignment="1">
      <alignment horizontal="right" vertical="bottom" textRotation="0" indent="0" readingOrder="0"/>
    </xf>
    <xf numFmtId="164" fontId="6" fillId="0" borderId="0" xfId="0" applyNumberFormat="1" applyFont="1"/>
    <xf numFmtId="170" fontId="5" fillId="0" borderId="1" xfId="0" applyNumberFormat="1" applyFont="1" applyBorder="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8" fontId="3" fillId="4" borderId="1" xfId="0" applyNumberFormat="1" applyFont="1" applyFill="1" applyBorder="1" applyAlignment="1">
      <alignment horizontal="right" vertical="bottom" textRotation="0" indent="0" readingOrder="0"/>
    </xf>
    <xf numFmtId="175"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2" fillId="3" borderId="0" xfId="0" applyNumberFormat="1" applyFont="1" applyFill="1" applyAlignment="1">
      <alignment horizontal="center" vertical="bottom" textRotation="0" indent="0" readingOrder="0"/>
    </xf>
    <xf numFmtId="170" fontId="2" fillId="0" borderId="2" xfId="0" applyNumberFormat="1" applyFont="1" applyBorder="1" applyAlignment="1">
      <alignment horizontal="right" vertical="bottom" textRotation="0" indent="0" readingOrder="0"/>
    </xf>
    <xf numFmtId="164" fontId="6" fillId="2" borderId="1" xfId="0" applyNumberFormat="1" applyFont="1" applyFill="1" applyBorder="1"/>
    <xf numFmtId="164" fontId="2" fillId="0" borderId="2" xfId="0" applyNumberFormat="1" applyFont="1" applyBorder="1" applyAlignment="1">
      <alignment horizontal="left" vertical="bottom" textRotation="0" indent="0" readingOrder="0"/>
    </xf>
    <xf numFmtId="165" fontId="2" fillId="0" borderId="2" xfId="0" applyNumberFormat="1" applyFont="1" applyBorder="1" applyAlignment="1">
      <alignment horizontal="right" vertical="bottom" textRotation="0" indent="0" readingOrder="0"/>
    </xf>
    <xf numFmtId="166" fontId="5" fillId="0" borderId="0" xfId="0" applyNumberFormat="1" applyFont="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8" fontId="3" fillId="4" borderId="0" xfId="0" applyNumberFormat="1" applyFont="1" applyFill="1" applyAlignment="1">
      <alignment horizontal="right" vertical="bottom" textRotation="0" indent="0" readingOrder="0"/>
    </xf>
    <xf numFmtId="165" fontId="3" fillId="4" borderId="1" xfId="0" applyNumberFormat="1" applyFont="1" applyFill="1" applyBorder="1" applyAlignment="1">
      <alignment horizontal="right" vertical="bottom" textRotation="0" indent="0" readingOrder="0"/>
    </xf>
    <xf numFmtId="174" fontId="2" fillId="0" borderId="2" xfId="0" applyNumberFormat="1" applyFont="1" applyBorder="1" applyAlignment="1">
      <alignment horizontal="right" vertical="bottom" textRotation="0" indent="0" readingOrder="0"/>
    </xf>
    <xf numFmtId="164" fontId="6" fillId="3" borderId="0" xfId="0" applyNumberFormat="1" applyFont="1" applyFill="1"/>
    <xf numFmtId="164" fontId="2" fillId="2" borderId="0" xfId="0" applyNumberFormat="1" applyFont="1" applyFill="1" applyAlignment="1">
      <alignment horizontal="center" vertical="bottom" textRotation="0" indent="0" readingOrder="0"/>
    </xf>
    <xf numFmtId="164" fontId="6" fillId="0" borderId="1" xfId="0" applyNumberFormat="1" applyFont="1" applyBorder="1"/>
    <xf numFmtId="175" fontId="3" fillId="4" borderId="1" xfId="0" applyNumberFormat="1" applyFont="1" applyFill="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3" fillId="4" borderId="0" xfId="0" applyNumberFormat="1" applyFont="1" applyFill="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66" fontId="5" fillId="0" borderId="1" xfId="0" applyNumberFormat="1" applyFont="1" applyBorder="1" applyAlignment="1">
      <alignment horizontal="right" vertical="bottom" textRotation="0" indent="0" readingOrder="0"/>
    </xf>
    <xf numFmtId="174" fontId="5" fillId="0" borderId="1" xfId="0" applyNumberFormat="1" applyFont="1" applyBorder="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75" fontId="5" fillId="0" borderId="1" xfId="0" applyNumberFormat="1" applyFont="1" applyBorder="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65" fontId="3" fillId="0" borderId="0" xfId="0" applyNumberFormat="1" applyFont="1" applyAlignment="1">
      <alignment horizontal="right" vertical="bottom" textRotation="0" indent="0" readingOrder="0"/>
    </xf>
    <xf numFmtId="174" fontId="2" fillId="0" borderId="3" xfId="0" applyNumberFormat="1" applyFont="1" applyBorder="1" applyAlignment="1">
      <alignment horizontal="right" vertical="bottom" textRotation="0" indent="0" readingOrder="0"/>
    </xf>
    <xf numFmtId="165" fontId="4" fillId="0" borderId="2" xfId="0" applyNumberFormat="1" applyFont="1" applyBorder="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70" fontId="3" fillId="0" borderId="0" xfId="0" applyNumberFormat="1" applyFont="1" applyAlignment="1">
      <alignment horizontal="right" vertical="bottom" textRotation="0" indent="0" readingOrder="0"/>
    </xf>
    <xf numFmtId="170" fontId="2" fillId="0" borderId="3" xfId="0" applyNumberFormat="1" applyFont="1" applyBorder="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74" fontId="3" fillId="4" borderId="0" xfId="0" applyNumberFormat="1" applyFont="1" applyFill="1" applyAlignment="1">
      <alignment horizontal="right" vertical="bottom" textRotation="0" indent="0" readingOrder="0"/>
    </xf>
    <xf numFmtId="164" fontId="6" fillId="0" borderId="0" xfId="0" applyNumberFormat="1" applyFont="1"/>
    <xf numFmtId="168" fontId="5" fillId="0" borderId="0" xfId="0" applyNumberFormat="1" applyFont="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70" fontId="3" fillId="4" borderId="0" xfId="0" applyNumberFormat="1" applyFont="1" applyFill="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6" fillId="3" borderId="0" xfId="0" applyNumberFormat="1" applyFont="1" applyFill="1"/>
    <xf numFmtId="175" fontId="3" fillId="4" borderId="0" xfId="0" applyNumberFormat="1" applyFont="1" applyFill="1" applyAlignment="1">
      <alignment horizontal="right" vertical="bottom" textRotation="0" indent="0" readingOrder="0"/>
    </xf>
    <xf numFmtId="175" fontId="5" fillId="0" borderId="0" xfId="0" applyNumberFormat="1" applyFont="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66" fontId="5" fillId="0" borderId="0" xfId="0" applyNumberFormat="1" applyFont="1" applyAlignment="1">
      <alignment horizontal="right" vertical="bottom" textRotation="0" indent="0" readingOrder="0"/>
    </xf>
    <xf numFmtId="164" fontId="6" fillId="0" borderId="1" xfId="0" applyNumberFormat="1" applyFont="1" applyBorder="1"/>
    <xf numFmtId="164" fontId="2" fillId="2" borderId="0" xfId="0" applyNumberFormat="1" applyFont="1" applyFill="1" applyAlignment="1">
      <alignment horizontal="center" vertical="bottom" textRotation="0" indent="0" readingOrder="0"/>
    </xf>
    <xf numFmtId="174" fontId="5" fillId="0" borderId="0" xfId="0" applyNumberFormat="1" applyFont="1" applyAlignment="1">
      <alignment horizontal="right" vertical="bottom" textRotation="0" indent="0" readingOrder="0"/>
    </xf>
    <xf numFmtId="165" fontId="3" fillId="4" borderId="0" xfId="0" applyNumberFormat="1" applyFont="1" applyFill="1" applyAlignment="1">
      <alignment horizontal="right" vertical="bottom" textRotation="0" indent="0" readingOrder="0"/>
    </xf>
    <xf numFmtId="175" fontId="3" fillId="4" borderId="1" xfId="0" applyNumberFormat="1" applyFont="1" applyFill="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4" fontId="6" fillId="2" borderId="0" xfId="0" applyNumberFormat="1" applyFont="1" applyFill="1"/>
    <xf numFmtId="174" fontId="3" fillId="4" borderId="1" xfId="0" applyNumberFormat="1" applyFont="1" applyFill="1" applyBorder="1" applyAlignment="1">
      <alignment horizontal="right" vertical="bottom" textRotation="0" indent="0" readingOrder="0"/>
    </xf>
    <xf numFmtId="175" fontId="5" fillId="0" borderId="1" xfId="0" applyNumberFormat="1" applyFont="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70" fontId="3" fillId="4" borderId="1" xfId="0" applyNumberFormat="1" applyFont="1" applyFill="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6" fontId="5" fillId="0" borderId="1" xfId="0" applyNumberFormat="1" applyFont="1" applyBorder="1" applyAlignment="1">
      <alignment horizontal="right" vertical="bottom" textRotation="0" indent="0" readingOrder="0"/>
    </xf>
    <xf numFmtId="174" fontId="5" fillId="0" borderId="1" xfId="0" applyNumberFormat="1" applyFont="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70" fontId="5" fillId="0" borderId="1" xfId="0" applyNumberFormat="1" applyFont="1" applyBorder="1" applyAlignment="1">
      <alignment horizontal="right" vertical="bottom" textRotation="0" indent="0" readingOrder="0"/>
    </xf>
    <xf numFmtId="164" fontId="6" fillId="2" borderId="1" xfId="0" applyNumberFormat="1" applyFont="1" applyFill="1" applyBorder="1"/>
    <xf numFmtId="164" fontId="2" fillId="3" borderId="0" xfId="0" applyNumberFormat="1" applyFont="1" applyFill="1" applyAlignment="1">
      <alignment horizontal="left" vertical="bottom" textRotation="0" indent="0" readingOrder="0"/>
    </xf>
    <xf numFmtId="164" fontId="2" fillId="2" borderId="1" xfId="0" applyNumberFormat="1" applyFont="1" applyFill="1" applyBorder="1" applyAlignment="1">
      <alignment horizontal="center" vertical="bottom" textRotation="0" indent="0" readingOrder="0"/>
    </xf>
    <xf numFmtId="168" fontId="3" fillId="4" borderId="1" xfId="0" applyNumberFormat="1" applyFont="1" applyFill="1" applyBorder="1" applyAlignment="1">
      <alignment horizontal="right" vertical="bottom" textRotation="0" indent="0" readingOrder="0"/>
    </xf>
    <xf numFmtId="164" fontId="2" fillId="3" borderId="0" xfId="0" applyNumberFormat="1" applyFont="1" applyFill="1" applyAlignment="1">
      <alignment horizontal="center" vertical="bottom" textRotation="0" indent="0" readingOrder="0"/>
    </xf>
    <xf numFmtId="165" fontId="3" fillId="4" borderId="1" xfId="0" applyNumberFormat="1" applyFont="1" applyFill="1" applyBorder="1" applyAlignment="1">
      <alignment horizontal="right" vertical="bottom" textRotation="0" indent="0" readingOrder="0"/>
    </xf>
    <xf numFmtId="174" fontId="2" fillId="0" borderId="2" xfId="0" applyNumberFormat="1" applyFont="1" applyBorder="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70" fontId="2" fillId="0" borderId="2" xfId="0" applyNumberFormat="1" applyFont="1" applyBorder="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74" fontId="2" fillId="0" borderId="3" xfId="0" applyNumberFormat="1" applyFont="1" applyBorder="1" applyAlignment="1">
      <alignment horizontal="right" vertical="bottom" textRotation="0" indent="0" readingOrder="0"/>
    </xf>
    <xf numFmtId="165" fontId="4" fillId="0" borderId="2" xfId="0" applyNumberFormat="1" applyFont="1" applyBorder="1" applyAlignment="1">
      <alignment horizontal="right" vertical="bottom" textRotation="0" indent="0" readingOrder="0"/>
    </xf>
    <xf numFmtId="170" fontId="2" fillId="0" borderId="3" xfId="0" applyNumberFormat="1" applyFont="1" applyBorder="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70" fontId="3" fillId="0" borderId="0" xfId="0" applyNumberFormat="1" applyFont="1" applyAlignment="1">
      <alignment horizontal="right" vertical="bottom" textRotation="0" indent="0" readingOrder="0"/>
    </xf>
    <xf numFmtId="174" fontId="3" fillId="4" borderId="0" xfId="0" applyNumberFormat="1" applyFont="1" applyFill="1" applyAlignment="1">
      <alignment horizontal="right" vertical="bottom" textRotation="0" indent="0" readingOrder="0"/>
    </xf>
    <xf numFmtId="174" fontId="5" fillId="0" borderId="0" xfId="0" applyNumberFormat="1" applyFont="1" applyAlignment="1">
      <alignment horizontal="right" vertical="bottom" textRotation="0" indent="0" readingOrder="0"/>
    </xf>
    <xf numFmtId="166" fontId="5" fillId="0" borderId="0" xfId="0" applyNumberFormat="1" applyFont="1" applyAlignment="1">
      <alignment horizontal="right" vertical="bottom" textRotation="0" indent="0" readingOrder="0"/>
    </xf>
    <xf numFmtId="165" fontId="3" fillId="4" borderId="0" xfId="0" applyNumberFormat="1" applyFont="1" applyFill="1" applyAlignment="1">
      <alignment horizontal="right" vertical="bottom" textRotation="0" indent="0" readingOrder="0"/>
    </xf>
    <xf numFmtId="165" fontId="3" fillId="4" borderId="1" xfId="0" applyNumberFormat="1" applyFont="1" applyFill="1" applyBorder="1" applyAlignment="1">
      <alignment horizontal="right" vertical="bottom" textRotation="0" indent="0" readingOrder="0"/>
    </xf>
    <xf numFmtId="164" fontId="6" fillId="0" borderId="0" xfId="0" applyNumberFormat="1" applyFont="1"/>
    <xf numFmtId="175" fontId="5" fillId="0" borderId="0" xfId="0" applyNumberFormat="1" applyFont="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70" fontId="3" fillId="4" borderId="0" xfId="0" applyNumberFormat="1" applyFont="1" applyFill="1" applyAlignment="1">
      <alignment horizontal="right" vertical="bottom" textRotation="0" indent="0" readingOrder="0"/>
    </xf>
    <xf numFmtId="164" fontId="6" fillId="2" borderId="0" xfId="0" applyNumberFormat="1" applyFont="1" applyFill="1"/>
    <xf numFmtId="168" fontId="5" fillId="0" borderId="0" xfId="0" applyNumberFormat="1" applyFont="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75" fontId="3" fillId="4" borderId="0" xfId="0" applyNumberFormat="1" applyFont="1" applyFill="1" applyAlignment="1">
      <alignment horizontal="right" vertical="bottom" textRotation="0" indent="0" readingOrder="0"/>
    </xf>
    <xf numFmtId="174" fontId="3" fillId="4" borderId="1" xfId="0" applyNumberFormat="1" applyFont="1" applyFill="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2" fillId="0" borderId="2" xfId="0" applyNumberFormat="1" applyFont="1" applyBorder="1" applyAlignment="1">
      <alignment horizontal="right" vertical="bottom" textRotation="0" indent="0" readingOrder="0"/>
    </xf>
    <xf numFmtId="166" fontId="5" fillId="0" borderId="1" xfId="0" applyNumberFormat="1" applyFont="1" applyBorder="1" applyAlignment="1">
      <alignment horizontal="right" vertical="bottom" textRotation="0" indent="0" readingOrder="0"/>
    </xf>
    <xf numFmtId="175" fontId="3" fillId="4" borderId="1" xfId="0" applyNumberFormat="1" applyFont="1" applyFill="1" applyBorder="1" applyAlignment="1">
      <alignment horizontal="right" vertical="bottom" textRotation="0" indent="0" readingOrder="0"/>
    </xf>
    <xf numFmtId="164" fontId="6" fillId="0" borderId="1" xfId="0" applyNumberFormat="1" applyFont="1" applyBorder="1"/>
    <xf numFmtId="164" fontId="2" fillId="3" borderId="0" xfId="0" applyNumberFormat="1" applyFont="1" applyFill="1" applyAlignment="1">
      <alignment horizontal="center" vertical="bottom" textRotation="0" indent="0" readingOrder="0"/>
    </xf>
    <xf numFmtId="168" fontId="3" fillId="4" borderId="1" xfId="0" applyNumberFormat="1" applyFont="1" applyFill="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4" fontId="6" fillId="3" borderId="0" xfId="0" applyNumberFormat="1" applyFont="1" applyFill="1"/>
    <xf numFmtId="174" fontId="2" fillId="0" borderId="2" xfId="0" applyNumberFormat="1" applyFont="1" applyBorder="1" applyAlignment="1">
      <alignment horizontal="right" vertical="bottom" textRotation="0" indent="0" readingOrder="0"/>
    </xf>
    <xf numFmtId="170" fontId="2" fillId="0" borderId="2" xfId="0" applyNumberFormat="1" applyFont="1" applyBorder="1" applyAlignment="1">
      <alignment horizontal="right" vertical="bottom" textRotation="0" indent="0" readingOrder="0"/>
    </xf>
    <xf numFmtId="164" fontId="6" fillId="2" borderId="1" xfId="0" applyNumberFormat="1" applyFont="1" applyFill="1" applyBorder="1"/>
    <xf numFmtId="165" fontId="2" fillId="0" borderId="3" xfId="0" applyNumberFormat="1" applyFont="1" applyBorder="1" applyAlignment="1">
      <alignment horizontal="right" vertical="bottom" textRotation="0" indent="0" readingOrder="0"/>
    </xf>
    <xf numFmtId="170" fontId="3" fillId="4" borderId="1" xfId="0" applyNumberFormat="1" applyFont="1" applyFill="1" applyBorder="1" applyAlignment="1">
      <alignment horizontal="right" vertical="bottom" textRotation="0" indent="0" readingOrder="0"/>
    </xf>
    <xf numFmtId="174" fontId="2" fillId="0" borderId="3" xfId="0" applyNumberFormat="1" applyFont="1" applyBorder="1" applyAlignment="1">
      <alignment horizontal="right" vertical="bottom" textRotation="0" indent="0" readingOrder="0"/>
    </xf>
    <xf numFmtId="174" fontId="5" fillId="0" borderId="1" xfId="0" applyNumberFormat="1" applyFont="1" applyBorder="1" applyAlignment="1">
      <alignment horizontal="right" vertical="bottom" textRotation="0" indent="0" readingOrder="0"/>
    </xf>
    <xf numFmtId="165" fontId="4" fillId="0" borderId="2" xfId="0" applyNumberFormat="1" applyFont="1" applyBorder="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70" fontId="5"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75" fontId="5" fillId="0" borderId="1" xfId="0" applyNumberFormat="1" applyFont="1" applyBorder="1" applyAlignment="1">
      <alignment horizontal="right" vertical="bottom" textRotation="0" indent="0" readingOrder="0"/>
    </xf>
    <xf numFmtId="170" fontId="2" fillId="0" borderId="3" xfId="0" applyNumberFormat="1" applyFont="1" applyBorder="1" applyAlignment="1">
      <alignment horizontal="right" vertical="bottom" textRotation="0" indent="0" readingOrder="0"/>
    </xf>
    <xf numFmtId="164" fontId="2" fillId="2" borderId="0" xfId="0" applyNumberFormat="1" applyFont="1" applyFill="1" applyAlignment="1">
      <alignment horizontal="center" vertical="bottom" textRotation="0" indent="0" readingOrder="0"/>
    </xf>
    <xf numFmtId="164" fontId="2" fillId="0" borderId="2" xfId="0" applyNumberFormat="1" applyFont="1" applyBorder="1" applyAlignment="1">
      <alignment horizontal="left" vertical="bottom" textRotation="0" indent="0" readingOrder="0"/>
    </xf>
    <xf numFmtId="165" fontId="7" fillId="0" borderId="1" xfId="0" applyNumberFormat="1" applyFont="1" applyBorder="1" applyAlignment="1">
      <alignment horizontal="right" vertical="bottom" textRotation="0" indent="0" readingOrder="0"/>
    </xf>
    <xf numFmtId="170" fontId="3" fillId="0" borderId="0" xfId="0" applyNumberFormat="1" applyFont="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74" fontId="3" fillId="4" borderId="0" xfId="0" applyNumberFormat="1" applyFont="1" applyFill="1" applyAlignment="1">
      <alignment horizontal="right" vertical="bottom" textRotation="0" indent="0" readingOrder="0"/>
    </xf>
    <xf numFmtId="164" fontId="6" fillId="3" borderId="0" xfId="0" applyNumberFormat="1" applyFont="1" applyFill="1"/>
    <xf numFmtId="175" fontId="5" fillId="0" borderId="0" xfId="0" applyNumberFormat="1" applyFont="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6" fontId="5" fillId="0" borderId="0" xfId="0" applyNumberFormat="1" applyFont="1" applyAlignment="1">
      <alignment horizontal="right" vertical="bottom" textRotation="0" indent="0" readingOrder="0"/>
    </xf>
    <xf numFmtId="165" fontId="3" fillId="4" borderId="0" xfId="0" applyNumberFormat="1" applyFont="1" applyFill="1" applyAlignment="1">
      <alignment horizontal="right" vertical="bottom" textRotation="0" indent="0" readingOrder="0"/>
    </xf>
    <xf numFmtId="165" fontId="3" fillId="4" borderId="1" xfId="0" applyNumberFormat="1" applyFont="1" applyFill="1" applyBorder="1" applyAlignment="1">
      <alignment horizontal="right" vertical="bottom" textRotation="0" indent="0" readingOrder="0"/>
    </xf>
    <xf numFmtId="164" fontId="6" fillId="0" borderId="0" xfId="0" applyNumberFormat="1" applyFont="1"/>
    <xf numFmtId="165" fontId="5" fillId="0" borderId="0" xfId="0" applyNumberFormat="1" applyFont="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70" fontId="3" fillId="4" borderId="0" xfId="0" applyNumberFormat="1" applyFont="1" applyFill="1" applyAlignment="1">
      <alignment horizontal="right" vertical="bottom" textRotation="0" indent="0" readingOrder="0"/>
    </xf>
    <xf numFmtId="174" fontId="5" fillId="0" borderId="0" xfId="0" applyNumberFormat="1" applyFont="1" applyAlignment="1">
      <alignment horizontal="right" vertical="bottom" textRotation="0" indent="0" readingOrder="0"/>
    </xf>
    <xf numFmtId="164" fontId="6" fillId="0" borderId="1" xfId="0" applyNumberFormat="1" applyFont="1" applyBorder="1"/>
    <xf numFmtId="175" fontId="3" fillId="4" borderId="0" xfId="0" applyNumberFormat="1" applyFont="1" applyFill="1" applyAlignment="1">
      <alignment horizontal="right" vertical="bottom" textRotation="0" indent="0" readingOrder="0"/>
    </xf>
    <xf numFmtId="164" fontId="6" fillId="2" borderId="1" xfId="0" applyNumberFormat="1" applyFont="1" applyFill="1" applyBorder="1"/>
    <xf numFmtId="174" fontId="3" fillId="4" borderId="1" xfId="0" applyNumberFormat="1" applyFont="1" applyFill="1" applyBorder="1" applyAlignment="1">
      <alignment horizontal="right" vertical="bottom" textRotation="0" indent="0" readingOrder="0"/>
    </xf>
    <xf numFmtId="174" fontId="5" fillId="0" borderId="1"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8" fontId="3" fillId="4" borderId="0" xfId="0" applyNumberFormat="1" applyFont="1" applyFill="1" applyAlignment="1">
      <alignment horizontal="right" vertical="bottom" textRotation="0" indent="0" readingOrder="0"/>
    </xf>
    <xf numFmtId="164" fontId="6" fillId="2" borderId="0" xfId="0" applyNumberFormat="1" applyFont="1" applyFill="1"/>
    <xf numFmtId="168" fontId="5" fillId="0" borderId="0" xfId="0" applyNumberFormat="1" applyFont="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66" fontId="5" fillId="0" borderId="1" xfId="0" applyNumberFormat="1" applyFont="1" applyBorder="1" applyAlignment="1">
      <alignment horizontal="right" vertical="bottom" textRotation="0" indent="0" readingOrder="0"/>
    </xf>
    <xf numFmtId="175" fontId="3" fillId="4" borderId="1" xfId="0" applyNumberFormat="1" applyFont="1" applyFill="1" applyBorder="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4" fontId="2" fillId="3" borderId="0" xfId="0" applyNumberFormat="1" applyFont="1" applyFill="1" applyAlignment="1">
      <alignment horizontal="left" vertical="bottom" textRotation="0" indent="0" readingOrder="0"/>
    </xf>
    <xf numFmtId="168" fontId="3" fillId="4" borderId="1" xfId="0" applyNumberFormat="1" applyFont="1" applyFill="1" applyBorder="1" applyAlignment="1">
      <alignment horizontal="right" vertical="bottom" textRotation="0" indent="0" readingOrder="0"/>
    </xf>
    <xf numFmtId="174" fontId="2" fillId="0" borderId="2" xfId="0" applyNumberFormat="1" applyFont="1" applyBorder="1" applyAlignment="1">
      <alignment horizontal="right" vertical="bottom" textRotation="0" indent="0" readingOrder="0"/>
    </xf>
    <xf numFmtId="164" fontId="2" fillId="3" borderId="0" xfId="0" applyNumberFormat="1" applyFont="1" applyFill="1" applyAlignment="1">
      <alignment horizontal="center" vertical="bottom" textRotation="0" indent="0" readingOrder="0"/>
    </xf>
    <xf numFmtId="170" fontId="5" fillId="0" borderId="1" xfId="0" applyNumberFormat="1" applyFont="1" applyBorder="1" applyAlignment="1">
      <alignment horizontal="right" vertical="bottom" textRotation="0" indent="0" readingOrder="0"/>
    </xf>
    <xf numFmtId="164" fontId="2" fillId="2" borderId="0" xfId="0" applyNumberFormat="1" applyFont="1" applyFill="1" applyAlignment="1">
      <alignment horizontal="center" vertical="bottom" textRotation="0" indent="0" readingOrder="0"/>
    </xf>
    <xf numFmtId="165" fontId="7" fillId="0" borderId="1" xfId="0" applyNumberFormat="1" applyFont="1" applyBorder="1" applyAlignment="1">
      <alignment horizontal="right" vertical="bottom" textRotation="0" indent="0" readingOrder="0"/>
    </xf>
    <xf numFmtId="175" fontId="5" fillId="0" borderId="1" xfId="0" applyNumberFormat="1" applyFont="1" applyBorder="1" applyAlignment="1">
      <alignment horizontal="right" vertical="bottom" textRotation="0" indent="0" readingOrder="0"/>
    </xf>
    <xf numFmtId="170" fontId="3" fillId="4" borderId="1" xfId="0" applyNumberFormat="1" applyFont="1" applyFill="1" applyBorder="1" applyAlignment="1">
      <alignment horizontal="right" vertical="bottom" textRotation="0" indent="0" readingOrder="0"/>
    </xf>
    <xf numFmtId="174" fontId="2" fillId="0" borderId="3" xfId="0" applyNumberFormat="1" applyFont="1" applyBorder="1" applyAlignment="1">
      <alignment horizontal="right" vertical="bottom" textRotation="0" indent="0" readingOrder="0"/>
    </xf>
    <xf numFmtId="170" fontId="3" fillId="0" borderId="0" xfId="0" applyNumberFormat="1" applyFont="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70" fontId="2" fillId="0" borderId="2" xfId="0" applyNumberFormat="1" applyFont="1" applyBorder="1" applyAlignment="1">
      <alignment horizontal="right" vertical="bottom" textRotation="0" indent="0" readingOrder="0"/>
    </xf>
    <xf numFmtId="165" fontId="4" fillId="0" borderId="2" xfId="0" applyNumberFormat="1" applyFont="1" applyBorder="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70" fontId="2" fillId="0" borderId="3" xfId="0" applyNumberFormat="1" applyFont="1" applyBorder="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5" fontId="3" fillId="4" borderId="0" xfId="0" applyNumberFormat="1" applyFont="1" applyFill="1" applyAlignment="1">
      <alignment horizontal="right" vertical="bottom" textRotation="0" indent="0" readingOrder="0"/>
    </xf>
    <xf numFmtId="164" fontId="6" fillId="3" borderId="0" xfId="0" applyNumberFormat="1" applyFont="1" applyFill="1"/>
    <xf numFmtId="165" fontId="5" fillId="0" borderId="0" xfId="0" applyNumberFormat="1" applyFont="1" applyAlignment="1">
      <alignment horizontal="right" vertical="bottom" textRotation="0" indent="0" readingOrder="0"/>
    </xf>
    <xf numFmtId="175"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70" fontId="3" fillId="4" borderId="0" xfId="0" applyNumberFormat="1" applyFont="1" applyFill="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74" fontId="3" fillId="4" borderId="1" xfId="0" applyNumberFormat="1" applyFont="1" applyFill="1" applyBorder="1" applyAlignment="1">
      <alignment horizontal="right" vertical="bottom" textRotation="0" indent="0" readingOrder="0"/>
    </xf>
    <xf numFmtId="164" fontId="6" fillId="0" borderId="0" xfId="0" applyNumberFormat="1" applyFont="1"/>
    <xf numFmtId="164" fontId="6" fillId="0" borderId="1" xfId="0" applyNumberFormat="1" applyFont="1" applyBorder="1"/>
    <xf numFmtId="165" fontId="5" fillId="0" borderId="1" xfId="0" applyNumberFormat="1" applyFont="1" applyBorder="1" applyAlignment="1">
      <alignment horizontal="right" vertical="bottom" textRotation="0" indent="0" readingOrder="0"/>
    </xf>
    <xf numFmtId="166" fontId="5" fillId="0" borderId="0" xfId="0" applyNumberFormat="1" applyFont="1" applyAlignment="1">
      <alignment horizontal="right" vertical="bottom" textRotation="0" indent="0" readingOrder="0"/>
    </xf>
    <xf numFmtId="170" fontId="5" fillId="0" borderId="1" xfId="0" applyNumberFormat="1" applyFont="1" applyBorder="1" applyAlignment="1">
      <alignment horizontal="right" vertical="bottom" textRotation="0" indent="0" readingOrder="0"/>
    </xf>
    <xf numFmtId="174" fontId="3" fillId="4" borderId="0" xfId="0" applyNumberFormat="1" applyFont="1" applyFill="1" applyAlignment="1">
      <alignment horizontal="right" vertical="bottom" textRotation="0" indent="0" readingOrder="0"/>
    </xf>
    <xf numFmtId="175" fontId="3" fillId="4" borderId="0" xfId="0" applyNumberFormat="1" applyFont="1" applyFill="1" applyAlignment="1">
      <alignment horizontal="right" vertical="bottom" textRotation="0" indent="0" readingOrder="0"/>
    </xf>
    <xf numFmtId="164" fontId="6" fillId="2" borderId="0" xfId="0" applyNumberFormat="1" applyFont="1" applyFill="1"/>
    <xf numFmtId="174" fontId="5" fillId="0" borderId="0" xfId="0" applyNumberFormat="1" applyFont="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74" fontId="2" fillId="0" borderId="2" xfId="0" applyNumberFormat="1" applyFont="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6" fontId="5" fillId="0" borderId="1" xfId="0" applyNumberFormat="1" applyFont="1" applyBorder="1" applyAlignment="1">
      <alignment horizontal="right" vertical="bottom" textRotation="0" indent="0" readingOrder="0"/>
    </xf>
    <xf numFmtId="170" fontId="3" fillId="4" borderId="1" xfId="0" applyNumberFormat="1" applyFont="1" applyFill="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74" fontId="5" fillId="0" borderId="1" xfId="0" applyNumberFormat="1" applyFont="1" applyBorder="1" applyAlignment="1">
      <alignment horizontal="right" vertical="bottom" textRotation="0" indent="0" readingOrder="0"/>
    </xf>
    <xf numFmtId="168" fontId="3" fillId="4" borderId="1" xfId="0" applyNumberFormat="1" applyFont="1" applyFill="1" applyBorder="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4" fontId="6" fillId="2" borderId="1" xfId="0" applyNumberFormat="1" applyFont="1" applyFill="1" applyBorder="1"/>
    <xf numFmtId="175" fontId="3" fillId="4" borderId="1" xfId="0" applyNumberFormat="1" applyFont="1" applyFill="1" applyBorder="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70" fontId="3" fillId="0" borderId="0" xfId="0" applyNumberFormat="1" applyFont="1" applyAlignment="1">
      <alignment horizontal="right" vertical="bottom" textRotation="0" indent="0" readingOrder="0"/>
    </xf>
    <xf numFmtId="175" fontId="5" fillId="0" borderId="1" xfId="0" applyNumberFormat="1" applyFont="1" applyBorder="1" applyAlignment="1">
      <alignment horizontal="right" vertical="bottom" textRotation="0" indent="0" readingOrder="0"/>
    </xf>
    <xf numFmtId="174" fontId="2" fillId="0" borderId="3" xfId="0" applyNumberFormat="1" applyFont="1" applyBorder="1" applyAlignment="1">
      <alignment horizontal="right" vertical="bottom" textRotation="0" indent="0" readingOrder="0"/>
    </xf>
    <xf numFmtId="164" fontId="2" fillId="2" borderId="0" xfId="0" applyNumberFormat="1" applyFont="1" applyFill="1" applyAlignment="1">
      <alignment horizontal="center" vertical="bottom" textRotation="0" indent="0" readingOrder="0"/>
    </xf>
    <xf numFmtId="165" fontId="3" fillId="4" borderId="1" xfId="0" applyNumberFormat="1" applyFont="1" applyFill="1" applyBorder="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64" fontId="2" fillId="3" borderId="0" xfId="0" applyNumberFormat="1" applyFont="1" applyFill="1" applyAlignment="1">
      <alignment horizontal="center" vertical="bottom" textRotation="0" indent="0" readingOrder="0"/>
    </xf>
    <xf numFmtId="168" fontId="5" fillId="0" borderId="1" xfId="0" applyNumberFormat="1" applyFont="1" applyBorder="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70" fontId="2" fillId="0" borderId="2" xfId="0" applyNumberFormat="1" applyFont="1" applyBorder="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65" fontId="4" fillId="0" borderId="2" xfId="0" applyNumberFormat="1" applyFont="1" applyBorder="1" applyAlignment="1">
      <alignment horizontal="right" vertical="bottom" textRotation="0" indent="0" readingOrder="0"/>
    </xf>
    <xf numFmtId="170" fontId="2" fillId="0" borderId="3"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8" fontId="5" fillId="0" borderId="0" xfId="0" applyNumberFormat="1" applyFont="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6" fillId="2" borderId="1" xfId="0" applyNumberFormat="1" applyFont="1" applyFill="1" applyBorder="1"/>
    <xf numFmtId="165" fontId="3" fillId="0" borderId="0" xfId="0" applyNumberFormat="1" applyFont="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4" fontId="6" fillId="2" borderId="0" xfId="0" applyNumberFormat="1" applyFont="1" applyFill="1"/>
    <xf numFmtId="164" fontId="6" fillId="0" borderId="0" xfId="0" applyNumberFormat="1" applyFont="1"/>
    <xf numFmtId="164" fontId="10" fillId="0" borderId="0" xfId="0" applyNumberFormat="1" applyFont="1" applyAlignment="1">
      <alignment horizontal="left" vertical="bottom" textRotation="0" indent="0" readingOrder="0"/>
    </xf>
    <xf numFmtId="170" fontId="5"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3" fillId="0" borderId="1" xfId="0" applyNumberFormat="1" applyFont="1" applyBorder="1" applyAlignment="1">
      <alignment horizontal="right" vertical="bottom" textRotation="0" indent="0" readingOrder="0"/>
    </xf>
    <xf numFmtId="168" fontId="3" fillId="4" borderId="1" xfId="0" applyNumberFormat="1" applyFont="1" applyFill="1" applyBorder="1" applyAlignment="1">
      <alignment horizontal="right" vertical="bottom" textRotation="0" indent="0" readingOrder="0"/>
    </xf>
    <xf numFmtId="170" fontId="3" fillId="0" borderId="0" xfId="0" applyNumberFormat="1" applyFont="1" applyAlignment="1">
      <alignment horizontal="right" vertical="bottom" textRotation="0" indent="0" readingOrder="0"/>
    </xf>
    <xf numFmtId="164" fontId="6" fillId="3" borderId="0" xfId="0" applyNumberFormat="1" applyFont="1" applyFill="1"/>
    <xf numFmtId="165" fontId="5" fillId="0" borderId="1" xfId="0" applyNumberFormat="1" applyFont="1" applyBorder="1" applyAlignment="1">
      <alignment horizontal="right" vertical="bottom" textRotation="0" indent="0" readingOrder="0"/>
    </xf>
    <xf numFmtId="164" fontId="6" fillId="0" borderId="1" xfId="0" applyNumberFormat="1" applyFont="1" applyBorder="1"/>
    <xf numFmtId="165" fontId="2" fillId="0" borderId="3" xfId="0" applyNumberFormat="1" applyFont="1" applyBorder="1" applyAlignment="1">
      <alignment horizontal="right" vertical="bottom" textRotation="0" indent="0" readingOrder="0"/>
    </xf>
    <xf numFmtId="171" fontId="5" fillId="0" borderId="0" xfId="0" applyNumberFormat="1" applyFont="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70" fontId="3" fillId="0" borderId="1" xfId="0" applyNumberFormat="1" applyFont="1" applyBorder="1" applyAlignment="1">
      <alignment horizontal="right" vertical="bottom" textRotation="0" indent="0" readingOrder="0"/>
    </xf>
    <xf numFmtId="164" fontId="2" fillId="2" borderId="0" xfId="0" applyNumberFormat="1" applyFont="1" applyFill="1" applyAlignment="1">
      <alignment horizontal="center" vertical="bottom" textRotation="0" indent="0" readingOrder="0"/>
    </xf>
    <xf numFmtId="169" fontId="5" fillId="0" borderId="0" xfId="0" applyNumberFormat="1" applyFont="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4" fontId="2" fillId="2" borderId="1" xfId="0" applyNumberFormat="1" applyFont="1" applyFill="1" applyBorder="1" applyAlignment="1">
      <alignment horizontal="center" vertical="bottom" textRotation="0" indent="0" readingOrder="0"/>
    </xf>
    <xf numFmtId="164" fontId="2" fillId="3" borderId="0" xfId="0" applyNumberFormat="1" applyFont="1" applyFill="1" applyAlignment="1">
      <alignment horizontal="center" vertical="bottom" textRotation="0" indent="0" readingOrder="0"/>
    </xf>
    <xf numFmtId="169" fontId="5" fillId="0" borderId="1"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2" fillId="0" borderId="2" xfId="0" applyNumberFormat="1" applyFont="1" applyBorder="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64" fontId="6" fillId="2" borderId="0" xfId="0" applyNumberFormat="1" applyFont="1" applyFill="1"/>
    <xf numFmtId="164" fontId="2" fillId="0" borderId="2" xfId="0" applyNumberFormat="1" applyFont="1" applyBorder="1" applyAlignment="1">
      <alignment horizontal="left" vertical="bottom" textRotation="0" indent="0" readingOrder="0"/>
    </xf>
    <xf numFmtId="164" fontId="2" fillId="3" borderId="0" xfId="0" applyNumberFormat="1" applyFont="1" applyFill="1" applyAlignment="1">
      <alignment horizontal="center" vertical="bottom" textRotation="0" indent="0" readingOrder="0"/>
    </xf>
    <xf numFmtId="164" fontId="6" fillId="0" borderId="0" xfId="0" applyNumberFormat="1" applyFont="1"/>
    <xf numFmtId="165" fontId="5" fillId="0" borderId="1" xfId="0" applyNumberFormat="1" applyFont="1" applyBorder="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64" fontId="2" fillId="2" borderId="0" xfId="0" applyNumberFormat="1" applyFont="1" applyFill="1" applyAlignment="1">
      <alignment horizontal="center" vertical="bottom" textRotation="0" indent="0" readingOrder="0"/>
    </xf>
    <xf numFmtId="164" fontId="6" fillId="3" borderId="0" xfId="0" applyNumberFormat="1" applyFont="1" applyFill="1"/>
    <xf numFmtId="164" fontId="6" fillId="2" borderId="1" xfId="0" applyNumberFormat="1" applyFont="1" applyFill="1" applyBorder="1"/>
    <xf numFmtId="164" fontId="2" fillId="3" borderId="0" xfId="0" applyNumberFormat="1" applyFont="1" applyFill="1" applyAlignment="1">
      <alignment horizontal="left" vertical="bottom" textRotation="0" indent="0" readingOrder="0"/>
    </xf>
    <xf numFmtId="164" fontId="6" fillId="0" borderId="1" xfId="0" applyNumberFormat="1" applyFont="1" applyBorder="1"/>
    <xf numFmtId="165" fontId="7" fillId="0" borderId="1"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2" fillId="3" borderId="0" xfId="0" applyNumberFormat="1" applyFont="1" applyFill="1" applyAlignment="1">
      <alignment horizontal="left" vertical="bottom" textRotation="0" indent="0" readingOrder="0"/>
    </xf>
    <xf numFmtId="164" fontId="5" fillId="0" borderId="0" xfId="0" applyNumberFormat="1" applyFont="1"/>
    <xf numFmtId="165" fontId="7"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2" fillId="2" borderId="1" xfId="0" applyNumberFormat="1" applyFont="1" applyFill="1" applyBorder="1" applyAlignment="1">
      <alignment horizontal="left" vertical="bottom" textRotation="0" indent="0" readingOrder="0"/>
    </xf>
    <xf numFmtId="165" fontId="7" fillId="0" borderId="1" xfId="0" applyNumberFormat="1" applyFont="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64" fontId="5" fillId="0" borderId="0" xfId="0" applyNumberFormat="1" applyFont="1" applyAlignment="1">
      <alignment horizontal="center" vertical="bottom" textRotation="0" indent="0" readingOrder="0"/>
    </xf>
    <xf numFmtId="164" fontId="2" fillId="0" borderId="0" xfId="0" applyNumberFormat="1" applyFont="1" applyAlignment="1">
      <alignment horizontal="left" vertical="bottom" textRotation="0" indent="0" readingOrder="0"/>
    </xf>
    <xf numFmtId="164" fontId="2" fillId="0" borderId="0" xfId="0" applyNumberFormat="1" applyFont="1" applyAlignment="1">
      <alignment horizontal="center" vertical="bottom" textRotation="0" indent="0" readingOrder="0"/>
    </xf>
    <xf numFmtId="170"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5" fillId="0" borderId="0" xfId="0" applyNumberFormat="1" applyFont="1" applyAlignment="1">
      <alignment horizontal="right" vertical="bottom" textRotation="0" indent="0" readingOrder="0"/>
    </xf>
    <xf numFmtId="170" fontId="3" fillId="4" borderId="0" xfId="0" applyNumberFormat="1" applyFont="1" applyFill="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74" fontId="5" fillId="0" borderId="0" xfId="0" applyNumberFormat="1" applyFont="1" applyAlignment="1">
      <alignment horizontal="right" vertical="bottom" textRotation="0" indent="0" readingOrder="0"/>
    </xf>
    <xf numFmtId="170" fontId="2" fillId="0" borderId="2" xfId="0" applyNumberFormat="1" applyFont="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74" fontId="2" fillId="0" borderId="2" xfId="0" applyNumberFormat="1" applyFont="1" applyBorder="1" applyAlignment="1">
      <alignment horizontal="right" vertical="bottom" textRotation="0" indent="0" readingOrder="0"/>
    </xf>
    <xf numFmtId="164" fontId="6" fillId="3" borderId="0" xfId="0" applyNumberFormat="1" applyFont="1" applyFill="1"/>
    <xf numFmtId="165" fontId="2" fillId="0" borderId="2" xfId="0" applyNumberFormat="1" applyFont="1" applyBorder="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4" fontId="6" fillId="2" borderId="1" xfId="0" applyNumberFormat="1" applyFont="1" applyFill="1" applyBorder="1"/>
    <xf numFmtId="174" fontId="3" fillId="4" borderId="0" xfId="0" applyNumberFormat="1" applyFont="1" applyFill="1" applyAlignment="1">
      <alignment horizontal="right" vertical="bottom" textRotation="0" indent="0" readingOrder="0"/>
    </xf>
    <xf numFmtId="164" fontId="6" fillId="0" borderId="0" xfId="0" applyNumberFormat="1" applyFont="1"/>
    <xf numFmtId="164" fontId="6" fillId="0" borderId="1" xfId="0" applyNumberFormat="1" applyFont="1" applyBorder="1"/>
    <xf numFmtId="165" fontId="7" fillId="0" borderId="0" xfId="0" applyNumberFormat="1" applyFont="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8" fontId="3" fillId="4" borderId="1" xfId="0" applyNumberFormat="1" applyFont="1" applyFill="1" applyBorder="1" applyAlignment="1">
      <alignment horizontal="right" vertical="bottom" textRotation="0" indent="0" readingOrder="0"/>
    </xf>
    <xf numFmtId="164" fontId="2" fillId="3" borderId="0" xfId="0" applyNumberFormat="1" applyFont="1" applyFill="1" applyAlignment="1">
      <alignment horizontal="center" vertical="bottom" textRotation="0" indent="0" readingOrder="0"/>
    </xf>
    <xf numFmtId="164" fontId="2" fillId="2" borderId="0" xfId="0" applyNumberFormat="1" applyFont="1" applyFill="1" applyAlignment="1">
      <alignment horizontal="center" vertical="bottom" textRotation="0" indent="0" readingOrder="0"/>
    </xf>
    <xf numFmtId="164" fontId="6" fillId="2" borderId="0" xfId="0" applyNumberFormat="1" applyFont="1" applyFill="1"/>
    <xf numFmtId="165" fontId="4" fillId="0" borderId="2" xfId="0" applyNumberFormat="1" applyFont="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5" fontId="3" fillId="4" borderId="0" xfId="0" applyNumberFormat="1" applyFont="1" applyFill="1" applyAlignment="1">
      <alignment horizontal="right" vertical="bottom" textRotation="0" indent="0" readingOrder="0"/>
    </xf>
    <xf numFmtId="170" fontId="3" fillId="4" borderId="1" xfId="0" applyNumberFormat="1" applyFont="1" applyFill="1" applyBorder="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65" fontId="3" fillId="4" borderId="1" xfId="0" applyNumberFormat="1" applyFont="1" applyFill="1" applyBorder="1" applyAlignment="1">
      <alignment horizontal="right" vertical="bottom" textRotation="0" indent="0" readingOrder="0"/>
    </xf>
    <xf numFmtId="170" fontId="5" fillId="0" borderId="1" xfId="0" applyNumberFormat="1" applyFont="1" applyBorder="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65" fontId="2" fillId="0" borderId="3" xfId="0" applyNumberFormat="1" applyFont="1" applyBorder="1" applyAlignment="1">
      <alignment horizontal="right" vertical="bottom" textRotation="0" indent="0" readingOrder="0"/>
    </xf>
    <xf numFmtId="170" fontId="3" fillId="0" borderId="0" xfId="0" applyNumberFormat="1" applyFont="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74" fontId="2" fillId="0" borderId="3" xfId="0" applyNumberFormat="1" applyFont="1" applyBorder="1" applyAlignment="1">
      <alignment horizontal="right" vertical="bottom" textRotation="0" indent="0" readingOrder="0"/>
    </xf>
    <xf numFmtId="174" fontId="5" fillId="0" borderId="1" xfId="0" applyNumberFormat="1" applyFont="1" applyBorder="1" applyAlignment="1">
      <alignment horizontal="right" vertical="bottom" textRotation="0" indent="0" readingOrder="0"/>
    </xf>
    <xf numFmtId="170" fontId="2" fillId="0" borderId="3"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2" fillId="0" borderId="2" xfId="0" applyNumberFormat="1" applyFont="1" applyBorder="1" applyAlignment="1">
      <alignment horizontal="right" vertical="bottom" textRotation="0" indent="0" readingOrder="0"/>
    </xf>
    <xf numFmtId="164" fontId="6" fillId="0" borderId="0" xfId="0" applyNumberFormat="1" applyFont="1"/>
    <xf numFmtId="165" fontId="5" fillId="0" borderId="0" xfId="0" applyNumberFormat="1" applyFont="1" applyAlignment="1">
      <alignment horizontal="right" vertical="bottom" textRotation="0" indent="0" readingOrder="0"/>
    </xf>
    <xf numFmtId="171" fontId="5" fillId="0" borderId="0" xfId="0" applyNumberFormat="1" applyFont="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4" fontId="2" fillId="3" borderId="0" xfId="0" applyNumberFormat="1" applyFont="1" applyFill="1" applyAlignment="1">
      <alignment horizontal="center" vertical="bottom" textRotation="0" indent="0" readingOrder="0"/>
    </xf>
    <xf numFmtId="164" fontId="6" fillId="3" borderId="0" xfId="0" applyNumberFormat="1" applyFont="1" applyFill="1"/>
    <xf numFmtId="164" fontId="10" fillId="0" borderId="0" xfId="0" applyNumberFormat="1" applyFont="1" applyAlignment="1">
      <alignment horizontal="left" vertical="bottom" textRotation="0" indent="0" readingOrder="0"/>
    </xf>
    <xf numFmtId="170" fontId="5" fillId="0" borderId="0" xfId="0" applyNumberFormat="1" applyFont="1" applyAlignment="1">
      <alignment horizontal="right" vertical="bottom" textRotation="0" indent="0" readingOrder="0"/>
    </xf>
    <xf numFmtId="165" fontId="5" fillId="4" borderId="0" xfId="0" applyNumberFormat="1" applyFont="1" applyFill="1" applyAlignment="1">
      <alignment horizontal="right" vertical="bottom" textRotation="0" indent="0" readingOrder="0"/>
    </xf>
    <xf numFmtId="164" fontId="6" fillId="2" borderId="0" xfId="0" applyNumberFormat="1" applyFont="1" applyFill="1"/>
    <xf numFmtId="169" fontId="5" fillId="0" borderId="0" xfId="0" applyNumberFormat="1" applyFont="1" applyAlignment="1">
      <alignment horizontal="right" vertical="bottom" textRotation="0" indent="0" readingOrder="0"/>
    </xf>
    <xf numFmtId="170" fontId="5" fillId="4" borderId="0" xfId="0" applyNumberFormat="1" applyFont="1" applyFill="1" applyAlignment="1">
      <alignment horizontal="right" vertical="bottom" textRotation="0" indent="0" readingOrder="0"/>
    </xf>
    <xf numFmtId="165" fontId="5" fillId="4" borderId="1" xfId="0" applyNumberFormat="1" applyFont="1" applyFill="1" applyBorder="1" applyAlignment="1">
      <alignment horizontal="right" vertical="bottom" textRotation="0" indent="0" readingOrder="0"/>
    </xf>
    <xf numFmtId="164" fontId="6" fillId="0" borderId="1" xfId="0" applyNumberFormat="1" applyFont="1" applyBorder="1"/>
    <xf numFmtId="164" fontId="6" fillId="2" borderId="1" xfId="0" applyNumberFormat="1" applyFont="1" applyFill="1" applyBorder="1"/>
    <xf numFmtId="165" fontId="5" fillId="0" borderId="1" xfId="0" applyNumberFormat="1" applyFont="1" applyBorder="1" applyAlignment="1">
      <alignment horizontal="right" vertical="bottom" textRotation="0" indent="0" readingOrder="0"/>
    </xf>
    <xf numFmtId="170" fontId="5" fillId="4" borderId="1" xfId="0" applyNumberFormat="1" applyFont="1" applyFill="1" applyBorder="1" applyAlignment="1">
      <alignment horizontal="right" vertical="bottom" textRotation="0" indent="0" readingOrder="0"/>
    </xf>
    <xf numFmtId="164" fontId="2" fillId="2" borderId="0" xfId="0" applyNumberFormat="1" applyFont="1" applyFill="1" applyAlignment="1">
      <alignment horizontal="center" vertical="bottom" textRotation="0" indent="0" readingOrder="0"/>
    </xf>
    <xf numFmtId="164" fontId="2" fillId="2" borderId="1" xfId="0" applyNumberFormat="1" applyFont="1" applyFill="1" applyBorder="1" applyAlignment="1">
      <alignment horizontal="center" vertical="bottom" textRotation="0" indent="0" readingOrder="0"/>
    </xf>
    <xf numFmtId="169" fontId="5" fillId="0" borderId="1"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2" fillId="0" borderId="2" xfId="0" applyNumberFormat="1" applyFont="1" applyBorder="1" applyAlignment="1">
      <alignment horizontal="right" vertical="bottom" textRotation="0" indent="0" readingOrder="0"/>
    </xf>
    <xf numFmtId="164" fontId="6" fillId="0" borderId="0" xfId="0" applyNumberFormat="1" applyFont="1"/>
    <xf numFmtId="165" fontId="5" fillId="0" borderId="0" xfId="0" applyNumberFormat="1" applyFont="1" applyAlignment="1">
      <alignment horizontal="right" vertical="bottom" textRotation="0" indent="0" readingOrder="0"/>
    </xf>
    <xf numFmtId="171" fontId="5" fillId="0" borderId="0" xfId="0" applyNumberFormat="1" applyFont="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4" fontId="2" fillId="3" borderId="0" xfId="0" applyNumberFormat="1" applyFont="1" applyFill="1" applyAlignment="1">
      <alignment horizontal="center" vertical="bottom" textRotation="0" indent="0" readingOrder="0"/>
    </xf>
    <xf numFmtId="164" fontId="6" fillId="3" borderId="0" xfId="0" applyNumberFormat="1" applyFont="1" applyFill="1"/>
    <xf numFmtId="164" fontId="10" fillId="0" borderId="0" xfId="0" applyNumberFormat="1" applyFont="1" applyAlignment="1">
      <alignment horizontal="left" vertical="bottom" textRotation="0" indent="0" readingOrder="0"/>
    </xf>
    <xf numFmtId="170" fontId="5" fillId="0" borderId="0" xfId="0" applyNumberFormat="1" applyFont="1" applyAlignment="1">
      <alignment horizontal="right" vertical="bottom" textRotation="0" indent="0" readingOrder="0"/>
    </xf>
    <xf numFmtId="164" fontId="6" fillId="2" borderId="0" xfId="0" applyNumberFormat="1" applyFont="1" applyFill="1"/>
    <xf numFmtId="169" fontId="5" fillId="0" borderId="0" xfId="0" applyNumberFormat="1" applyFont="1" applyAlignment="1">
      <alignment horizontal="right" vertical="bottom" textRotation="0" indent="0" readingOrder="0"/>
    </xf>
    <xf numFmtId="164" fontId="6" fillId="0" borderId="1" xfId="0" applyNumberFormat="1" applyFont="1" applyBorder="1"/>
    <xf numFmtId="164" fontId="6" fillId="2" borderId="1" xfId="0" applyNumberFormat="1" applyFont="1" applyFill="1" applyBorder="1"/>
    <xf numFmtId="165" fontId="5" fillId="0" borderId="1" xfId="0" applyNumberFormat="1" applyFont="1" applyBorder="1" applyAlignment="1">
      <alignment horizontal="right" vertical="bottom" textRotation="0" indent="0" readingOrder="0"/>
    </xf>
    <xf numFmtId="164" fontId="2" fillId="2" borderId="0" xfId="0" applyNumberFormat="1" applyFont="1" applyFill="1" applyAlignment="1">
      <alignment horizontal="center" vertical="bottom" textRotation="0" indent="0" readingOrder="0"/>
    </xf>
    <xf numFmtId="164" fontId="2" fillId="2" borderId="1" xfId="0" applyNumberFormat="1" applyFont="1" applyFill="1" applyBorder="1" applyAlignment="1">
      <alignment horizontal="center" vertical="bottom" textRotation="0" indent="0" readingOrder="0"/>
    </xf>
    <xf numFmtId="169" fontId="5" fillId="0" borderId="1" xfId="0" applyNumberFormat="1" applyFont="1" applyBorder="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70" fontId="3" fillId="4" borderId="1" xfId="0" applyNumberFormat="1" applyFont="1" applyFill="1" applyBorder="1" applyAlignment="1">
      <alignment horizontal="right" vertical="bottom" textRotation="0" indent="0" readingOrder="0"/>
    </xf>
    <xf numFmtId="164" fontId="6" fillId="2" borderId="0" xfId="0" applyNumberFormat="1" applyFont="1" applyFill="1"/>
    <xf numFmtId="165" fontId="5" fillId="0" borderId="0" xfId="0" applyNumberFormat="1" applyFont="1" applyAlignment="1">
      <alignment horizontal="right" vertical="bottom" textRotation="0" indent="0" readingOrder="0"/>
    </xf>
    <xf numFmtId="166" fontId="5" fillId="0" borderId="0" xfId="0" applyNumberFormat="1" applyFont="1" applyAlignment="1">
      <alignment horizontal="right" vertical="bottom" textRotation="0" indent="0" readingOrder="0"/>
    </xf>
    <xf numFmtId="175" fontId="3" fillId="4" borderId="1" xfId="0" applyNumberFormat="1" applyFont="1" applyFill="1" applyBorder="1" applyAlignment="1">
      <alignment horizontal="right" vertical="bottom" textRotation="0" indent="0" readingOrder="0"/>
    </xf>
    <xf numFmtId="170" fontId="3" fillId="4" borderId="0" xfId="0" applyNumberFormat="1" applyFont="1" applyFill="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75" fontId="3" fillId="4" borderId="0" xfId="0" applyNumberFormat="1" applyFont="1" applyFill="1" applyAlignment="1">
      <alignment horizontal="right" vertical="bottom" textRotation="0" indent="0" readingOrder="0"/>
    </xf>
    <xf numFmtId="164" fontId="6" fillId="0" borderId="0" xfId="0" applyNumberFormat="1" applyFont="1"/>
    <xf numFmtId="164" fontId="5" fillId="0" borderId="0" xfId="0" applyNumberFormat="1" applyFont="1" applyAlignment="1">
      <alignment horizontal="left" vertical="bottom" textRotation="0" indent="0" readingOrder="0"/>
    </xf>
    <xf numFmtId="165" fontId="3" fillId="4" borderId="0" xfId="0" applyNumberFormat="1" applyFont="1" applyFill="1" applyAlignment="1">
      <alignment horizontal="right" vertical="bottom" textRotation="0" indent="0" readingOrder="0"/>
    </xf>
    <xf numFmtId="174" fontId="3" fillId="4" borderId="0" xfId="0" applyNumberFormat="1" applyFont="1" applyFill="1" applyAlignment="1">
      <alignment horizontal="right" vertical="bottom" textRotation="0" indent="0" readingOrder="0"/>
    </xf>
    <xf numFmtId="174" fontId="5" fillId="0" borderId="0" xfId="0" applyNumberFormat="1" applyFont="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4" fontId="6" fillId="0" borderId="1" xfId="0" applyNumberFormat="1" applyFont="1" applyBorder="1"/>
    <xf numFmtId="168" fontId="5" fillId="0" borderId="0" xfId="0" applyNumberFormat="1" applyFont="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74" fontId="2" fillId="0" borderId="2" xfId="0" applyNumberFormat="1" applyFont="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4" fontId="6" fillId="3" borderId="0" xfId="0" applyNumberFormat="1" applyFont="1" applyFill="1"/>
    <xf numFmtId="170" fontId="5" fillId="0" borderId="1" xfId="0" applyNumberFormat="1" applyFont="1" applyBorder="1" applyAlignment="1">
      <alignment horizontal="right" vertical="bottom" textRotation="0" indent="0" readingOrder="0"/>
    </xf>
    <xf numFmtId="170" fontId="2" fillId="0" borderId="2" xfId="0" applyNumberFormat="1" applyFont="1" applyBorder="1" applyAlignment="1">
      <alignment horizontal="right" vertical="bottom" textRotation="0" indent="0" readingOrder="0"/>
    </xf>
    <xf numFmtId="174" fontId="5" fillId="0" borderId="1" xfId="0" applyNumberFormat="1" applyFont="1" applyBorder="1" applyAlignment="1">
      <alignment horizontal="right" vertical="bottom" textRotation="0" indent="0" readingOrder="0"/>
    </xf>
    <xf numFmtId="175" fontId="5" fillId="0" borderId="0" xfId="0" applyNumberFormat="1" applyFont="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4" fontId="2" fillId="3" borderId="0" xfId="0" applyNumberFormat="1" applyFont="1" applyFill="1" applyAlignment="1">
      <alignment horizontal="left" vertical="bottom" textRotation="0" indent="0" readingOrder="0"/>
    </xf>
    <xf numFmtId="168" fontId="3" fillId="4" borderId="1" xfId="0" applyNumberFormat="1" applyFont="1" applyFill="1" applyBorder="1" applyAlignment="1">
      <alignment horizontal="right" vertical="bottom" textRotation="0" indent="0" readingOrder="0"/>
    </xf>
    <xf numFmtId="164" fontId="2" fillId="2" borderId="0" xfId="0" applyNumberFormat="1" applyFont="1" applyFill="1" applyAlignment="1">
      <alignment horizontal="center" vertical="bottom" textRotation="0" indent="0" readingOrder="0"/>
    </xf>
    <xf numFmtId="170" fontId="2" fillId="0" borderId="3" xfId="0" applyNumberFormat="1" applyFont="1" applyBorder="1" applyAlignment="1">
      <alignment horizontal="right" vertical="bottom" textRotation="0" indent="0" readingOrder="0"/>
    </xf>
    <xf numFmtId="175" fontId="5" fillId="0" borderId="1" xfId="0" applyNumberFormat="1" applyFont="1" applyBorder="1" applyAlignment="1">
      <alignment horizontal="right" vertical="bottom" textRotation="0" indent="0" readingOrder="0"/>
    </xf>
    <xf numFmtId="174" fontId="3" fillId="4" borderId="1" xfId="0" applyNumberFormat="1" applyFont="1" applyFill="1" applyBorder="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65" fontId="3" fillId="4" borderId="1" xfId="0" applyNumberFormat="1" applyFont="1" applyFill="1" applyBorder="1" applyAlignment="1">
      <alignment horizontal="right" vertical="bottom" textRotation="0" indent="0" readingOrder="0"/>
    </xf>
    <xf numFmtId="164" fontId="6" fillId="2" borderId="1" xfId="0" applyNumberFormat="1" applyFont="1" applyFill="1" applyBorder="1"/>
    <xf numFmtId="168" fontId="5" fillId="0" borderId="1" xfId="0" applyNumberFormat="1" applyFont="1" applyBorder="1" applyAlignment="1">
      <alignment horizontal="right" vertical="bottom" textRotation="0" indent="0" readingOrder="0"/>
    </xf>
    <xf numFmtId="166" fontId="5" fillId="0" borderId="1" xfId="0" applyNumberFormat="1" applyFont="1" applyBorder="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64" fontId="2" fillId="3" borderId="0" xfId="0" applyNumberFormat="1" applyFont="1" applyFill="1" applyAlignment="1">
      <alignment horizontal="center" vertical="bottom" textRotation="0" indent="0" readingOrder="0"/>
    </xf>
    <xf numFmtId="170" fontId="3" fillId="0" borderId="0" xfId="0" applyNumberFormat="1" applyFont="1" applyAlignment="1">
      <alignment horizontal="right" vertical="bottom" textRotation="0" indent="0" readingOrder="0"/>
    </xf>
    <xf numFmtId="174" fontId="2" fillId="0" borderId="3" xfId="0" applyNumberFormat="1" applyFont="1" applyBorder="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65" fontId="4" fillId="0" borderId="2" xfId="0" applyNumberFormat="1" applyFont="1" applyBorder="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9" fillId="0" borderId="2" xfId="0" applyNumberFormat="1" applyFont="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4" fontId="6" fillId="0" borderId="0" xfId="0" applyNumberFormat="1" applyFont="1"/>
    <xf numFmtId="164" fontId="5" fillId="0" borderId="0" xfId="0" applyNumberFormat="1" applyFont="1" applyAlignment="1">
      <alignment horizontal="left" vertical="bottom" textRotation="0" indent="0" readingOrder="0"/>
    </xf>
    <xf numFmtId="164" fontId="6" fillId="3" borderId="0" xfId="0" applyNumberFormat="1" applyFont="1" applyFill="1"/>
    <xf numFmtId="165" fontId="7" fillId="0" borderId="0" xfId="0" applyNumberFormat="1" applyFont="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2" fillId="2" borderId="0" xfId="0" applyNumberFormat="1" applyFont="1" applyFill="1" applyAlignment="1">
      <alignment horizontal="center" vertical="bottom" textRotation="0" indent="0" readingOrder="0"/>
    </xf>
    <xf numFmtId="164" fontId="2" fillId="3" borderId="0" xfId="0" applyNumberFormat="1" applyFont="1" applyFill="1" applyAlignment="1">
      <alignment horizontal="center" vertical="bottom" textRotation="0" indent="0" readingOrder="0"/>
    </xf>
    <xf numFmtId="165" fontId="2" fillId="0" borderId="3" xfId="0" applyNumberFormat="1" applyFont="1" applyBorder="1" applyAlignment="1">
      <alignment horizontal="right" vertical="bottom" textRotation="0" indent="0" readingOrder="0"/>
    </xf>
    <xf numFmtId="164" fontId="6" fillId="2" borderId="0" xfId="0" applyNumberFormat="1" applyFont="1" applyFill="1"/>
    <xf numFmtId="165" fontId="7" fillId="0" borderId="1" xfId="0" applyNumberFormat="1" applyFont="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64" fontId="2" fillId="2" borderId="1" xfId="0" applyNumberFormat="1" applyFont="1" applyFill="1" applyBorder="1" applyAlignment="1">
      <alignment horizontal="center" vertical="bottom" textRotation="0" indent="0" readingOrder="0"/>
    </xf>
    <xf numFmtId="164" fontId="2" fillId="3" borderId="0" xfId="0" applyNumberFormat="1" applyFont="1" applyFill="1" applyAlignment="1">
      <alignment horizontal="left" vertical="bottom" textRotation="0" indent="0" readingOrder="0"/>
    </xf>
    <xf numFmtId="164" fontId="6" fillId="0" borderId="1" xfId="0" applyNumberFormat="1" applyFont="1" applyBorder="1"/>
    <xf numFmtId="164" fontId="6" fillId="2" borderId="1" xfId="0" applyNumberFormat="1" applyFont="1" applyFill="1" applyBorder="1"/>
    <xf numFmtId="165" fontId="7" fillId="0" borderId="0" xfId="0" applyNumberFormat="1" applyFont="1" applyAlignment="1">
      <alignment horizontal="right" vertical="bottom" textRotation="0" indent="0" readingOrder="0"/>
    </xf>
    <xf numFmtId="164" fontId="5" fillId="0" borderId="0" xfId="0" applyNumberFormat="1" applyFont="1"/>
    <xf numFmtId="164" fontId="2" fillId="2" borderId="1" xfId="0" applyNumberFormat="1" applyFont="1" applyFill="1" applyBorder="1" applyAlignment="1">
      <alignment horizontal="center" vertical="bottom" textRotation="0" indent="0" readingOrder="0"/>
    </xf>
    <xf numFmtId="164" fontId="5" fillId="0" borderId="0" xfId="0" applyNumberFormat="1" applyFont="1" applyAlignment="1">
      <alignment horizontal="left" vertical="bottom" textRotation="0" indent="0" readingOrder="0"/>
    </xf>
    <xf numFmtId="164" fontId="2" fillId="2" borderId="1" xfId="0" applyNumberFormat="1" applyFont="1" applyFill="1" applyBorder="1" applyAlignment="1">
      <alignment horizontal="left" vertical="bottom" textRotation="0" indent="0" readingOrder="0"/>
    </xf>
    <xf numFmtId="165" fontId="5" fillId="0" borderId="0" xfId="0" applyNumberFormat="1" applyFont="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4" fontId="2" fillId="0" borderId="0" xfId="0" applyNumberFormat="1" applyFont="1" applyAlignment="1">
      <alignment horizontal="left" vertical="bottom" textRotation="0" indent="0" readingOrder="0"/>
    </xf>
    <xf numFmtId="164" fontId="5" fillId="0" borderId="0" xfId="0" applyNumberFormat="1" applyFont="1" applyAlignment="1">
      <alignment horizontal="center" vertical="bottom" textRotation="0" indent="0" readingOrder="0"/>
    </xf>
    <xf numFmtId="165" fontId="7" fillId="0" borderId="1" xfId="0" applyNumberFormat="1" applyFont="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4" fontId="2" fillId="0" borderId="0" xfId="0" applyNumberFormat="1" applyFont="1" applyAlignment="1">
      <alignment horizontal="center" vertical="bottom" textRotation="0" indent="0" readingOrder="0"/>
    </xf>
    <xf numFmtId="165" fontId="5" fillId="0" borderId="0" xfId="0" applyNumberFormat="1" applyFont="1" applyAlignment="1">
      <alignment horizontal="right" vertical="bottom" textRotation="0" indent="0" readingOrder="0"/>
    </xf>
    <xf numFmtId="175" fontId="3" fillId="4" borderId="0" xfId="0" applyNumberFormat="1" applyFont="1" applyFill="1" applyAlignment="1">
      <alignment horizontal="right" vertical="bottom" textRotation="0" indent="0" readingOrder="0"/>
    </xf>
    <xf numFmtId="164" fontId="6" fillId="0" borderId="0" xfId="0" applyNumberFormat="1" applyFont="1"/>
    <xf numFmtId="164" fontId="2" fillId="0" borderId="2" xfId="0" applyNumberFormat="1" applyFont="1" applyBorder="1" applyAlignment="1">
      <alignment horizontal="left" vertical="bottom" textRotation="0" indent="0" readingOrder="0"/>
    </xf>
    <xf numFmtId="164" fontId="5" fillId="0" borderId="0" xfId="0" applyNumberFormat="1" applyFont="1" applyAlignment="1">
      <alignment horizontal="left" vertical="bottom" textRotation="0" indent="0" readingOrder="0"/>
    </xf>
    <xf numFmtId="170" fontId="3" fillId="4" borderId="0" xfId="0" applyNumberFormat="1" applyFont="1" applyFill="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74" fontId="5" fillId="0" borderId="0" xfId="0" applyNumberFormat="1" applyFont="1" applyAlignment="1">
      <alignment horizontal="right" vertical="bottom" textRotation="0" indent="0" readingOrder="0"/>
    </xf>
    <xf numFmtId="175" fontId="5" fillId="0" borderId="0" xfId="0" applyNumberFormat="1" applyFont="1" applyAlignment="1">
      <alignment horizontal="right" vertical="bottom" textRotation="0" indent="0" readingOrder="0"/>
    </xf>
    <xf numFmtId="165" fontId="3" fillId="4" borderId="0" xfId="0" applyNumberFormat="1" applyFont="1" applyFill="1" applyAlignment="1">
      <alignment horizontal="right" vertical="bottom" textRotation="0" indent="0" readingOrder="0"/>
    </xf>
    <xf numFmtId="170" fontId="5" fillId="0" borderId="0" xfId="0" applyNumberFormat="1" applyFont="1" applyAlignment="1">
      <alignment horizontal="right" vertical="bottom" textRotation="0" indent="0" readingOrder="0"/>
    </xf>
    <xf numFmtId="166" fontId="5" fillId="0" borderId="0" xfId="0" applyNumberFormat="1" applyFont="1" applyAlignment="1">
      <alignment horizontal="right" vertical="bottom" textRotation="0" indent="0" readingOrder="0"/>
    </xf>
    <xf numFmtId="174" fontId="3" fillId="4" borderId="0" xfId="0" applyNumberFormat="1" applyFont="1" applyFill="1" applyAlignment="1">
      <alignment horizontal="right" vertical="bottom" textRotation="0" indent="0" readingOrder="0"/>
    </xf>
    <xf numFmtId="164" fontId="6" fillId="3" borderId="0" xfId="0" applyNumberFormat="1" applyFont="1" applyFill="1"/>
    <xf numFmtId="165" fontId="7" fillId="0" borderId="1" xfId="0" applyNumberFormat="1" applyFont="1" applyBorder="1" applyAlignment="1">
      <alignment horizontal="right" vertical="bottom" textRotation="0" indent="0" readingOrder="0"/>
    </xf>
    <xf numFmtId="166" fontId="5" fillId="0" borderId="1" xfId="0" applyNumberFormat="1" applyFont="1" applyBorder="1" applyAlignment="1">
      <alignment horizontal="right" vertical="bottom" textRotation="0" indent="0" readingOrder="0"/>
    </xf>
    <xf numFmtId="164" fontId="6" fillId="0" borderId="1" xfId="0" applyNumberFormat="1" applyFont="1" applyBorder="1"/>
    <xf numFmtId="164" fontId="2" fillId="3" borderId="0" xfId="0" applyNumberFormat="1" applyFont="1" applyFill="1" applyAlignment="1">
      <alignment horizontal="left" vertical="bottom" textRotation="0" indent="0" readingOrder="0"/>
    </xf>
    <xf numFmtId="165" fontId="5" fillId="0" borderId="1" xfId="0" applyNumberFormat="1" applyFont="1" applyBorder="1" applyAlignment="1">
      <alignment horizontal="right" vertical="bottom" textRotation="0" indent="0" readingOrder="0"/>
    </xf>
    <xf numFmtId="174" fontId="2" fillId="0" borderId="2"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6" fillId="2" borderId="1" xfId="0" applyNumberFormat="1" applyFont="1" applyFill="1" applyBorder="1"/>
    <xf numFmtId="175" fontId="3" fillId="4" borderId="1" xfId="0" applyNumberFormat="1" applyFont="1" applyFill="1" applyBorder="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70" fontId="3" fillId="4" borderId="1" xfId="0" applyNumberFormat="1" applyFont="1" applyFill="1" applyBorder="1" applyAlignment="1">
      <alignment horizontal="right" vertical="bottom" textRotation="0" indent="0" readingOrder="0"/>
    </xf>
    <xf numFmtId="174" fontId="3" fillId="4" borderId="1" xfId="0" applyNumberFormat="1" applyFont="1" applyFill="1" applyBorder="1" applyAlignment="1">
      <alignment horizontal="right" vertical="bottom" textRotation="0" indent="0" readingOrder="0"/>
    </xf>
    <xf numFmtId="170" fontId="5" fillId="0" borderId="1" xfId="0" applyNumberFormat="1" applyFont="1" applyBorder="1" applyAlignment="1">
      <alignment horizontal="right" vertical="bottom" textRotation="0" indent="0" readingOrder="0"/>
    </xf>
    <xf numFmtId="164" fontId="6" fillId="2" borderId="0" xfId="0" applyNumberFormat="1" applyFont="1" applyFill="1"/>
    <xf numFmtId="164" fontId="2" fillId="2" borderId="0" xfId="0" applyNumberFormat="1" applyFont="1" applyFill="1" applyAlignment="1">
      <alignment horizontal="center" vertical="bottom" textRotation="0" indent="0" readingOrder="0"/>
    </xf>
    <xf numFmtId="165" fontId="2" fillId="0" borderId="3" xfId="0" applyNumberFormat="1" applyFont="1" applyBorder="1" applyAlignment="1">
      <alignment horizontal="right" vertical="bottom" textRotation="0" indent="0" readingOrder="0"/>
    </xf>
    <xf numFmtId="165" fontId="3" fillId="4" borderId="1" xfId="0" applyNumberFormat="1" applyFont="1" applyFill="1" applyBorder="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74" fontId="5" fillId="0" borderId="1" xfId="0" applyNumberFormat="1" applyFont="1" applyBorder="1" applyAlignment="1">
      <alignment horizontal="right" vertical="bottom" textRotation="0" indent="0" readingOrder="0"/>
    </xf>
    <xf numFmtId="168" fontId="3" fillId="4" borderId="0" xfId="0" applyNumberFormat="1" applyFont="1" applyFill="1" applyAlignment="1">
      <alignment horizontal="right" vertical="bottom" textRotation="0" indent="0" readingOrder="0"/>
    </xf>
    <xf numFmtId="168" fontId="3" fillId="0" borderId="0" xfId="0" applyNumberFormat="1" applyFont="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64" fontId="2" fillId="3" borderId="0" xfId="0" applyNumberFormat="1" applyFont="1" applyFill="1" applyAlignment="1">
      <alignment horizontal="center" vertical="bottom" textRotation="0" indent="0" readingOrder="0"/>
    </xf>
    <xf numFmtId="168" fontId="3" fillId="4" borderId="1" xfId="0" applyNumberFormat="1" applyFont="1" applyFill="1" applyBorder="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70" fontId="2" fillId="0" borderId="2" xfId="0" applyNumberFormat="1" applyFont="1" applyBorder="1" applyAlignment="1">
      <alignment horizontal="right" vertical="bottom" textRotation="0" indent="0" readingOrder="0"/>
    </xf>
    <xf numFmtId="165" fontId="4" fillId="0" borderId="2" xfId="0" applyNumberFormat="1" applyFont="1" applyBorder="1" applyAlignment="1">
      <alignment horizontal="right" vertical="bottom" textRotation="0" indent="0" readingOrder="0"/>
    </xf>
    <xf numFmtId="174" fontId="2" fillId="0" borderId="3" xfId="0" applyNumberFormat="1" applyFont="1" applyBorder="1" applyAlignment="1">
      <alignment horizontal="right" vertical="bottom" textRotation="0" indent="0" readingOrder="0"/>
    </xf>
    <xf numFmtId="175" fontId="5" fillId="0" borderId="1" xfId="0" applyNumberFormat="1" applyFont="1" applyBorder="1" applyAlignment="1">
      <alignment horizontal="right" vertical="bottom" textRotation="0" indent="0" readingOrder="0"/>
    </xf>
    <xf numFmtId="170" fontId="2" fillId="0" borderId="3" xfId="0" applyNumberFormat="1" applyFont="1" applyBorder="1" applyAlignment="1">
      <alignment horizontal="right" vertical="bottom" textRotation="0" indent="0" readingOrder="0"/>
    </xf>
    <xf numFmtId="170" fontId="3" fillId="0" borderId="0" xfId="0" applyNumberFormat="1" applyFont="1" applyAlignment="1">
      <alignment horizontal="right" vertical="bottom" textRotation="0" indent="0" readingOrder="0"/>
    </xf>
    <xf numFmtId="164" fontId="6" fillId="0" borderId="0" xfId="0" applyNumberFormat="1" applyFont="1"/>
    <xf numFmtId="176" fontId="3" fillId="0" borderId="0" xfId="0" applyNumberFormat="1" applyFont="1" applyAlignment="1">
      <alignment horizontal="right" vertical="bottom" textRotation="0" indent="0" readingOrder="0"/>
    </xf>
    <xf numFmtId="176" fontId="5" fillId="0" borderId="0" xfId="0" applyNumberFormat="1" applyFont="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6" fillId="3" borderId="0" xfId="0" applyNumberFormat="1" applyFont="1" applyFill="1"/>
    <xf numFmtId="165" fontId="7" fillId="0" borderId="0" xfId="0" applyNumberFormat="1" applyFont="1" applyAlignment="1">
      <alignment horizontal="right" vertical="bottom" textRotation="0" indent="0" readingOrder="0"/>
    </xf>
    <xf numFmtId="164" fontId="6" fillId="2" borderId="0" xfId="0" applyNumberFormat="1" applyFont="1" applyFill="1"/>
    <xf numFmtId="165" fontId="3" fillId="0" borderId="0" xfId="0" applyNumberFormat="1" applyFont="1" applyAlignment="1">
      <alignment horizontal="right" vertical="bottom" textRotation="0" indent="0" readingOrder="0"/>
    </xf>
    <xf numFmtId="177" fontId="3" fillId="0" borderId="1" xfId="0" applyNumberFormat="1" applyFont="1" applyBorder="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6" fillId="2" borderId="1" xfId="0" applyNumberFormat="1" applyFont="1" applyFill="1" applyBorder="1"/>
    <xf numFmtId="164" fontId="5" fillId="0" borderId="0" xfId="0" applyNumberFormat="1" applyFont="1" applyAlignment="1">
      <alignment horizontal="left" vertical="bottom" textRotation="0" indent="0" readingOrder="0"/>
    </xf>
    <xf numFmtId="164" fontId="2" fillId="2" borderId="0" xfId="0" applyNumberFormat="1" applyFont="1" applyFill="1" applyAlignment="1">
      <alignment horizontal="center" vertical="bottom" textRotation="0" indent="0" readingOrder="0"/>
    </xf>
    <xf numFmtId="176" fontId="2" fillId="0" borderId="2" xfId="0" applyNumberFormat="1" applyFont="1" applyBorder="1" applyAlignment="1">
      <alignment horizontal="right" vertical="bottom" textRotation="0" indent="0" readingOrder="0"/>
    </xf>
    <xf numFmtId="164" fontId="2" fillId="3" borderId="0" xfId="0" applyNumberFormat="1" applyFont="1" applyFill="1" applyAlignment="1">
      <alignment horizontal="center" vertical="bottom" textRotation="0" indent="0" readingOrder="0"/>
    </xf>
    <xf numFmtId="176" fontId="3" fillId="0" borderId="1" xfId="0" applyNumberFormat="1" applyFont="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5" fontId="7" fillId="0" borderId="1" xfId="0" applyNumberFormat="1" applyFont="1" applyBorder="1" applyAlignment="1">
      <alignment horizontal="right" vertical="bottom" textRotation="0" indent="0" readingOrder="0"/>
    </xf>
    <xf numFmtId="177" fontId="5" fillId="0" borderId="0" xfId="0" applyNumberFormat="1" applyFont="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64" fontId="6" fillId="0" borderId="1" xfId="0" applyNumberFormat="1" applyFont="1" applyBorder="1"/>
    <xf numFmtId="165" fontId="4" fillId="0" borderId="2" xfId="0" applyNumberFormat="1" applyFont="1" applyBorder="1" applyAlignment="1">
      <alignment horizontal="right" vertical="bottom" textRotation="0" indent="0" readingOrder="0"/>
    </xf>
    <xf numFmtId="177" fontId="3" fillId="0" borderId="0" xfId="0" applyNumberFormat="1" applyFont="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76" fontId="2" fillId="0" borderId="3" xfId="0" applyNumberFormat="1" applyFont="1" applyBorder="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64" fontId="2" fillId="0" borderId="2" xfId="0" applyNumberFormat="1" applyFont="1" applyBorder="1" applyAlignment="1">
      <alignment horizontal="left" vertical="bottom" textRotation="0" indent="0" readingOrder="0"/>
    </xf>
    <xf numFmtId="176" fontId="2" fillId="0" borderId="3" xfId="0" applyNumberFormat="1" applyFont="1" applyBorder="1" applyAlignment="1">
      <alignment horizontal="right" vertical="bottom" textRotation="0" indent="0" readingOrder="0"/>
    </xf>
    <xf numFmtId="164" fontId="6" fillId="0" borderId="0" xfId="0" applyNumberFormat="1" applyFont="1"/>
    <xf numFmtId="165" fontId="3" fillId="0" borderId="0" xfId="0" applyNumberFormat="1" applyFont="1" applyAlignment="1">
      <alignment horizontal="right" vertical="bottom" textRotation="0" indent="0" readingOrder="0"/>
    </xf>
    <xf numFmtId="177" fontId="5" fillId="0" borderId="0" xfId="0" applyNumberFormat="1" applyFont="1" applyAlignment="1">
      <alignment horizontal="right" vertical="bottom" textRotation="0" indent="0" readingOrder="0"/>
    </xf>
    <xf numFmtId="176" fontId="2" fillId="0" borderId="2" xfId="0" applyNumberFormat="1" applyFont="1" applyBorder="1" applyAlignment="1">
      <alignment horizontal="right" vertical="bottom" textRotation="0" indent="0" readingOrder="0"/>
    </xf>
    <xf numFmtId="164" fontId="6" fillId="2" borderId="0" xfId="0" applyNumberFormat="1" applyFont="1" applyFill="1"/>
    <xf numFmtId="165" fontId="2" fillId="0" borderId="3" xfId="0" applyNumberFormat="1" applyFont="1" applyBorder="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6" fillId="0" borderId="1" xfId="0" applyNumberFormat="1" applyFont="1" applyBorder="1"/>
    <xf numFmtId="164" fontId="2" fillId="2" borderId="0" xfId="0" applyNumberFormat="1" applyFont="1" applyFill="1" applyAlignment="1">
      <alignment horizontal="center" vertical="bottom" textRotation="0" indent="0" readingOrder="0"/>
    </xf>
    <xf numFmtId="165" fontId="5" fillId="0" borderId="1" xfId="0" applyNumberFormat="1" applyFont="1" applyBorder="1" applyAlignment="1">
      <alignment horizontal="right" vertical="bottom" textRotation="0" indent="0" readingOrder="0"/>
    </xf>
    <xf numFmtId="176" fontId="5" fillId="0" borderId="0" xfId="0" applyNumberFormat="1" applyFont="1" applyAlignment="1">
      <alignment horizontal="right" vertical="bottom" textRotation="0" indent="0" readingOrder="0"/>
    </xf>
    <xf numFmtId="164" fontId="6" fillId="3" borderId="0" xfId="0" applyNumberFormat="1" applyFont="1" applyFill="1"/>
    <xf numFmtId="164" fontId="2" fillId="0" borderId="2" xfId="0" applyNumberFormat="1" applyFont="1" applyBorder="1" applyAlignment="1">
      <alignment horizontal="left" vertical="bottom" textRotation="0" indent="0" readingOrder="0"/>
    </xf>
    <xf numFmtId="177" fontId="3" fillId="0" borderId="0" xfId="0" applyNumberFormat="1" applyFont="1" applyAlignment="1">
      <alignment horizontal="right" vertical="bottom" textRotation="0" indent="0" readingOrder="0"/>
    </xf>
    <xf numFmtId="177" fontId="3" fillId="0" borderId="1" xfId="0" applyNumberFormat="1" applyFont="1" applyBorder="1" applyAlignment="1">
      <alignment horizontal="right" vertical="bottom" textRotation="0" indent="0" readingOrder="0"/>
    </xf>
    <xf numFmtId="164" fontId="6" fillId="2" borderId="1" xfId="0" applyNumberFormat="1" applyFont="1" applyFill="1" applyBorder="1"/>
    <xf numFmtId="164" fontId="2" fillId="3" borderId="0" xfId="0" applyNumberFormat="1" applyFont="1" applyFill="1" applyAlignment="1">
      <alignment horizontal="center" vertical="bottom" textRotation="0" indent="0" readingOrder="0"/>
    </xf>
    <xf numFmtId="176" fontId="3"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7" fillId="0" borderId="1" xfId="0" applyNumberFormat="1" applyFont="1" applyBorder="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76" fontId="3" fillId="0" borderId="1" xfId="0" applyNumberFormat="1" applyFont="1" applyBorder="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5" fontId="4" fillId="0" borderId="2" xfId="0" applyNumberFormat="1" applyFont="1" applyBorder="1" applyAlignment="1">
      <alignment horizontal="right" vertical="bottom" textRotation="0" indent="0" readingOrder="0"/>
    </xf>
    <xf numFmtId="165" fontId="3" fillId="0" borderId="1" xfId="0" applyNumberFormat="1" applyFont="1" applyBorder="1" applyAlignment="1">
      <alignment horizontal="right" vertical="bottom" textRotation="0" indent="0" readingOrder="0"/>
    </xf>
    <xf numFmtId="178" fontId="3" fillId="4" borderId="0" xfId="0" applyNumberFormat="1" applyFont="1" applyFill="1" applyAlignment="1">
      <alignment horizontal="right" vertical="bottom" textRotation="0" indent="0" readingOrder="0"/>
    </xf>
    <xf numFmtId="165" fontId="5" fillId="0" borderId="0" xfId="0" applyNumberFormat="1" applyFont="1" applyAlignment="1">
      <alignment horizontal="right" vertical="bottom" textRotation="0" indent="0" readingOrder="0"/>
    </xf>
    <xf numFmtId="164" fontId="2" fillId="3" borderId="0" xfId="0" applyNumberFormat="1" applyFont="1" applyFill="1" applyAlignment="1">
      <alignment horizontal="center" vertical="bottom" textRotation="0" indent="0" readingOrder="0"/>
    </xf>
    <xf numFmtId="165" fontId="2" fillId="0" borderId="2" xfId="0" applyNumberFormat="1" applyFont="1" applyBorder="1" applyAlignment="1">
      <alignment horizontal="right" vertical="bottom" textRotation="0" indent="0" readingOrder="0"/>
    </xf>
    <xf numFmtId="164" fontId="6" fillId="0" borderId="0" xfId="0" applyNumberFormat="1" applyFont="1"/>
    <xf numFmtId="165" fontId="5" fillId="0" borderId="1" xfId="0" applyNumberFormat="1" applyFont="1" applyBorder="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74" fontId="5" fillId="0" borderId="0" xfId="0" applyNumberFormat="1" applyFont="1" applyAlignment="1">
      <alignment horizontal="right" vertical="bottom" textRotation="0" indent="0" readingOrder="0"/>
    </xf>
    <xf numFmtId="179" fontId="5" fillId="0" borderId="0" xfId="0" applyNumberFormat="1" applyFont="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74" fontId="5" fillId="0" borderId="1"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3" fillId="4" borderId="0" xfId="0" applyNumberFormat="1" applyFont="1" applyFill="1" applyAlignment="1">
      <alignment horizontal="right" vertical="bottom" textRotation="0" indent="0" readingOrder="0"/>
    </xf>
    <xf numFmtId="173" fontId="5" fillId="0" borderId="0" xfId="0" applyNumberFormat="1" applyFont="1" applyAlignment="1">
      <alignment horizontal="right" vertical="bottom" textRotation="0" indent="0" readingOrder="0"/>
    </xf>
    <xf numFmtId="164" fontId="2" fillId="2" borderId="0" xfId="0" applyNumberFormat="1" applyFont="1" applyFill="1" applyAlignment="1">
      <alignment horizontal="center" vertical="bottom" textRotation="0" indent="0" readingOrder="0"/>
    </xf>
    <xf numFmtId="168" fontId="5" fillId="0" borderId="0" xfId="0" applyNumberFormat="1" applyFont="1" applyAlignment="1">
      <alignment horizontal="right" vertical="bottom" textRotation="0" indent="0" readingOrder="0"/>
    </xf>
    <xf numFmtId="179" fontId="3" fillId="4" borderId="0" xfId="0" applyNumberFormat="1" applyFont="1" applyFill="1" applyAlignment="1">
      <alignment horizontal="right" vertical="bottom" textRotation="0" indent="0" readingOrder="0"/>
    </xf>
    <xf numFmtId="178" fontId="5" fillId="0" borderId="0" xfId="0" applyNumberFormat="1" applyFont="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4" fontId="6" fillId="0" borderId="1" xfId="0" applyNumberFormat="1" applyFont="1" applyBorder="1"/>
    <xf numFmtId="173" fontId="5" fillId="0" borderId="1" xfId="0" applyNumberFormat="1" applyFont="1" applyBorder="1" applyAlignment="1">
      <alignment horizontal="right" vertical="bottom" textRotation="0" indent="0" readingOrder="0"/>
    </xf>
    <xf numFmtId="179" fontId="2" fillId="0" borderId="2" xfId="0" applyNumberFormat="1" applyFont="1" applyBorder="1" applyAlignment="1">
      <alignment horizontal="right" vertical="bottom" textRotation="0" indent="0" readingOrder="0"/>
    </xf>
    <xf numFmtId="164" fontId="6" fillId="3" borderId="0" xfId="0" applyNumberFormat="1" applyFont="1" applyFill="1"/>
    <xf numFmtId="164" fontId="2" fillId="0" borderId="2" xfId="0" applyNumberFormat="1" applyFont="1" applyBorder="1" applyAlignment="1">
      <alignment horizontal="left" vertical="bottom" textRotation="0" indent="0" readingOrder="0"/>
    </xf>
    <xf numFmtId="171" fontId="5" fillId="0" borderId="0" xfId="0" applyNumberFormat="1" applyFont="1" applyAlignment="1">
      <alignment horizontal="right" vertical="bottom" textRotation="0" indent="0" readingOrder="0"/>
    </xf>
    <xf numFmtId="179" fontId="2" fillId="0" borderId="3" xfId="0" applyNumberFormat="1" applyFont="1" applyBorder="1" applyAlignment="1">
      <alignment horizontal="right" vertical="bottom" textRotation="0" indent="0" readingOrder="0"/>
    </xf>
    <xf numFmtId="178" fontId="5" fillId="0" borderId="1" xfId="0" applyNumberFormat="1" applyFont="1" applyBorder="1" applyAlignment="1">
      <alignment horizontal="right" vertical="bottom" textRotation="0" indent="0" readingOrder="0"/>
    </xf>
    <xf numFmtId="179" fontId="5" fillId="0" borderId="1" xfId="0" applyNumberFormat="1" applyFont="1" applyBorder="1" applyAlignment="1">
      <alignment horizontal="right" vertical="bottom" textRotation="0" indent="0" readingOrder="0"/>
    </xf>
    <xf numFmtId="165" fontId="2" fillId="0" borderId="3" xfId="0" applyNumberFormat="1" applyFont="1" applyBorder="1" applyAlignment="1">
      <alignment horizontal="right" vertical="bottom" textRotation="0" indent="0" readingOrder="0"/>
    </xf>
    <xf numFmtId="171" fontId="3" fillId="4" borderId="0" xfId="0" applyNumberFormat="1" applyFont="1" applyFill="1" applyAlignment="1">
      <alignment horizontal="right" vertical="bottom" textRotation="0" indent="0" readingOrder="0"/>
    </xf>
    <xf numFmtId="171" fontId="5" fillId="0" borderId="1" xfId="0" applyNumberFormat="1" applyFont="1" applyBorder="1" applyAlignment="1">
      <alignment horizontal="right" vertical="bottom" textRotation="0" indent="0" readingOrder="0"/>
    </xf>
    <xf numFmtId="164" fontId="6" fillId="2" borderId="0" xfId="0" applyNumberFormat="1" applyFont="1" applyFill="1"/>
    <xf numFmtId="178" fontId="3" fillId="4" borderId="1" xfId="0" applyNumberFormat="1" applyFont="1" applyFill="1" applyBorder="1" applyAlignment="1">
      <alignment horizontal="right" vertical="bottom" textRotation="0" indent="0" readingOrder="0"/>
    </xf>
    <xf numFmtId="174" fontId="3" fillId="4" borderId="0" xfId="0" applyNumberFormat="1" applyFont="1" applyFill="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71" fontId="7" fillId="0" borderId="0" xfId="0" applyNumberFormat="1" applyFont="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73" fontId="3" fillId="4" borderId="0" xfId="0" applyNumberFormat="1" applyFont="1" applyFill="1" applyAlignment="1">
      <alignment horizontal="right" vertical="bottom" textRotation="0" indent="0" readingOrder="0"/>
    </xf>
    <xf numFmtId="164" fontId="6" fillId="2" borderId="1" xfId="0" applyNumberFormat="1" applyFont="1" applyFill="1" applyBorder="1"/>
    <xf numFmtId="164" fontId="6" fillId="0" borderId="1" xfId="0" applyNumberFormat="1" applyFont="1" applyBorder="1"/>
    <xf numFmtId="165" fontId="5" fillId="0" borderId="0" xfId="0" applyNumberFormat="1" applyFont="1" applyAlignment="1">
      <alignment horizontal="right" vertical="bottom" textRotation="0" indent="0" readingOrder="0"/>
    </xf>
    <xf numFmtId="179" fontId="5" fillId="0" borderId="0" xfId="0" applyNumberFormat="1" applyFont="1" applyAlignment="1">
      <alignment horizontal="right" vertical="bottom" textRotation="0" indent="0" readingOrder="0"/>
    </xf>
    <xf numFmtId="164" fontId="6" fillId="0" borderId="0" xfId="0" applyNumberFormat="1" applyFont="1"/>
    <xf numFmtId="164" fontId="2" fillId="3" borderId="0" xfId="0" applyNumberFormat="1" applyFont="1" applyFill="1" applyAlignment="1">
      <alignment horizontal="left" vertical="bottom" textRotation="0" indent="0" readingOrder="0"/>
    </xf>
    <xf numFmtId="164" fontId="2" fillId="3" borderId="0" xfId="0" applyNumberFormat="1" applyFont="1" applyFill="1" applyAlignment="1">
      <alignment horizontal="center" vertical="bottom" textRotation="0" indent="0" readingOrder="0"/>
    </xf>
    <xf numFmtId="168" fontId="5" fillId="0" borderId="0" xfId="0" applyNumberFormat="1" applyFont="1" applyAlignment="1">
      <alignment horizontal="right" vertical="bottom" textRotation="0" indent="0" readingOrder="0"/>
    </xf>
    <xf numFmtId="174" fontId="5" fillId="0" borderId="0" xfId="0" applyNumberFormat="1" applyFont="1" applyAlignment="1">
      <alignment horizontal="right" vertical="bottom" textRotation="0" indent="0" readingOrder="0"/>
    </xf>
    <xf numFmtId="179" fontId="3" fillId="4" borderId="0" xfId="0" applyNumberFormat="1" applyFont="1" applyFill="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65" fontId="7" fillId="0" borderId="0" xfId="0" applyNumberFormat="1" applyFont="1" applyAlignment="1">
      <alignment horizontal="right" vertical="bottom" textRotation="0" indent="0" readingOrder="0"/>
    </xf>
    <xf numFmtId="164" fontId="2" fillId="2" borderId="0" xfId="0" applyNumberFormat="1" applyFont="1" applyFill="1" applyAlignment="1">
      <alignment horizontal="center" vertical="bottom" textRotation="0" indent="0" readingOrder="0"/>
    </xf>
    <xf numFmtId="178" fontId="5" fillId="0" borderId="0" xfId="0" applyNumberFormat="1" applyFont="1" applyAlignment="1">
      <alignment horizontal="right" vertical="bottom" textRotation="0" indent="0" readingOrder="0"/>
    </xf>
    <xf numFmtId="173" fontId="5" fillId="0" borderId="0" xfId="0" applyNumberFormat="1" applyFont="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5" fillId="0" borderId="1" xfId="0" applyNumberFormat="1" applyFont="1" applyBorder="1" applyAlignment="1">
      <alignment horizontal="right" vertical="bottom" textRotation="0" indent="0" readingOrder="0"/>
    </xf>
    <xf numFmtId="178" fontId="3" fillId="4" borderId="0" xfId="0" applyNumberFormat="1" applyFont="1" applyFill="1" applyAlignment="1">
      <alignment horizontal="right" vertical="bottom" textRotation="0" indent="0" readingOrder="0"/>
    </xf>
    <xf numFmtId="179" fontId="5" fillId="0" borderId="1" xfId="0" applyNumberFormat="1" applyFont="1" applyBorder="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6" fillId="3" borderId="0" xfId="0" applyNumberFormat="1" applyFont="1" applyFill="1"/>
    <xf numFmtId="165" fontId="2" fillId="0" borderId="3" xfId="0" applyNumberFormat="1" applyFont="1" applyBorder="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71" fontId="5" fillId="0" borderId="1" xfId="0" applyNumberFormat="1" applyFont="1" applyBorder="1" applyAlignment="1">
      <alignment horizontal="right" vertical="bottom" textRotation="0" indent="0" readingOrder="0"/>
    </xf>
    <xf numFmtId="174" fontId="5" fillId="0" borderId="1" xfId="0" applyNumberFormat="1" applyFont="1" applyBorder="1" applyAlignment="1">
      <alignment horizontal="right" vertical="bottom" textRotation="0" indent="0" readingOrder="0"/>
    </xf>
    <xf numFmtId="179" fontId="2" fillId="0" borderId="2" xfId="0" applyNumberFormat="1" applyFont="1" applyBorder="1" applyAlignment="1">
      <alignment horizontal="right" vertical="bottom" textRotation="0" indent="0" readingOrder="0"/>
    </xf>
    <xf numFmtId="171" fontId="5" fillId="0" borderId="0" xfId="0" applyNumberFormat="1" applyFont="1" applyAlignment="1">
      <alignment horizontal="right" vertical="bottom" textRotation="0" indent="0" readingOrder="0"/>
    </xf>
    <xf numFmtId="164" fontId="6" fillId="2" borderId="0" xfId="0" applyNumberFormat="1" applyFont="1" applyFill="1"/>
    <xf numFmtId="178" fontId="3" fillId="4" borderId="1" xfId="0" applyNumberFormat="1" applyFont="1" applyFill="1" applyBorder="1" applyAlignment="1">
      <alignment horizontal="right" vertical="bottom" textRotation="0" indent="0" readingOrder="0"/>
    </xf>
    <xf numFmtId="174" fontId="3" fillId="4" borderId="0" xfId="0" applyNumberFormat="1" applyFont="1" applyFill="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71" fontId="7" fillId="0" borderId="0" xfId="0" applyNumberFormat="1" applyFont="1" applyAlignment="1">
      <alignment horizontal="right" vertical="bottom" textRotation="0" indent="0" readingOrder="0"/>
    </xf>
    <xf numFmtId="173" fontId="5" fillId="0" borderId="1" xfId="0" applyNumberFormat="1" applyFont="1" applyBorder="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73" fontId="3" fillId="4" borderId="0" xfId="0" applyNumberFormat="1" applyFont="1" applyFill="1" applyAlignment="1">
      <alignment horizontal="right" vertical="bottom" textRotation="0" indent="0" readingOrder="0"/>
    </xf>
    <xf numFmtId="164" fontId="6" fillId="2" borderId="1" xfId="0" applyNumberFormat="1" applyFont="1" applyFill="1" applyBorder="1"/>
    <xf numFmtId="165" fontId="3" fillId="4" borderId="0" xfId="0" applyNumberFormat="1" applyFont="1" applyFill="1" applyAlignment="1">
      <alignment horizontal="right" vertical="bottom" textRotation="0" indent="0" readingOrder="0"/>
    </xf>
    <xf numFmtId="179" fontId="2" fillId="0" borderId="3" xfId="0" applyNumberFormat="1" applyFont="1" applyBorder="1" applyAlignment="1">
      <alignment horizontal="right" vertical="bottom" textRotation="0" indent="0" readingOrder="0"/>
    </xf>
    <xf numFmtId="178" fontId="5" fillId="0" borderId="1" xfId="0" applyNumberFormat="1" applyFont="1" applyBorder="1" applyAlignment="1">
      <alignment horizontal="right" vertical="bottom" textRotation="0" indent="0" readingOrder="0"/>
    </xf>
    <xf numFmtId="171" fontId="3" fillId="4" borderId="0" xfId="0" applyNumberFormat="1" applyFont="1" applyFill="1" applyAlignment="1">
      <alignment horizontal="right" vertical="bottom" textRotation="0" indent="0" readingOrder="0"/>
    </xf>
    <xf numFmtId="164" fontId="6" fillId="0" borderId="0" xfId="0" applyNumberFormat="1" applyFont="1"/>
    <xf numFmtId="165" fontId="5" fillId="0" borderId="0" xfId="0" applyNumberFormat="1" applyFont="1" applyAlignment="1">
      <alignment horizontal="right" vertical="bottom" textRotation="0" indent="0" readingOrder="0"/>
    </xf>
    <xf numFmtId="174" fontId="5" fillId="0" borderId="0" xfId="0" applyNumberFormat="1" applyFont="1" applyAlignment="1">
      <alignment horizontal="right" vertical="bottom" textRotation="0" indent="0" readingOrder="0"/>
    </xf>
    <xf numFmtId="173" fontId="5" fillId="0" borderId="0" xfId="0" applyNumberFormat="1" applyFont="1" applyAlignment="1">
      <alignment horizontal="right" vertical="bottom" textRotation="0" indent="0" readingOrder="0"/>
    </xf>
    <xf numFmtId="165" fontId="2" fillId="0" borderId="2" xfId="0" applyNumberFormat="1" applyFont="1" applyBorder="1" applyAlignment="1">
      <alignment horizontal="right" vertical="bottom" textRotation="0" indent="0" readingOrder="0"/>
    </xf>
    <xf numFmtId="164" fontId="2" fillId="3" borderId="0" xfId="0" applyNumberFormat="1" applyFont="1" applyFill="1" applyAlignment="1">
      <alignment horizontal="center" vertical="bottom" textRotation="0" indent="0" readingOrder="0"/>
    </xf>
    <xf numFmtId="179" fontId="3" fillId="4" borderId="0" xfId="0" applyNumberFormat="1" applyFont="1" applyFill="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79" fontId="2" fillId="0" borderId="2" xfId="0" applyNumberFormat="1" applyFont="1" applyBorder="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8" fontId="5" fillId="0" borderId="1" xfId="0" applyNumberFormat="1" applyFont="1" applyBorder="1" applyAlignment="1">
      <alignment horizontal="right" vertical="bottom" textRotation="0" indent="0" readingOrder="0"/>
    </xf>
    <xf numFmtId="179" fontId="5" fillId="0" borderId="0" xfId="0" applyNumberFormat="1" applyFont="1" applyAlignment="1">
      <alignment horizontal="right" vertical="bottom" textRotation="0" indent="0" readingOrder="0"/>
    </xf>
    <xf numFmtId="171" fontId="5" fillId="0" borderId="1" xfId="0" applyNumberFormat="1" applyFont="1" applyBorder="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4" fontId="6" fillId="0" borderId="1" xfId="0" applyNumberFormat="1" applyFont="1" applyBorder="1"/>
    <xf numFmtId="178" fontId="5" fillId="0" borderId="0" xfId="0" applyNumberFormat="1" applyFont="1" applyAlignment="1">
      <alignment horizontal="right" vertical="bottom" textRotation="0" indent="0" readingOrder="0"/>
    </xf>
    <xf numFmtId="174" fontId="5" fillId="0" borderId="1" xfId="0" applyNumberFormat="1" applyFont="1" applyBorder="1" applyAlignment="1">
      <alignment horizontal="right" vertical="bottom" textRotation="0" indent="0" readingOrder="0"/>
    </xf>
    <xf numFmtId="164" fontId="2" fillId="2" borderId="0" xfId="0" applyNumberFormat="1" applyFont="1" applyFill="1" applyAlignment="1">
      <alignment horizontal="center" vertical="bottom" textRotation="0" indent="0" readingOrder="0"/>
    </xf>
    <xf numFmtId="165" fontId="5" fillId="0" borderId="1" xfId="0" applyNumberFormat="1" applyFont="1" applyBorder="1" applyAlignment="1">
      <alignment horizontal="right" vertical="bottom" textRotation="0" indent="0" readingOrder="0"/>
    </xf>
    <xf numFmtId="168" fontId="5" fillId="0" borderId="0" xfId="0" applyNumberFormat="1" applyFont="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71" fontId="5" fillId="0" borderId="0" xfId="0" applyNumberFormat="1" applyFont="1" applyAlignment="1">
      <alignment horizontal="right" vertical="bottom" textRotation="0" indent="0" readingOrder="0"/>
    </xf>
    <xf numFmtId="164" fontId="2" fillId="0" borderId="2" xfId="0" applyNumberFormat="1" applyFont="1" applyBorder="1" applyAlignment="1">
      <alignment horizontal="left" vertical="bottom" textRotation="0" indent="0" readingOrder="0"/>
    </xf>
    <xf numFmtId="179" fontId="5" fillId="0" borderId="1" xfId="0" applyNumberFormat="1" applyFont="1" applyBorder="1" applyAlignment="1">
      <alignment horizontal="right" vertical="bottom" textRotation="0" indent="0" readingOrder="0"/>
    </xf>
    <xf numFmtId="178" fontId="3" fillId="4" borderId="0" xfId="0" applyNumberFormat="1" applyFont="1" applyFill="1" applyAlignment="1">
      <alignment horizontal="right" vertical="bottom" textRotation="0" indent="0" readingOrder="0"/>
    </xf>
    <xf numFmtId="164" fontId="6" fillId="3" borderId="0" xfId="0" applyNumberFormat="1" applyFont="1" applyFill="1"/>
    <xf numFmtId="165" fontId="2" fillId="0" borderId="3" xfId="0" applyNumberFormat="1" applyFont="1" applyBorder="1" applyAlignment="1">
      <alignment horizontal="right" vertical="bottom" textRotation="0" indent="0" readingOrder="0"/>
    </xf>
    <xf numFmtId="164" fontId="6" fillId="2" borderId="0" xfId="0" applyNumberFormat="1" applyFont="1" applyFill="1"/>
    <xf numFmtId="165" fontId="3" fillId="4" borderId="0" xfId="0" applyNumberFormat="1" applyFont="1" applyFill="1" applyAlignment="1">
      <alignment horizontal="right" vertical="bottom" textRotation="0" indent="0" readingOrder="0"/>
    </xf>
    <xf numFmtId="174" fontId="3" fillId="4" borderId="0" xfId="0" applyNumberFormat="1" applyFont="1" applyFill="1" applyAlignment="1">
      <alignment horizontal="right" vertical="bottom" textRotation="0" indent="0" readingOrder="0"/>
    </xf>
    <xf numFmtId="165" fontId="7" fillId="0" borderId="1" xfId="0" applyNumberFormat="1" applyFont="1" applyBorder="1" applyAlignment="1">
      <alignment horizontal="right" vertical="bottom" textRotation="0" indent="0" readingOrder="0"/>
    </xf>
    <xf numFmtId="178" fontId="5" fillId="0" borderId="1" xfId="0" applyNumberFormat="1" applyFont="1" applyBorder="1" applyAlignment="1">
      <alignment horizontal="right" vertical="bottom" textRotation="0" indent="0" readingOrder="0"/>
    </xf>
    <xf numFmtId="173" fontId="5" fillId="0" borderId="1" xfId="0" applyNumberFormat="1" applyFont="1" applyBorder="1" applyAlignment="1">
      <alignment horizontal="right" vertical="bottom" textRotation="0" indent="0" readingOrder="0"/>
    </xf>
    <xf numFmtId="178" fontId="3" fillId="4" borderId="1" xfId="0" applyNumberFormat="1" applyFont="1" applyFill="1" applyBorder="1" applyAlignment="1">
      <alignment horizontal="right" vertical="bottom" textRotation="0" indent="0" readingOrder="0"/>
    </xf>
    <xf numFmtId="165" fontId="3" fillId="0" borderId="0" xfId="0" applyNumberFormat="1" applyFont="1" applyAlignment="1">
      <alignment horizontal="right" vertical="bottom" textRotation="0" indent="0" readingOrder="0"/>
    </xf>
    <xf numFmtId="173" fontId="3" fillId="4" borderId="0" xfId="0" applyNumberFormat="1" applyFont="1" applyFill="1" applyAlignment="1">
      <alignment horizontal="right" vertical="bottom" textRotation="0" indent="0" readingOrder="0"/>
    </xf>
    <xf numFmtId="171" fontId="7" fillId="0" borderId="0" xfId="0" applyNumberFormat="1" applyFont="1" applyAlignment="1">
      <alignment horizontal="right" vertical="bottom" textRotation="0" indent="0" readingOrder="0"/>
    </xf>
    <xf numFmtId="164" fontId="6" fillId="2" borderId="1" xfId="0" applyNumberFormat="1" applyFont="1" applyFill="1" applyBorder="1"/>
    <xf numFmtId="179" fontId="2" fillId="0" borderId="3" xfId="0" applyNumberFormat="1" applyFont="1" applyBorder="1" applyAlignment="1">
      <alignment horizontal="right" vertical="bottom" textRotation="0" indent="0" readingOrder="0"/>
    </xf>
    <xf numFmtId="171" fontId="3" fillId="4" borderId="0" xfId="0" applyNumberFormat="1" applyFont="1" applyFill="1" applyAlignment="1">
      <alignment horizontal="right" vertical="bottom" textRotation="0" indent="0" readingOrder="0"/>
    </xf>
    <xf numFmtId="164" fontId="5" fillId="0" borderId="0" xfId="0" applyNumberFormat="1" applyFont="1" applyAlignment="1">
      <alignment horizontal="left" vertical="bottom" textRotation="0" indent="0" readingOrder="0"/>
    </xf>
    <xf numFmtId="165" fontId="5" fillId="0" borderId="0" xfId="0" applyNumberFormat="1" applyFont="1" applyAlignment="1">
      <alignment horizontal="right" vertical="bottom" textRotation="0" indent="0" readingOrder="0"/>
    </xf>
    <xf numFmtId="165" fontId="7" fillId="0" borderId="0" xfId="0" applyNumberFormat="1" applyFont="1" applyAlignment="1">
      <alignment horizontal="right" vertical="bottom" textRotation="0" indent="0" readingOrder="0"/>
    </xf>
    <xf numFmtId="164" fontId="2" fillId="3" borderId="0" xfId="0" applyNumberFormat="1" applyFont="1" applyFill="1" applyAlignment="1">
      <alignment horizontal="left" vertical="bottom" textRotation="0" indent="0" readingOrder="0"/>
    </xf>
    <xf numFmtId="164" fontId="5" fillId="0" borderId="0" xfId="0" applyNumberFormat="1" applyFont="1" applyAlignment="1">
      <alignment horizontal="center" vertical="bottom" textRotation="0" indent="0" readingOrder="0"/>
    </xf>
    <xf numFmtId="164" fontId="2" fillId="2" borderId="1" xfId="0" applyNumberFormat="1" applyFont="1" applyFill="1" applyBorder="1" applyAlignment="1">
      <alignment horizontal="center" vertical="bottom" textRotation="0" indent="0" readingOrder="0"/>
    </xf>
    <xf numFmtId="164" fontId="5" fillId="0" borderId="0" xfId="0" applyNumberFormat="1" applyFont="1"/>
    <xf numFmtId="164" fontId="2" fillId="2" borderId="1" xfId="0" applyNumberFormat="1" applyFont="1" applyFill="1" applyBorder="1" applyAlignment="1">
      <alignment horizontal="left" vertical="bottom" textRotation="0" indent="0" readingOrder="0"/>
    </xf>
    <xf numFmtId="165" fontId="7" fillId="0" borderId="1" xfId="0" applyNumberFormat="1" applyFont="1" applyBorder="1" applyAlignment="1">
      <alignment horizontal="right" vertical="bottom" textRotation="0" indent="0" readingOrder="0"/>
    </xf>
    <xf numFmtId="165" fontId="5" fillId="0" borderId="1" xfId="0" applyNumberFormat="1" applyFont="1" applyBorder="1" applyAlignment="1">
      <alignment horizontal="right" vertical="bottom" textRotation="0" indent="0" readingOrder="0"/>
    </xf>
    <xf numFmtId="164" fontId="2" fillId="0" borderId="0" xfId="0" applyNumberFormat="1" applyFont="1" applyAlignment="1">
      <alignment horizontal="center" vertical="bottom" textRotation="0" indent="0" readingOrder="0"/>
    </xf>
    <xf numFmtId="164" fontId="2" fillId="0" borderId="0" xfId="0" applyNumberFormat="1" applyFont="1" applyAlignment="1">
      <alignment horizontal="left" vertical="bottom" textRotation="0" indent="0" readingOrder="0"/>
    </xf>
    <xf numFmtId="176" fontId="5" fillId="0" borderId="0" xfId="0" applyNumberFormat="1" applyFont="1" applyAlignment="1">
      <alignment horizontal="center" vertical="bottom" textRotation="0" indent="0" readingOrder="0"/>
    </xf>
    <xf numFmtId="164" fontId="5" fillId="0" borderId="0" xfId="0" applyNumberFormat="1" applyFont="1" applyAlignment="1">
      <alignment horizontal="left" vertical="bottom" textRotation="0" indent="0" readingOrder="0"/>
    </xf>
    <xf numFmtId="165" fontId="5" fillId="0" borderId="0" xfId="0" applyNumberFormat="1" applyFont="1" applyAlignment="1">
      <alignment horizontal="right" vertical="bottom" textRotation="0" indent="0" readingOrder="0"/>
    </xf>
    <xf numFmtId="164" fontId="5" fillId="0" borderId="0" xfId="0" applyNumberFormat="1" applyFont="1"/>
    <xf numFmtId="164" fontId="2" fillId="2" borderId="1" xfId="0" applyNumberFormat="1" applyFont="1" applyFill="1" applyBorder="1" applyAlignment="1">
      <alignment horizontal="left" vertical="bottom" textRotation="0" indent="0" readingOrder="0"/>
    </xf>
    <xf numFmtId="164" fontId="2" fillId="3" borderId="0" xfId="0" applyNumberFormat="1" applyFont="1" applyFill="1" applyAlignment="1">
      <alignment horizontal="left" vertical="bottom" textRotation="0" indent="0" readingOrder="0"/>
    </xf>
    <xf numFmtId="165" fontId="7" fillId="0" borderId="0" xfId="0" applyNumberFormat="1" applyFont="1" applyAlignment="1">
      <alignment horizontal="right" vertical="bottom" textRotation="0" indent="0" readingOrder="0"/>
    </xf>
    <xf numFmtId="164" fontId="5" fillId="0" borderId="0" xfId="0" applyNumberFormat="1" applyFont="1" applyAlignment="1">
      <alignment horizontal="center" vertical="bottom" textRotation="0" indent="0" readingOrder="0"/>
    </xf>
    <xf numFmtId="165" fontId="7" fillId="0" borderId="1" xfId="0" applyNumberFormat="1" applyFont="1" applyBorder="1" applyAlignment="1">
      <alignment horizontal="right" vertical="bottom" textRotation="0" indent="0" readingOrder="0"/>
    </xf>
    <xf numFmtId="164" fontId="2" fillId="2" borderId="1" xfId="0" applyNumberFormat="1" applyFont="1" applyFill="1" applyBorder="1" applyAlignment="1">
      <alignment horizontal="center" vertical="bottom" textRotation="0" indent="0" readingOrder="0"/>
    </xf>
    <xf numFmtId="165" fontId="5" fillId="0" borderId="1" xfId="0" applyNumberFormat="1" applyFont="1" applyBorder="1" applyAlignment="1">
      <alignment horizontal="right" vertical="bottom" textRotation="0" indent="0" readingOrder="0"/>
    </xf>
    <xf numFmtId="164" fontId="2" fillId="0" borderId="0" xfId="0" applyNumberFormat="1" applyFont="1" applyAlignment="1">
      <alignment horizontal="center" vertical="bottom" textRotation="0" indent="0" readingOrder="0"/>
    </xf>
    <xf numFmtId="164" fontId="2" fillId="0" borderId="0" xfId="0" applyNumberFormat="1" applyFont="1" applyAlignment="1">
      <alignment horizontal="left" vertical="bottom" textRotation="0" indent="0" readingOrder="0"/>
    </xf>
    <xf numFmtId="176" fontId="5" fillId="0" borderId="0" xfId="0" applyNumberFormat="1" applyFont="1" applyAlignment="1">
      <alignment horizontal="center" vertical="bottom" textRotation="0" indent="0" readingOrder="0"/>
    </xf>
    <xf numFmtId="164" fontId="5" fillId="0" borderId="0" xfId="0" applyNumberFormat="1" applyFont="1"/>
    <xf numFmtId="172" fontId="5" fillId="0" borderId="0" xfId="0" applyNumberFormat="1" applyFont="1"/>
    <xf numFmtId="164" fontId="2" fillId="0" borderId="0" xfId="0" applyNumberFormat="1" applyFont="1" applyAlignment="1">
      <alignment horizontal="center" vertical="bottom" textRotation="0" indent="0" readingOrder="0"/>
    </xf>
    <xf numFmtId="164" fontId="2" fillId="0" borderId="0" xfId="0" applyNumberFormat="1" applyFont="1"/>
    <xf numFmtId="164" fontId="9" fillId="0" borderId="0" xfId="0" applyNumberFormat="1" applyFont="1" applyAlignment="1">
      <alignment horizontal="center" vertical="bottom" textRotation="0" indent="0" readingOrder="0"/>
    </xf>
    <xf numFmtId="0" fontId="11" fillId="0" borderId="0" xfId="0" applyFont="1" applyAlignment="1">
      <alignment horizontal="left"/>
    </xf>
    <xf numFmtId="0" fontId="11" fillId="0" borderId="0" xfId="0" applyFont="1"/>
    <xf numFmtId="0" fontId="12" fillId="3" borderId="0" xfId="0" applyFont="1" applyFill="1" applyAlignment="1">
      <alignment horizontal="left"/>
    </xf>
    <xf numFmtId="176" fontId="11" fillId="0" borderId="0" xfId="0" applyNumberFormat="1" applyFont="1" applyAlignment="1">
      <alignment horizontal="center"/>
    </xf>
    <xf numFmtId="165" fontId="11" fillId="0" borderId="0" xfId="0" applyNumberFormat="1" applyFont="1" applyAlignment="1">
      <alignment horizontal="right"/>
    </xf>
    <xf numFmtId="165" fontId="13" fillId="0" borderId="0" xfId="0" applyNumberFormat="1" applyFont="1" applyAlignment="1">
      <alignment horizontal="right"/>
    </xf>
    <xf numFmtId="165" fontId="13" fillId="0" borderId="1" xfId="0" applyNumberFormat="1" applyFont="1" applyBorder="1" applyAlignment="1">
      <alignment horizontal="right"/>
    </xf>
    <xf numFmtId="0" fontId="12" fillId="2" borderId="1" xfId="0" applyFont="1" applyFill="1" applyBorder="1" applyAlignment="1">
      <alignment horizontal="left"/>
    </xf>
    <xf numFmtId="165" fontId="11" fillId="0" borderId="1" xfId="0" applyNumberFormat="1" applyFont="1" applyBorder="1" applyAlignment="1">
      <alignment horizontal="right"/>
    </xf>
    <xf numFmtId="0" fontId="12" fillId="2" borderId="1" xfId="0" applyFont="1" applyFill="1" applyBorder="1" applyAlignment="1">
      <alignment horizontal="center"/>
    </xf>
    <xf numFmtId="0" fontId="11" fillId="0" borderId="0" xfId="0" applyFont="1" applyAlignment="1">
      <alignment horizontal="center"/>
    </xf>
    <xf numFmtId="0" fontId="12" fillId="0" borderId="0" xfId="0" applyFont="1" applyAlignment="1">
      <alignment horizontal="left"/>
    </xf>
    <xf numFmtId="0" fontId="12" fillId="0" borderId="0" xfId="0" applyFont="1" applyAlignment="1">
      <alignment horizontal="center"/>
    </xf>
    <xf numFmtId="180" fontId="14" fillId="0" borderId="0" xfId="0" applyNumberFormat="1" applyFont="1" applyFill="1" applyAlignment="1" applyProtection="1">
      <alignment vertical="top"/>
      <protection locked="1" hidden="0"/>
    </xf>
    <xf numFmtId="0" fontId="14" fillId="0" borderId="0" xfId="0" applyFont="1" applyFill="1" applyAlignment="1" applyProtection="1">
      <alignment vertical="top"/>
      <protection locked="1" hidden="0"/>
    </xf>
    <xf numFmtId="0" fontId="15" fillId="0" borderId="0" xfId="0" applyFont="1" applyFill="1" applyProtection="1">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1"/>
  <sheetViews>
    <sheetView showGridLines="0" tabSelected="1" workbookViewId="0"/>
  </sheetViews>
  <sheetFormatPr defaultColWidth="8.375" defaultRowHeight="15"/>
  <cols>
    <col min="1" max="1" width="43.125" customWidth="1"/>
    <col min="2" max="11" width="12.5" customWidth="1"/>
  </cols>
  <sheetData>
    <row r="1">
      <c r="A1" s="1384" t="s">
        <v>0</v>
      </c>
      <c r="B1" s="10"/>
      <c r="C1" s="10"/>
      <c r="D1" s="10"/>
      <c r="E1" s="10"/>
      <c r="F1" s="10"/>
      <c r="G1" s="1"/>
      <c r="H1" s="8"/>
      <c r="I1" s="8"/>
      <c r="J1" s="8"/>
      <c r="K1" s="8"/>
    </row>
    <row r="2">
      <c r="A2" s="1394" t="s">
        <v>1</v>
      </c>
      <c r="G2" s="11"/>
    </row>
    <row r="3">
      <c r="A3" s="1394" t="s">
        <v>2</v>
      </c>
      <c r="G3" s="11"/>
    </row>
    <row r="4">
      <c r="A4" s="6"/>
      <c r="B4" s="6"/>
      <c r="C4" s="6"/>
      <c r="D4" s="6"/>
      <c r="E4" s="6"/>
      <c r="F4" s="6"/>
      <c r="G4" s="11"/>
      <c r="H4" s="6"/>
      <c r="I4" s="6"/>
      <c r="J4" s="6"/>
      <c r="K4" s="6"/>
    </row>
    <row r="5">
      <c r="A5" s="1384" t="s">
        <v>3</v>
      </c>
      <c r="B5" s="1385" t="s">
        <v>4</v>
      </c>
      <c r="C5" s="1385" t="s">
        <v>5</v>
      </c>
      <c r="D5" s="1385" t="s">
        <v>6</v>
      </c>
      <c r="E5" s="1385" t="s">
        <v>7</v>
      </c>
      <c r="F5" s="1385" t="s">
        <v>8</v>
      </c>
      <c r="G5" s="1389" t="s">
        <v>9</v>
      </c>
      <c r="H5" s="1391" t="s">
        <v>10</v>
      </c>
      <c r="I5" s="1391" t="s">
        <v>11</v>
      </c>
      <c r="J5" s="1391" t="s">
        <v>12</v>
      </c>
      <c r="K5" s="1391" t="s">
        <v>13</v>
      </c>
    </row>
    <row r="6">
      <c r="A6" s="1384" t="s">
        <v>14</v>
      </c>
      <c r="B6" s="10"/>
      <c r="C6" s="10"/>
      <c r="D6" s="10"/>
      <c r="E6" s="10"/>
      <c r="F6" s="10"/>
      <c r="G6" s="1"/>
      <c r="H6" s="8"/>
      <c r="I6" s="8"/>
      <c r="J6" s="8"/>
      <c r="K6" s="8"/>
    </row>
    <row r="7">
      <c r="A7" s="1394" t="s">
        <v>15</v>
      </c>
      <c r="B7" s="1409">
        <v>42793727</v>
      </c>
      <c r="C7" s="1409">
        <v>57204243</v>
      </c>
      <c r="D7" s="1409">
        <v>53187368</v>
      </c>
      <c r="E7" s="1409">
        <v>55356497</v>
      </c>
      <c r="F7" s="1409">
        <v>48358044</v>
      </c>
      <c r="G7" s="7"/>
      <c r="H7" s="2"/>
      <c r="I7" s="2"/>
      <c r="J7" s="2"/>
      <c r="K7" s="2"/>
    </row>
    <row r="8">
      <c r="A8" s="1394" t="s">
        <v>16</v>
      </c>
      <c r="B8" s="1409">
        <v>4427043</v>
      </c>
      <c r="C8" s="1409">
        <v>8559953</v>
      </c>
      <c r="D8" s="1409">
        <v>12013335</v>
      </c>
      <c r="E8" s="1409">
        <v>9960198</v>
      </c>
      <c r="F8" s="1409">
        <v>4986124</v>
      </c>
      <c r="G8" s="7"/>
      <c r="H8" s="2"/>
      <c r="I8" s="2"/>
      <c r="J8" s="2"/>
      <c r="K8" s="2"/>
    </row>
    <row r="9">
      <c r="A9" s="1394" t="s">
        <v>17</v>
      </c>
      <c r="B9" s="1409">
        <v>1368202</v>
      </c>
      <c r="C9" s="1409">
        <v>1850469</v>
      </c>
      <c r="D9" s="1409">
        <v>2243773</v>
      </c>
      <c r="E9" s="1409">
        <v>2503761</v>
      </c>
      <c r="F9" s="1409">
        <v>1761951</v>
      </c>
      <c r="G9" s="7"/>
      <c r="H9" s="2"/>
      <c r="I9" s="2"/>
      <c r="J9" s="2"/>
      <c r="K9" s="2"/>
    </row>
    <row r="10">
      <c r="A10" s="1401" t="s">
        <v>18</v>
      </c>
      <c r="B10" s="1338">
        <v>5795245</v>
      </c>
      <c r="C10" s="1338">
        <v>10410422</v>
      </c>
      <c r="D10" s="1338">
        <v>14257108</v>
      </c>
      <c r="E10" s="1338">
        <v>12463959</v>
      </c>
      <c r="F10" s="1338">
        <v>6748075</v>
      </c>
      <c r="G10" s="9"/>
      <c r="H10" s="3"/>
      <c r="I10" s="3"/>
      <c r="J10" s="3"/>
      <c r="K10" s="3"/>
    </row>
    <row r="11">
      <c r="A11" s="1394" t="s">
        <v>19</v>
      </c>
      <c r="B11" s="1409">
        <v>869881</v>
      </c>
      <c r="C11" s="1409">
        <v>1974498</v>
      </c>
      <c r="D11" s="1409">
        <v>2169724</v>
      </c>
      <c r="E11" s="1409">
        <v>642966</v>
      </c>
      <c r="F11" s="1409">
        <v>1922207</v>
      </c>
      <c r="G11" s="7"/>
      <c r="H11" s="2"/>
      <c r="I11" s="2"/>
      <c r="J11" s="2"/>
      <c r="K11" s="2"/>
    </row>
    <row r="12">
      <c r="A12" s="1394" t="s">
        <v>20</v>
      </c>
      <c r="B12" s="1409">
        <v>11878451</v>
      </c>
      <c r="C12" s="1409">
        <v>11881633</v>
      </c>
      <c r="D12" s="1409">
        <v>11997283</v>
      </c>
      <c r="E12" s="1409">
        <v>12446869</v>
      </c>
      <c r="F12" s="1409">
        <v>12521408</v>
      </c>
      <c r="G12" s="7"/>
      <c r="H12" s="2"/>
      <c r="I12" s="2"/>
      <c r="J12" s="2"/>
      <c r="K12" s="2"/>
    </row>
    <row r="13">
      <c r="A13" s="1394" t="s">
        <v>21</v>
      </c>
      <c r="B13" s="1409">
        <v>2400538</v>
      </c>
      <c r="C13" s="1409">
        <v>2548375</v>
      </c>
      <c r="D13" s="1409">
        <v>2841019</v>
      </c>
      <c r="E13" s="1409">
        <v>2549512</v>
      </c>
      <c r="F13" s="1409">
        <v>3004212</v>
      </c>
      <c r="G13" s="7"/>
      <c r="H13" s="2"/>
      <c r="I13" s="2"/>
      <c r="J13" s="2"/>
      <c r="K13" s="2"/>
    </row>
    <row r="14">
      <c r="A14" s="1394" t="s">
        <v>22</v>
      </c>
      <c r="B14" s="1409">
        <v>4588379</v>
      </c>
      <c r="C14" s="1409">
        <v>5332929</v>
      </c>
      <c r="D14" s="1409">
        <v>5554329</v>
      </c>
      <c r="E14" s="1409">
        <v>5511351</v>
      </c>
      <c r="F14" s="1409">
        <v>5684677</v>
      </c>
      <c r="G14" s="7"/>
      <c r="H14" s="2"/>
      <c r="I14" s="2"/>
      <c r="J14" s="2"/>
      <c r="K14" s="2"/>
    </row>
    <row r="15">
      <c r="A15" s="1394" t="s">
        <v>23</v>
      </c>
      <c r="B15" s="2"/>
      <c r="C15" s="1409">
        <v>0</v>
      </c>
      <c r="D15" s="1409">
        <v>127418</v>
      </c>
      <c r="E15" s="2"/>
      <c r="F15" s="2"/>
      <c r="G15" s="7"/>
      <c r="H15" s="2"/>
      <c r="I15" s="2"/>
      <c r="J15" s="2"/>
      <c r="K15" s="2"/>
    </row>
    <row r="16">
      <c r="A16" s="1394" t="s">
        <v>24</v>
      </c>
      <c r="B16" s="1409">
        <v>20000</v>
      </c>
      <c r="C16" s="2"/>
      <c r="D16" s="2"/>
      <c r="E16" s="2"/>
      <c r="F16" s="2"/>
      <c r="G16" s="7"/>
      <c r="H16" s="2"/>
      <c r="I16" s="2"/>
      <c r="J16" s="2"/>
      <c r="K16" s="2"/>
    </row>
    <row r="17">
      <c r="A17" s="1394" t="s">
        <v>25</v>
      </c>
      <c r="B17" s="1409">
        <v>139398</v>
      </c>
      <c r="C17" s="2"/>
      <c r="D17" s="2"/>
      <c r="E17" s="2"/>
      <c r="F17" s="2"/>
      <c r="G17" s="7"/>
      <c r="H17" s="2"/>
      <c r="I17" s="2"/>
      <c r="J17" s="2"/>
      <c r="K17" s="2"/>
    </row>
    <row r="18">
      <c r="A18" s="1401" t="s">
        <v>26</v>
      </c>
      <c r="B18" s="1338">
        <v>19026766</v>
      </c>
      <c r="C18" s="1338">
        <v>19762937</v>
      </c>
      <c r="D18" s="1338">
        <v>20520049</v>
      </c>
      <c r="E18" s="1338">
        <v>20507732</v>
      </c>
      <c r="F18" s="1338">
        <v>21210297</v>
      </c>
      <c r="G18" s="9"/>
      <c r="H18" s="3"/>
      <c r="I18" s="3"/>
      <c r="J18" s="3"/>
      <c r="K18" s="3"/>
    </row>
    <row r="19">
      <c r="A19" s="1401" t="s">
        <v>27</v>
      </c>
      <c r="B19" s="1338">
        <v>18841597</v>
      </c>
      <c r="C19" s="1338">
        <v>29005382</v>
      </c>
      <c r="D19" s="1338">
        <v>20579935</v>
      </c>
      <c r="E19" s="1338">
        <v>23027772</v>
      </c>
      <c r="F19" s="1338">
        <v>22321879</v>
      </c>
      <c r="G19" s="9"/>
      <c r="H19" s="3"/>
      <c r="I19" s="3"/>
      <c r="J19" s="3"/>
      <c r="K19" s="3"/>
    </row>
    <row r="20">
      <c r="A20" s="1394" t="s">
        <v>28</v>
      </c>
      <c r="B20" s="1409">
        <v>10739963</v>
      </c>
      <c r="C20" s="1409">
        <v>10140045</v>
      </c>
      <c r="D20" s="1409">
        <v>9645428</v>
      </c>
      <c r="E20" s="1409">
        <v>9291709</v>
      </c>
      <c r="F20" s="1409">
        <v>8681196</v>
      </c>
      <c r="G20" s="7"/>
      <c r="H20" s="2"/>
      <c r="I20" s="2"/>
      <c r="J20" s="2"/>
      <c r="K20" s="2"/>
    </row>
    <row r="21">
      <c r="A21" s="1394" t="s">
        <v>29</v>
      </c>
      <c r="B21" s="1409">
        <v>-129032</v>
      </c>
      <c r="C21" s="1409">
        <v>-140572</v>
      </c>
      <c r="D21" s="1409">
        <v>-242921</v>
      </c>
      <c r="E21" s="1409">
        <v>-362555</v>
      </c>
      <c r="F21" s="1409">
        <v>-547419</v>
      </c>
      <c r="G21" s="7"/>
      <c r="H21" s="2"/>
      <c r="I21" s="2"/>
      <c r="J21" s="2"/>
      <c r="K21" s="2"/>
    </row>
    <row r="22">
      <c r="A22" s="1401" t="s">
        <v>30</v>
      </c>
      <c r="B22" s="1338">
        <v>10610931</v>
      </c>
      <c r="C22" s="1338">
        <v>9999473</v>
      </c>
      <c r="D22" s="1338">
        <v>9402507</v>
      </c>
      <c r="E22" s="1338">
        <v>8929154</v>
      </c>
      <c r="F22" s="1338">
        <v>8133777</v>
      </c>
      <c r="G22" s="9"/>
      <c r="H22" s="3"/>
      <c r="I22" s="3"/>
      <c r="J22" s="3"/>
      <c r="K22" s="3"/>
    </row>
    <row r="23">
      <c r="A23" s="1401" t="s">
        <v>31</v>
      </c>
      <c r="B23" s="1338">
        <v>8230666</v>
      </c>
      <c r="C23" s="1338">
        <v>19005909</v>
      </c>
      <c r="D23" s="1338">
        <v>11177428</v>
      </c>
      <c r="E23" s="1338">
        <v>14098618</v>
      </c>
      <c r="F23" s="1338">
        <v>14188102</v>
      </c>
      <c r="G23" s="9"/>
      <c r="H23" s="3"/>
      <c r="I23" s="3"/>
      <c r="J23" s="3"/>
      <c r="K23" s="3"/>
    </row>
    <row r="24">
      <c r="A24" s="1394" t="s">
        <v>32</v>
      </c>
      <c r="B24" s="1409">
        <v>-3095130</v>
      </c>
      <c r="C24" s="1409">
        <v>-5342988</v>
      </c>
      <c r="D24" s="1409">
        <v>-3950425</v>
      </c>
      <c r="E24" s="1409">
        <v>-4617385</v>
      </c>
      <c r="F24" s="1409">
        <v>-4887298</v>
      </c>
      <c r="G24" s="7"/>
      <c r="H24" s="2"/>
      <c r="I24" s="2"/>
      <c r="J24" s="2"/>
      <c r="K24" s="2"/>
    </row>
    <row r="25">
      <c r="A25" s="1401" t="s">
        <v>33</v>
      </c>
      <c r="B25" s="1338">
        <v>5135536</v>
      </c>
      <c r="C25" s="1338">
        <v>13662921</v>
      </c>
      <c r="D25" s="1338">
        <v>7227003</v>
      </c>
      <c r="E25" s="1338">
        <v>9481233</v>
      </c>
      <c r="F25" s="1338">
        <v>9300804</v>
      </c>
      <c r="G25" s="9"/>
      <c r="H25" s="3"/>
      <c r="I25" s="3"/>
      <c r="J25" s="3"/>
      <c r="K25" s="3"/>
    </row>
    <row r="26">
      <c r="A26" s="6"/>
      <c r="B26" s="6"/>
      <c r="C26" s="6"/>
      <c r="D26" s="6"/>
      <c r="E26" s="6"/>
      <c r="F26" s="6"/>
      <c r="G26" s="11"/>
      <c r="H26" s="6"/>
      <c r="I26" s="6"/>
      <c r="J26" s="6"/>
      <c r="K26" s="6"/>
    </row>
    <row r="27">
      <c r="A27" s="1384" t="s">
        <v>3</v>
      </c>
      <c r="B27" s="1385" t="s">
        <v>4</v>
      </c>
      <c r="C27" s="1385" t="s">
        <v>5</v>
      </c>
      <c r="D27" s="1385" t="s">
        <v>6</v>
      </c>
      <c r="E27" s="1385" t="s">
        <v>7</v>
      </c>
      <c r="F27" s="1385" t="s">
        <v>8</v>
      </c>
      <c r="G27" s="1389" t="s">
        <v>9</v>
      </c>
      <c r="H27" s="1391" t="s">
        <v>10</v>
      </c>
      <c r="I27" s="1391" t="s">
        <v>11</v>
      </c>
      <c r="J27" s="1391" t="s">
        <v>12</v>
      </c>
      <c r="K27" s="1391" t="s">
        <v>13</v>
      </c>
    </row>
    <row r="28">
      <c r="A28" s="1384" t="s">
        <v>34</v>
      </c>
      <c r="B28" s="10"/>
      <c r="C28" s="10"/>
      <c r="D28" s="10"/>
      <c r="E28" s="10"/>
      <c r="F28" s="10"/>
      <c r="G28" s="1"/>
      <c r="H28" s="8"/>
      <c r="I28" s="8"/>
      <c r="J28" s="8"/>
      <c r="K28" s="8"/>
    </row>
    <row r="29">
      <c r="A29" s="1394" t="s">
        <v>35</v>
      </c>
      <c r="B29" s="1409">
        <v>9167597</v>
      </c>
      <c r="C29" s="1409">
        <v>10955792</v>
      </c>
      <c r="D29" s="1409">
        <v>10299859</v>
      </c>
      <c r="E29" s="1409">
        <v>9494389</v>
      </c>
      <c r="F29" s="1409">
        <v>11057503</v>
      </c>
      <c r="G29" s="7"/>
      <c r="H29" s="2"/>
      <c r="I29" s="2"/>
      <c r="J29" s="2"/>
      <c r="K29" s="2"/>
    </row>
    <row r="30">
      <c r="A30" s="1394" t="s">
        <v>36</v>
      </c>
      <c r="B30" s="2"/>
      <c r="C30" s="2"/>
      <c r="D30" s="2"/>
      <c r="E30" s="2"/>
      <c r="F30" s="1409">
        <v>8000000</v>
      </c>
      <c r="G30" s="7"/>
      <c r="H30" s="2"/>
      <c r="I30" s="2"/>
      <c r="J30" s="2"/>
      <c r="K30" s="2"/>
    </row>
    <row r="31">
      <c r="A31" s="1394" t="s">
        <v>37</v>
      </c>
      <c r="B31" s="1409">
        <v>9794078</v>
      </c>
      <c r="C31" s="1409">
        <v>10480520</v>
      </c>
      <c r="D31" s="1409">
        <v>10514874</v>
      </c>
      <c r="E31" s="1409">
        <v>10018368</v>
      </c>
      <c r="F31" s="1409">
        <v>8602706</v>
      </c>
      <c r="G31" s="7"/>
      <c r="H31" s="2"/>
      <c r="I31" s="2"/>
      <c r="J31" s="2"/>
      <c r="K31" s="2"/>
    </row>
    <row r="32">
      <c r="A32" s="1394" t="s">
        <v>38</v>
      </c>
      <c r="B32" s="1409">
        <v>1954889</v>
      </c>
      <c r="C32" s="1409">
        <v>2283806</v>
      </c>
      <c r="D32" s="1409">
        <v>2176373</v>
      </c>
      <c r="E32" s="1409">
        <v>2315599</v>
      </c>
      <c r="F32" s="1409">
        <v>2666409</v>
      </c>
      <c r="G32" s="7"/>
      <c r="H32" s="2"/>
      <c r="I32" s="2"/>
      <c r="J32" s="2"/>
      <c r="K32" s="2"/>
    </row>
    <row r="33">
      <c r="A33" s="1394" t="s">
        <v>39</v>
      </c>
      <c r="B33" s="1409">
        <v>189074</v>
      </c>
      <c r="C33" s="1409">
        <v>171942</v>
      </c>
      <c r="D33" s="1409">
        <v>1400465</v>
      </c>
      <c r="E33" s="1409">
        <v>475685</v>
      </c>
      <c r="F33" s="1409">
        <v>836786</v>
      </c>
      <c r="G33" s="7"/>
      <c r="H33" s="2"/>
      <c r="I33" s="2"/>
      <c r="J33" s="2"/>
      <c r="K33" s="2"/>
    </row>
    <row r="34">
      <c r="A34" s="1394" t="s">
        <v>40</v>
      </c>
      <c r="B34" s="1409">
        <v>1825438</v>
      </c>
      <c r="C34" s="1409">
        <v>2648365</v>
      </c>
      <c r="D34" s="1409">
        <v>1541175</v>
      </c>
      <c r="E34" s="1409">
        <v>1829780</v>
      </c>
      <c r="F34" s="1409">
        <v>0</v>
      </c>
      <c r="G34" s="7"/>
      <c r="H34" s="2"/>
      <c r="I34" s="2"/>
      <c r="J34" s="2"/>
      <c r="K34" s="2"/>
    </row>
    <row r="35">
      <c r="A35" s="1394" t="s">
        <v>41</v>
      </c>
      <c r="B35" s="1409">
        <v>654057</v>
      </c>
      <c r="C35" s="1409">
        <v>1115702</v>
      </c>
      <c r="D35" s="1409">
        <v>510364</v>
      </c>
      <c r="E35" s="1409">
        <v>551482</v>
      </c>
      <c r="F35" s="1409">
        <v>497274</v>
      </c>
      <c r="G35" s="7"/>
      <c r="H35" s="2"/>
      <c r="I35" s="2"/>
      <c r="J35" s="2"/>
      <c r="K35" s="2"/>
    </row>
    <row r="36">
      <c r="A36" s="1401" t="s">
        <v>42</v>
      </c>
      <c r="B36" s="1338">
        <v>23585133</v>
      </c>
      <c r="C36" s="1338">
        <v>27656127</v>
      </c>
      <c r="D36" s="1338">
        <v>26443110</v>
      </c>
      <c r="E36" s="1338">
        <v>24685303</v>
      </c>
      <c r="F36" s="1338">
        <v>31660678</v>
      </c>
      <c r="G36" s="9"/>
      <c r="H36" s="3"/>
      <c r="I36" s="3"/>
      <c r="J36" s="3"/>
      <c r="K36" s="3"/>
    </row>
    <row r="37">
      <c r="A37" s="1394" t="s">
        <v>43</v>
      </c>
      <c r="B37" s="1409">
        <v>4206485</v>
      </c>
      <c r="C37" s="1409">
        <v>4234822</v>
      </c>
      <c r="D37" s="1409">
        <v>4033700</v>
      </c>
      <c r="E37" s="1409">
        <v>4197349</v>
      </c>
      <c r="F37" s="1409">
        <v>4260349</v>
      </c>
      <c r="G37" s="7"/>
      <c r="H37" s="2"/>
      <c r="I37" s="2"/>
      <c r="J37" s="2"/>
      <c r="K37" s="2"/>
    </row>
    <row r="38">
      <c r="A38" s="1394" t="s">
        <v>44</v>
      </c>
      <c r="B38" s="1409">
        <v>213118</v>
      </c>
      <c r="C38" s="2"/>
      <c r="D38" s="2"/>
      <c r="E38" s="2"/>
      <c r="F38" s="2"/>
      <c r="G38" s="7"/>
      <c r="H38" s="2"/>
      <c r="I38" s="2"/>
      <c r="J38" s="2"/>
      <c r="K38" s="2"/>
    </row>
    <row r="39">
      <c r="A39" s="1394" t="s">
        <v>45</v>
      </c>
      <c r="B39" s="1409">
        <v>289872297</v>
      </c>
      <c r="C39" s="1409">
        <v>280225020</v>
      </c>
      <c r="D39" s="1409">
        <v>278143135</v>
      </c>
      <c r="E39" s="1409">
        <v>266144886</v>
      </c>
      <c r="F39" s="1409">
        <v>254111593</v>
      </c>
      <c r="G39" s="7"/>
      <c r="H39" s="2"/>
      <c r="I39" s="2"/>
      <c r="J39" s="2"/>
      <c r="K39" s="2"/>
    </row>
    <row r="40">
      <c r="A40" s="1394" t="s">
        <v>46</v>
      </c>
      <c r="B40" s="1409">
        <v>7033750</v>
      </c>
      <c r="C40" s="1409">
        <v>7033750</v>
      </c>
      <c r="D40" s="1409">
        <v>7033750</v>
      </c>
      <c r="E40" s="1409">
        <v>7033750</v>
      </c>
      <c r="F40" s="1409">
        <v>7033750</v>
      </c>
      <c r="G40" s="7"/>
      <c r="H40" s="2"/>
      <c r="I40" s="2"/>
      <c r="J40" s="2"/>
      <c r="K40" s="2"/>
    </row>
    <row r="41">
      <c r="A41" s="1394" t="s">
        <v>47</v>
      </c>
      <c r="B41" s="1409">
        <v>173084</v>
      </c>
      <c r="C41" s="1409">
        <v>174084</v>
      </c>
      <c r="D41" s="2"/>
      <c r="E41" s="2"/>
      <c r="F41" s="2"/>
      <c r="G41" s="7"/>
      <c r="H41" s="2"/>
      <c r="I41" s="2"/>
      <c r="J41" s="2"/>
      <c r="K41" s="2"/>
    </row>
    <row r="42">
      <c r="A42" s="1394" t="s">
        <v>48</v>
      </c>
      <c r="B42" s="1409">
        <v>538918</v>
      </c>
      <c r="C42" s="1409">
        <v>525826</v>
      </c>
      <c r="D42" s="1409">
        <v>512733</v>
      </c>
      <c r="E42" s="1409">
        <v>499640</v>
      </c>
      <c r="F42" s="1409">
        <v>509989</v>
      </c>
      <c r="G42" s="7"/>
      <c r="H42" s="2"/>
      <c r="I42" s="2"/>
      <c r="J42" s="2"/>
      <c r="K42" s="2"/>
    </row>
    <row r="43">
      <c r="A43" s="1394" t="s">
        <v>49</v>
      </c>
      <c r="B43" s="1409">
        <v>142658</v>
      </c>
      <c r="C43" s="1409">
        <v>101898</v>
      </c>
      <c r="D43" s="1409">
        <v>69290</v>
      </c>
      <c r="E43" s="1409">
        <v>36682</v>
      </c>
      <c r="F43" s="1409">
        <v>4074</v>
      </c>
      <c r="G43" s="7"/>
      <c r="H43" s="2"/>
      <c r="I43" s="2"/>
      <c r="J43" s="2"/>
      <c r="K43" s="2"/>
    </row>
    <row r="44">
      <c r="A44" s="1394" t="s">
        <v>50</v>
      </c>
      <c r="B44" s="1409">
        <v>193382</v>
      </c>
      <c r="C44" s="1409">
        <v>140101</v>
      </c>
      <c r="D44" s="1409">
        <v>86820</v>
      </c>
      <c r="E44" s="2"/>
      <c r="F44" s="2"/>
      <c r="G44" s="7"/>
      <c r="H44" s="2"/>
      <c r="I44" s="2"/>
      <c r="J44" s="2"/>
      <c r="K44" s="2"/>
    </row>
    <row r="45">
      <c r="A45" s="1394" t="s">
        <v>51</v>
      </c>
      <c r="B45" s="1409">
        <v>1863452</v>
      </c>
      <c r="C45" s="1409">
        <v>1321139</v>
      </c>
      <c r="D45" s="1409">
        <v>238792</v>
      </c>
      <c r="E45" s="2"/>
      <c r="F45" s="2"/>
      <c r="G45" s="7"/>
      <c r="H45" s="2"/>
      <c r="I45" s="2"/>
      <c r="J45" s="2"/>
      <c r="K45" s="2"/>
    </row>
    <row r="46">
      <c r="A46" s="1394" t="s">
        <v>52</v>
      </c>
      <c r="B46" s="1409">
        <v>209800</v>
      </c>
      <c r="C46" s="1409">
        <v>227497</v>
      </c>
      <c r="D46" s="1409">
        <v>242970</v>
      </c>
      <c r="E46" s="1409">
        <v>276061</v>
      </c>
      <c r="F46" s="1409">
        <v>284646</v>
      </c>
      <c r="G46" s="7"/>
      <c r="H46" s="2"/>
      <c r="I46" s="2"/>
      <c r="J46" s="2"/>
      <c r="K46" s="2"/>
    </row>
    <row r="47">
      <c r="A47" s="1401" t="s">
        <v>53</v>
      </c>
      <c r="B47" s="1338">
        <v>304446944</v>
      </c>
      <c r="C47" s="1338">
        <v>293984137</v>
      </c>
      <c r="D47" s="1338">
        <v>290361190</v>
      </c>
      <c r="E47" s="1338">
        <v>278188368</v>
      </c>
      <c r="F47" s="1338">
        <v>266204401</v>
      </c>
      <c r="G47" s="9"/>
      <c r="H47" s="3"/>
      <c r="I47" s="3"/>
      <c r="J47" s="3"/>
      <c r="K47" s="3"/>
    </row>
    <row r="48">
      <c r="A48" s="1401" t="s">
        <v>54</v>
      </c>
      <c r="B48" s="1338">
        <v>328032077</v>
      </c>
      <c r="C48" s="1338">
        <v>321640264</v>
      </c>
      <c r="D48" s="1338">
        <v>316804300</v>
      </c>
      <c r="E48" s="1338">
        <v>302873671</v>
      </c>
      <c r="F48" s="1338">
        <v>297865079</v>
      </c>
      <c r="G48" s="9"/>
      <c r="H48" s="3"/>
      <c r="I48" s="3"/>
      <c r="J48" s="3"/>
      <c r="K48" s="3"/>
    </row>
    <row r="49">
      <c r="A49" s="1394" t="s">
        <v>55</v>
      </c>
      <c r="B49" s="1409">
        <v>3817823</v>
      </c>
      <c r="C49" s="1409">
        <v>1649350</v>
      </c>
      <c r="D49" s="1409">
        <v>1515059</v>
      </c>
      <c r="E49" s="1409">
        <v>614193</v>
      </c>
      <c r="F49" s="1409">
        <v>1148554</v>
      </c>
      <c r="G49" s="7"/>
      <c r="H49" s="2"/>
      <c r="I49" s="2"/>
      <c r="J49" s="2"/>
      <c r="K49" s="2"/>
    </row>
    <row r="50">
      <c r="A50" s="1394" t="s">
        <v>56</v>
      </c>
      <c r="B50" s="1409">
        <v>8791215</v>
      </c>
      <c r="C50" s="1409">
        <v>8791215</v>
      </c>
      <c r="D50" s="1409">
        <v>12541215</v>
      </c>
      <c r="E50" s="1409">
        <v>8791215</v>
      </c>
      <c r="F50" s="1409">
        <v>8791215</v>
      </c>
      <c r="G50" s="7"/>
      <c r="H50" s="2"/>
      <c r="I50" s="2"/>
      <c r="J50" s="2"/>
      <c r="K50" s="2"/>
    </row>
    <row r="51">
      <c r="A51" s="1394" t="s">
        <v>57</v>
      </c>
      <c r="B51" s="2"/>
      <c r="C51" s="1409">
        <v>26611</v>
      </c>
      <c r="D51" s="1409">
        <v>2297125</v>
      </c>
      <c r="E51" s="1409">
        <v>22920</v>
      </c>
      <c r="F51" s="1409">
        <v>21419</v>
      </c>
      <c r="G51" s="7"/>
      <c r="H51" s="2"/>
      <c r="I51" s="2"/>
      <c r="J51" s="2"/>
      <c r="K51" s="2"/>
    </row>
    <row r="52">
      <c r="A52" s="1394" t="s">
        <v>58</v>
      </c>
      <c r="B52" s="1409">
        <v>0</v>
      </c>
      <c r="C52" s="1409">
        <v>758413</v>
      </c>
      <c r="D52" s="1409">
        <v>418472</v>
      </c>
      <c r="E52" s="1409">
        <v>67845</v>
      </c>
      <c r="F52" s="1409">
        <v>215241</v>
      </c>
      <c r="G52" s="7"/>
      <c r="H52" s="2"/>
      <c r="I52" s="2"/>
      <c r="J52" s="2"/>
      <c r="K52" s="2"/>
    </row>
    <row r="53">
      <c r="A53" s="1394" t="s">
        <v>59</v>
      </c>
      <c r="B53" s="1409">
        <v>1825438</v>
      </c>
      <c r="C53" s="1409">
        <v>2648365</v>
      </c>
      <c r="D53" s="1409">
        <v>1541175</v>
      </c>
      <c r="E53" s="1409">
        <v>1829780</v>
      </c>
      <c r="F53" s="1409">
        <v>0</v>
      </c>
      <c r="G53" s="7"/>
      <c r="H53" s="2"/>
      <c r="I53" s="2"/>
      <c r="J53" s="2"/>
      <c r="K53" s="2"/>
    </row>
    <row r="54">
      <c r="A54" s="1394" t="s">
        <v>60</v>
      </c>
      <c r="B54" s="1409">
        <v>1255449</v>
      </c>
      <c r="C54" s="1409">
        <v>2384922</v>
      </c>
      <c r="D54" s="1409">
        <v>30637</v>
      </c>
      <c r="E54" s="1409">
        <v>1883666</v>
      </c>
      <c r="F54" s="1409">
        <v>181645</v>
      </c>
      <c r="G54" s="7"/>
      <c r="H54" s="2"/>
      <c r="I54" s="2"/>
      <c r="J54" s="2"/>
      <c r="K54" s="2"/>
    </row>
    <row r="55">
      <c r="A55" s="1394" t="s">
        <v>61</v>
      </c>
      <c r="B55" s="1409">
        <v>32604</v>
      </c>
      <c r="C55" s="1409">
        <v>32604</v>
      </c>
      <c r="D55" s="1409">
        <v>32604</v>
      </c>
      <c r="E55" s="1409">
        <v>32604</v>
      </c>
      <c r="F55" s="1409">
        <v>4074</v>
      </c>
      <c r="G55" s="7"/>
      <c r="H55" s="2"/>
      <c r="I55" s="2"/>
      <c r="J55" s="2"/>
      <c r="K55" s="2"/>
    </row>
    <row r="56">
      <c r="A56" s="1394" t="s">
        <v>62</v>
      </c>
      <c r="B56" s="1409">
        <v>1522447</v>
      </c>
      <c r="C56" s="1409">
        <v>1534472</v>
      </c>
      <c r="D56" s="1409">
        <v>1223799</v>
      </c>
      <c r="E56" s="1409">
        <v>1101389</v>
      </c>
      <c r="F56" s="1409">
        <v>1330438</v>
      </c>
      <c r="G56" s="7"/>
      <c r="H56" s="2"/>
      <c r="I56" s="2"/>
      <c r="J56" s="2"/>
      <c r="K56" s="2"/>
    </row>
    <row r="57">
      <c r="A57" s="1401" t="s">
        <v>63</v>
      </c>
      <c r="B57" s="1338">
        <v>17244976</v>
      </c>
      <c r="C57" s="1338">
        <v>17825952</v>
      </c>
      <c r="D57" s="1338">
        <v>19600086</v>
      </c>
      <c r="E57" s="1338">
        <v>14343612</v>
      </c>
      <c r="F57" s="1338">
        <v>11692586</v>
      </c>
      <c r="G57" s="9"/>
      <c r="H57" s="3"/>
      <c r="I57" s="3"/>
      <c r="J57" s="3"/>
      <c r="K57" s="3"/>
    </row>
    <row r="58">
      <c r="A58" s="1394" t="s">
        <v>64</v>
      </c>
      <c r="B58" s="1409">
        <v>156615714</v>
      </c>
      <c r="C58" s="1409">
        <v>147824500</v>
      </c>
      <c r="D58" s="1409">
        <v>139033286</v>
      </c>
      <c r="E58" s="1409">
        <v>130242072</v>
      </c>
      <c r="F58" s="1409">
        <v>121450858</v>
      </c>
      <c r="G58" s="7"/>
      <c r="H58" s="2"/>
      <c r="I58" s="2"/>
      <c r="J58" s="2"/>
      <c r="K58" s="2"/>
    </row>
    <row r="59">
      <c r="A59" s="1394" t="s">
        <v>65</v>
      </c>
      <c r="B59" s="2"/>
      <c r="C59" s="1409">
        <v>0</v>
      </c>
      <c r="D59" s="1409">
        <v>3503256</v>
      </c>
      <c r="E59" s="1409">
        <v>2679481</v>
      </c>
      <c r="F59" s="1409">
        <v>2275211</v>
      </c>
      <c r="G59" s="7"/>
      <c r="H59" s="2"/>
      <c r="I59" s="2"/>
      <c r="J59" s="2"/>
      <c r="K59" s="2"/>
    </row>
    <row r="60">
      <c r="A60" s="1394" t="s">
        <v>66</v>
      </c>
      <c r="B60" s="1409">
        <v>1863452</v>
      </c>
      <c r="C60" s="1409">
        <v>1321139</v>
      </c>
      <c r="D60" s="1409">
        <v>238792</v>
      </c>
      <c r="E60" s="2"/>
      <c r="F60" s="2"/>
      <c r="G60" s="7"/>
      <c r="H60" s="2"/>
      <c r="I60" s="2"/>
      <c r="J60" s="2"/>
      <c r="K60" s="2"/>
    </row>
    <row r="61">
      <c r="A61" s="1394" t="s">
        <v>67</v>
      </c>
      <c r="B61" s="1409">
        <v>110054</v>
      </c>
      <c r="C61" s="1409">
        <v>69294</v>
      </c>
      <c r="D61" s="1409">
        <v>36686</v>
      </c>
      <c r="E61" s="1409">
        <v>4078</v>
      </c>
      <c r="F61" s="1409">
        <v>0</v>
      </c>
      <c r="G61" s="7"/>
      <c r="H61" s="2"/>
      <c r="I61" s="2"/>
      <c r="J61" s="2"/>
      <c r="K61" s="2"/>
    </row>
    <row r="62">
      <c r="A62" s="1394" t="s">
        <v>68</v>
      </c>
      <c r="B62" s="1409">
        <v>204886</v>
      </c>
      <c r="C62" s="1409">
        <v>218261</v>
      </c>
      <c r="D62" s="1409">
        <v>242828</v>
      </c>
      <c r="E62" s="1409">
        <v>261536</v>
      </c>
      <c r="F62" s="1409">
        <v>289022</v>
      </c>
      <c r="G62" s="7"/>
      <c r="H62" s="2"/>
      <c r="I62" s="2"/>
      <c r="J62" s="2"/>
      <c r="K62" s="2"/>
    </row>
    <row r="63">
      <c r="A63" s="1401" t="s">
        <v>69</v>
      </c>
      <c r="B63" s="1338">
        <v>158794106</v>
      </c>
      <c r="C63" s="1338">
        <v>149433194</v>
      </c>
      <c r="D63" s="1338">
        <v>143054848</v>
      </c>
      <c r="E63" s="1338">
        <v>133187167</v>
      </c>
      <c r="F63" s="1338">
        <v>124015091</v>
      </c>
      <c r="G63" s="9"/>
      <c r="H63" s="3"/>
      <c r="I63" s="3"/>
      <c r="J63" s="3"/>
      <c r="K63" s="3"/>
    </row>
    <row r="64">
      <c r="A64" s="1401" t="s">
        <v>70</v>
      </c>
      <c r="B64" s="1338">
        <v>176039082</v>
      </c>
      <c r="C64" s="1338">
        <v>167259146</v>
      </c>
      <c r="D64" s="1338">
        <v>162654934</v>
      </c>
      <c r="E64" s="1338">
        <v>147530779</v>
      </c>
      <c r="F64" s="1338">
        <v>135707677</v>
      </c>
      <c r="G64" s="9"/>
      <c r="H64" s="3"/>
      <c r="I64" s="3"/>
      <c r="J64" s="3"/>
      <c r="K64" s="3"/>
    </row>
    <row r="65">
      <c r="A65" s="1394" t="s">
        <v>71</v>
      </c>
      <c r="B65" s="1409">
        <v>16575011</v>
      </c>
      <c r="C65" s="1409">
        <v>16575011</v>
      </c>
      <c r="D65" s="1409">
        <v>16575011</v>
      </c>
      <c r="E65" s="1409">
        <v>16575011</v>
      </c>
      <c r="F65" s="1409">
        <v>16575011</v>
      </c>
      <c r="G65" s="7"/>
      <c r="H65" s="2"/>
      <c r="I65" s="2"/>
      <c r="J65" s="2"/>
      <c r="K65" s="2"/>
    </row>
    <row r="66">
      <c r="A66" s="1394" t="s">
        <v>72</v>
      </c>
      <c r="B66" s="1409">
        <v>5000</v>
      </c>
      <c r="C66" s="1409">
        <v>5000</v>
      </c>
      <c r="D66" s="1409">
        <v>5000</v>
      </c>
      <c r="E66" s="1409">
        <v>5000</v>
      </c>
      <c r="F66" s="1409">
        <v>5000</v>
      </c>
      <c r="G66" s="7"/>
      <c r="H66" s="2"/>
      <c r="I66" s="2"/>
      <c r="J66" s="2"/>
      <c r="K66" s="2"/>
    </row>
    <row r="67">
      <c r="A67" s="1394" t="s">
        <v>73</v>
      </c>
      <c r="B67" s="1409">
        <v>144564461</v>
      </c>
      <c r="C67" s="1409">
        <v>133624953</v>
      </c>
      <c r="D67" s="1409">
        <v>126166198</v>
      </c>
      <c r="E67" s="1409">
        <v>117878693</v>
      </c>
      <c r="F67" s="1409">
        <v>115392441</v>
      </c>
      <c r="G67" s="7"/>
      <c r="H67" s="2"/>
      <c r="I67" s="2"/>
      <c r="J67" s="2"/>
      <c r="K67" s="2"/>
    </row>
    <row r="68">
      <c r="A68" s="1394" t="s">
        <v>74</v>
      </c>
      <c r="B68" s="1409">
        <v>-1349935</v>
      </c>
      <c r="C68" s="1409">
        <v>-1685225</v>
      </c>
      <c r="D68" s="1409">
        <v>-1685225</v>
      </c>
      <c r="E68" s="1409">
        <v>-1685427</v>
      </c>
      <c r="F68" s="1409">
        <v>-1685469</v>
      </c>
      <c r="G68" s="7"/>
      <c r="H68" s="2"/>
      <c r="I68" s="2"/>
      <c r="J68" s="2"/>
      <c r="K68" s="2"/>
    </row>
    <row r="69">
      <c r="A69" s="1394" t="s">
        <v>75</v>
      </c>
      <c r="B69" s="1409">
        <v>-7801542</v>
      </c>
      <c r="C69" s="1409">
        <v>5861379</v>
      </c>
      <c r="D69" s="1409">
        <v>13088382</v>
      </c>
      <c r="E69" s="1409">
        <v>22569615</v>
      </c>
      <c r="F69" s="1409">
        <v>31870419</v>
      </c>
      <c r="G69" s="7"/>
      <c r="H69" s="2"/>
      <c r="I69" s="2"/>
      <c r="J69" s="2"/>
      <c r="K69" s="2"/>
    </row>
    <row r="70">
      <c r="A70" s="1401" t="s">
        <v>76</v>
      </c>
      <c r="B70" s="1338">
        <v>151992995</v>
      </c>
      <c r="C70" s="1338">
        <v>154381118</v>
      </c>
      <c r="D70" s="1338">
        <v>154149366</v>
      </c>
      <c r="E70" s="1338">
        <v>155342892</v>
      </c>
      <c r="F70" s="1338">
        <v>162157402</v>
      </c>
      <c r="G70" s="9"/>
      <c r="H70" s="3"/>
      <c r="I70" s="3"/>
      <c r="J70" s="3"/>
      <c r="K70" s="3"/>
    </row>
    <row r="71">
      <c r="A71" s="1401" t="s">
        <v>77</v>
      </c>
      <c r="B71" s="1338">
        <v>328032077</v>
      </c>
      <c r="C71" s="1338">
        <v>321640264</v>
      </c>
      <c r="D71" s="1338">
        <v>316804300</v>
      </c>
      <c r="E71" s="1338">
        <v>302873671</v>
      </c>
      <c r="F71" s="1338">
        <v>297865079</v>
      </c>
      <c r="G71" s="9"/>
      <c r="H71" s="3"/>
      <c r="I71" s="3"/>
      <c r="J71" s="3"/>
      <c r="K71" s="3"/>
    </row>
    <row r="72">
      <c r="A72" s="6"/>
      <c r="B72" s="6"/>
      <c r="C72" s="6"/>
      <c r="D72" s="6"/>
      <c r="E72" s="6"/>
      <c r="F72" s="6"/>
      <c r="G72" s="11"/>
      <c r="H72" s="6"/>
      <c r="I72" s="6"/>
      <c r="J72" s="6"/>
      <c r="K72" s="6"/>
    </row>
    <row r="73">
      <c r="A73" s="1384" t="s">
        <v>3</v>
      </c>
      <c r="B73" s="1385" t="s">
        <v>4</v>
      </c>
      <c r="C73" s="1385" t="s">
        <v>5</v>
      </c>
      <c r="D73" s="1385" t="s">
        <v>6</v>
      </c>
      <c r="E73" s="1385" t="s">
        <v>7</v>
      </c>
      <c r="F73" s="1385" t="s">
        <v>8</v>
      </c>
      <c r="G73" s="1389" t="s">
        <v>9</v>
      </c>
      <c r="H73" s="1391" t="s">
        <v>10</v>
      </c>
      <c r="I73" s="1391" t="s">
        <v>11</v>
      </c>
      <c r="J73" s="1391" t="s">
        <v>12</v>
      </c>
      <c r="K73" s="1391" t="s">
        <v>13</v>
      </c>
    </row>
    <row r="74">
      <c r="A74" s="1384" t="s">
        <v>78</v>
      </c>
      <c r="B74" s="10"/>
      <c r="C74" s="10"/>
      <c r="D74" s="10"/>
      <c r="E74" s="10"/>
      <c r="F74" s="10"/>
      <c r="G74" s="1"/>
      <c r="H74" s="8"/>
      <c r="I74" s="8"/>
      <c r="J74" s="8"/>
      <c r="K74" s="8"/>
    </row>
    <row r="75">
      <c r="A75" s="1394" t="s">
        <v>31</v>
      </c>
      <c r="B75" s="1409">
        <v>8230666</v>
      </c>
      <c r="C75" s="1409">
        <v>19005909</v>
      </c>
      <c r="D75" s="1409">
        <v>11177428</v>
      </c>
      <c r="E75" s="1409">
        <v>14098618</v>
      </c>
      <c r="F75" s="1409">
        <v>14188102</v>
      </c>
      <c r="G75" s="7"/>
      <c r="H75" s="2"/>
      <c r="I75" s="2"/>
      <c r="J75" s="2"/>
      <c r="K75" s="2"/>
    </row>
    <row r="76">
      <c r="A76" s="1394" t="s">
        <v>79</v>
      </c>
      <c r="B76" s="1409">
        <v>11837322</v>
      </c>
      <c r="C76" s="1409">
        <v>11835933</v>
      </c>
      <c r="D76" s="1409">
        <v>11948074</v>
      </c>
      <c r="E76" s="1409">
        <v>12401168</v>
      </c>
      <c r="F76" s="1409">
        <v>12475149</v>
      </c>
      <c r="G76" s="7"/>
      <c r="H76" s="2"/>
      <c r="I76" s="2"/>
      <c r="J76" s="2"/>
      <c r="K76" s="2"/>
    </row>
    <row r="77">
      <c r="A77" s="1394" t="s">
        <v>80</v>
      </c>
      <c r="B77" s="1409">
        <v>0</v>
      </c>
      <c r="C77" s="1409">
        <v>105000</v>
      </c>
      <c r="D77" s="2"/>
      <c r="E77" s="2"/>
      <c r="F77" s="2"/>
      <c r="G77" s="7"/>
      <c r="H77" s="2"/>
      <c r="I77" s="2"/>
      <c r="J77" s="2"/>
      <c r="K77" s="2"/>
    </row>
    <row r="78">
      <c r="A78" s="1394" t="s">
        <v>81</v>
      </c>
      <c r="B78" s="1409">
        <v>13719</v>
      </c>
      <c r="C78" s="1409">
        <v>13092</v>
      </c>
      <c r="D78" s="1409">
        <v>13093</v>
      </c>
      <c r="E78" s="1409">
        <v>13093</v>
      </c>
      <c r="F78" s="1409">
        <v>13651</v>
      </c>
      <c r="G78" s="7"/>
      <c r="H78" s="2"/>
      <c r="I78" s="2"/>
      <c r="J78" s="2"/>
      <c r="K78" s="2"/>
    </row>
    <row r="79">
      <c r="A79" s="1394" t="s">
        <v>82</v>
      </c>
      <c r="B79" s="1409">
        <v>27410</v>
      </c>
      <c r="C79" s="1409">
        <v>32608</v>
      </c>
      <c r="D79" s="1409">
        <v>36116</v>
      </c>
      <c r="E79" s="1409">
        <v>32608</v>
      </c>
      <c r="F79" s="1409">
        <v>32608</v>
      </c>
      <c r="G79" s="7"/>
      <c r="H79" s="2"/>
      <c r="I79" s="2"/>
      <c r="J79" s="2"/>
      <c r="K79" s="2"/>
    </row>
    <row r="80">
      <c r="A80" s="1394" t="s">
        <v>83</v>
      </c>
      <c r="B80" s="1409">
        <v>210785</v>
      </c>
      <c r="C80" s="1409">
        <v>208786</v>
      </c>
      <c r="D80" s="1409">
        <v>208786</v>
      </c>
      <c r="E80" s="1409">
        <v>208786</v>
      </c>
      <c r="F80" s="1409">
        <v>208786</v>
      </c>
      <c r="G80" s="7"/>
      <c r="H80" s="2"/>
      <c r="I80" s="2"/>
      <c r="J80" s="2"/>
      <c r="K80" s="2"/>
    </row>
    <row r="81">
      <c r="A81" s="1394" t="s">
        <v>84</v>
      </c>
      <c r="B81" s="1409">
        <v>10348312</v>
      </c>
      <c r="C81" s="1409">
        <v>9766628</v>
      </c>
      <c r="D81" s="1409">
        <v>9267884</v>
      </c>
      <c r="E81" s="1409">
        <v>8906765</v>
      </c>
      <c r="F81" s="1409">
        <v>8323100</v>
      </c>
      <c r="G81" s="7"/>
      <c r="H81" s="2"/>
      <c r="I81" s="2"/>
      <c r="J81" s="2"/>
      <c r="K81" s="2"/>
    </row>
    <row r="82">
      <c r="A82" s="1394" t="s">
        <v>24</v>
      </c>
      <c r="B82" s="1409">
        <v>20000</v>
      </c>
      <c r="C82" s="2"/>
      <c r="D82" s="2"/>
      <c r="E82" s="2"/>
      <c r="F82" s="2"/>
      <c r="G82" s="7"/>
      <c r="H82" s="2"/>
      <c r="I82" s="2"/>
      <c r="J82" s="2"/>
      <c r="K82" s="2"/>
    </row>
    <row r="83">
      <c r="A83" s="1394" t="s">
        <v>85</v>
      </c>
      <c r="B83" s="1409">
        <v>-757608</v>
      </c>
      <c r="C83" s="1409">
        <v>-1930197</v>
      </c>
      <c r="D83" s="1409">
        <v>-1653193</v>
      </c>
      <c r="E83" s="1409">
        <v>-600000</v>
      </c>
      <c r="F83" s="1409">
        <v>-1829780</v>
      </c>
      <c r="G83" s="7"/>
      <c r="H83" s="2"/>
      <c r="I83" s="2"/>
      <c r="J83" s="2"/>
      <c r="K83" s="2"/>
    </row>
    <row r="84">
      <c r="A84" s="1394" t="s">
        <v>37</v>
      </c>
      <c r="B84" s="1409">
        <v>-616516</v>
      </c>
      <c r="C84" s="1409">
        <v>-473324</v>
      </c>
      <c r="D84" s="1409">
        <v>-34354</v>
      </c>
      <c r="E84" s="1409">
        <v>496506</v>
      </c>
      <c r="F84" s="1409">
        <v>1415662</v>
      </c>
      <c r="G84" s="7"/>
      <c r="H84" s="2"/>
      <c r="I84" s="2"/>
      <c r="J84" s="2"/>
      <c r="K84" s="2"/>
    </row>
    <row r="85">
      <c r="A85" s="1394" t="s">
        <v>38</v>
      </c>
      <c r="B85" s="1409">
        <v>-6659</v>
      </c>
      <c r="C85" s="1409">
        <v>-328917</v>
      </c>
      <c r="D85" s="1409">
        <v>107433</v>
      </c>
      <c r="E85" s="1409">
        <v>-139226</v>
      </c>
      <c r="F85" s="1409">
        <v>-350810</v>
      </c>
      <c r="G85" s="7"/>
      <c r="H85" s="2"/>
      <c r="I85" s="2"/>
      <c r="J85" s="2"/>
      <c r="K85" s="2"/>
    </row>
    <row r="86">
      <c r="A86" s="1394" t="s">
        <v>39</v>
      </c>
      <c r="B86" s="1409">
        <v>468120</v>
      </c>
      <c r="C86" s="1409">
        <v>4885169</v>
      </c>
      <c r="D86" s="1409">
        <v>2721902</v>
      </c>
      <c r="E86" s="1409">
        <v>1730438</v>
      </c>
      <c r="F86" s="1409">
        <v>4196213</v>
      </c>
      <c r="G86" s="7"/>
      <c r="H86" s="2"/>
      <c r="I86" s="2"/>
      <c r="J86" s="2"/>
      <c r="K86" s="2"/>
    </row>
    <row r="87">
      <c r="A87" s="1394" t="s">
        <v>41</v>
      </c>
      <c r="B87" s="1409">
        <v>88309</v>
      </c>
      <c r="C87" s="1409">
        <v>-479342</v>
      </c>
      <c r="D87" s="1409">
        <v>589865</v>
      </c>
      <c r="E87" s="1409">
        <v>-159744</v>
      </c>
      <c r="F87" s="1409">
        <v>46908</v>
      </c>
      <c r="G87" s="7"/>
      <c r="H87" s="2"/>
      <c r="I87" s="2"/>
      <c r="J87" s="2"/>
      <c r="K87" s="2"/>
    </row>
    <row r="88">
      <c r="A88" s="1394" t="s">
        <v>55</v>
      </c>
      <c r="B88" s="1409">
        <v>1281734</v>
      </c>
      <c r="C88" s="1409">
        <v>-7113790</v>
      </c>
      <c r="D88" s="1409">
        <v>-3693608</v>
      </c>
      <c r="E88" s="1409">
        <v>-2897310</v>
      </c>
      <c r="F88" s="1409">
        <v>-4225876</v>
      </c>
      <c r="G88" s="7"/>
      <c r="H88" s="2"/>
      <c r="I88" s="2"/>
      <c r="J88" s="2"/>
      <c r="K88" s="2"/>
    </row>
    <row r="89">
      <c r="A89" s="1394" t="s">
        <v>62</v>
      </c>
      <c r="B89" s="1409">
        <v>46812</v>
      </c>
      <c r="C89" s="1409">
        <v>25400</v>
      </c>
      <c r="D89" s="1409">
        <v>-286106</v>
      </c>
      <c r="E89" s="1409">
        <v>-103702</v>
      </c>
      <c r="F89" s="1409">
        <v>256535</v>
      </c>
      <c r="G89" s="7"/>
      <c r="H89" s="2"/>
      <c r="I89" s="2"/>
      <c r="J89" s="2"/>
      <c r="K89" s="2"/>
    </row>
    <row r="90">
      <c r="A90" s="1394" t="s">
        <v>86</v>
      </c>
      <c r="B90" s="1409">
        <v>-10341713</v>
      </c>
      <c r="C90" s="1409">
        <v>-9775991</v>
      </c>
      <c r="D90" s="1409">
        <v>-6997370</v>
      </c>
      <c r="E90" s="1409">
        <v>-11176527</v>
      </c>
      <c r="F90" s="1409">
        <v>-8325188</v>
      </c>
      <c r="G90" s="7"/>
      <c r="H90" s="2"/>
      <c r="I90" s="2"/>
      <c r="J90" s="2"/>
      <c r="K90" s="2"/>
    </row>
    <row r="91">
      <c r="A91" s="1394" t="s">
        <v>87</v>
      </c>
      <c r="B91" s="1409">
        <v>-891774</v>
      </c>
      <c r="C91" s="1409">
        <v>-2116783</v>
      </c>
      <c r="D91" s="1409">
        <v>-4992852</v>
      </c>
      <c r="E91" s="1409">
        <v>-805658</v>
      </c>
      <c r="F91" s="1409">
        <v>-4557314</v>
      </c>
      <c r="G91" s="7"/>
      <c r="H91" s="2"/>
      <c r="I91" s="2"/>
      <c r="J91" s="2"/>
      <c r="K91" s="2"/>
    </row>
    <row r="92">
      <c r="A92" s="1401" t="s">
        <v>88</v>
      </c>
      <c r="B92" s="1338">
        <v>19958919</v>
      </c>
      <c r="C92" s="1338">
        <v>23660181</v>
      </c>
      <c r="D92" s="1338">
        <v>18413098</v>
      </c>
      <c r="E92" s="1338">
        <v>22005815</v>
      </c>
      <c r="F92" s="1338">
        <v>21867746</v>
      </c>
      <c r="G92" s="9"/>
      <c r="H92" s="3"/>
      <c r="I92" s="3"/>
      <c r="J92" s="3"/>
      <c r="K92" s="3"/>
    </row>
    <row r="93">
      <c r="A93" s="1394" t="s">
        <v>89</v>
      </c>
      <c r="B93" s="2"/>
      <c r="C93" s="2"/>
      <c r="D93" s="2"/>
      <c r="E93" s="1409">
        <v>0</v>
      </c>
      <c r="F93" s="1409">
        <v>-8000000</v>
      </c>
      <c r="G93" s="7"/>
      <c r="H93" s="2"/>
      <c r="I93" s="2"/>
      <c r="J93" s="2"/>
      <c r="K93" s="2"/>
    </row>
    <row r="94">
      <c r="A94" s="1394" t="s">
        <v>90</v>
      </c>
      <c r="B94" s="1409">
        <v>0</v>
      </c>
      <c r="C94" s="1409">
        <v>-1000</v>
      </c>
      <c r="D94" s="1409">
        <v>174084</v>
      </c>
      <c r="E94" s="2"/>
      <c r="F94" s="2"/>
      <c r="G94" s="7"/>
      <c r="H94" s="2"/>
      <c r="I94" s="2"/>
      <c r="J94" s="2"/>
      <c r="K94" s="2"/>
    </row>
    <row r="95">
      <c r="A95" s="1394" t="s">
        <v>91</v>
      </c>
      <c r="B95" s="2"/>
      <c r="C95" s="2"/>
      <c r="D95" s="2"/>
      <c r="E95" s="1409">
        <v>0</v>
      </c>
      <c r="F95" s="1409">
        <v>-24000</v>
      </c>
      <c r="G95" s="7"/>
      <c r="H95" s="2"/>
      <c r="I95" s="2"/>
      <c r="J95" s="2"/>
      <c r="K95" s="2"/>
    </row>
    <row r="96">
      <c r="A96" s="1394" t="s">
        <v>92</v>
      </c>
      <c r="B96" s="1409">
        <v>-140606</v>
      </c>
      <c r="C96" s="1409">
        <v>-2293656</v>
      </c>
      <c r="D96" s="1409">
        <v>-9866189</v>
      </c>
      <c r="E96" s="1409">
        <v>-402919</v>
      </c>
      <c r="F96" s="1409">
        <v>-441856</v>
      </c>
      <c r="G96" s="7"/>
      <c r="H96" s="2"/>
      <c r="I96" s="2"/>
      <c r="J96" s="2"/>
      <c r="K96" s="2"/>
    </row>
    <row r="97">
      <c r="A97" s="1394" t="s">
        <v>93</v>
      </c>
      <c r="B97" s="1409">
        <v>-77042</v>
      </c>
      <c r="C97" s="2"/>
      <c r="D97" s="2"/>
      <c r="E97" s="2"/>
      <c r="F97" s="2"/>
      <c r="G97" s="7"/>
      <c r="H97" s="2"/>
      <c r="I97" s="2"/>
      <c r="J97" s="2"/>
      <c r="K97" s="2"/>
    </row>
    <row r="98">
      <c r="A98" s="1401" t="s">
        <v>94</v>
      </c>
      <c r="B98" s="1338">
        <v>-217648</v>
      </c>
      <c r="C98" s="1338">
        <v>-2294656</v>
      </c>
      <c r="D98" s="1338">
        <v>-9692105</v>
      </c>
      <c r="E98" s="1338">
        <v>-402919</v>
      </c>
      <c r="F98" s="1338">
        <v>-8465856</v>
      </c>
      <c r="G98" s="9"/>
      <c r="H98" s="3"/>
      <c r="I98" s="3"/>
      <c r="J98" s="3"/>
      <c r="K98" s="3"/>
    </row>
    <row r="99">
      <c r="A99" s="1394" t="s">
        <v>95</v>
      </c>
      <c r="B99" s="1409">
        <v>0</v>
      </c>
      <c r="C99" s="1409">
        <v>758413</v>
      </c>
      <c r="D99" s="1409">
        <v>3163315</v>
      </c>
      <c r="E99" s="2"/>
      <c r="F99" s="2"/>
      <c r="G99" s="7"/>
      <c r="H99" s="2"/>
      <c r="I99" s="2"/>
      <c r="J99" s="2"/>
      <c r="K99" s="2"/>
    </row>
    <row r="100">
      <c r="A100" s="1394" t="s">
        <v>96</v>
      </c>
      <c r="B100" s="2"/>
      <c r="C100" s="2"/>
      <c r="D100" s="1409">
        <v>0</v>
      </c>
      <c r="E100" s="1409">
        <v>-1174402</v>
      </c>
      <c r="F100" s="1409">
        <v>-256874</v>
      </c>
      <c r="G100" s="7"/>
      <c r="H100" s="2"/>
      <c r="I100" s="2"/>
      <c r="J100" s="2"/>
      <c r="K100" s="2"/>
    </row>
    <row r="101">
      <c r="A101" s="1394" t="s">
        <v>97</v>
      </c>
      <c r="B101" s="1409">
        <v>-9000000</v>
      </c>
      <c r="C101" s="1409">
        <v>-9000000</v>
      </c>
      <c r="D101" s="1409">
        <v>-5250000</v>
      </c>
      <c r="E101" s="1409">
        <v>-12750000</v>
      </c>
      <c r="F101" s="1409">
        <v>-9000000</v>
      </c>
      <c r="G101" s="7"/>
      <c r="H101" s="2"/>
      <c r="I101" s="2"/>
      <c r="J101" s="2"/>
      <c r="K101" s="2"/>
    </row>
    <row r="102">
      <c r="A102" s="1394" t="s">
        <v>43</v>
      </c>
      <c r="B102" s="1409">
        <v>130811</v>
      </c>
      <c r="C102" s="1409">
        <v>-28337</v>
      </c>
      <c r="D102" s="1409">
        <v>201122</v>
      </c>
      <c r="E102" s="1409">
        <v>-163649</v>
      </c>
      <c r="F102" s="1409">
        <v>-63000</v>
      </c>
      <c r="G102" s="7"/>
      <c r="H102" s="2"/>
      <c r="I102" s="2"/>
      <c r="J102" s="2"/>
      <c r="K102" s="2"/>
    </row>
    <row r="103">
      <c r="A103" s="1394" t="s">
        <v>98</v>
      </c>
      <c r="B103" s="1409">
        <v>-14910</v>
      </c>
      <c r="C103" s="2"/>
      <c r="D103" s="2"/>
      <c r="E103" s="2"/>
      <c r="F103" s="2"/>
      <c r="G103" s="7"/>
      <c r="H103" s="2"/>
      <c r="I103" s="2"/>
      <c r="J103" s="2"/>
      <c r="K103" s="2"/>
    </row>
    <row r="104">
      <c r="A104" s="1394" t="s">
        <v>74</v>
      </c>
      <c r="B104" s="1409">
        <v>-177661</v>
      </c>
      <c r="C104" s="1409">
        <v>-335290</v>
      </c>
      <c r="D104" s="1409">
        <v>0</v>
      </c>
      <c r="E104" s="1409">
        <v>-202</v>
      </c>
      <c r="F104" s="1409">
        <v>-42</v>
      </c>
      <c r="G104" s="7"/>
      <c r="H104" s="2"/>
      <c r="I104" s="2"/>
      <c r="J104" s="2"/>
      <c r="K104" s="2"/>
    </row>
    <row r="105">
      <c r="A105" s="1394" t="s">
        <v>99</v>
      </c>
      <c r="B105" s="1409">
        <v>-9116256</v>
      </c>
      <c r="C105" s="1409">
        <v>-10939508</v>
      </c>
      <c r="D105" s="1409">
        <v>-7458755</v>
      </c>
      <c r="E105" s="1409">
        <v>-8287505</v>
      </c>
      <c r="F105" s="1409">
        <v>-2486252</v>
      </c>
      <c r="G105" s="7"/>
      <c r="H105" s="2"/>
      <c r="I105" s="2"/>
      <c r="J105" s="2"/>
      <c r="K105" s="2"/>
    </row>
    <row r="106">
      <c r="A106" s="1394" t="s">
        <v>100</v>
      </c>
      <c r="B106" s="1409">
        <v>-13845</v>
      </c>
      <c r="C106" s="1409">
        <v>-32608</v>
      </c>
      <c r="D106" s="1409">
        <v>-32608</v>
      </c>
      <c r="E106" s="1409">
        <v>-32608</v>
      </c>
      <c r="F106" s="1409">
        <v>-32608</v>
      </c>
      <c r="G106" s="7"/>
      <c r="H106" s="2"/>
      <c r="I106" s="2"/>
      <c r="J106" s="2"/>
      <c r="K106" s="2"/>
    </row>
    <row r="107">
      <c r="A107" s="1401" t="s">
        <v>101</v>
      </c>
      <c r="B107" s="1338">
        <v>-18191861</v>
      </c>
      <c r="C107" s="1338">
        <v>-19577330</v>
      </c>
      <c r="D107" s="1338">
        <v>-9376926</v>
      </c>
      <c r="E107" s="1338">
        <v>-22408366</v>
      </c>
      <c r="F107" s="1338">
        <v>-11838776</v>
      </c>
      <c r="G107" s="9"/>
      <c r="H107" s="3"/>
      <c r="I107" s="3"/>
      <c r="J107" s="3"/>
      <c r="K107" s="3"/>
    </row>
    <row r="108">
      <c r="A108" s="1394" t="s">
        <v>102</v>
      </c>
      <c r="B108" s="1409">
        <v>1549410</v>
      </c>
      <c r="C108" s="1409">
        <v>1788195</v>
      </c>
      <c r="D108" s="1409">
        <v>-655933</v>
      </c>
      <c r="E108" s="1409">
        <v>-805470</v>
      </c>
      <c r="F108" s="1409">
        <v>1563114</v>
      </c>
      <c r="G108" s="7"/>
      <c r="H108" s="2"/>
      <c r="I108" s="2"/>
      <c r="J108" s="2"/>
      <c r="K108" s="2"/>
    </row>
    <row r="109">
      <c r="A109" s="1394" t="s">
        <v>103</v>
      </c>
      <c r="B109" s="1409">
        <v>7618187</v>
      </c>
      <c r="C109" s="1409">
        <v>9167597</v>
      </c>
      <c r="D109" s="1409">
        <v>10955792</v>
      </c>
      <c r="E109" s="1409">
        <v>10299859</v>
      </c>
      <c r="F109" s="1409">
        <v>9494389</v>
      </c>
      <c r="G109" s="7"/>
      <c r="H109" s="2"/>
      <c r="I109" s="2"/>
      <c r="J109" s="2"/>
      <c r="K109" s="2"/>
    </row>
    <row r="110">
      <c r="A110" s="1401" t="s">
        <v>104</v>
      </c>
      <c r="B110" s="1338">
        <v>9167597</v>
      </c>
      <c r="C110" s="1338">
        <v>10955792</v>
      </c>
      <c r="D110" s="1338">
        <v>10299859</v>
      </c>
      <c r="E110" s="1338">
        <v>9494389</v>
      </c>
      <c r="F110" s="1338">
        <v>11057503</v>
      </c>
      <c r="G110" s="9"/>
      <c r="H110" s="3"/>
      <c r="I110" s="3"/>
      <c r="J110" s="3"/>
      <c r="K110" s="3"/>
    </row>
    <row r="111">
      <c r="A111" s="6"/>
      <c r="B111" s="6"/>
      <c r="C111" s="6"/>
      <c r="D111" s="6"/>
      <c r="E111" s="6"/>
      <c r="F111" s="6"/>
      <c r="G111" s="11"/>
      <c r="H111" s="6"/>
      <c r="I111" s="6"/>
      <c r="J111" s="6"/>
      <c r="K111" s="6"/>
    </row>
  </sheetData>
</worksheet>
</file>

<file path=xl/worksheets/sheet2.xml><?xml version="1.0" encoding="utf-8"?>
<worksheet xmlns="http://schemas.openxmlformats.org/spreadsheetml/2006/main" xmlns:r="http://schemas.openxmlformats.org/officeDocument/2006/relationships">
  <dimension ref="A1:Q116"/>
  <sheetViews>
    <sheetView showGridLines="0" workbookViewId="0"/>
  </sheetViews>
  <sheetFormatPr defaultColWidth="8.375" defaultRowHeight="15"/>
  <cols>
    <col min="1" max="1" width="39.375" customWidth="1"/>
    <col min="2" max="11" width="15.625" customWidth="1"/>
    <col min="12" max="12" width="2.875" customWidth="1"/>
    <col min="13" max="13" width="10.625" customWidth="1"/>
    <col min="14" max="14" width="31.875" customWidth="1"/>
    <col min="15" max="16" width="2.875" customWidth="1"/>
    <col min="17" max="17" width="44.375" customWidth="1"/>
  </cols>
  <sheetData>
    <row r="1">
      <c r="A1" s="1384" t="s">
        <v>0</v>
      </c>
      <c r="B1" s="1150"/>
      <c r="C1" s="1150"/>
      <c r="D1" s="1150"/>
      <c r="E1" s="1150"/>
      <c r="F1" s="1150"/>
      <c r="G1" s="1160"/>
      <c r="H1" s="1159"/>
      <c r="I1" s="1159"/>
      <c r="J1" s="1159"/>
      <c r="K1" s="1159"/>
      <c r="L1" s="1144"/>
      <c r="M1" s="1144"/>
      <c r="N1" s="1152"/>
      <c r="O1" s="1144"/>
      <c r="P1" s="1144"/>
      <c r="Q1" s="1152"/>
    </row>
    <row r="2">
      <c r="A2" s="1146"/>
      <c r="B2" s="1146"/>
      <c r="C2" s="1146"/>
      <c r="D2" s="1146"/>
      <c r="E2" s="1146"/>
      <c r="F2" s="1146"/>
      <c r="G2" s="1156"/>
      <c r="H2" s="1146"/>
      <c r="I2" s="1146"/>
      <c r="J2" s="1146"/>
      <c r="K2" s="1146"/>
      <c r="L2" s="1144"/>
      <c r="M2" s="1144"/>
      <c r="N2" s="1152"/>
      <c r="O2" s="1144"/>
      <c r="P2" s="1144"/>
      <c r="Q2" s="1152"/>
    </row>
    <row r="3">
      <c r="A3" s="1394" t="s">
        <v>105</v>
      </c>
      <c r="G3" s="1156"/>
      <c r="L3" s="1144"/>
      <c r="M3" s="1144"/>
      <c r="N3" s="1152"/>
      <c r="O3" s="1144"/>
      <c r="P3" s="1144"/>
      <c r="Q3" s="1152"/>
    </row>
    <row r="4">
      <c r="A4" s="1394" t="s">
        <v>106</v>
      </c>
      <c r="G4" s="1156"/>
      <c r="L4" s="1144"/>
      <c r="M4" s="1144"/>
      <c r="N4" s="1152"/>
      <c r="O4" s="1144"/>
      <c r="P4" s="1144"/>
      <c r="Q4" s="1152"/>
    </row>
    <row r="5">
      <c r="A5" s="1394" t="s">
        <v>107</v>
      </c>
      <c r="B5" s="1155"/>
      <c r="C5" s="447">
        <v>1</v>
      </c>
      <c r="D5" s="1155"/>
      <c r="E5" s="1155"/>
      <c r="F5" s="1155"/>
      <c r="G5" s="1161"/>
      <c r="H5" s="1155"/>
      <c r="I5" s="1155"/>
      <c r="J5" s="1155"/>
      <c r="K5" s="1155"/>
      <c r="L5" s="1144"/>
      <c r="M5" s="1394" t="s">
        <v>108</v>
      </c>
      <c r="N5" s="1152" t="s">
        <v>109</v>
      </c>
      <c r="O5" s="1144"/>
      <c r="P5" s="1144"/>
      <c r="Q5" s="1152" t="s">
        <v>110</v>
      </c>
    </row>
    <row r="6">
      <c r="A6" s="1394" t="s">
        <v>111</v>
      </c>
      <c r="B6" s="1147"/>
      <c r="C6" s="1381" t="str">
        <f>CHOOSE($C$5,"Base","Bull","Bear")</f>
        <v>Base</v>
      </c>
      <c r="D6" s="1147"/>
      <c r="E6" s="1147"/>
      <c r="F6" s="1147"/>
      <c r="G6" s="1158"/>
      <c r="H6" s="1147"/>
      <c r="I6" s="1147"/>
      <c r="J6" s="1147"/>
      <c r="K6" s="1147"/>
      <c r="L6" s="1144"/>
      <c r="M6" s="1394" t="s">
        <v>112</v>
      </c>
      <c r="N6" s="1152" t="s">
        <v>109</v>
      </c>
      <c r="O6" s="1144"/>
      <c r="P6" s="1144"/>
      <c r="Q6" s="1152" t="s">
        <v>113</v>
      </c>
    </row>
    <row r="7">
      <c r="A7" s="1146"/>
      <c r="B7" s="1146"/>
      <c r="C7" s="1146"/>
      <c r="D7" s="1146"/>
      <c r="E7" s="1146"/>
      <c r="F7" s="1146"/>
      <c r="G7" s="1156"/>
      <c r="H7" s="1146"/>
      <c r="I7" s="1146"/>
      <c r="J7" s="1146"/>
      <c r="K7" s="1146"/>
      <c r="L7" s="1144"/>
      <c r="M7" s="1144"/>
      <c r="N7" s="1152"/>
      <c r="O7" s="1144"/>
      <c r="P7" s="1144"/>
      <c r="Q7" s="1152"/>
    </row>
    <row r="8">
      <c r="A8" s="1384" t="s">
        <v>3</v>
      </c>
      <c r="B8" s="1385" t="s">
        <v>4</v>
      </c>
      <c r="C8" s="1385" t="s">
        <v>5</v>
      </c>
      <c r="D8" s="1385" t="s">
        <v>6</v>
      </c>
      <c r="E8" s="1385" t="s">
        <v>7</v>
      </c>
      <c r="F8" s="1385" t="s">
        <v>8</v>
      </c>
      <c r="G8" s="1389" t="s">
        <v>9</v>
      </c>
      <c r="H8" s="1391" t="s">
        <v>10</v>
      </c>
      <c r="I8" s="1391" t="s">
        <v>11</v>
      </c>
      <c r="J8" s="1391" t="s">
        <v>12</v>
      </c>
      <c r="K8" s="1391" t="s">
        <v>13</v>
      </c>
      <c r="L8" s="1144"/>
      <c r="M8" s="1233" t="s">
        <v>114</v>
      </c>
      <c r="N8" s="1233" t="s">
        <v>115</v>
      </c>
      <c r="O8" s="1144"/>
      <c r="P8" s="1144"/>
      <c r="Q8" s="1233" t="s">
        <v>116</v>
      </c>
    </row>
    <row r="9">
      <c r="A9" s="1146"/>
      <c r="B9" s="1146"/>
      <c r="C9" s="1146"/>
      <c r="D9" s="1146"/>
      <c r="E9" s="1146"/>
      <c r="F9" s="1146"/>
      <c r="G9" s="1156"/>
      <c r="H9" s="1146"/>
      <c r="I9" s="1146"/>
      <c r="J9" s="1146"/>
      <c r="K9" s="1146"/>
      <c r="L9" s="1144"/>
      <c r="M9" s="1144"/>
      <c r="N9" s="1152"/>
      <c r="O9" s="1144"/>
      <c r="P9" s="1144"/>
      <c r="Q9" s="1152"/>
    </row>
    <row r="10">
      <c r="A10" s="1384" t="s">
        <v>117</v>
      </c>
      <c r="B10" s="1151"/>
      <c r="C10" s="1151"/>
      <c r="D10" s="1151"/>
      <c r="E10" s="1151"/>
      <c r="F10" s="1151"/>
      <c r="G10" s="1157"/>
      <c r="H10" s="1154"/>
      <c r="I10" s="1154"/>
      <c r="J10" s="1154"/>
      <c r="K10" s="1154"/>
      <c r="L10" s="1144"/>
      <c r="M10" s="1144"/>
      <c r="N10" s="1144"/>
      <c r="O10" s="1144"/>
      <c r="P10" s="1144"/>
      <c r="Q10" s="1144"/>
    </row>
    <row r="11">
      <c r="A11" s="1394" t="s">
        <v>118</v>
      </c>
      <c r="B11" s="1149"/>
      <c r="C11" s="1149"/>
      <c r="D11" s="1149"/>
      <c r="E11" s="1149"/>
      <c r="F11" s="1149"/>
      <c r="G11" s="1413">
        <f>CHOOSE($C$5,G13,G14,G12)</f>
        <v>0.41</v>
      </c>
      <c r="H11" s="1386">
        <f>CHOOSE($C$5,H13,H14,H12)</f>
        <v>0.41</v>
      </c>
      <c r="I11" s="1386">
        <f>CHOOSE($C$5,I13,I14,I12)</f>
        <v>0.41</v>
      </c>
      <c r="J11" s="1386">
        <f>CHOOSE($C$5,J13,J14,J12)</f>
        <v>0.41</v>
      </c>
      <c r="K11" s="1386">
        <f>CHOOSE($C$5,K13,K14,K12)</f>
        <v>0.41</v>
      </c>
      <c r="L11" s="1144"/>
      <c r="M11" s="1394" t="s">
        <v>119</v>
      </c>
      <c r="N11" s="1152" t="s">
        <v>120</v>
      </c>
      <c r="O11" s="1144"/>
      <c r="P11" s="1144"/>
      <c r="Q11" s="1152" t="s">
        <v>113</v>
      </c>
    </row>
    <row r="12">
      <c r="A12" s="1394" t="s">
        <v>121</v>
      </c>
      <c r="B12" s="1149"/>
      <c r="C12" s="1149"/>
      <c r="D12" s="1149"/>
      <c r="E12" s="1149"/>
      <c r="F12" s="1149"/>
      <c r="G12" s="1276">
        <v>0.35</v>
      </c>
      <c r="H12" s="1271">
        <v>0.35</v>
      </c>
      <c r="I12" s="1271">
        <v>0.35</v>
      </c>
      <c r="J12" s="1271">
        <v>0.35</v>
      </c>
      <c r="K12" s="1271">
        <v>0.35</v>
      </c>
      <c r="L12" s="1144"/>
      <c r="M12" s="1394" t="s">
        <v>119</v>
      </c>
      <c r="N12" s="1152" t="s">
        <v>120</v>
      </c>
      <c r="O12" s="1144"/>
      <c r="P12" s="1144"/>
      <c r="Q12" s="1152" t="s">
        <v>122</v>
      </c>
    </row>
    <row r="13">
      <c r="A13" s="1394" t="s">
        <v>123</v>
      </c>
      <c r="B13" s="1149"/>
      <c r="C13" s="1149"/>
      <c r="D13" s="1149"/>
      <c r="E13" s="1149"/>
      <c r="F13" s="1149"/>
      <c r="G13" s="1276">
        <v>0.41</v>
      </c>
      <c r="H13" s="1271">
        <v>0.41</v>
      </c>
      <c r="I13" s="1271">
        <v>0.41</v>
      </c>
      <c r="J13" s="1271">
        <v>0.41</v>
      </c>
      <c r="K13" s="1271">
        <v>0.41</v>
      </c>
      <c r="L13" s="1144"/>
      <c r="M13" s="1394" t="s">
        <v>119</v>
      </c>
      <c r="N13" s="1152" t="s">
        <v>120</v>
      </c>
      <c r="O13" s="1144"/>
      <c r="P13" s="1144"/>
      <c r="Q13" s="1152" t="s">
        <v>122</v>
      </c>
    </row>
    <row r="14">
      <c r="A14" s="1394" t="s">
        <v>124</v>
      </c>
      <c r="B14" s="1149"/>
      <c r="C14" s="1149"/>
      <c r="D14" s="1149"/>
      <c r="E14" s="1149"/>
      <c r="F14" s="1149"/>
      <c r="G14" s="1276">
        <v>0.46</v>
      </c>
      <c r="H14" s="1271">
        <v>0.46</v>
      </c>
      <c r="I14" s="1271">
        <v>0.46</v>
      </c>
      <c r="J14" s="1271">
        <v>0.46</v>
      </c>
      <c r="K14" s="1271">
        <v>0.46</v>
      </c>
      <c r="L14" s="1144"/>
      <c r="M14" s="1394" t="s">
        <v>119</v>
      </c>
      <c r="N14" s="1152" t="s">
        <v>120</v>
      </c>
      <c r="O14" s="1144"/>
      <c r="P14" s="1144"/>
      <c r="Q14" s="1152" t="s">
        <v>122</v>
      </c>
    </row>
    <row r="15">
      <c r="A15" s="1394" t="s">
        <v>125</v>
      </c>
      <c r="B15" s="1416">
        <v>8760</v>
      </c>
      <c r="C15" s="1416">
        <v>8760</v>
      </c>
      <c r="D15" s="1416">
        <v>8760</v>
      </c>
      <c r="E15" s="1416">
        <v>8760</v>
      </c>
      <c r="F15" s="1416">
        <v>8760</v>
      </c>
      <c r="G15" s="1268">
        <v>8760</v>
      </c>
      <c r="H15" s="1416">
        <v>8760</v>
      </c>
      <c r="I15" s="1416">
        <v>8760</v>
      </c>
      <c r="J15" s="1416">
        <v>8760</v>
      </c>
      <c r="K15" s="1416">
        <v>8760</v>
      </c>
      <c r="L15" s="1144"/>
      <c r="M15" s="1394" t="s">
        <v>126</v>
      </c>
      <c r="N15" s="1152" t="s">
        <v>120</v>
      </c>
      <c r="O15" s="1144"/>
      <c r="P15" s="1144"/>
      <c r="Q15" s="1152" t="s">
        <v>110</v>
      </c>
    </row>
    <row r="16">
      <c r="A16" s="1394" t="s">
        <v>127</v>
      </c>
      <c r="B16" s="1148"/>
      <c r="C16" s="1148"/>
      <c r="D16" s="1148"/>
      <c r="E16" s="1148"/>
      <c r="F16" s="1148"/>
      <c r="G16" s="1402">
        <f>73.18*G15*G11</f>
        <v>262833.288</v>
      </c>
      <c r="H16" s="1405">
        <f>73.18*H15*H11</f>
        <v>262833.288</v>
      </c>
      <c r="I16" s="1405">
        <f>73.18*I15*I11</f>
        <v>262833.288</v>
      </c>
      <c r="J16" s="1405">
        <f>73.18*J15*J11</f>
        <v>262833.288</v>
      </c>
      <c r="K16" s="1405">
        <f>73.18*K15*K11</f>
        <v>262833.288</v>
      </c>
      <c r="L16" s="1144"/>
      <c r="M16" s="1394" t="s">
        <v>128</v>
      </c>
      <c r="N16" s="1152" t="s">
        <v>120</v>
      </c>
      <c r="O16" s="1144"/>
      <c r="P16" s="1144"/>
      <c r="Q16" s="1152" t="s">
        <v>129</v>
      </c>
    </row>
    <row r="17">
      <c r="A17" s="1394" t="s">
        <v>130</v>
      </c>
      <c r="B17" s="1148"/>
      <c r="C17" s="1148"/>
      <c r="D17" s="1148"/>
      <c r="E17" s="1148"/>
      <c r="F17" s="1148"/>
      <c r="G17" s="1402">
        <f>20.1*G15*G11</f>
        <v>72191.15999999999</v>
      </c>
      <c r="H17" s="1405">
        <f>20.1*H15*H11</f>
        <v>72191.15999999999</v>
      </c>
      <c r="I17" s="1405">
        <f>20.1*I15*I11</f>
        <v>72191.15999999999</v>
      </c>
      <c r="J17" s="1405">
        <f>20.1*J15*J11</f>
        <v>72191.15999999999</v>
      </c>
      <c r="K17" s="1405">
        <f>20.1*K15*K11</f>
        <v>72191.15999999999</v>
      </c>
      <c r="L17" s="1144"/>
      <c r="M17" s="1394" t="s">
        <v>128</v>
      </c>
      <c r="N17" s="1152" t="s">
        <v>120</v>
      </c>
      <c r="O17" s="1144"/>
      <c r="P17" s="1144"/>
      <c r="Q17" s="1152" t="s">
        <v>129</v>
      </c>
    </row>
    <row r="18">
      <c r="A18" s="1394" t="s">
        <v>131</v>
      </c>
      <c r="B18" s="1148"/>
      <c r="C18" s="1148"/>
      <c r="D18" s="1148"/>
      <c r="E18" s="1148"/>
      <c r="F18" s="1148"/>
      <c r="G18" s="1402">
        <f>12.5*G15*G11</f>
        <v>44895</v>
      </c>
      <c r="H18" s="1405">
        <f>12.5*H15*H11</f>
        <v>44895</v>
      </c>
      <c r="I18" s="1405">
        <f>12.5*I15*I11</f>
        <v>44895</v>
      </c>
      <c r="J18" s="1405">
        <f>12.5*J15*J11</f>
        <v>44895</v>
      </c>
      <c r="K18" s="1405">
        <f>12.5*K15*K11</f>
        <v>44895</v>
      </c>
      <c r="L18" s="1144"/>
      <c r="M18" s="1394" t="s">
        <v>128</v>
      </c>
      <c r="N18" s="1152" t="s">
        <v>120</v>
      </c>
      <c r="O18" s="1144"/>
      <c r="P18" s="1144"/>
      <c r="Q18" s="1152" t="s">
        <v>129</v>
      </c>
    </row>
    <row r="19">
      <c r="A19" s="1394" t="s">
        <v>132</v>
      </c>
      <c r="B19" s="1148"/>
      <c r="C19" s="1148"/>
      <c r="D19" s="1148"/>
      <c r="E19" s="1148"/>
      <c r="F19" s="1148"/>
      <c r="G19" s="1402">
        <f>15.5*G15*G11</f>
        <v>55669.799999999996</v>
      </c>
      <c r="H19" s="1405">
        <f>15.5*H15*H11</f>
        <v>55669.799999999996</v>
      </c>
      <c r="I19" s="1405">
        <f>15.5*I15*I11</f>
        <v>55669.799999999996</v>
      </c>
      <c r="J19" s="1405">
        <f>15.5*J15*J11</f>
        <v>55669.799999999996</v>
      </c>
      <c r="K19" s="1405">
        <f>15.5*K15*K11</f>
        <v>55669.799999999996</v>
      </c>
      <c r="L19" s="1144"/>
      <c r="M19" s="1394" t="s">
        <v>128</v>
      </c>
      <c r="N19" s="1152" t="s">
        <v>120</v>
      </c>
      <c r="O19" s="1144"/>
      <c r="P19" s="1144"/>
      <c r="Q19" s="1152" t="s">
        <v>129</v>
      </c>
    </row>
    <row r="20">
      <c r="A20" s="1394" t="s">
        <v>133</v>
      </c>
      <c r="B20" s="1148"/>
      <c r="C20" s="1148"/>
      <c r="D20" s="1148"/>
      <c r="E20" s="1148"/>
      <c r="F20" s="1148"/>
      <c r="G20" s="1402">
        <f>0.98*G15*G11</f>
        <v>3519.7679999999996</v>
      </c>
      <c r="H20" s="1405">
        <f>0.98*H15*H11</f>
        <v>3519.7679999999996</v>
      </c>
      <c r="I20" s="1405">
        <f>0.98*I15*I11</f>
        <v>3519.7679999999996</v>
      </c>
      <c r="J20" s="1405">
        <f>0.98*J15*J11</f>
        <v>3519.7679999999996</v>
      </c>
      <c r="K20" s="1405">
        <f>0.98*K15*K11</f>
        <v>3519.7679999999996</v>
      </c>
      <c r="L20" s="1144"/>
      <c r="M20" s="1394" t="s">
        <v>128</v>
      </c>
      <c r="N20" s="1152" t="s">
        <v>120</v>
      </c>
      <c r="O20" s="1144"/>
      <c r="P20" s="1144"/>
      <c r="Q20" s="1152" t="s">
        <v>129</v>
      </c>
    </row>
    <row r="21">
      <c r="A21" s="1394" t="s">
        <v>134</v>
      </c>
      <c r="B21" s="1148"/>
      <c r="C21" s="1148"/>
      <c r="D21" s="1148"/>
      <c r="E21" s="1148"/>
      <c r="F21" s="1148"/>
      <c r="G21" s="1402">
        <f>9.9*G15*G11</f>
        <v>35556.84</v>
      </c>
      <c r="H21" s="1405">
        <f>9.9*H15*H11</f>
        <v>35556.84</v>
      </c>
      <c r="I21" s="1405">
        <f>9.9*I15*I11</f>
        <v>35556.84</v>
      </c>
      <c r="J21" s="1405">
        <f>9.9*J15*J11</f>
        <v>35556.84</v>
      </c>
      <c r="K21" s="1405">
        <f>9.9*K15*K11</f>
        <v>35556.84</v>
      </c>
      <c r="L21" s="1144"/>
      <c r="M21" s="1394" t="s">
        <v>128</v>
      </c>
      <c r="N21" s="1152" t="s">
        <v>120</v>
      </c>
      <c r="O21" s="1144"/>
      <c r="P21" s="1144"/>
      <c r="Q21" s="1152" t="s">
        <v>129</v>
      </c>
    </row>
    <row r="22">
      <c r="A22" s="1401" t="s">
        <v>135</v>
      </c>
      <c r="B22" s="1338">
        <v>426569</v>
      </c>
      <c r="C22" s="1338">
        <v>549284</v>
      </c>
      <c r="D22" s="1338">
        <v>374482</v>
      </c>
      <c r="E22" s="1338">
        <v>497784</v>
      </c>
      <c r="F22" s="1338">
        <v>470665</v>
      </c>
      <c r="G22" s="1400">
        <f>G76</f>
        <v>476626.99224000005</v>
      </c>
      <c r="H22" s="1398">
        <f>H76</f>
        <v>476626.99224000005</v>
      </c>
      <c r="I22" s="1398">
        <f>I76</f>
        <v>476626.99224000005</v>
      </c>
      <c r="J22" s="1398">
        <f>J76</f>
        <v>476626.99224000005</v>
      </c>
      <c r="K22" s="1398">
        <f>K76</f>
        <v>476626.99224000005</v>
      </c>
      <c r="L22" s="1144"/>
      <c r="M22" s="1394" t="s">
        <v>136</v>
      </c>
      <c r="N22" s="1152" t="s">
        <v>137</v>
      </c>
      <c r="O22" s="1144"/>
      <c r="P22" s="1144"/>
      <c r="Q22" s="1152" t="s">
        <v>138</v>
      </c>
    </row>
    <row r="23">
      <c r="A23" s="1146"/>
      <c r="B23" s="1146"/>
      <c r="C23" s="1146"/>
      <c r="D23" s="1146"/>
      <c r="E23" s="1146"/>
      <c r="F23" s="1146"/>
      <c r="G23" s="1156"/>
      <c r="H23" s="1146"/>
      <c r="I23" s="1146"/>
      <c r="J23" s="1146"/>
      <c r="K23" s="1146"/>
      <c r="L23" s="1144"/>
      <c r="M23" s="1144"/>
      <c r="N23" s="1152"/>
      <c r="O23" s="1144"/>
      <c r="P23" s="1144"/>
      <c r="Q23" s="1152"/>
    </row>
    <row r="24">
      <c r="A24" s="1384" t="s">
        <v>139</v>
      </c>
      <c r="B24" s="1151"/>
      <c r="C24" s="1151"/>
      <c r="D24" s="1151"/>
      <c r="E24" s="1151"/>
      <c r="F24" s="1151"/>
      <c r="G24" s="1157"/>
      <c r="H24" s="1154"/>
      <c r="I24" s="1154"/>
      <c r="J24" s="1154"/>
      <c r="K24" s="1154"/>
      <c r="L24" s="1144"/>
      <c r="M24" s="1144"/>
      <c r="N24" s="1144"/>
      <c r="O24" s="1144"/>
      <c r="P24" s="1144"/>
      <c r="Q24" s="1144"/>
    </row>
    <row r="25">
      <c r="A25" s="1394" t="s">
        <v>140</v>
      </c>
      <c r="B25" s="1243">
        <v>106.01</v>
      </c>
      <c r="C25" s="1243">
        <v>105.52</v>
      </c>
      <c r="D25" s="1243">
        <v>112.15</v>
      </c>
      <c r="E25" s="1243">
        <v>111.21</v>
      </c>
      <c r="F25" s="1243">
        <v>108.46</v>
      </c>
      <c r="G25" s="1140">
        <f>(G85+G92+G94+G96)/G32</f>
        <v>80.10254579108529</v>
      </c>
      <c r="H25" s="1135">
        <f>(H85+H92+H94+H96)/H32</f>
        <v>71.62749345808626</v>
      </c>
      <c r="I25" s="1135">
        <f>(I85+I92+I94+I96)/I32</f>
        <v>79.75489110063772</v>
      </c>
      <c r="J25" s="1135">
        <f>(J85+J92+J94+J96)/J32</f>
        <v>79.75489110063772</v>
      </c>
      <c r="K25" s="1135">
        <f>(K85+0.5*K65*91.649)/K32</f>
        <v>51.19907957480031</v>
      </c>
      <c r="L25" s="1144"/>
      <c r="M25" s="1394" t="s">
        <v>136</v>
      </c>
      <c r="N25" s="1152" t="s">
        <v>141</v>
      </c>
      <c r="O25" s="1144"/>
      <c r="P25" s="1144"/>
      <c r="Q25" s="1152" t="s">
        <v>129</v>
      </c>
    </row>
    <row r="26">
      <c r="A26" s="1394" t="s">
        <v>142</v>
      </c>
      <c r="B26" s="1283">
        <v>58.4</v>
      </c>
      <c r="C26" s="1283">
        <v>77.76</v>
      </c>
      <c r="D26" s="1283">
        <v>113.08</v>
      </c>
      <c r="E26" s="1283">
        <v>72.56</v>
      </c>
      <c r="F26" s="1283">
        <v>62.75</v>
      </c>
      <c r="G26" s="1264">
        <f>CHOOSE($C$5,G28,G29,G27)</f>
        <v>60</v>
      </c>
      <c r="H26" s="1248">
        <f>CHOOSE($C$5,H28,H29,H27)</f>
        <v>58</v>
      </c>
      <c r="I26" s="1248">
        <f>CHOOSE($C$5,I28,I29,I27)</f>
        <v>57</v>
      </c>
      <c r="J26" s="1248">
        <f>CHOOSE($C$5,J28,J29,J27)</f>
        <v>56</v>
      </c>
      <c r="K26" s="1248">
        <f>CHOOSE($C$5,K28,K29,K27)</f>
        <v>55</v>
      </c>
      <c r="L26" s="1144"/>
      <c r="M26" s="1394" t="s">
        <v>136</v>
      </c>
      <c r="N26" s="1152" t="s">
        <v>120</v>
      </c>
      <c r="O26" s="1144"/>
      <c r="P26" s="1144"/>
      <c r="Q26" s="1152" t="s">
        <v>113</v>
      </c>
    </row>
    <row r="27">
      <c r="A27" s="1394" t="s">
        <v>121</v>
      </c>
      <c r="B27" s="1153"/>
      <c r="C27" s="1153"/>
      <c r="D27" s="1153"/>
      <c r="E27" s="1153"/>
      <c r="F27" s="1153"/>
      <c r="G27" s="1262">
        <v>45</v>
      </c>
      <c r="H27" s="1243">
        <v>44</v>
      </c>
      <c r="I27" s="1243">
        <v>43</v>
      </c>
      <c r="J27" s="1243">
        <v>42</v>
      </c>
      <c r="K27" s="1243">
        <v>41</v>
      </c>
      <c r="L27" s="1144"/>
      <c r="M27" s="1394" t="s">
        <v>112</v>
      </c>
      <c r="N27" s="1152" t="s">
        <v>120</v>
      </c>
      <c r="O27" s="1144"/>
      <c r="P27" s="1144"/>
      <c r="Q27" s="1152" t="s">
        <v>122</v>
      </c>
    </row>
    <row r="28">
      <c r="A28" s="1394" t="s">
        <v>123</v>
      </c>
      <c r="B28" s="1153"/>
      <c r="C28" s="1153"/>
      <c r="D28" s="1153"/>
      <c r="E28" s="1153"/>
      <c r="F28" s="1153"/>
      <c r="G28" s="1262">
        <v>60</v>
      </c>
      <c r="H28" s="1243">
        <v>58</v>
      </c>
      <c r="I28" s="1243">
        <v>57</v>
      </c>
      <c r="J28" s="1243">
        <v>56</v>
      </c>
      <c r="K28" s="1243">
        <v>55</v>
      </c>
      <c r="L28" s="1144"/>
      <c r="M28" s="1394" t="s">
        <v>112</v>
      </c>
      <c r="N28" s="1152" t="s">
        <v>120</v>
      </c>
      <c r="O28" s="1144"/>
      <c r="P28" s="1144"/>
      <c r="Q28" s="1152" t="s">
        <v>122</v>
      </c>
    </row>
    <row r="29">
      <c r="A29" s="1394" t="s">
        <v>124</v>
      </c>
      <c r="B29" s="1153"/>
      <c r="C29" s="1153"/>
      <c r="D29" s="1153"/>
      <c r="E29" s="1153"/>
      <c r="F29" s="1153"/>
      <c r="G29" s="1262">
        <v>75</v>
      </c>
      <c r="H29" s="1243">
        <v>73</v>
      </c>
      <c r="I29" s="1243">
        <v>72</v>
      </c>
      <c r="J29" s="1243">
        <v>71</v>
      </c>
      <c r="K29" s="1243">
        <v>70</v>
      </c>
      <c r="L29" s="1144"/>
      <c r="M29" s="1394" t="s">
        <v>112</v>
      </c>
      <c r="N29" s="1152" t="s">
        <v>120</v>
      </c>
      <c r="O29" s="1144"/>
      <c r="P29" s="1144"/>
      <c r="Q29" s="1152" t="s">
        <v>122</v>
      </c>
    </row>
    <row r="30">
      <c r="A30" s="1146"/>
      <c r="B30" s="1146"/>
      <c r="C30" s="1146"/>
      <c r="D30" s="1146"/>
      <c r="E30" s="1146"/>
      <c r="F30" s="1146"/>
      <c r="G30" s="1156"/>
      <c r="H30" s="1146"/>
      <c r="I30" s="1146"/>
      <c r="J30" s="1146"/>
      <c r="K30" s="1146"/>
      <c r="L30" s="1144"/>
      <c r="M30" s="1144"/>
      <c r="N30" s="1152"/>
      <c r="O30" s="1144"/>
      <c r="P30" s="1144"/>
      <c r="Q30" s="1152"/>
    </row>
    <row r="31">
      <c r="A31" s="1384" t="s">
        <v>143</v>
      </c>
      <c r="B31" s="1151"/>
      <c r="C31" s="1151"/>
      <c r="D31" s="1151"/>
      <c r="E31" s="1151"/>
      <c r="F31" s="1151"/>
      <c r="G31" s="1157"/>
      <c r="H31" s="1154"/>
      <c r="I31" s="1154"/>
      <c r="J31" s="1154"/>
      <c r="K31" s="1154"/>
      <c r="L31" s="1144"/>
      <c r="M31" s="1144"/>
      <c r="N31" s="1144"/>
      <c r="O31" s="1144"/>
      <c r="P31" s="1144"/>
      <c r="Q31" s="1144"/>
    </row>
    <row r="32">
      <c r="A32" s="1394" t="s">
        <v>144</v>
      </c>
      <c r="B32" s="612">
        <v>300655</v>
      </c>
      <c r="C32" s="612">
        <v>306746</v>
      </c>
      <c r="D32" s="612">
        <v>276777</v>
      </c>
      <c r="E32" s="612">
        <v>282678</v>
      </c>
      <c r="F32" s="612">
        <v>305119</v>
      </c>
      <c r="G32" s="1402">
        <f>G83+G55+G60+G65</f>
        <v>284701.22423999995</v>
      </c>
      <c r="H32" s="1405">
        <f>H83+H55+H60+H65</f>
        <v>364081.22423999995</v>
      </c>
      <c r="I32" s="1405">
        <f>I83+I55+I60+I65</f>
        <v>272938.22423999995</v>
      </c>
      <c r="J32" s="1405">
        <f>J83+J55+J60+J65</f>
        <v>272938.22423999995</v>
      </c>
      <c r="K32" s="1405">
        <f>K83+0.5*K65</f>
        <v>117889.08</v>
      </c>
      <c r="L32" s="1144"/>
      <c r="M32" s="1394" t="s">
        <v>136</v>
      </c>
      <c r="N32" s="1152" t="s">
        <v>145</v>
      </c>
      <c r="O32" s="1144"/>
      <c r="P32" s="1144"/>
      <c r="Q32" s="1152" t="s">
        <v>129</v>
      </c>
    </row>
    <row r="33">
      <c r="A33" s="1394" t="s">
        <v>146</v>
      </c>
      <c r="B33" s="612">
        <v>157317</v>
      </c>
      <c r="C33" s="612">
        <v>246692</v>
      </c>
      <c r="D33" s="612">
        <v>129626</v>
      </c>
      <c r="E33" s="612">
        <v>219421</v>
      </c>
      <c r="F33" s="612">
        <v>215832</v>
      </c>
      <c r="G33" s="1402">
        <f>MAX(0,G22-G32)</f>
        <v>191925.7680000001</v>
      </c>
      <c r="H33" s="1405">
        <f>MAX(0,H22-H32)</f>
        <v>112545.7680000001</v>
      </c>
      <c r="I33" s="1405">
        <f>MAX(0,I22-I32)</f>
        <v>203688.7680000001</v>
      </c>
      <c r="J33" s="1405">
        <f>MAX(0,J22-J32)</f>
        <v>203688.7680000001</v>
      </c>
      <c r="K33" s="1405">
        <f>MAX(0,K22-K32)</f>
        <v>358737.91224000003</v>
      </c>
      <c r="L33" s="1144"/>
      <c r="M33" s="1394" t="s">
        <v>136</v>
      </c>
      <c r="N33" s="1152" t="s">
        <v>147</v>
      </c>
      <c r="O33" s="1144"/>
      <c r="P33" s="1144"/>
      <c r="Q33" s="1152" t="s">
        <v>129</v>
      </c>
    </row>
    <row r="34">
      <c r="A34" s="1146"/>
      <c r="B34" s="1146"/>
      <c r="C34" s="1146"/>
      <c r="D34" s="1146"/>
      <c r="E34" s="1146"/>
      <c r="F34" s="1146"/>
      <c r="G34" s="1156"/>
      <c r="H34" s="1146"/>
      <c r="I34" s="1146"/>
      <c r="J34" s="1146"/>
      <c r="K34" s="1146"/>
      <c r="L34" s="1144"/>
      <c r="M34" s="1144"/>
      <c r="N34" s="1152"/>
      <c r="O34" s="1144"/>
      <c r="P34" s="1144"/>
      <c r="Q34" s="1152"/>
    </row>
    <row r="35">
      <c r="A35" s="1384" t="s">
        <v>148</v>
      </c>
      <c r="B35" s="1151"/>
      <c r="C35" s="1151"/>
      <c r="D35" s="1151"/>
      <c r="E35" s="1151"/>
      <c r="F35" s="1151"/>
      <c r="G35" s="1157"/>
      <c r="H35" s="1154"/>
      <c r="I35" s="1154"/>
      <c r="J35" s="1154"/>
      <c r="K35" s="1154"/>
      <c r="L35" s="1144"/>
      <c r="M35" s="1144"/>
      <c r="N35" s="1144"/>
      <c r="O35" s="1144"/>
      <c r="P35" s="1144"/>
      <c r="Q35" s="1144"/>
    </row>
    <row r="36">
      <c r="A36" s="1394" t="s">
        <v>149</v>
      </c>
      <c r="B36" s="1390">
        <f>EEFF!B7</f>
        <v>42793727</v>
      </c>
      <c r="C36" s="1390">
        <f>EEFF!C7</f>
        <v>57204243</v>
      </c>
      <c r="D36" s="1390">
        <f>EEFF!D7</f>
        <v>53187368</v>
      </c>
      <c r="E36" s="1390">
        <f>EEFF!E7</f>
        <v>55356497</v>
      </c>
      <c r="F36" s="1390">
        <f>EEFF!F7</f>
        <v>48358044</v>
      </c>
      <c r="G36" s="1158"/>
      <c r="H36" s="1147"/>
      <c r="I36" s="1147"/>
      <c r="J36" s="1147"/>
      <c r="K36" s="1147"/>
      <c r="L36" s="1144"/>
      <c r="M36" s="1394" t="s">
        <v>136</v>
      </c>
      <c r="N36" s="1152" t="s">
        <v>150</v>
      </c>
      <c r="O36" s="1144"/>
      <c r="P36" s="1144"/>
      <c r="Q36" s="1152" t="s">
        <v>151</v>
      </c>
    </row>
    <row r="37">
      <c r="A37" s="1394" t="s">
        <v>152</v>
      </c>
      <c r="B37" s="1381">
        <f>B32*B25</f>
        <v>31872436.55</v>
      </c>
      <c r="C37" s="1381">
        <f>C32*C25</f>
        <v>32367837.919999998</v>
      </c>
      <c r="D37" s="1381">
        <f>D32*D25</f>
        <v>31040540.55</v>
      </c>
      <c r="E37" s="1381">
        <f>E32*E25</f>
        <v>31436620.38</v>
      </c>
      <c r="F37" s="1381">
        <f>F32*F25</f>
        <v>33093206.74</v>
      </c>
      <c r="G37" s="1395">
        <f>G32*G25</f>
        <v>22805292.851462636</v>
      </c>
      <c r="H37" s="1381">
        <f>H32*H25</f>
        <v>26078225.507462636</v>
      </c>
      <c r="I37" s="1381">
        <f>I32*I25</f>
        <v>21768158.351462636</v>
      </c>
      <c r="J37" s="1381">
        <f>J32*J25</f>
        <v>21768158.351462636</v>
      </c>
      <c r="K37" s="1381">
        <f>K32*K25</f>
        <v>6035812.38792</v>
      </c>
      <c r="L37" s="1144"/>
      <c r="M37" s="1394" t="s">
        <v>112</v>
      </c>
      <c r="N37" s="1152" t="s">
        <v>120</v>
      </c>
      <c r="O37" s="1144"/>
      <c r="P37" s="1144"/>
      <c r="Q37" s="1152" t="s">
        <v>129</v>
      </c>
    </row>
    <row r="38">
      <c r="A38" s="1394" t="s">
        <v>153</v>
      </c>
      <c r="B38" s="1381">
        <f>B33*B26</f>
        <v>9187312.799999999</v>
      </c>
      <c r="C38" s="1381">
        <f>C33*C26</f>
        <v>19182769.92</v>
      </c>
      <c r="D38" s="1381">
        <f>D33*D26</f>
        <v>14658108.08</v>
      </c>
      <c r="E38" s="1381">
        <f>E33*E26</f>
        <v>15921187.76</v>
      </c>
      <c r="F38" s="1381">
        <f>F33*F26</f>
        <v>13543458</v>
      </c>
      <c r="G38" s="1395">
        <f>G33*G26</f>
        <v>11515546.080000006</v>
      </c>
      <c r="H38" s="1381">
        <f>H33*H26</f>
        <v>6527654.544000005</v>
      </c>
      <c r="I38" s="1381">
        <f>I33*I26</f>
        <v>11610259.776000006</v>
      </c>
      <c r="J38" s="1381">
        <f>J33*J26</f>
        <v>11406571.008000005</v>
      </c>
      <c r="K38" s="1381">
        <f>K33*K26</f>
        <v>19730585.1732</v>
      </c>
      <c r="L38" s="1144"/>
      <c r="M38" s="1394" t="s">
        <v>112</v>
      </c>
      <c r="N38" s="1152" t="s">
        <v>120</v>
      </c>
      <c r="O38" s="1144"/>
      <c r="P38" s="1144"/>
      <c r="Q38" s="1152" t="s">
        <v>129</v>
      </c>
    </row>
    <row r="39">
      <c r="A39" s="1401" t="s">
        <v>154</v>
      </c>
      <c r="B39" s="1398">
        <f>B37+B38</f>
        <v>41059749.35</v>
      </c>
      <c r="C39" s="1398">
        <f>C37+C38</f>
        <v>51550607.84</v>
      </c>
      <c r="D39" s="1398">
        <f>D37+D38</f>
        <v>45698648.63</v>
      </c>
      <c r="E39" s="1398">
        <f>E37+E38</f>
        <v>47357808.14</v>
      </c>
      <c r="F39" s="1398">
        <f>F37+F38</f>
        <v>46636664.739999995</v>
      </c>
      <c r="G39" s="1400">
        <f>G37+G38+G82</f>
        <v>38521429.45146265</v>
      </c>
      <c r="H39" s="1398">
        <f>H37+H38+H82</f>
        <v>32605880.051462643</v>
      </c>
      <c r="I39" s="1398">
        <f>I37+I38+I82</f>
        <v>33463954.12746264</v>
      </c>
      <c r="J39" s="1398">
        <f>J37+J38+J82</f>
        <v>33345801.35946264</v>
      </c>
      <c r="K39" s="1398">
        <f>K37+K38+K82</f>
        <v>25937469.56112</v>
      </c>
      <c r="L39" s="1144"/>
      <c r="M39" s="1394" t="s">
        <v>136</v>
      </c>
      <c r="N39" s="1152" t="s">
        <v>155</v>
      </c>
      <c r="O39" s="1144"/>
      <c r="P39" s="1144"/>
      <c r="Q39" s="1152" t="s">
        <v>138</v>
      </c>
    </row>
    <row r="40">
      <c r="A40" s="1146"/>
      <c r="B40" s="1146"/>
      <c r="C40" s="1146"/>
      <c r="D40" s="1146"/>
      <c r="E40" s="1146"/>
      <c r="F40" s="1146"/>
      <c r="G40" s="1156"/>
      <c r="H40" s="1146"/>
      <c r="I40" s="1146"/>
      <c r="J40" s="1146"/>
      <c r="K40" s="1146"/>
      <c r="L40" s="1144"/>
      <c r="M40" s="1144"/>
      <c r="N40" s="1152"/>
      <c r="O40" s="1144"/>
      <c r="P40" s="1144"/>
      <c r="Q40" s="1152"/>
    </row>
    <row r="41">
      <c r="A41" s="1384" t="s">
        <v>156</v>
      </c>
      <c r="B41" s="1151"/>
      <c r="C41" s="1151"/>
      <c r="D41" s="1151"/>
      <c r="E41" s="1151"/>
      <c r="F41" s="1151"/>
      <c r="G41" s="1157"/>
      <c r="H41" s="1154"/>
      <c r="I41" s="1154"/>
      <c r="J41" s="1154"/>
      <c r="K41" s="1154"/>
      <c r="L41" s="1144"/>
      <c r="M41" s="1144"/>
      <c r="N41" s="1144"/>
      <c r="O41" s="1144"/>
      <c r="P41" s="1144"/>
      <c r="Q41" s="1144"/>
    </row>
    <row r="42">
      <c r="A42" s="1394" t="s">
        <v>157</v>
      </c>
      <c r="B42" s="1390">
        <f>EEFF!B8</f>
        <v>4427043</v>
      </c>
      <c r="C42" s="1390">
        <f>EEFF!C8</f>
        <v>8559953</v>
      </c>
      <c r="D42" s="1390">
        <f>EEFF!D8</f>
        <v>12013335</v>
      </c>
      <c r="E42" s="1390">
        <f>EEFF!E8</f>
        <v>9960198</v>
      </c>
      <c r="F42" s="1390">
        <f>EEFF!F8</f>
        <v>4986124</v>
      </c>
      <c r="G42" s="1136">
        <f>G102</f>
        <v>5053166.16</v>
      </c>
      <c r="H42" s="1132">
        <f>H102</f>
        <v>9162668.76</v>
      </c>
      <c r="I42" s="1132">
        <f>I102</f>
        <v>4444195.65</v>
      </c>
      <c r="J42" s="1132">
        <f>J102</f>
        <v>4444195.65</v>
      </c>
      <c r="K42" s="1132">
        <f>K102</f>
        <v>4444195.65</v>
      </c>
      <c r="L42" s="1144"/>
      <c r="M42" s="1394" t="s">
        <v>136</v>
      </c>
      <c r="N42" s="1152" t="s">
        <v>158</v>
      </c>
      <c r="O42" s="1144"/>
      <c r="P42" s="1144"/>
      <c r="Q42" s="1152" t="s">
        <v>129</v>
      </c>
    </row>
    <row r="43">
      <c r="A43" s="1401" t="s">
        <v>159</v>
      </c>
      <c r="B43" s="1398">
        <f>B42</f>
        <v>4427043</v>
      </c>
      <c r="C43" s="1398">
        <f>C42</f>
        <v>8559953</v>
      </c>
      <c r="D43" s="1398">
        <f>D42</f>
        <v>12013335</v>
      </c>
      <c r="E43" s="1398">
        <f>E42</f>
        <v>9960198</v>
      </c>
      <c r="F43" s="1398">
        <f>F42</f>
        <v>4986124</v>
      </c>
      <c r="G43" s="1400">
        <f>G42</f>
        <v>5053166.16</v>
      </c>
      <c r="H43" s="1398">
        <f>H42</f>
        <v>9162668.76</v>
      </c>
      <c r="I43" s="1398">
        <f>I42</f>
        <v>4444195.65</v>
      </c>
      <c r="J43" s="1398">
        <f>J42</f>
        <v>4444195.65</v>
      </c>
      <c r="K43" s="1398">
        <f>K42</f>
        <v>4444195.65</v>
      </c>
      <c r="L43" s="1144"/>
      <c r="M43" s="1394" t="s">
        <v>136</v>
      </c>
      <c r="N43" s="1152" t="s">
        <v>120</v>
      </c>
      <c r="O43" s="1144"/>
      <c r="P43" s="1144"/>
      <c r="Q43" s="1152" t="s">
        <v>138</v>
      </c>
    </row>
    <row r="44">
      <c r="A44" s="1394" t="s">
        <v>160</v>
      </c>
      <c r="B44" s="1416">
        <v>959176</v>
      </c>
      <c r="C44" s="1416">
        <v>1278900</v>
      </c>
      <c r="D44" s="1416">
        <v>1278900</v>
      </c>
      <c r="E44" s="1416">
        <v>1278900</v>
      </c>
      <c r="F44" s="1416">
        <v>1278900</v>
      </c>
      <c r="G44" s="1268">
        <v>1278900</v>
      </c>
      <c r="H44" s="1416">
        <v>1278900</v>
      </c>
      <c r="I44" s="1416">
        <v>1278900</v>
      </c>
      <c r="J44" s="1416">
        <v>1278900</v>
      </c>
      <c r="K44" s="1416">
        <v>1278900</v>
      </c>
      <c r="L44" s="1144"/>
      <c r="M44" s="1394" t="s">
        <v>112</v>
      </c>
      <c r="N44" s="1152" t="s">
        <v>120</v>
      </c>
      <c r="O44" s="1144"/>
      <c r="P44" s="1144"/>
      <c r="Q44" s="1152" t="s">
        <v>110</v>
      </c>
    </row>
    <row r="45">
      <c r="A45" s="1394" t="s">
        <v>161</v>
      </c>
      <c r="B45" s="1390">
        <f>EEFF!B14-B44</f>
        <v>3629203</v>
      </c>
      <c r="C45" s="1390">
        <f>EEFF!C14-C44</f>
        <v>4054029</v>
      </c>
      <c r="D45" s="1390">
        <f>EEFF!D14-D44</f>
        <v>4275429</v>
      </c>
      <c r="E45" s="1390">
        <f>EEFF!E14-E44</f>
        <v>4232451</v>
      </c>
      <c r="F45" s="1390">
        <f>EEFF!F14-F44</f>
        <v>4405777</v>
      </c>
      <c r="G45" s="1136">
        <f>G116-G44</f>
        <v>4232451</v>
      </c>
      <c r="H45" s="1132">
        <f>H116-H44</f>
        <v>4232451</v>
      </c>
      <c r="I45" s="1132">
        <f>I116-I44</f>
        <v>4232451</v>
      </c>
      <c r="J45" s="1132">
        <f>J116-J44</f>
        <v>4232451</v>
      </c>
      <c r="K45" s="1132">
        <f>K116-K44</f>
        <v>4232451</v>
      </c>
      <c r="L45" s="1144"/>
      <c r="M45" s="1394" t="s">
        <v>112</v>
      </c>
      <c r="N45" s="1152" t="s">
        <v>162</v>
      </c>
      <c r="O45" s="1144"/>
      <c r="P45" s="1144"/>
      <c r="Q45" s="1152" t="s">
        <v>129</v>
      </c>
    </row>
    <row r="46">
      <c r="A46" s="1401" t="s">
        <v>163</v>
      </c>
      <c r="B46" s="1398">
        <f>B44+B45</f>
        <v>4588379</v>
      </c>
      <c r="C46" s="1398">
        <f>C44+C45</f>
        <v>5332929</v>
      </c>
      <c r="D46" s="1398">
        <f>D44+D45</f>
        <v>5554329</v>
      </c>
      <c r="E46" s="1398">
        <f>E44+E45</f>
        <v>5511351</v>
      </c>
      <c r="F46" s="1398">
        <f>F44+F45</f>
        <v>5684677</v>
      </c>
      <c r="G46" s="1400">
        <f>G44+G45</f>
        <v>5511351</v>
      </c>
      <c r="H46" s="1398">
        <f>H44+H45</f>
        <v>5511351</v>
      </c>
      <c r="I46" s="1398">
        <f>I44+I45</f>
        <v>5511351</v>
      </c>
      <c r="J46" s="1398">
        <f>J44+J45</f>
        <v>5511351</v>
      </c>
      <c r="K46" s="1398">
        <f>K44+K45</f>
        <v>5511351</v>
      </c>
      <c r="L46" s="1144"/>
      <c r="M46" s="1394" t="s">
        <v>112</v>
      </c>
      <c r="N46" s="1152" t="s">
        <v>120</v>
      </c>
      <c r="O46" s="1144"/>
      <c r="P46" s="1144"/>
      <c r="Q46" s="1152" t="s">
        <v>138</v>
      </c>
    </row>
    <row r="47">
      <c r="A47" s="1146"/>
      <c r="B47" s="1146"/>
      <c r="C47" s="1146"/>
      <c r="D47" s="1146"/>
      <c r="E47" s="1146"/>
      <c r="F47" s="1146"/>
      <c r="G47" s="1156"/>
      <c r="H47" s="1146"/>
      <c r="I47" s="1146"/>
      <c r="J47" s="1146"/>
      <c r="K47" s="1146"/>
      <c r="L47" s="1144"/>
      <c r="M47" s="1144"/>
      <c r="N47" s="1152"/>
      <c r="O47" s="1144"/>
      <c r="P47" s="1144"/>
      <c r="Q47" s="1152"/>
    </row>
    <row r="48">
      <c r="A48" s="1384" t="s">
        <v>164</v>
      </c>
      <c r="B48" s="1151"/>
      <c r="C48" s="1151"/>
      <c r="D48" s="1151"/>
      <c r="E48" s="1151"/>
      <c r="F48" s="1151"/>
      <c r="G48" s="1157"/>
      <c r="H48" s="1154"/>
      <c r="I48" s="1154"/>
      <c r="J48" s="1154"/>
      <c r="K48" s="1154"/>
      <c r="L48" s="1144"/>
      <c r="M48" s="1144"/>
      <c r="N48" s="1144"/>
      <c r="O48" s="1144"/>
      <c r="P48" s="1144"/>
      <c r="Q48" s="1144"/>
    </row>
    <row r="49">
      <c r="A49" s="1394" t="s">
        <v>165</v>
      </c>
      <c r="G49" s="1156"/>
      <c r="L49" s="1144"/>
      <c r="M49" s="1144"/>
      <c r="N49" s="1152"/>
      <c r="O49" s="1144"/>
      <c r="P49" s="1144"/>
      <c r="Q49" s="1152"/>
    </row>
    <row r="50">
      <c r="A50" s="1384" t="s">
        <v>166</v>
      </c>
      <c r="B50" s="1151"/>
      <c r="C50" s="1151"/>
      <c r="D50" s="1151"/>
      <c r="E50" s="1151"/>
      <c r="F50" s="1151"/>
      <c r="G50" s="1157"/>
      <c r="H50" s="1154"/>
      <c r="I50" s="1154"/>
      <c r="J50" s="1154"/>
      <c r="K50" s="1154"/>
      <c r="L50" s="1144"/>
      <c r="M50" s="1144"/>
      <c r="N50" s="1144"/>
      <c r="O50" s="1144"/>
      <c r="P50" s="1144"/>
      <c r="Q50" s="1144"/>
    </row>
    <row r="51">
      <c r="A51" s="1394" t="s">
        <v>167</v>
      </c>
      <c r="B51" s="1149"/>
      <c r="C51" s="1149"/>
      <c r="D51" s="1149"/>
      <c r="E51" s="1149"/>
      <c r="F51" s="1149"/>
      <c r="G51" s="1276">
        <v>0.358</v>
      </c>
      <c r="H51" s="1271">
        <v>0.358</v>
      </c>
      <c r="I51" s="1271">
        <v>0.358</v>
      </c>
      <c r="J51" s="1271">
        <v>0.358</v>
      </c>
      <c r="K51" s="1271">
        <v>0.358</v>
      </c>
      <c r="L51" s="1144"/>
      <c r="M51" s="1394" t="s">
        <v>119</v>
      </c>
      <c r="N51" s="1152" t="s">
        <v>168</v>
      </c>
      <c r="O51" s="1144"/>
      <c r="P51" s="1144"/>
      <c r="Q51" s="1152" t="s">
        <v>110</v>
      </c>
    </row>
    <row r="52">
      <c r="A52" s="1394" t="s">
        <v>169</v>
      </c>
      <c r="B52" s="1149"/>
      <c r="C52" s="1149"/>
      <c r="D52" s="1149"/>
      <c r="E52" s="1149"/>
      <c r="F52" s="1149"/>
      <c r="G52" s="1276">
        <v>0.426</v>
      </c>
      <c r="H52" s="1271">
        <v>0.426</v>
      </c>
      <c r="I52" s="1271">
        <v>0.426</v>
      </c>
      <c r="J52" s="1271">
        <v>0.426</v>
      </c>
      <c r="K52" s="1271">
        <v>0.426</v>
      </c>
      <c r="L52" s="1144"/>
      <c r="M52" s="1394" t="s">
        <v>119</v>
      </c>
      <c r="N52" s="1152" t="s">
        <v>168</v>
      </c>
      <c r="O52" s="1144"/>
      <c r="P52" s="1144"/>
      <c r="Q52" s="1152" t="s">
        <v>110</v>
      </c>
    </row>
    <row r="53">
      <c r="A53" s="1394" t="s">
        <v>170</v>
      </c>
      <c r="B53" s="1149"/>
      <c r="C53" s="1149"/>
      <c r="D53" s="1149"/>
      <c r="E53" s="1149"/>
      <c r="F53" s="1149"/>
      <c r="G53" s="1276">
        <v>0.535</v>
      </c>
      <c r="H53" s="1271">
        <v>0.535</v>
      </c>
      <c r="I53" s="1271">
        <v>0.535</v>
      </c>
      <c r="J53" s="1271">
        <v>0.535</v>
      </c>
      <c r="K53" s="1271">
        <v>0.535</v>
      </c>
      <c r="L53" s="1144"/>
      <c r="M53" s="1394" t="s">
        <v>119</v>
      </c>
      <c r="N53" s="1152" t="s">
        <v>168</v>
      </c>
      <c r="O53" s="1144"/>
      <c r="P53" s="1144"/>
      <c r="Q53" s="1152" t="s">
        <v>110</v>
      </c>
    </row>
    <row r="54">
      <c r="A54" s="1394" t="s">
        <v>171</v>
      </c>
      <c r="B54" s="1149"/>
      <c r="C54" s="1149"/>
      <c r="D54" s="1149"/>
      <c r="E54" s="1149"/>
      <c r="F54" s="1149"/>
      <c r="G54" s="1413">
        <f>CHOOSE($C$5,G52,G53,G51)</f>
        <v>0.426</v>
      </c>
      <c r="H54" s="1386">
        <f>CHOOSE($C$5,H52,H53,H51)</f>
        <v>0.426</v>
      </c>
      <c r="I54" s="1386">
        <f>CHOOSE($C$5,I52,I53,I51)</f>
        <v>0.426</v>
      </c>
      <c r="J54" s="1386">
        <f>CHOOSE($C$5,J52,J53,J51)</f>
        <v>0.426</v>
      </c>
      <c r="K54" s="1386">
        <f>CHOOSE($C$5,K52,K53,K51)</f>
        <v>0.426</v>
      </c>
      <c r="L54" s="1144"/>
      <c r="M54" s="1394" t="s">
        <v>119</v>
      </c>
      <c r="N54" s="1152" t="s">
        <v>109</v>
      </c>
      <c r="O54" s="1144"/>
      <c r="P54" s="1144"/>
      <c r="Q54" s="1152" t="s">
        <v>113</v>
      </c>
    </row>
    <row r="55">
      <c r="A55" s="1394" t="s">
        <v>172</v>
      </c>
      <c r="B55" s="1147"/>
      <c r="C55" s="1147"/>
      <c r="D55" s="1147"/>
      <c r="E55" s="1147"/>
      <c r="F55" s="1147"/>
      <c r="G55" s="1395">
        <f>20.089*8760*G54</f>
        <v>74967.32663999998</v>
      </c>
      <c r="H55" s="1381">
        <f>20.089*8760*H54</f>
        <v>74967.32663999998</v>
      </c>
      <c r="I55" s="1381">
        <f>20.089*8760*I54</f>
        <v>74967.32663999998</v>
      </c>
      <c r="J55" s="1381">
        <f>20.089*8760*J54</f>
        <v>74967.32663999998</v>
      </c>
      <c r="K55" s="1381">
        <f>20.089*8760*K54</f>
        <v>74967.32663999998</v>
      </c>
      <c r="L55" s="1144"/>
      <c r="M55" s="1394" t="s">
        <v>136</v>
      </c>
      <c r="N55" s="1152" t="s">
        <v>168</v>
      </c>
      <c r="O55" s="1144"/>
      <c r="P55" s="1144"/>
      <c r="Q55" s="1152" t="s">
        <v>129</v>
      </c>
    </row>
    <row r="56">
      <c r="A56" s="1394" t="s">
        <v>173</v>
      </c>
      <c r="B56" s="1149"/>
      <c r="C56" s="1149"/>
      <c r="D56" s="1149"/>
      <c r="E56" s="1149"/>
      <c r="F56" s="1149"/>
      <c r="G56" s="1276">
        <v>0.363</v>
      </c>
      <c r="H56" s="1271">
        <v>0.363</v>
      </c>
      <c r="I56" s="1271">
        <v>0.363</v>
      </c>
      <c r="J56" s="1271">
        <v>0.363</v>
      </c>
      <c r="K56" s="1271">
        <v>0.363</v>
      </c>
      <c r="L56" s="1144"/>
      <c r="M56" s="1394" t="s">
        <v>119</v>
      </c>
      <c r="N56" s="1152" t="s">
        <v>168</v>
      </c>
      <c r="O56" s="1144"/>
      <c r="P56" s="1144"/>
      <c r="Q56" s="1152" t="s">
        <v>110</v>
      </c>
    </row>
    <row r="57">
      <c r="A57" s="1394" t="s">
        <v>174</v>
      </c>
      <c r="B57" s="1149"/>
      <c r="C57" s="1149"/>
      <c r="D57" s="1149"/>
      <c r="E57" s="1149"/>
      <c r="F57" s="1149"/>
      <c r="G57" s="1276">
        <v>0.438</v>
      </c>
      <c r="H57" s="1271">
        <v>0.438</v>
      </c>
      <c r="I57" s="1271">
        <v>0.438</v>
      </c>
      <c r="J57" s="1271">
        <v>0.438</v>
      </c>
      <c r="K57" s="1271">
        <v>0.438</v>
      </c>
      <c r="L57" s="1144"/>
      <c r="M57" s="1394" t="s">
        <v>119</v>
      </c>
      <c r="N57" s="1152" t="s">
        <v>168</v>
      </c>
      <c r="O57" s="1144"/>
      <c r="P57" s="1144"/>
      <c r="Q57" s="1152" t="s">
        <v>110</v>
      </c>
    </row>
    <row r="58">
      <c r="A58" s="1394" t="s">
        <v>175</v>
      </c>
      <c r="B58" s="1149"/>
      <c r="C58" s="1149"/>
      <c r="D58" s="1149"/>
      <c r="E58" s="1149"/>
      <c r="F58" s="1149"/>
      <c r="G58" s="1276">
        <v>0.546</v>
      </c>
      <c r="H58" s="1271">
        <v>0.546</v>
      </c>
      <c r="I58" s="1271">
        <v>0.546</v>
      </c>
      <c r="J58" s="1271">
        <v>0.546</v>
      </c>
      <c r="K58" s="1271">
        <v>0.546</v>
      </c>
      <c r="L58" s="1144"/>
      <c r="M58" s="1394" t="s">
        <v>119</v>
      </c>
      <c r="N58" s="1152" t="s">
        <v>168</v>
      </c>
      <c r="O58" s="1144"/>
      <c r="P58" s="1144"/>
      <c r="Q58" s="1152" t="s">
        <v>110</v>
      </c>
    </row>
    <row r="59">
      <c r="A59" s="1394" t="s">
        <v>176</v>
      </c>
      <c r="B59" s="1149"/>
      <c r="C59" s="1149"/>
      <c r="D59" s="1149"/>
      <c r="E59" s="1149"/>
      <c r="F59" s="1149"/>
      <c r="G59" s="1413">
        <f>CHOOSE($C$5,G57,G58,G56)</f>
        <v>0.438</v>
      </c>
      <c r="H59" s="1386">
        <f>CHOOSE($C$5,H57,H58,H56)</f>
        <v>0.438</v>
      </c>
      <c r="I59" s="1386">
        <f>CHOOSE($C$5,I57,I58,I56)</f>
        <v>0.438</v>
      </c>
      <c r="J59" s="1386">
        <f>CHOOSE($C$5,J57,J58,J56)</f>
        <v>0.438</v>
      </c>
      <c r="K59" s="1386">
        <f>CHOOSE($C$5,K57,K58,K56)</f>
        <v>0.438</v>
      </c>
      <c r="L59" s="1144"/>
      <c r="M59" s="1394" t="s">
        <v>119</v>
      </c>
      <c r="N59" s="1152" t="s">
        <v>109</v>
      </c>
      <c r="O59" s="1144"/>
      <c r="P59" s="1144"/>
      <c r="Q59" s="1152" t="s">
        <v>113</v>
      </c>
    </row>
    <row r="60">
      <c r="A60" s="1394" t="s">
        <v>177</v>
      </c>
      <c r="B60" s="1147"/>
      <c r="C60" s="1147"/>
      <c r="D60" s="1147"/>
      <c r="E60" s="1147"/>
      <c r="F60" s="1147"/>
      <c r="G60" s="1395">
        <f>12.52*8760*G59</f>
        <v>48037.7376</v>
      </c>
      <c r="H60" s="1381">
        <f>12.52*8760*H59</f>
        <v>48037.7376</v>
      </c>
      <c r="I60" s="1381">
        <f>12.52*8760*I59</f>
        <v>48037.7376</v>
      </c>
      <c r="J60" s="1381">
        <f>12.52*8760*J59</f>
        <v>48037.7376</v>
      </c>
      <c r="K60" s="1381">
        <f>12.52*8760*K59</f>
        <v>48037.7376</v>
      </c>
      <c r="L60" s="1144"/>
      <c r="M60" s="1394" t="s">
        <v>136</v>
      </c>
      <c r="N60" s="1152" t="s">
        <v>168</v>
      </c>
      <c r="O60" s="1144"/>
      <c r="P60" s="1144"/>
      <c r="Q60" s="1152" t="s">
        <v>129</v>
      </c>
    </row>
    <row r="61">
      <c r="A61" s="1394" t="s">
        <v>178</v>
      </c>
      <c r="B61" s="1149"/>
      <c r="C61" s="1149"/>
      <c r="D61" s="1149"/>
      <c r="E61" s="1149"/>
      <c r="F61" s="1149"/>
      <c r="G61" s="1276">
        <v>0.399</v>
      </c>
      <c r="H61" s="1271">
        <v>0.399</v>
      </c>
      <c r="I61" s="1271">
        <v>0.399</v>
      </c>
      <c r="J61" s="1271">
        <v>0.399</v>
      </c>
      <c r="K61" s="1271">
        <v>0.399</v>
      </c>
      <c r="L61" s="1144"/>
      <c r="M61" s="1394" t="s">
        <v>119</v>
      </c>
      <c r="N61" s="1152" t="s">
        <v>168</v>
      </c>
      <c r="O61" s="1144"/>
      <c r="P61" s="1144"/>
      <c r="Q61" s="1152" t="s">
        <v>110</v>
      </c>
    </row>
    <row r="62">
      <c r="A62" s="1394" t="s">
        <v>179</v>
      </c>
      <c r="B62" s="1149"/>
      <c r="C62" s="1149"/>
      <c r="D62" s="1149"/>
      <c r="E62" s="1149"/>
      <c r="F62" s="1149"/>
      <c r="G62" s="1276">
        <v>0.472</v>
      </c>
      <c r="H62" s="1271">
        <v>0.472</v>
      </c>
      <c r="I62" s="1271">
        <v>0.472</v>
      </c>
      <c r="J62" s="1271">
        <v>0.472</v>
      </c>
      <c r="K62" s="1271">
        <v>0.472</v>
      </c>
      <c r="L62" s="1144"/>
      <c r="M62" s="1394" t="s">
        <v>119</v>
      </c>
      <c r="N62" s="1152" t="s">
        <v>168</v>
      </c>
      <c r="O62" s="1144"/>
      <c r="P62" s="1144"/>
      <c r="Q62" s="1152" t="s">
        <v>110</v>
      </c>
    </row>
    <row r="63">
      <c r="A63" s="1394" t="s">
        <v>180</v>
      </c>
      <c r="B63" s="1149"/>
      <c r="C63" s="1149"/>
      <c r="D63" s="1149"/>
      <c r="E63" s="1149"/>
      <c r="F63" s="1149"/>
      <c r="G63" s="1276">
        <v>0.575</v>
      </c>
      <c r="H63" s="1271">
        <v>0.575</v>
      </c>
      <c r="I63" s="1271">
        <v>0.575</v>
      </c>
      <c r="J63" s="1271">
        <v>0.575</v>
      </c>
      <c r="K63" s="1271">
        <v>0.575</v>
      </c>
      <c r="L63" s="1144"/>
      <c r="M63" s="1394" t="s">
        <v>119</v>
      </c>
      <c r="N63" s="1152" t="s">
        <v>168</v>
      </c>
      <c r="O63" s="1144"/>
      <c r="P63" s="1144"/>
      <c r="Q63" s="1152" t="s">
        <v>110</v>
      </c>
    </row>
    <row r="64">
      <c r="A64" s="1394" t="s">
        <v>181</v>
      </c>
      <c r="B64" s="1149"/>
      <c r="C64" s="1149"/>
      <c r="D64" s="1149"/>
      <c r="E64" s="1149"/>
      <c r="F64" s="1149"/>
      <c r="G64" s="1413">
        <f>CHOOSE($C$5,G62,G63,G61)</f>
        <v>0.472</v>
      </c>
      <c r="H64" s="1386">
        <f>CHOOSE($C$5,H62,H63,H61)</f>
        <v>0.472</v>
      </c>
      <c r="I64" s="1386">
        <f>CHOOSE($C$5,I62,I63,I61)</f>
        <v>0.472</v>
      </c>
      <c r="J64" s="1386">
        <f>CHOOSE($C$5,J62,J63,J61)</f>
        <v>0.472</v>
      </c>
      <c r="K64" s="1386">
        <f>CHOOSE($C$5,K62,K63,K61)</f>
        <v>0.472</v>
      </c>
      <c r="L64" s="1144"/>
      <c r="M64" s="1394" t="s">
        <v>119</v>
      </c>
      <c r="N64" s="1152" t="s">
        <v>109</v>
      </c>
      <c r="O64" s="1144"/>
      <c r="P64" s="1144"/>
      <c r="Q64" s="1152" t="s">
        <v>113</v>
      </c>
    </row>
    <row r="65">
      <c r="A65" s="1394" t="s">
        <v>182</v>
      </c>
      <c r="B65" s="1147"/>
      <c r="C65" s="1147"/>
      <c r="D65" s="1147"/>
      <c r="E65" s="1147"/>
      <c r="F65" s="1147"/>
      <c r="G65" s="1395">
        <f>15.5*8760*G64</f>
        <v>64088.159999999996</v>
      </c>
      <c r="H65" s="1381">
        <f>15.5*8760*H64</f>
        <v>64088.159999999996</v>
      </c>
      <c r="I65" s="1381">
        <f>15.5*8760*I64</f>
        <v>64088.159999999996</v>
      </c>
      <c r="J65" s="1381">
        <f>15.5*8760*J64</f>
        <v>64088.159999999996</v>
      </c>
      <c r="K65" s="1381">
        <f>15.5*8760*K64</f>
        <v>64088.159999999996</v>
      </c>
      <c r="L65" s="1144"/>
      <c r="M65" s="1394" t="s">
        <v>136</v>
      </c>
      <c r="N65" s="1152" t="s">
        <v>168</v>
      </c>
      <c r="O65" s="1144"/>
      <c r="P65" s="1144"/>
      <c r="Q65" s="1152" t="s">
        <v>129</v>
      </c>
    </row>
    <row r="66">
      <c r="A66" s="1394" t="s">
        <v>183</v>
      </c>
      <c r="B66" s="1149"/>
      <c r="C66" s="1149"/>
      <c r="D66" s="1149"/>
      <c r="E66" s="1149"/>
      <c r="F66" s="1149"/>
      <c r="G66" s="1276">
        <v>0.35</v>
      </c>
      <c r="H66" s="1271">
        <v>0.35</v>
      </c>
      <c r="I66" s="1271">
        <v>0.35</v>
      </c>
      <c r="J66" s="1271">
        <v>0.35</v>
      </c>
      <c r="K66" s="1271">
        <v>0.35</v>
      </c>
      <c r="L66" s="1144"/>
      <c r="M66" s="1394" t="s">
        <v>119</v>
      </c>
      <c r="N66" s="1152" t="s">
        <v>168</v>
      </c>
      <c r="O66" s="1144"/>
      <c r="P66" s="1144"/>
      <c r="Q66" s="1152" t="s">
        <v>110</v>
      </c>
    </row>
    <row r="67">
      <c r="A67" s="1394" t="s">
        <v>184</v>
      </c>
      <c r="B67" s="1149"/>
      <c r="C67" s="1149"/>
      <c r="D67" s="1149"/>
      <c r="E67" s="1149"/>
      <c r="F67" s="1149"/>
      <c r="G67" s="1276">
        <v>0.425</v>
      </c>
      <c r="H67" s="1271">
        <v>0.425</v>
      </c>
      <c r="I67" s="1271">
        <v>0.425</v>
      </c>
      <c r="J67" s="1271">
        <v>0.425</v>
      </c>
      <c r="K67" s="1271">
        <v>0.425</v>
      </c>
      <c r="L67" s="1144"/>
      <c r="M67" s="1394" t="s">
        <v>119</v>
      </c>
      <c r="N67" s="1152" t="s">
        <v>168</v>
      </c>
      <c r="O67" s="1144"/>
      <c r="P67" s="1144"/>
      <c r="Q67" s="1152" t="s">
        <v>110</v>
      </c>
    </row>
    <row r="68">
      <c r="A68" s="1394" t="s">
        <v>185</v>
      </c>
      <c r="B68" s="1149"/>
      <c r="C68" s="1149"/>
      <c r="D68" s="1149"/>
      <c r="E68" s="1149"/>
      <c r="F68" s="1149"/>
      <c r="G68" s="1276">
        <v>0.516</v>
      </c>
      <c r="H68" s="1271">
        <v>0.516</v>
      </c>
      <c r="I68" s="1271">
        <v>0.516</v>
      </c>
      <c r="J68" s="1271">
        <v>0.516</v>
      </c>
      <c r="K68" s="1271">
        <v>0.516</v>
      </c>
      <c r="L68" s="1144"/>
      <c r="M68" s="1394" t="s">
        <v>119</v>
      </c>
      <c r="N68" s="1152" t="s">
        <v>168</v>
      </c>
      <c r="O68" s="1144"/>
      <c r="P68" s="1144"/>
      <c r="Q68" s="1152" t="s">
        <v>110</v>
      </c>
    </row>
    <row r="69">
      <c r="A69" s="1394" t="s">
        <v>186</v>
      </c>
      <c r="B69" s="1149"/>
      <c r="C69" s="1149"/>
      <c r="D69" s="1149"/>
      <c r="E69" s="1149"/>
      <c r="F69" s="1149"/>
      <c r="G69" s="1413">
        <f>CHOOSE($C$5,G67,G68,G66)</f>
        <v>0.425</v>
      </c>
      <c r="H69" s="1386">
        <f>CHOOSE($C$5,H67,H68,H66)</f>
        <v>0.425</v>
      </c>
      <c r="I69" s="1386">
        <f>CHOOSE($C$5,I67,I68,I66)</f>
        <v>0.425</v>
      </c>
      <c r="J69" s="1386">
        <f>CHOOSE($C$5,J67,J68,J66)</f>
        <v>0.425</v>
      </c>
      <c r="K69" s="1386">
        <f>CHOOSE($C$5,K67,K68,K66)</f>
        <v>0.425</v>
      </c>
      <c r="L69" s="1144"/>
      <c r="M69" s="1394" t="s">
        <v>119</v>
      </c>
      <c r="N69" s="1152" t="s">
        <v>109</v>
      </c>
      <c r="O69" s="1144"/>
      <c r="P69" s="1144"/>
      <c r="Q69" s="1152" t="s">
        <v>113</v>
      </c>
    </row>
    <row r="70">
      <c r="A70" s="1394" t="s">
        <v>187</v>
      </c>
      <c r="B70" s="1147"/>
      <c r="C70" s="1147"/>
      <c r="D70" s="1147"/>
      <c r="E70" s="1147"/>
      <c r="F70" s="1147"/>
      <c r="G70" s="1395">
        <f>73.18*8760*G69</f>
        <v>272449.14</v>
      </c>
      <c r="H70" s="1381">
        <f>73.18*8760*H69</f>
        <v>272449.14</v>
      </c>
      <c r="I70" s="1381">
        <f>73.18*8760*I69</f>
        <v>272449.14</v>
      </c>
      <c r="J70" s="1381">
        <f>73.18*8760*J69</f>
        <v>272449.14</v>
      </c>
      <c r="K70" s="1381">
        <f>73.18*8760*K69</f>
        <v>272449.14</v>
      </c>
      <c r="L70" s="1144"/>
      <c r="M70" s="1394" t="s">
        <v>136</v>
      </c>
      <c r="N70" s="1152" t="s">
        <v>168</v>
      </c>
      <c r="O70" s="1144"/>
      <c r="P70" s="1144"/>
      <c r="Q70" s="1152" t="s">
        <v>129</v>
      </c>
    </row>
    <row r="71">
      <c r="A71" s="1394" t="s">
        <v>188</v>
      </c>
      <c r="B71" s="1149"/>
      <c r="C71" s="1149"/>
      <c r="D71" s="1149"/>
      <c r="E71" s="1149"/>
      <c r="F71" s="1149"/>
      <c r="G71" s="1276">
        <v>0.197</v>
      </c>
      <c r="H71" s="1271">
        <v>0.197</v>
      </c>
      <c r="I71" s="1271">
        <v>0.197</v>
      </c>
      <c r="J71" s="1271">
        <v>0.197</v>
      </c>
      <c r="K71" s="1271">
        <v>0.197</v>
      </c>
      <c r="L71" s="1144"/>
      <c r="M71" s="1394" t="s">
        <v>119</v>
      </c>
      <c r="N71" s="1152" t="s">
        <v>168</v>
      </c>
      <c r="O71" s="1144"/>
      <c r="P71" s="1144"/>
      <c r="Q71" s="1152" t="s">
        <v>110</v>
      </c>
    </row>
    <row r="72">
      <c r="A72" s="1394" t="s">
        <v>189</v>
      </c>
      <c r="B72" s="1149"/>
      <c r="C72" s="1149"/>
      <c r="D72" s="1149"/>
      <c r="E72" s="1149"/>
      <c r="F72" s="1149"/>
      <c r="G72" s="1276">
        <v>0.197</v>
      </c>
      <c r="H72" s="1271">
        <v>0.197</v>
      </c>
      <c r="I72" s="1271">
        <v>0.197</v>
      </c>
      <c r="J72" s="1271">
        <v>0.197</v>
      </c>
      <c r="K72" s="1271">
        <v>0.197</v>
      </c>
      <c r="L72" s="1144"/>
      <c r="M72" s="1394" t="s">
        <v>119</v>
      </c>
      <c r="N72" s="1152" t="s">
        <v>168</v>
      </c>
      <c r="O72" s="1144"/>
      <c r="P72" s="1144"/>
      <c r="Q72" s="1152" t="s">
        <v>110</v>
      </c>
    </row>
    <row r="73">
      <c r="A73" s="1394" t="s">
        <v>190</v>
      </c>
      <c r="B73" s="1149"/>
      <c r="C73" s="1149"/>
      <c r="D73" s="1149"/>
      <c r="E73" s="1149"/>
      <c r="F73" s="1149"/>
      <c r="G73" s="1276">
        <v>0.197</v>
      </c>
      <c r="H73" s="1271">
        <v>0.197</v>
      </c>
      <c r="I73" s="1271">
        <v>0.197</v>
      </c>
      <c r="J73" s="1271">
        <v>0.197</v>
      </c>
      <c r="K73" s="1271">
        <v>0.197</v>
      </c>
      <c r="L73" s="1144"/>
      <c r="M73" s="1394" t="s">
        <v>119</v>
      </c>
      <c r="N73" s="1152" t="s">
        <v>168</v>
      </c>
      <c r="O73" s="1144"/>
      <c r="P73" s="1144"/>
      <c r="Q73" s="1152" t="s">
        <v>110</v>
      </c>
    </row>
    <row r="74">
      <c r="A74" s="1394" t="s">
        <v>191</v>
      </c>
      <c r="B74" s="1149"/>
      <c r="C74" s="1149"/>
      <c r="D74" s="1149"/>
      <c r="E74" s="1149"/>
      <c r="F74" s="1149"/>
      <c r="G74" s="1413">
        <f>CHOOSE($C$5,G72,G73,G71)</f>
        <v>0.197</v>
      </c>
      <c r="H74" s="1386">
        <f>CHOOSE($C$5,H72,H73,H71)</f>
        <v>0.197</v>
      </c>
      <c r="I74" s="1386">
        <f>CHOOSE($C$5,I72,I73,I71)</f>
        <v>0.197</v>
      </c>
      <c r="J74" s="1386">
        <f>CHOOSE($C$5,J72,J73,J71)</f>
        <v>0.197</v>
      </c>
      <c r="K74" s="1386">
        <f>CHOOSE($C$5,K72,K73,K71)</f>
        <v>0.197</v>
      </c>
      <c r="L74" s="1144"/>
      <c r="M74" s="1394" t="s">
        <v>119</v>
      </c>
      <c r="N74" s="1152" t="s">
        <v>109</v>
      </c>
      <c r="O74" s="1144"/>
      <c r="P74" s="1144"/>
      <c r="Q74" s="1152" t="s">
        <v>113</v>
      </c>
    </row>
    <row r="75">
      <c r="A75" s="1394" t="s">
        <v>192</v>
      </c>
      <c r="B75" s="1147"/>
      <c r="C75" s="1147"/>
      <c r="D75" s="1147"/>
      <c r="E75" s="1147"/>
      <c r="F75" s="1147"/>
      <c r="G75" s="1395">
        <f>9.9*8760*G74</f>
        <v>17084.628</v>
      </c>
      <c r="H75" s="1381">
        <f>9.9*8760*H74</f>
        <v>17084.628</v>
      </c>
      <c r="I75" s="1381">
        <f>9.9*8760*I74</f>
        <v>17084.628</v>
      </c>
      <c r="J75" s="1381">
        <f>9.9*8760*J74</f>
        <v>17084.628</v>
      </c>
      <c r="K75" s="1381">
        <f>9.9*8760*K74</f>
        <v>17084.628</v>
      </c>
      <c r="L75" s="1144"/>
      <c r="M75" s="1394" t="s">
        <v>136</v>
      </c>
      <c r="N75" s="1152" t="s">
        <v>168</v>
      </c>
      <c r="O75" s="1144"/>
      <c r="P75" s="1144"/>
      <c r="Q75" s="1152" t="s">
        <v>129</v>
      </c>
    </row>
    <row r="76">
      <c r="A76" s="1401" t="s">
        <v>193</v>
      </c>
      <c r="B76" s="1145"/>
      <c r="C76" s="1145"/>
      <c r="D76" s="1145"/>
      <c r="E76" s="1145"/>
      <c r="F76" s="1145"/>
      <c r="G76" s="1400">
        <f>G55+G60+G65+G70+G75</f>
        <v>476626.99224000005</v>
      </c>
      <c r="H76" s="1398">
        <f>H55+H60+H65+H70+H75</f>
        <v>476626.99224000005</v>
      </c>
      <c r="I76" s="1398">
        <f>I55+I60+I65+I70+I75</f>
        <v>476626.99224000005</v>
      </c>
      <c r="J76" s="1398">
        <f>J55+J60+J65+J70+J75</f>
        <v>476626.99224000005</v>
      </c>
      <c r="K76" s="1398">
        <f>K55+K60+K65+K70+K75</f>
        <v>476626.99224000005</v>
      </c>
      <c r="L76" s="1144"/>
      <c r="M76" s="1394" t="s">
        <v>136</v>
      </c>
      <c r="N76" s="1152" t="s">
        <v>109</v>
      </c>
      <c r="O76" s="1144"/>
      <c r="P76" s="1144"/>
      <c r="Q76" s="1152" t="s">
        <v>138</v>
      </c>
    </row>
    <row r="77">
      <c r="A77" s="1146"/>
      <c r="B77" s="1146"/>
      <c r="C77" s="1146"/>
      <c r="D77" s="1146"/>
      <c r="E77" s="1146"/>
      <c r="F77" s="1146"/>
      <c r="G77" s="1156"/>
      <c r="H77" s="1146"/>
      <c r="I77" s="1146"/>
      <c r="J77" s="1146"/>
      <c r="K77" s="1146"/>
      <c r="L77" s="1144"/>
      <c r="M77" s="1144"/>
      <c r="N77" s="1152"/>
      <c r="O77" s="1144"/>
      <c r="P77" s="1144"/>
      <c r="Q77" s="1152"/>
    </row>
    <row r="78">
      <c r="A78" s="1384" t="s">
        <v>194</v>
      </c>
      <c r="B78" s="1151"/>
      <c r="C78" s="1151"/>
      <c r="D78" s="1151"/>
      <c r="E78" s="1151"/>
      <c r="F78" s="1151"/>
      <c r="G78" s="1157"/>
      <c r="H78" s="1154"/>
      <c r="I78" s="1154"/>
      <c r="J78" s="1154"/>
      <c r="K78" s="1154"/>
      <c r="L78" s="1144"/>
      <c r="M78" s="1144"/>
      <c r="N78" s="1144"/>
      <c r="O78" s="1144"/>
      <c r="P78" s="1144"/>
      <c r="Q78" s="1144"/>
    </row>
    <row r="79">
      <c r="A79" s="1394" t="s">
        <v>195</v>
      </c>
      <c r="B79" s="1153"/>
      <c r="C79" s="1153"/>
      <c r="D79" s="1153"/>
      <c r="E79" s="1153"/>
      <c r="F79" s="1153"/>
      <c r="G79" s="1046">
        <v>11.0705</v>
      </c>
      <c r="H79" s="1283">
        <v>0</v>
      </c>
      <c r="I79" s="1283">
        <v>4.4</v>
      </c>
      <c r="J79" s="1283">
        <v>4.4</v>
      </c>
      <c r="K79" s="1283">
        <v>4.4</v>
      </c>
      <c r="L79" s="1144"/>
      <c r="M79" s="1394" t="s">
        <v>128</v>
      </c>
      <c r="N79" s="1152" t="s">
        <v>196</v>
      </c>
      <c r="O79" s="1144"/>
      <c r="P79" s="1144"/>
      <c r="Q79" s="1152" t="s">
        <v>197</v>
      </c>
    </row>
    <row r="80">
      <c r="A80" s="1394" t="s">
        <v>198</v>
      </c>
      <c r="B80" s="1153"/>
      <c r="C80" s="1153"/>
      <c r="D80" s="1153"/>
      <c r="E80" s="1153"/>
      <c r="F80" s="1153"/>
      <c r="G80" s="1046">
        <v>31.62</v>
      </c>
      <c r="H80" s="1283">
        <v>0</v>
      </c>
      <c r="I80" s="1283">
        <v>3.24</v>
      </c>
      <c r="J80" s="1283">
        <v>3.24</v>
      </c>
      <c r="K80" s="1283">
        <v>3.24</v>
      </c>
      <c r="L80" s="1144"/>
      <c r="M80" s="1394" t="s">
        <v>112</v>
      </c>
      <c r="N80" s="1152" t="s">
        <v>196</v>
      </c>
      <c r="O80" s="1144"/>
      <c r="P80" s="1144"/>
      <c r="Q80" s="1152" t="s">
        <v>197</v>
      </c>
    </row>
    <row r="81">
      <c r="A81" s="1394" t="s">
        <v>199</v>
      </c>
      <c r="B81" s="1147"/>
      <c r="C81" s="1147"/>
      <c r="D81" s="1147"/>
      <c r="E81" s="1147"/>
      <c r="F81" s="1147"/>
      <c r="G81" s="1339">
        <v>12</v>
      </c>
      <c r="H81" s="1409">
        <v>0</v>
      </c>
      <c r="I81" s="1409">
        <v>6</v>
      </c>
      <c r="J81" s="1409">
        <v>12</v>
      </c>
      <c r="K81" s="1409">
        <v>12</v>
      </c>
      <c r="L81" s="1144"/>
      <c r="M81" s="1394" t="s">
        <v>112</v>
      </c>
      <c r="N81" s="1152" t="s">
        <v>196</v>
      </c>
      <c r="O81" s="1144"/>
      <c r="P81" s="1144"/>
      <c r="Q81" s="1152" t="s">
        <v>197</v>
      </c>
    </row>
    <row r="82">
      <c r="A82" s="1394" t="s">
        <v>200</v>
      </c>
      <c r="B82" s="1147"/>
      <c r="C82" s="1147"/>
      <c r="D82" s="1147"/>
      <c r="E82" s="1147"/>
      <c r="F82" s="1147"/>
      <c r="G82" s="1395">
        <f>G79*1000*G80*G81</f>
        <v>4200590.5200000005</v>
      </c>
      <c r="H82" s="1381">
        <f>H79*1000*H80*H81</f>
        <v>0</v>
      </c>
      <c r="I82" s="1381">
        <f>I79*1000*I80*I81</f>
        <v>85536.00000000001</v>
      </c>
      <c r="J82" s="1381">
        <f>J79*1000*J80*J81</f>
        <v>171072.00000000003</v>
      </c>
      <c r="K82" s="1381">
        <f>K79*1000*K80*K81</f>
        <v>171072.00000000003</v>
      </c>
      <c r="L82" s="1144"/>
      <c r="M82" s="1394" t="s">
        <v>128</v>
      </c>
      <c r="N82" s="1152" t="s">
        <v>109</v>
      </c>
      <c r="O82" s="1144"/>
      <c r="P82" s="1144"/>
      <c r="Q82" s="1152" t="s">
        <v>129</v>
      </c>
    </row>
    <row r="83">
      <c r="A83" s="1394" t="s">
        <v>201</v>
      </c>
      <c r="B83" s="1147"/>
      <c r="C83" s="1147"/>
      <c r="D83" s="1147"/>
      <c r="E83" s="1147"/>
      <c r="F83" s="1147"/>
      <c r="G83" s="1339">
        <v>97608</v>
      </c>
      <c r="H83" s="1409">
        <v>176988</v>
      </c>
      <c r="I83" s="1409">
        <v>85845</v>
      </c>
      <c r="J83" s="1409">
        <v>85845</v>
      </c>
      <c r="K83" s="1409">
        <v>85845</v>
      </c>
      <c r="L83" s="1144"/>
      <c r="M83" s="1394" t="s">
        <v>136</v>
      </c>
      <c r="N83" s="1152" t="s">
        <v>196</v>
      </c>
      <c r="O83" s="1144"/>
      <c r="P83" s="1144"/>
      <c r="Q83" s="1152" t="s">
        <v>197</v>
      </c>
    </row>
    <row r="84">
      <c r="A84" s="1394" t="s">
        <v>202</v>
      </c>
      <c r="B84" s="1153"/>
      <c r="C84" s="1153"/>
      <c r="D84" s="1153"/>
      <c r="E84" s="1153"/>
      <c r="F84" s="1153"/>
      <c r="G84" s="1046">
        <v>42.375</v>
      </c>
      <c r="H84" s="1283">
        <v>41.862</v>
      </c>
      <c r="I84" s="1283">
        <v>36.1</v>
      </c>
      <c r="J84" s="1283">
        <v>36.1</v>
      </c>
      <c r="K84" s="1283">
        <v>36.1</v>
      </c>
      <c r="L84" s="1144"/>
      <c r="M84" s="1394" t="s">
        <v>136</v>
      </c>
      <c r="N84" s="1152" t="s">
        <v>196</v>
      </c>
      <c r="O84" s="1144"/>
      <c r="P84" s="1144"/>
      <c r="Q84" s="1152" t="s">
        <v>197</v>
      </c>
    </row>
    <row r="85">
      <c r="A85" s="1394" t="s">
        <v>203</v>
      </c>
      <c r="B85" s="1147"/>
      <c r="C85" s="1147"/>
      <c r="D85" s="1147"/>
      <c r="E85" s="1147"/>
      <c r="F85" s="1147"/>
      <c r="G85" s="1395">
        <f>G83*G84</f>
        <v>4136139</v>
      </c>
      <c r="H85" s="1381">
        <f>H83*H84</f>
        <v>7409071.656</v>
      </c>
      <c r="I85" s="1381">
        <f>I83*I84</f>
        <v>3099004.5</v>
      </c>
      <c r="J85" s="1381">
        <f>J83*J84</f>
        <v>3099004.5</v>
      </c>
      <c r="K85" s="1381">
        <f>K83*K84</f>
        <v>3099004.5</v>
      </c>
      <c r="L85" s="1144"/>
      <c r="M85" s="1394" t="s">
        <v>136</v>
      </c>
      <c r="N85" s="1152" t="s">
        <v>109</v>
      </c>
      <c r="O85" s="1144"/>
      <c r="P85" s="1144"/>
      <c r="Q85" s="1152" t="s">
        <v>129</v>
      </c>
    </row>
    <row r="86">
      <c r="A86" s="1394" t="s">
        <v>204</v>
      </c>
      <c r="B86" s="1147"/>
      <c r="C86" s="1147"/>
      <c r="D86" s="1147"/>
      <c r="E86" s="1147"/>
      <c r="F86" s="1147"/>
      <c r="G86" s="1395">
        <f>MAX(0,G70-G83)</f>
        <v>174841.14</v>
      </c>
      <c r="H86" s="1381">
        <f>MAX(0,H70-H83)</f>
        <v>95461.14000000001</v>
      </c>
      <c r="I86" s="1381">
        <f>MAX(0,I70-I83)</f>
        <v>186604.14</v>
      </c>
      <c r="J86" s="1381">
        <f>MAX(0,J70-J83)</f>
        <v>186604.14</v>
      </c>
      <c r="K86" s="1381">
        <f>MAX(0,K70-K83)</f>
        <v>186604.14</v>
      </c>
      <c r="L86" s="1144"/>
      <c r="M86" s="1394" t="s">
        <v>136</v>
      </c>
      <c r="N86" s="1152" t="s">
        <v>205</v>
      </c>
      <c r="O86" s="1144"/>
      <c r="P86" s="1144"/>
      <c r="Q86" s="1152" t="s">
        <v>129</v>
      </c>
    </row>
    <row r="87">
      <c r="A87" s="1394" t="s">
        <v>206</v>
      </c>
      <c r="B87" s="1147"/>
      <c r="C87" s="1147"/>
      <c r="D87" s="1147"/>
      <c r="E87" s="1147"/>
      <c r="F87" s="1147"/>
      <c r="G87" s="1395">
        <f>G86*G26</f>
        <v>10490468.4</v>
      </c>
      <c r="H87" s="1381">
        <f>H86*H26</f>
        <v>5536746.120000001</v>
      </c>
      <c r="I87" s="1381">
        <f>I86*I26</f>
        <v>10636435.98</v>
      </c>
      <c r="J87" s="1381">
        <f>J86*J26</f>
        <v>10449831.84</v>
      </c>
      <c r="K87" s="1381">
        <f>K86*K26</f>
        <v>10263227.700000001</v>
      </c>
      <c r="L87" s="1144"/>
      <c r="M87" s="1394" t="s">
        <v>136</v>
      </c>
      <c r="N87" s="1152" t="s">
        <v>205</v>
      </c>
      <c r="O87" s="1144"/>
      <c r="P87" s="1144"/>
      <c r="Q87" s="1152" t="s">
        <v>129</v>
      </c>
    </row>
    <row r="88">
      <c r="A88" s="1401" t="s">
        <v>207</v>
      </c>
      <c r="B88" s="1145"/>
      <c r="C88" s="1145"/>
      <c r="D88" s="1145"/>
      <c r="E88" s="1145"/>
      <c r="F88" s="1145"/>
      <c r="G88" s="1400">
        <f>G82+G85+G87</f>
        <v>18827197.92</v>
      </c>
      <c r="H88" s="1398">
        <f>H82+H85+H87</f>
        <v>12945817.776</v>
      </c>
      <c r="I88" s="1398">
        <f>I82+I85+I87</f>
        <v>13820976.48</v>
      </c>
      <c r="J88" s="1398">
        <f>J82+J85+J87</f>
        <v>13719908.34</v>
      </c>
      <c r="K88" s="1398">
        <f>K82+K85+K87</f>
        <v>13533304.200000001</v>
      </c>
      <c r="L88" s="1144"/>
      <c r="M88" s="1394" t="s">
        <v>136</v>
      </c>
      <c r="N88" s="1152" t="s">
        <v>109</v>
      </c>
      <c r="O88" s="1144"/>
      <c r="P88" s="1144"/>
      <c r="Q88" s="1152" t="s">
        <v>138</v>
      </c>
    </row>
    <row r="89">
      <c r="A89" s="1146"/>
      <c r="B89" s="1146"/>
      <c r="C89" s="1146"/>
      <c r="D89" s="1146"/>
      <c r="E89" s="1146"/>
      <c r="F89" s="1146"/>
      <c r="G89" s="1156"/>
      <c r="H89" s="1146"/>
      <c r="I89" s="1146"/>
      <c r="J89" s="1146"/>
      <c r="K89" s="1146"/>
      <c r="L89" s="1144"/>
      <c r="M89" s="1144"/>
      <c r="N89" s="1152"/>
      <c r="O89" s="1144"/>
      <c r="P89" s="1144"/>
      <c r="Q89" s="1152"/>
    </row>
    <row r="90">
      <c r="A90" s="1384" t="s">
        <v>208</v>
      </c>
      <c r="B90" s="1151"/>
      <c r="C90" s="1151"/>
      <c r="D90" s="1151"/>
      <c r="E90" s="1151"/>
      <c r="F90" s="1151"/>
      <c r="G90" s="1157"/>
      <c r="H90" s="1154"/>
      <c r="I90" s="1154"/>
      <c r="J90" s="1154"/>
      <c r="K90" s="1154"/>
      <c r="L90" s="1144"/>
      <c r="M90" s="1144"/>
      <c r="N90" s="1144"/>
      <c r="O90" s="1144"/>
      <c r="P90" s="1144"/>
      <c r="Q90" s="1144"/>
    </row>
    <row r="91">
      <c r="A91" s="1394" t="s">
        <v>209</v>
      </c>
      <c r="B91" s="1153"/>
      <c r="C91" s="1153"/>
      <c r="D91" s="1153"/>
      <c r="E91" s="1153"/>
      <c r="F91" s="1153"/>
      <c r="G91" s="1046">
        <v>103.541</v>
      </c>
      <c r="H91" s="1283">
        <v>103.541</v>
      </c>
      <c r="I91" s="1283">
        <v>103.541</v>
      </c>
      <c r="J91" s="1283">
        <v>103.541</v>
      </c>
      <c r="K91" s="1248">
        <f>K26</f>
        <v>55</v>
      </c>
      <c r="L91" s="1144"/>
      <c r="M91" s="1394" t="s">
        <v>136</v>
      </c>
      <c r="N91" s="1152" t="s">
        <v>210</v>
      </c>
      <c r="O91" s="1144"/>
      <c r="P91" s="1144"/>
      <c r="Q91" s="1152" t="s">
        <v>129</v>
      </c>
    </row>
    <row r="92">
      <c r="A92" s="1394" t="s">
        <v>211</v>
      </c>
      <c r="B92" s="1147"/>
      <c r="C92" s="1147"/>
      <c r="D92" s="1147"/>
      <c r="E92" s="1147"/>
      <c r="F92" s="1147"/>
      <c r="G92" s="1395">
        <f>G55*G91</f>
        <v>7762191.967632238</v>
      </c>
      <c r="H92" s="1381">
        <f>H55*H91</f>
        <v>7762191.967632238</v>
      </c>
      <c r="I92" s="1381">
        <f>I55*I91</f>
        <v>7762191.967632238</v>
      </c>
      <c r="J92" s="1381">
        <f>J55*J91</f>
        <v>7762191.967632238</v>
      </c>
      <c r="K92" s="1381">
        <f>K55*K91</f>
        <v>4123202.965199999</v>
      </c>
      <c r="L92" s="1144"/>
      <c r="M92" s="1394" t="s">
        <v>136</v>
      </c>
      <c r="N92" s="1152" t="s">
        <v>109</v>
      </c>
      <c r="O92" s="1144"/>
      <c r="P92" s="1144"/>
      <c r="Q92" s="1152" t="s">
        <v>129</v>
      </c>
    </row>
    <row r="93">
      <c r="A93" s="1394" t="s">
        <v>212</v>
      </c>
      <c r="B93" s="1153"/>
      <c r="C93" s="1153"/>
      <c r="D93" s="1153"/>
      <c r="E93" s="1153"/>
      <c r="F93" s="1153"/>
      <c r="G93" s="1046">
        <v>104.779</v>
      </c>
      <c r="H93" s="1283">
        <v>104.779</v>
      </c>
      <c r="I93" s="1283">
        <v>104.779</v>
      </c>
      <c r="J93" s="1283">
        <v>104.779</v>
      </c>
      <c r="K93" s="1248">
        <f>K26</f>
        <v>55</v>
      </c>
      <c r="L93" s="1144"/>
      <c r="M93" s="1394" t="s">
        <v>136</v>
      </c>
      <c r="N93" s="1152" t="s">
        <v>210</v>
      </c>
      <c r="O93" s="1144"/>
      <c r="P93" s="1144"/>
      <c r="Q93" s="1152" t="s">
        <v>129</v>
      </c>
    </row>
    <row r="94">
      <c r="A94" s="1394" t="s">
        <v>213</v>
      </c>
      <c r="B94" s="1147"/>
      <c r="C94" s="1147"/>
      <c r="D94" s="1147"/>
      <c r="E94" s="1147"/>
      <c r="F94" s="1147"/>
      <c r="G94" s="1395">
        <f>G60*G93</f>
        <v>5033346.1079904</v>
      </c>
      <c r="H94" s="1381">
        <f>H60*H93</f>
        <v>5033346.1079904</v>
      </c>
      <c r="I94" s="1381">
        <f>I60*I93</f>
        <v>5033346.1079904</v>
      </c>
      <c r="J94" s="1381">
        <f>J60*J93</f>
        <v>5033346.1079904</v>
      </c>
      <c r="K94" s="1381">
        <f>K60*K93</f>
        <v>2642075.568</v>
      </c>
      <c r="L94" s="1144"/>
      <c r="M94" s="1394" t="s">
        <v>136</v>
      </c>
      <c r="N94" s="1152" t="s">
        <v>109</v>
      </c>
      <c r="O94" s="1144"/>
      <c r="P94" s="1144"/>
      <c r="Q94" s="1152" t="s">
        <v>129</v>
      </c>
    </row>
    <row r="95">
      <c r="A95" s="1394" t="s">
        <v>214</v>
      </c>
      <c r="B95" s="1153"/>
      <c r="C95" s="1153"/>
      <c r="D95" s="1153"/>
      <c r="E95" s="1153"/>
      <c r="F95" s="1153"/>
      <c r="G95" s="1046">
        <v>91.649</v>
      </c>
      <c r="H95" s="1283">
        <v>91.649</v>
      </c>
      <c r="I95" s="1283">
        <v>91.649</v>
      </c>
      <c r="J95" s="1283">
        <v>91.649</v>
      </c>
      <c r="K95" s="1248">
        <f>0.5*91.649+0.5*K26</f>
        <v>73.3245</v>
      </c>
      <c r="L95" s="1144"/>
      <c r="M95" s="1394" t="s">
        <v>136</v>
      </c>
      <c r="N95" s="1152" t="s">
        <v>210</v>
      </c>
      <c r="O95" s="1144"/>
      <c r="P95" s="1144"/>
      <c r="Q95" s="1152" t="s">
        <v>129</v>
      </c>
    </row>
    <row r="96">
      <c r="A96" s="1394" t="s">
        <v>215</v>
      </c>
      <c r="B96" s="1147"/>
      <c r="C96" s="1147"/>
      <c r="D96" s="1147"/>
      <c r="E96" s="1147"/>
      <c r="F96" s="1147"/>
      <c r="G96" s="1395">
        <f>G65*G95</f>
        <v>5873615.775839999</v>
      </c>
      <c r="H96" s="1381">
        <f>H65*H95</f>
        <v>5873615.775839999</v>
      </c>
      <c r="I96" s="1381">
        <f>I65*I95</f>
        <v>5873615.775839999</v>
      </c>
      <c r="J96" s="1381">
        <f>J65*J95</f>
        <v>5873615.775839999</v>
      </c>
      <c r="K96" s="1381">
        <f>K65*K95</f>
        <v>4699232.28792</v>
      </c>
      <c r="L96" s="1144"/>
      <c r="M96" s="1394" t="s">
        <v>136</v>
      </c>
      <c r="N96" s="1152" t="s">
        <v>109</v>
      </c>
      <c r="O96" s="1144"/>
      <c r="P96" s="1144"/>
      <c r="Q96" s="1152" t="s">
        <v>129</v>
      </c>
    </row>
    <row r="97">
      <c r="A97" s="1394" t="s">
        <v>216</v>
      </c>
      <c r="B97" s="1147"/>
      <c r="C97" s="1147"/>
      <c r="D97" s="1147"/>
      <c r="E97" s="1147"/>
      <c r="F97" s="1147"/>
      <c r="G97" s="1395">
        <f>G75*G26</f>
        <v>1025077.68</v>
      </c>
      <c r="H97" s="1381">
        <f>H75*H26</f>
        <v>990908.424</v>
      </c>
      <c r="I97" s="1381">
        <f>I75*I26</f>
        <v>973823.7960000001</v>
      </c>
      <c r="J97" s="1381">
        <f>J75*J26</f>
        <v>956739.1680000001</v>
      </c>
      <c r="K97" s="1381">
        <f>K75*K26</f>
        <v>939654.54</v>
      </c>
      <c r="L97" s="1144"/>
      <c r="M97" s="1394" t="s">
        <v>136</v>
      </c>
      <c r="N97" s="1152" t="s">
        <v>109</v>
      </c>
      <c r="O97" s="1144"/>
      <c r="P97" s="1144"/>
      <c r="Q97" s="1152" t="s">
        <v>129</v>
      </c>
    </row>
    <row r="98">
      <c r="A98" s="1401" t="s">
        <v>217</v>
      </c>
      <c r="B98" s="1145"/>
      <c r="C98" s="1145"/>
      <c r="D98" s="1145"/>
      <c r="E98" s="1145"/>
      <c r="F98" s="1145"/>
      <c r="G98" s="1400">
        <f>G88+G92+G94+G96+G97</f>
        <v>38521429.451462634</v>
      </c>
      <c r="H98" s="1398">
        <f>H88+H92+H94+H96+H97</f>
        <v>32605880.051462635</v>
      </c>
      <c r="I98" s="1398">
        <f>I88+I92+I94+I96+I97</f>
        <v>33463954.127462637</v>
      </c>
      <c r="J98" s="1398">
        <f>J88+J92+J94+J96+J97</f>
        <v>33345801.359462637</v>
      </c>
      <c r="K98" s="1398">
        <f>K88+K92+K94+K96+K97</f>
        <v>25937469.561119996</v>
      </c>
      <c r="L98" s="1144"/>
      <c r="M98" s="1394" t="s">
        <v>136</v>
      </c>
      <c r="N98" s="1152" t="s">
        <v>109</v>
      </c>
      <c r="O98" s="1144"/>
      <c r="P98" s="1144"/>
      <c r="Q98" s="1152" t="s">
        <v>138</v>
      </c>
    </row>
    <row r="99">
      <c r="A99" s="1146"/>
      <c r="B99" s="1146"/>
      <c r="C99" s="1146"/>
      <c r="D99" s="1146"/>
      <c r="E99" s="1146"/>
      <c r="F99" s="1146"/>
      <c r="G99" s="1156"/>
      <c r="H99" s="1146"/>
      <c r="I99" s="1146"/>
      <c r="J99" s="1146"/>
      <c r="K99" s="1146"/>
      <c r="L99" s="1144"/>
      <c r="M99" s="1144"/>
      <c r="N99" s="1152"/>
      <c r="O99" s="1144"/>
      <c r="P99" s="1144"/>
      <c r="Q99" s="1152"/>
    </row>
    <row r="100">
      <c r="A100" s="1384" t="s">
        <v>218</v>
      </c>
      <c r="B100" s="1151"/>
      <c r="C100" s="1151"/>
      <c r="D100" s="1151"/>
      <c r="E100" s="1151"/>
      <c r="F100" s="1151"/>
      <c r="G100" s="1157"/>
      <c r="H100" s="1154"/>
      <c r="I100" s="1154"/>
      <c r="J100" s="1154"/>
      <c r="K100" s="1154"/>
      <c r="L100" s="1144"/>
      <c r="M100" s="1144"/>
      <c r="N100" s="1144"/>
      <c r="O100" s="1144"/>
      <c r="P100" s="1144"/>
      <c r="Q100" s="1144"/>
    </row>
    <row r="101">
      <c r="A101" s="1394" t="s">
        <v>219</v>
      </c>
      <c r="B101" s="1153"/>
      <c r="C101" s="1153"/>
      <c r="D101" s="1153"/>
      <c r="E101" s="1153"/>
      <c r="F101" s="1153"/>
      <c r="G101" s="1046">
        <v>51.77</v>
      </c>
      <c r="H101" s="1283">
        <v>51.77</v>
      </c>
      <c r="I101" s="1283">
        <v>51.77</v>
      </c>
      <c r="J101" s="1283">
        <v>51.77</v>
      </c>
      <c r="K101" s="1283">
        <v>51.77</v>
      </c>
      <c r="L101" s="1144"/>
      <c r="M101" s="1394" t="s">
        <v>136</v>
      </c>
      <c r="N101" s="1152" t="s">
        <v>220</v>
      </c>
      <c r="O101" s="1144"/>
      <c r="P101" s="1144"/>
      <c r="Q101" s="1152" t="s">
        <v>197</v>
      </c>
    </row>
    <row r="102">
      <c r="A102" s="1394" t="s">
        <v>221</v>
      </c>
      <c r="B102" s="1147"/>
      <c r="C102" s="1147"/>
      <c r="D102" s="1147"/>
      <c r="E102" s="1147"/>
      <c r="F102" s="1147"/>
      <c r="G102" s="1395">
        <f>G101*G83</f>
        <v>5053166.16</v>
      </c>
      <c r="H102" s="1381">
        <f>H101*H83</f>
        <v>9162668.76</v>
      </c>
      <c r="I102" s="1381">
        <f>I101*I83</f>
        <v>4444195.65</v>
      </c>
      <c r="J102" s="1381">
        <f>J101*J83</f>
        <v>4444195.65</v>
      </c>
      <c r="K102" s="1381">
        <f>K101*K83</f>
        <v>4444195.65</v>
      </c>
      <c r="L102" s="1144"/>
      <c r="M102" s="1394" t="s">
        <v>136</v>
      </c>
      <c r="N102" s="1152" t="s">
        <v>109</v>
      </c>
      <c r="O102" s="1144"/>
      <c r="P102" s="1144"/>
      <c r="Q102" s="1152" t="s">
        <v>129</v>
      </c>
    </row>
    <row r="103">
      <c r="A103" s="1394" t="s">
        <v>222</v>
      </c>
      <c r="B103" s="1147"/>
      <c r="C103" s="1147"/>
      <c r="D103" s="1147"/>
      <c r="E103" s="1147"/>
      <c r="F103" s="1147"/>
      <c r="G103" s="1339">
        <v>535798</v>
      </c>
      <c r="H103" s="1409">
        <v>535798</v>
      </c>
      <c r="I103" s="1409">
        <v>535798</v>
      </c>
      <c r="J103" s="1409">
        <v>535798</v>
      </c>
      <c r="K103" s="1409">
        <v>535798</v>
      </c>
      <c r="L103" s="1144"/>
      <c r="M103" s="1394" t="s">
        <v>112</v>
      </c>
      <c r="N103" s="1152" t="s">
        <v>223</v>
      </c>
      <c r="O103" s="1144"/>
      <c r="P103" s="1144"/>
      <c r="Q103" s="1152" t="s">
        <v>197</v>
      </c>
    </row>
    <row r="104">
      <c r="A104" s="1394" t="s">
        <v>224</v>
      </c>
      <c r="B104" s="1147"/>
      <c r="C104" s="1147"/>
      <c r="D104" s="1147"/>
      <c r="E104" s="1147"/>
      <c r="F104" s="1147"/>
      <c r="G104" s="1339">
        <v>18268</v>
      </c>
      <c r="H104" s="1409">
        <v>18268</v>
      </c>
      <c r="I104" s="1409">
        <v>18268</v>
      </c>
      <c r="J104" s="1409">
        <v>18268</v>
      </c>
      <c r="K104" s="1409">
        <v>18268</v>
      </c>
      <c r="L104" s="1144"/>
      <c r="M104" s="1394" t="s">
        <v>112</v>
      </c>
      <c r="N104" s="1152" t="s">
        <v>223</v>
      </c>
      <c r="O104" s="1144"/>
      <c r="P104" s="1144"/>
      <c r="Q104" s="1152" t="s">
        <v>197</v>
      </c>
    </row>
    <row r="105">
      <c r="A105" s="1394" t="s">
        <v>225</v>
      </c>
      <c r="B105" s="1147"/>
      <c r="C105" s="1147"/>
      <c r="D105" s="1147"/>
      <c r="E105" s="1147"/>
      <c r="F105" s="1147"/>
      <c r="G105" s="1339">
        <v>1054490</v>
      </c>
      <c r="H105" s="1409">
        <v>1054490</v>
      </c>
      <c r="I105" s="1409">
        <v>1054490</v>
      </c>
      <c r="J105" s="1409">
        <v>1054490</v>
      </c>
      <c r="K105" s="1409">
        <v>1054490</v>
      </c>
      <c r="L105" s="1144"/>
      <c r="M105" s="1394" t="s">
        <v>112</v>
      </c>
      <c r="N105" s="1152" t="s">
        <v>223</v>
      </c>
      <c r="O105" s="1144"/>
      <c r="P105" s="1144"/>
      <c r="Q105" s="1152" t="s">
        <v>197</v>
      </c>
    </row>
    <row r="106">
      <c r="A106" s="1394" t="s">
        <v>226</v>
      </c>
      <c r="B106" s="1147"/>
      <c r="C106" s="1147"/>
      <c r="D106" s="1147"/>
      <c r="E106" s="1147"/>
      <c r="F106" s="1147"/>
      <c r="G106" s="1339">
        <v>721775</v>
      </c>
      <c r="H106" s="1409">
        <v>721775</v>
      </c>
      <c r="I106" s="1409">
        <v>721775</v>
      </c>
      <c r="J106" s="1409">
        <v>721775</v>
      </c>
      <c r="K106" s="1409">
        <v>721775</v>
      </c>
      <c r="L106" s="1144"/>
      <c r="M106" s="1394" t="s">
        <v>112</v>
      </c>
      <c r="N106" s="1152" t="s">
        <v>223</v>
      </c>
      <c r="O106" s="1144"/>
      <c r="P106" s="1144"/>
      <c r="Q106" s="1152" t="s">
        <v>197</v>
      </c>
    </row>
    <row r="107">
      <c r="A107" s="1394" t="s">
        <v>227</v>
      </c>
      <c r="B107" s="1147"/>
      <c r="C107" s="1147"/>
      <c r="D107" s="1147"/>
      <c r="E107" s="1147"/>
      <c r="F107" s="1147"/>
      <c r="G107" s="1339">
        <v>219181</v>
      </c>
      <c r="H107" s="1409">
        <v>219181</v>
      </c>
      <c r="I107" s="1409">
        <v>219181</v>
      </c>
      <c r="J107" s="1409">
        <v>219181</v>
      </c>
      <c r="K107" s="1409">
        <v>219181</v>
      </c>
      <c r="L107" s="1144"/>
      <c r="M107" s="1394" t="s">
        <v>112</v>
      </c>
      <c r="N107" s="1152" t="s">
        <v>223</v>
      </c>
      <c r="O107" s="1144"/>
      <c r="P107" s="1144"/>
      <c r="Q107" s="1152" t="s">
        <v>197</v>
      </c>
    </row>
    <row r="108">
      <c r="A108" s="1401" t="s">
        <v>228</v>
      </c>
      <c r="B108" s="1145"/>
      <c r="C108" s="1145"/>
      <c r="D108" s="1145"/>
      <c r="E108" s="1145"/>
      <c r="F108" s="1145"/>
      <c r="G108" s="1400">
        <f>G103+G104+G105+G106+G107</f>
        <v>2549512</v>
      </c>
      <c r="H108" s="1398">
        <f>H103+H104+H105+H106+H107</f>
        <v>2549512</v>
      </c>
      <c r="I108" s="1398">
        <f>I103+I104+I105+I106+I107</f>
        <v>2549512</v>
      </c>
      <c r="J108" s="1398">
        <f>J103+J104+J105+J106+J107</f>
        <v>2549512</v>
      </c>
      <c r="K108" s="1398">
        <f>K103+K104+K105+K106+K107</f>
        <v>2549512</v>
      </c>
      <c r="L108" s="1144"/>
      <c r="M108" s="1394" t="s">
        <v>112</v>
      </c>
      <c r="N108" s="1152" t="s">
        <v>229</v>
      </c>
      <c r="O108" s="1144"/>
      <c r="P108" s="1144"/>
      <c r="Q108" s="1152" t="s">
        <v>138</v>
      </c>
    </row>
    <row r="109">
      <c r="A109" s="1394" t="s">
        <v>230</v>
      </c>
      <c r="B109" s="1147"/>
      <c r="C109" s="1147"/>
      <c r="D109" s="1147"/>
      <c r="E109" s="1147"/>
      <c r="F109" s="1147"/>
      <c r="G109" s="1339">
        <v>1625984</v>
      </c>
      <c r="H109" s="1409">
        <v>1625984</v>
      </c>
      <c r="I109" s="1409">
        <v>1625984</v>
      </c>
      <c r="J109" s="1409">
        <v>1625984</v>
      </c>
      <c r="K109" s="1409">
        <v>1625984</v>
      </c>
      <c r="L109" s="1144"/>
      <c r="M109" s="1394" t="s">
        <v>112</v>
      </c>
      <c r="N109" s="1152" t="s">
        <v>223</v>
      </c>
      <c r="O109" s="1144"/>
      <c r="P109" s="1144"/>
      <c r="Q109" s="1152" t="s">
        <v>197</v>
      </c>
    </row>
    <row r="110">
      <c r="A110" s="1394" t="s">
        <v>231</v>
      </c>
      <c r="B110" s="1147"/>
      <c r="C110" s="1147"/>
      <c r="D110" s="1147"/>
      <c r="E110" s="1147"/>
      <c r="F110" s="1147"/>
      <c r="G110" s="1339">
        <v>652232</v>
      </c>
      <c r="H110" s="1409">
        <v>652232</v>
      </c>
      <c r="I110" s="1409">
        <v>652232</v>
      </c>
      <c r="J110" s="1409">
        <v>652232</v>
      </c>
      <c r="K110" s="1409">
        <v>652232</v>
      </c>
      <c r="L110" s="1144"/>
      <c r="M110" s="1394" t="s">
        <v>112</v>
      </c>
      <c r="N110" s="1152" t="s">
        <v>223</v>
      </c>
      <c r="O110" s="1144"/>
      <c r="P110" s="1144"/>
      <c r="Q110" s="1152" t="s">
        <v>197</v>
      </c>
    </row>
    <row r="111">
      <c r="A111" s="1394" t="s">
        <v>232</v>
      </c>
      <c r="B111" s="1147"/>
      <c r="C111" s="1147"/>
      <c r="D111" s="1147"/>
      <c r="E111" s="1147"/>
      <c r="F111" s="1147"/>
      <c r="G111" s="1339">
        <v>55704</v>
      </c>
      <c r="H111" s="1409">
        <v>55704</v>
      </c>
      <c r="I111" s="1409">
        <v>55704</v>
      </c>
      <c r="J111" s="1409">
        <v>55704</v>
      </c>
      <c r="K111" s="1409">
        <v>55704</v>
      </c>
      <c r="L111" s="1144"/>
      <c r="M111" s="1394" t="s">
        <v>112</v>
      </c>
      <c r="N111" s="1152" t="s">
        <v>223</v>
      </c>
      <c r="O111" s="1144"/>
      <c r="P111" s="1144"/>
      <c r="Q111" s="1152" t="s">
        <v>197</v>
      </c>
    </row>
    <row r="112">
      <c r="A112" s="1394" t="s">
        <v>233</v>
      </c>
      <c r="B112" s="1147"/>
      <c r="C112" s="1147"/>
      <c r="D112" s="1147"/>
      <c r="E112" s="1147"/>
      <c r="F112" s="1147"/>
      <c r="G112" s="1339">
        <v>1676681</v>
      </c>
      <c r="H112" s="1409">
        <v>1676681</v>
      </c>
      <c r="I112" s="1409">
        <v>1676681</v>
      </c>
      <c r="J112" s="1409">
        <v>1676681</v>
      </c>
      <c r="K112" s="1409">
        <v>1676681</v>
      </c>
      <c r="L112" s="1144"/>
      <c r="M112" s="1394" t="s">
        <v>112</v>
      </c>
      <c r="N112" s="1152" t="s">
        <v>223</v>
      </c>
      <c r="O112" s="1144"/>
      <c r="P112" s="1144"/>
      <c r="Q112" s="1152" t="s">
        <v>197</v>
      </c>
    </row>
    <row r="113">
      <c r="A113" s="1394" t="s">
        <v>234</v>
      </c>
      <c r="B113" s="1147"/>
      <c r="C113" s="1147"/>
      <c r="D113" s="1147"/>
      <c r="E113" s="1147"/>
      <c r="F113" s="1147"/>
      <c r="G113" s="1339">
        <v>698511</v>
      </c>
      <c r="H113" s="1409">
        <v>698511</v>
      </c>
      <c r="I113" s="1409">
        <v>698511</v>
      </c>
      <c r="J113" s="1409">
        <v>698511</v>
      </c>
      <c r="K113" s="1409">
        <v>698511</v>
      </c>
      <c r="L113" s="1144"/>
      <c r="M113" s="1394" t="s">
        <v>112</v>
      </c>
      <c r="N113" s="1152" t="s">
        <v>223</v>
      </c>
      <c r="O113" s="1144"/>
      <c r="P113" s="1144"/>
      <c r="Q113" s="1152" t="s">
        <v>197</v>
      </c>
    </row>
    <row r="114">
      <c r="A114" s="1394" t="s">
        <v>235</v>
      </c>
      <c r="B114" s="1147"/>
      <c r="C114" s="1147"/>
      <c r="D114" s="1147"/>
      <c r="E114" s="1147"/>
      <c r="F114" s="1147"/>
      <c r="G114" s="1339">
        <v>775341</v>
      </c>
      <c r="H114" s="1409">
        <v>775341</v>
      </c>
      <c r="I114" s="1409">
        <v>775341</v>
      </c>
      <c r="J114" s="1409">
        <v>775341</v>
      </c>
      <c r="K114" s="1409">
        <v>775341</v>
      </c>
      <c r="L114" s="1144"/>
      <c r="M114" s="1394" t="s">
        <v>112</v>
      </c>
      <c r="N114" s="1152" t="s">
        <v>223</v>
      </c>
      <c r="O114" s="1144"/>
      <c r="P114" s="1144"/>
      <c r="Q114" s="1152" t="s">
        <v>197</v>
      </c>
    </row>
    <row r="115">
      <c r="A115" s="1394" t="s">
        <v>236</v>
      </c>
      <c r="B115" s="1147"/>
      <c r="C115" s="1147"/>
      <c r="D115" s="1147"/>
      <c r="E115" s="1147"/>
      <c r="F115" s="1147"/>
      <c r="G115" s="1339">
        <v>26898</v>
      </c>
      <c r="H115" s="1409">
        <v>26898</v>
      </c>
      <c r="I115" s="1409">
        <v>26898</v>
      </c>
      <c r="J115" s="1409">
        <v>26898</v>
      </c>
      <c r="K115" s="1409">
        <v>26898</v>
      </c>
      <c r="L115" s="1144"/>
      <c r="M115" s="1394" t="s">
        <v>112</v>
      </c>
      <c r="N115" s="1152" t="s">
        <v>223</v>
      </c>
      <c r="O115" s="1144"/>
      <c r="P115" s="1144"/>
      <c r="Q115" s="1152" t="s">
        <v>197</v>
      </c>
    </row>
    <row r="116">
      <c r="A116" s="1401" t="s">
        <v>237</v>
      </c>
      <c r="B116" s="1145"/>
      <c r="C116" s="1145"/>
      <c r="D116" s="1145"/>
      <c r="E116" s="1145"/>
      <c r="F116" s="1145"/>
      <c r="G116" s="1400">
        <f>G109+G110+G111+G112+G113+G114+G115</f>
        <v>5511351</v>
      </c>
      <c r="H116" s="1398">
        <f>H109+H110+H111+H112+H113+H114+H115</f>
        <v>5511351</v>
      </c>
      <c r="I116" s="1398">
        <f>I109+I110+I111+I112+I113+I114+I115</f>
        <v>5511351</v>
      </c>
      <c r="J116" s="1398">
        <f>J109+J110+J111+J112+J113+J114+J115</f>
        <v>5511351</v>
      </c>
      <c r="K116" s="1398">
        <f>K109+K110+K111+K112+K113+K114+K115</f>
        <v>5511351</v>
      </c>
      <c r="L116" s="1144"/>
      <c r="M116" s="1394" t="s">
        <v>112</v>
      </c>
      <c r="N116" s="1152" t="s">
        <v>109</v>
      </c>
      <c r="O116" s="1144"/>
      <c r="P116" s="1144"/>
      <c r="Q116" s="1152" t="s">
        <v>138</v>
      </c>
    </row>
  </sheetData>
</worksheet>
</file>

<file path=xl/worksheets/sheet3.xml><?xml version="1.0" encoding="utf-8"?>
<worksheet xmlns="http://schemas.openxmlformats.org/spreadsheetml/2006/main" xmlns:r="http://schemas.openxmlformats.org/officeDocument/2006/relationships">
  <dimension ref="A1:T1532"/>
  <sheetViews>
    <sheetView showGridLines="0" workbookViewId="0"/>
  </sheetViews>
  <sheetFormatPr defaultColWidth="8.375" defaultRowHeight="15"/>
  <cols>
    <col min="1" max="1" width="6.125" customWidth="1"/>
    <col min="2" max="2" width="18.125" customWidth="1"/>
    <col min="4" max="4" width="14.375" customWidth="1"/>
    <col min="5" max="5" width="6.375" customWidth="1"/>
    <col min="6" max="6" width="30.625" customWidth="1"/>
    <col min="7" max="7" width="18.125" customWidth="1"/>
    <col min="8" max="9" width="24.375" customWidth="1"/>
    <col min="10" max="10" width="44.375" customWidth="1"/>
    <col min="11" max="11" width="14.375" customWidth="1"/>
    <col min="12" max="12" width="7.125" customWidth="1"/>
    <col min="13" max="13" width="11.25" customWidth="1"/>
    <col min="14" max="14" width="19.375" customWidth="1"/>
    <col min="15" max="15" width="22.5" customWidth="1"/>
    <col min="16" max="17" width="26.875" customWidth="1"/>
    <col min="18" max="18" width="14.375" customWidth="1"/>
    <col min="19" max="19" width="25.625" customWidth="1"/>
    <col min="20" max="20" width="14.375" customWidth="1"/>
  </cols>
  <sheetData>
    <row r="1">
      <c r="A1" s="584" t="s">
        <v>0</v>
      </c>
    </row>
    <row r="2">
      <c r="A2" s="1227" t="s">
        <v>238</v>
      </c>
    </row>
    <row r="3">
      <c r="A3" s="1227" t="s">
        <v>239</v>
      </c>
    </row>
    <row r="5">
      <c r="A5" s="493" t="s">
        <v>240</v>
      </c>
      <c r="B5" s="493" t="s">
        <v>241</v>
      </c>
      <c r="C5" s="493" t="s">
        <v>242</v>
      </c>
      <c r="D5" s="493" t="s">
        <v>243</v>
      </c>
      <c r="E5" s="493" t="s">
        <v>244</v>
      </c>
      <c r="F5" s="493" t="s">
        <v>245</v>
      </c>
      <c r="G5" s="493" t="s">
        <v>246</v>
      </c>
      <c r="H5" s="493" t="s">
        <v>247</v>
      </c>
      <c r="I5" s="493" t="s">
        <v>248</v>
      </c>
      <c r="J5" s="493" t="s">
        <v>249</v>
      </c>
      <c r="K5" s="493" t="s">
        <v>250</v>
      </c>
      <c r="L5" s="493" t="s">
        <v>251</v>
      </c>
      <c r="M5" s="493" t="s">
        <v>252</v>
      </c>
      <c r="N5" s="493" t="s">
        <v>253</v>
      </c>
      <c r="O5" s="493" t="s">
        <v>254</v>
      </c>
      <c r="P5" s="492" t="s">
        <v>255</v>
      </c>
      <c r="Q5" s="492" t="s">
        <v>256</v>
      </c>
      <c r="R5" s="493" t="s">
        <v>257</v>
      </c>
      <c r="S5" s="493" t="s">
        <v>258</v>
      </c>
      <c r="T5" s="493" t="s">
        <v>259</v>
      </c>
    </row>
    <row r="6">
      <c r="A6" s="488" t="s">
        <v>260</v>
      </c>
      <c r="B6" s="488" t="s">
        <v>261</v>
      </c>
      <c r="C6" s="488" t="s">
        <v>262</v>
      </c>
      <c r="D6" s="488" t="s">
        <v>263</v>
      </c>
      <c r="E6" s="488" t="s">
        <v>264</v>
      </c>
      <c r="F6" s="489" t="s">
        <v>265</v>
      </c>
      <c r="G6" s="488" t="s">
        <v>266</v>
      </c>
      <c r="H6" s="489"/>
      <c r="I6" s="489"/>
      <c r="J6" s="489" t="s">
        <v>267</v>
      </c>
      <c r="K6" s="491"/>
      <c r="L6" s="488"/>
      <c r="M6" s="488"/>
      <c r="N6" s="489"/>
      <c r="O6" s="489"/>
      <c r="P6" s="489"/>
      <c r="Q6" s="489"/>
      <c r="R6" s="490"/>
      <c r="S6" s="489"/>
      <c r="T6" s="488" t="s">
        <v>268</v>
      </c>
    </row>
    <row r="7" ht="34.5">
      <c r="A7" s="488" t="s">
        <v>260</v>
      </c>
      <c r="B7" s="488" t="s">
        <v>261</v>
      </c>
      <c r="C7" s="488" t="s">
        <v>262</v>
      </c>
      <c r="D7" s="488" t="s">
        <v>263</v>
      </c>
      <c r="E7" s="488" t="s">
        <v>264</v>
      </c>
      <c r="F7" s="489" t="s">
        <v>265</v>
      </c>
      <c r="G7" s="488" t="s">
        <v>266</v>
      </c>
      <c r="H7" s="489"/>
      <c r="I7" s="489"/>
      <c r="J7" s="489" t="s">
        <v>269</v>
      </c>
      <c r="K7" s="491"/>
      <c r="L7" s="488"/>
      <c r="M7" s="488"/>
      <c r="N7" s="489"/>
      <c r="O7" s="489"/>
      <c r="P7" s="489"/>
      <c r="Q7" s="489"/>
      <c r="R7" s="490"/>
      <c r="S7" s="489"/>
      <c r="T7" s="488" t="s">
        <v>268</v>
      </c>
    </row>
    <row r="8" ht="34.5">
      <c r="A8" s="488" t="s">
        <v>260</v>
      </c>
      <c r="B8" s="488" t="s">
        <v>261</v>
      </c>
      <c r="C8" s="488" t="s">
        <v>262</v>
      </c>
      <c r="D8" s="488" t="s">
        <v>263</v>
      </c>
      <c r="E8" s="488" t="s">
        <v>264</v>
      </c>
      <c r="F8" s="489" t="s">
        <v>265</v>
      </c>
      <c r="G8" s="488" t="s">
        <v>266</v>
      </c>
      <c r="H8" s="489"/>
      <c r="I8" s="489"/>
      <c r="J8" s="489" t="s">
        <v>270</v>
      </c>
      <c r="K8" s="491"/>
      <c r="L8" s="488"/>
      <c r="M8" s="488"/>
      <c r="N8" s="489"/>
      <c r="O8" s="489"/>
      <c r="P8" s="489"/>
      <c r="Q8" s="489"/>
      <c r="R8" s="490"/>
      <c r="S8" s="489"/>
      <c r="T8" s="488" t="s">
        <v>268</v>
      </c>
    </row>
    <row r="9" ht="34.5">
      <c r="A9" s="488" t="s">
        <v>260</v>
      </c>
      <c r="B9" s="488" t="s">
        <v>261</v>
      </c>
      <c r="C9" s="488" t="s">
        <v>262</v>
      </c>
      <c r="D9" s="488" t="s">
        <v>263</v>
      </c>
      <c r="E9" s="488" t="s">
        <v>264</v>
      </c>
      <c r="F9" s="489" t="s">
        <v>265</v>
      </c>
      <c r="G9" s="488" t="s">
        <v>266</v>
      </c>
      <c r="H9" s="489"/>
      <c r="I9" s="489"/>
      <c r="J9" s="489" t="s">
        <v>271</v>
      </c>
      <c r="K9" s="491"/>
      <c r="L9" s="488"/>
      <c r="M9" s="488"/>
      <c r="N9" s="489"/>
      <c r="O9" s="489"/>
      <c r="P9" s="489"/>
      <c r="Q9" s="489"/>
      <c r="R9" s="490"/>
      <c r="S9" s="489"/>
      <c r="T9" s="488" t="s">
        <v>268</v>
      </c>
    </row>
    <row r="10" ht="34.5">
      <c r="A10" s="488" t="s">
        <v>260</v>
      </c>
      <c r="B10" s="488" t="s">
        <v>261</v>
      </c>
      <c r="C10" s="488" t="s">
        <v>262</v>
      </c>
      <c r="D10" s="488" t="s">
        <v>263</v>
      </c>
      <c r="E10" s="488" t="s">
        <v>264</v>
      </c>
      <c r="F10" s="489" t="s">
        <v>265</v>
      </c>
      <c r="G10" s="488" t="s">
        <v>266</v>
      </c>
      <c r="H10" s="489"/>
      <c r="I10" s="489"/>
      <c r="J10" s="489" t="s">
        <v>272</v>
      </c>
      <c r="K10" s="491"/>
      <c r="L10" s="488"/>
      <c r="M10" s="488"/>
      <c r="N10" s="489"/>
      <c r="O10" s="489"/>
      <c r="P10" s="489"/>
      <c r="Q10" s="489"/>
      <c r="R10" s="490"/>
      <c r="S10" s="489"/>
      <c r="T10" s="488" t="s">
        <v>268</v>
      </c>
    </row>
    <row r="11" ht="34.5">
      <c r="A11" s="488" t="s">
        <v>260</v>
      </c>
      <c r="B11" s="488" t="s">
        <v>261</v>
      </c>
      <c r="C11" s="488" t="s">
        <v>262</v>
      </c>
      <c r="D11" s="488" t="s">
        <v>263</v>
      </c>
      <c r="E11" s="488" t="s">
        <v>264</v>
      </c>
      <c r="F11" s="489" t="s">
        <v>265</v>
      </c>
      <c r="G11" s="488" t="s">
        <v>266</v>
      </c>
      <c r="H11" s="489"/>
      <c r="I11" s="489"/>
      <c r="J11" s="489" t="s">
        <v>273</v>
      </c>
      <c r="K11" s="491"/>
      <c r="L11" s="488"/>
      <c r="M11" s="488"/>
      <c r="N11" s="489"/>
      <c r="O11" s="489"/>
      <c r="P11" s="489"/>
      <c r="Q11" s="489"/>
      <c r="R11" s="490"/>
      <c r="S11" s="489"/>
      <c r="T11" s="488" t="s">
        <v>268</v>
      </c>
    </row>
    <row r="12" ht="34.5">
      <c r="A12" s="488" t="s">
        <v>260</v>
      </c>
      <c r="B12" s="488" t="s">
        <v>261</v>
      </c>
      <c r="C12" s="488" t="s">
        <v>262</v>
      </c>
      <c r="D12" s="488" t="s">
        <v>263</v>
      </c>
      <c r="E12" s="488" t="s">
        <v>264</v>
      </c>
      <c r="F12" s="489" t="s">
        <v>265</v>
      </c>
      <c r="G12" s="488" t="s">
        <v>266</v>
      </c>
      <c r="H12" s="489"/>
      <c r="I12" s="489"/>
      <c r="J12" s="489" t="s">
        <v>274</v>
      </c>
      <c r="K12" s="491"/>
      <c r="L12" s="488"/>
      <c r="M12" s="488"/>
      <c r="N12" s="489"/>
      <c r="O12" s="489"/>
      <c r="P12" s="489"/>
      <c r="Q12" s="489"/>
      <c r="R12" s="490"/>
      <c r="S12" s="489"/>
      <c r="T12" s="488" t="s">
        <v>268</v>
      </c>
    </row>
    <row r="13" ht="34.5">
      <c r="A13" s="488" t="s">
        <v>260</v>
      </c>
      <c r="B13" s="488" t="s">
        <v>261</v>
      </c>
      <c r="C13" s="488" t="s">
        <v>262</v>
      </c>
      <c r="D13" s="488" t="s">
        <v>263</v>
      </c>
      <c r="E13" s="488" t="s">
        <v>264</v>
      </c>
      <c r="F13" s="489" t="s">
        <v>265</v>
      </c>
      <c r="G13" s="488" t="s">
        <v>266</v>
      </c>
      <c r="H13" s="489"/>
      <c r="I13" s="489"/>
      <c r="J13" s="489" t="s">
        <v>275</v>
      </c>
      <c r="K13" s="491"/>
      <c r="L13" s="488"/>
      <c r="M13" s="488"/>
      <c r="N13" s="489"/>
      <c r="O13" s="489"/>
      <c r="P13" s="489"/>
      <c r="Q13" s="489"/>
      <c r="R13" s="490"/>
      <c r="S13" s="489"/>
      <c r="T13" s="488" t="s">
        <v>268</v>
      </c>
    </row>
    <row r="14" ht="34.5">
      <c r="A14" s="488" t="s">
        <v>260</v>
      </c>
      <c r="B14" s="488" t="s">
        <v>261</v>
      </c>
      <c r="C14" s="488" t="s">
        <v>276</v>
      </c>
      <c r="D14" s="488" t="s">
        <v>263</v>
      </c>
      <c r="E14" s="488" t="s">
        <v>264</v>
      </c>
      <c r="F14" s="489" t="s">
        <v>277</v>
      </c>
      <c r="G14" s="488" t="s">
        <v>266</v>
      </c>
      <c r="H14" s="489"/>
      <c r="I14" s="489"/>
      <c r="J14" s="489" t="s">
        <v>278</v>
      </c>
      <c r="K14" s="491"/>
      <c r="L14" s="488"/>
      <c r="M14" s="488"/>
      <c r="N14" s="489"/>
      <c r="O14" s="489"/>
      <c r="P14" s="489"/>
      <c r="Q14" s="489"/>
      <c r="R14" s="490"/>
      <c r="S14" s="489"/>
      <c r="T14" s="488" t="s">
        <v>268</v>
      </c>
    </row>
    <row r="15" ht="34.5">
      <c r="A15" s="488" t="s">
        <v>260</v>
      </c>
      <c r="B15" s="488" t="s">
        <v>261</v>
      </c>
      <c r="C15" s="488" t="s">
        <v>276</v>
      </c>
      <c r="D15" s="488" t="s">
        <v>263</v>
      </c>
      <c r="E15" s="488" t="s">
        <v>264</v>
      </c>
      <c r="F15" s="489" t="s">
        <v>277</v>
      </c>
      <c r="G15" s="488" t="s">
        <v>266</v>
      </c>
      <c r="H15" s="489"/>
      <c r="I15" s="489"/>
      <c r="J15" s="489" t="s">
        <v>279</v>
      </c>
      <c r="K15" s="491"/>
      <c r="L15" s="488"/>
      <c r="M15" s="488"/>
      <c r="N15" s="489"/>
      <c r="O15" s="489"/>
      <c r="P15" s="489"/>
      <c r="Q15" s="489"/>
      <c r="R15" s="490"/>
      <c r="S15" s="489"/>
      <c r="T15" s="488" t="s">
        <v>268</v>
      </c>
    </row>
    <row r="16" ht="34.5">
      <c r="A16" s="488" t="s">
        <v>260</v>
      </c>
      <c r="B16" s="488" t="s">
        <v>261</v>
      </c>
      <c r="C16" s="488" t="s">
        <v>276</v>
      </c>
      <c r="D16" s="488" t="s">
        <v>263</v>
      </c>
      <c r="E16" s="488" t="s">
        <v>264</v>
      </c>
      <c r="F16" s="489" t="s">
        <v>277</v>
      </c>
      <c r="G16" s="488" t="s">
        <v>266</v>
      </c>
      <c r="H16" s="489"/>
      <c r="I16" s="489"/>
      <c r="J16" s="489" t="s">
        <v>280</v>
      </c>
      <c r="K16" s="491"/>
      <c r="L16" s="488"/>
      <c r="M16" s="488"/>
      <c r="N16" s="489"/>
      <c r="O16" s="489"/>
      <c r="P16" s="489"/>
      <c r="Q16" s="489"/>
      <c r="R16" s="490"/>
      <c r="S16" s="489"/>
      <c r="T16" s="488" t="s">
        <v>268</v>
      </c>
    </row>
    <row r="17" ht="34.5">
      <c r="A17" s="488" t="s">
        <v>260</v>
      </c>
      <c r="B17" s="488" t="s">
        <v>261</v>
      </c>
      <c r="C17" s="488" t="s">
        <v>276</v>
      </c>
      <c r="D17" s="488" t="s">
        <v>263</v>
      </c>
      <c r="E17" s="488" t="s">
        <v>264</v>
      </c>
      <c r="F17" s="489" t="s">
        <v>277</v>
      </c>
      <c r="G17" s="488" t="s">
        <v>266</v>
      </c>
      <c r="H17" s="489"/>
      <c r="I17" s="489"/>
      <c r="J17" s="489" t="s">
        <v>281</v>
      </c>
      <c r="K17" s="491"/>
      <c r="L17" s="488"/>
      <c r="M17" s="488"/>
      <c r="N17" s="489"/>
      <c r="O17" s="489"/>
      <c r="P17" s="489"/>
      <c r="Q17" s="489"/>
      <c r="R17" s="490"/>
      <c r="S17" s="489"/>
      <c r="T17" s="488" t="s">
        <v>268</v>
      </c>
    </row>
    <row r="18" ht="34.5">
      <c r="A18" s="488" t="s">
        <v>260</v>
      </c>
      <c r="B18" s="488" t="s">
        <v>261</v>
      </c>
      <c r="C18" s="488" t="s">
        <v>276</v>
      </c>
      <c r="D18" s="488" t="s">
        <v>263</v>
      </c>
      <c r="E18" s="488" t="s">
        <v>282</v>
      </c>
      <c r="F18" s="489" t="s">
        <v>283</v>
      </c>
      <c r="G18" s="488" t="s">
        <v>284</v>
      </c>
      <c r="H18" s="489"/>
      <c r="I18" s="489"/>
      <c r="J18" s="489" t="s">
        <v>285</v>
      </c>
      <c r="K18" s="491"/>
      <c r="L18" s="488"/>
      <c r="M18" s="488"/>
      <c r="N18" s="489"/>
      <c r="O18" s="489"/>
      <c r="P18" s="489"/>
      <c r="Q18" s="489"/>
      <c r="R18" s="490"/>
      <c r="S18" s="489"/>
      <c r="T18" s="488" t="s">
        <v>268</v>
      </c>
    </row>
    <row r="19" ht="34.5">
      <c r="A19" s="488" t="s">
        <v>260</v>
      </c>
      <c r="B19" s="488" t="s">
        <v>261</v>
      </c>
      <c r="C19" s="488" t="s">
        <v>276</v>
      </c>
      <c r="D19" s="488" t="s">
        <v>263</v>
      </c>
      <c r="E19" s="488" t="s">
        <v>282</v>
      </c>
      <c r="F19" s="489" t="s">
        <v>283</v>
      </c>
      <c r="G19" s="488" t="s">
        <v>284</v>
      </c>
      <c r="H19" s="489"/>
      <c r="I19" s="489"/>
      <c r="J19" s="489" t="s">
        <v>286</v>
      </c>
      <c r="K19" s="491"/>
      <c r="L19" s="488"/>
      <c r="M19" s="488"/>
      <c r="N19" s="489"/>
      <c r="O19" s="489"/>
      <c r="P19" s="489"/>
      <c r="Q19" s="489"/>
      <c r="R19" s="490"/>
      <c r="S19" s="489"/>
      <c r="T19" s="488" t="s">
        <v>268</v>
      </c>
    </row>
    <row r="20" ht="34.5">
      <c r="A20" s="488" t="s">
        <v>260</v>
      </c>
      <c r="B20" s="488" t="s">
        <v>261</v>
      </c>
      <c r="C20" s="488" t="s">
        <v>287</v>
      </c>
      <c r="D20" s="488" t="s">
        <v>263</v>
      </c>
      <c r="E20" s="488" t="s">
        <v>282</v>
      </c>
      <c r="F20" s="489" t="s">
        <v>288</v>
      </c>
      <c r="G20" s="488" t="s">
        <v>284</v>
      </c>
      <c r="H20" s="489"/>
      <c r="I20" s="489"/>
      <c r="J20" s="489" t="s">
        <v>289</v>
      </c>
      <c r="K20" s="491"/>
      <c r="L20" s="488"/>
      <c r="M20" s="488"/>
      <c r="N20" s="489"/>
      <c r="O20" s="489"/>
      <c r="P20" s="489"/>
      <c r="Q20" s="489"/>
      <c r="R20" s="490"/>
      <c r="S20" s="489"/>
      <c r="T20" s="488" t="s">
        <v>268</v>
      </c>
    </row>
    <row r="21" ht="34.5">
      <c r="A21" s="488" t="s">
        <v>260</v>
      </c>
      <c r="B21" s="488" t="s">
        <v>261</v>
      </c>
      <c r="C21" s="488" t="s">
        <v>287</v>
      </c>
      <c r="D21" s="488" t="s">
        <v>263</v>
      </c>
      <c r="E21" s="488" t="s">
        <v>282</v>
      </c>
      <c r="F21" s="489" t="s">
        <v>288</v>
      </c>
      <c r="G21" s="488" t="s">
        <v>284</v>
      </c>
      <c r="H21" s="489"/>
      <c r="I21" s="489"/>
      <c r="J21" s="489" t="s">
        <v>290</v>
      </c>
      <c r="K21" s="491"/>
      <c r="L21" s="488"/>
      <c r="M21" s="488"/>
      <c r="N21" s="489"/>
      <c r="O21" s="489"/>
      <c r="P21" s="489"/>
      <c r="Q21" s="489"/>
      <c r="R21" s="490"/>
      <c r="S21" s="489"/>
      <c r="T21" s="488" t="s">
        <v>268</v>
      </c>
    </row>
    <row r="22" ht="34.5">
      <c r="A22" s="488" t="s">
        <v>260</v>
      </c>
      <c r="B22" s="488" t="s">
        <v>261</v>
      </c>
      <c r="C22" s="488" t="s">
        <v>287</v>
      </c>
      <c r="D22" s="488" t="s">
        <v>263</v>
      </c>
      <c r="E22" s="488" t="s">
        <v>282</v>
      </c>
      <c r="F22" s="489" t="s">
        <v>288</v>
      </c>
      <c r="G22" s="488" t="s">
        <v>284</v>
      </c>
      <c r="H22" s="489"/>
      <c r="I22" s="489"/>
      <c r="J22" s="489" t="s">
        <v>291</v>
      </c>
      <c r="K22" s="491"/>
      <c r="L22" s="488"/>
      <c r="M22" s="488"/>
      <c r="N22" s="489"/>
      <c r="O22" s="489"/>
      <c r="P22" s="489"/>
      <c r="Q22" s="489"/>
      <c r="R22" s="490"/>
      <c r="S22" s="489"/>
      <c r="T22" s="488" t="s">
        <v>268</v>
      </c>
    </row>
    <row r="23" ht="34.5">
      <c r="A23" s="488" t="s">
        <v>260</v>
      </c>
      <c r="B23" s="488" t="s">
        <v>261</v>
      </c>
      <c r="C23" s="488" t="s">
        <v>287</v>
      </c>
      <c r="D23" s="488" t="s">
        <v>263</v>
      </c>
      <c r="E23" s="488" t="s">
        <v>282</v>
      </c>
      <c r="F23" s="489" t="s">
        <v>288</v>
      </c>
      <c r="G23" s="488" t="s">
        <v>284</v>
      </c>
      <c r="H23" s="489"/>
      <c r="I23" s="489"/>
      <c r="J23" s="489" t="s">
        <v>292</v>
      </c>
      <c r="K23" s="491"/>
      <c r="L23" s="488"/>
      <c r="M23" s="488"/>
      <c r="N23" s="489"/>
      <c r="O23" s="489"/>
      <c r="P23" s="489"/>
      <c r="Q23" s="489"/>
      <c r="R23" s="490"/>
      <c r="S23" s="489"/>
      <c r="T23" s="488" t="s">
        <v>268</v>
      </c>
    </row>
    <row r="24" ht="34.5">
      <c r="A24" s="488" t="s">
        <v>260</v>
      </c>
      <c r="B24" s="488" t="s">
        <v>261</v>
      </c>
      <c r="C24" s="488" t="s">
        <v>287</v>
      </c>
      <c r="D24" s="488" t="s">
        <v>263</v>
      </c>
      <c r="E24" s="488" t="s">
        <v>282</v>
      </c>
      <c r="F24" s="489" t="s">
        <v>288</v>
      </c>
      <c r="G24" s="488" t="s">
        <v>284</v>
      </c>
      <c r="H24" s="489"/>
      <c r="I24" s="489"/>
      <c r="J24" s="489" t="s">
        <v>293</v>
      </c>
      <c r="K24" s="491"/>
      <c r="L24" s="488"/>
      <c r="M24" s="488"/>
      <c r="N24" s="489"/>
      <c r="O24" s="489"/>
      <c r="P24" s="489"/>
      <c r="Q24" s="489"/>
      <c r="R24" s="490"/>
      <c r="S24" s="489"/>
      <c r="T24" s="488" t="s">
        <v>268</v>
      </c>
    </row>
    <row r="25" ht="34.5">
      <c r="A25" s="488" t="s">
        <v>260</v>
      </c>
      <c r="B25" s="488" t="s">
        <v>261</v>
      </c>
      <c r="C25" s="488" t="s">
        <v>287</v>
      </c>
      <c r="D25" s="488" t="s">
        <v>263</v>
      </c>
      <c r="E25" s="488" t="s">
        <v>282</v>
      </c>
      <c r="F25" s="489" t="s">
        <v>288</v>
      </c>
      <c r="G25" s="488" t="s">
        <v>284</v>
      </c>
      <c r="H25" s="489"/>
      <c r="I25" s="489"/>
      <c r="J25" s="489" t="s">
        <v>294</v>
      </c>
      <c r="K25" s="491"/>
      <c r="L25" s="488"/>
      <c r="M25" s="488"/>
      <c r="N25" s="489"/>
      <c r="O25" s="489"/>
      <c r="P25" s="489"/>
      <c r="Q25" s="489"/>
      <c r="R25" s="490"/>
      <c r="S25" s="489"/>
      <c r="T25" s="488" t="s">
        <v>268</v>
      </c>
    </row>
    <row r="26" ht="34.5">
      <c r="A26" s="488" t="s">
        <v>260</v>
      </c>
      <c r="B26" s="488" t="s">
        <v>261</v>
      </c>
      <c r="C26" s="488" t="s">
        <v>287</v>
      </c>
      <c r="D26" s="488" t="s">
        <v>263</v>
      </c>
      <c r="E26" s="488" t="s">
        <v>282</v>
      </c>
      <c r="F26" s="489" t="s">
        <v>288</v>
      </c>
      <c r="G26" s="488" t="s">
        <v>284</v>
      </c>
      <c r="H26" s="489"/>
      <c r="I26" s="489"/>
      <c r="J26" s="489" t="s">
        <v>295</v>
      </c>
      <c r="K26" s="491"/>
      <c r="L26" s="488"/>
      <c r="M26" s="488"/>
      <c r="N26" s="489"/>
      <c r="O26" s="489"/>
      <c r="P26" s="489"/>
      <c r="Q26" s="489"/>
      <c r="R26" s="490"/>
      <c r="S26" s="489"/>
      <c r="T26" s="488" t="s">
        <v>268</v>
      </c>
    </row>
    <row r="27" ht="34.5">
      <c r="A27" s="488" t="s">
        <v>260</v>
      </c>
      <c r="B27" s="488" t="s">
        <v>261</v>
      </c>
      <c r="C27" s="488" t="s">
        <v>287</v>
      </c>
      <c r="D27" s="488" t="s">
        <v>263</v>
      </c>
      <c r="E27" s="488" t="s">
        <v>282</v>
      </c>
      <c r="F27" s="489" t="s">
        <v>288</v>
      </c>
      <c r="G27" s="488" t="s">
        <v>284</v>
      </c>
      <c r="H27" s="489"/>
      <c r="I27" s="489"/>
      <c r="J27" s="489" t="s">
        <v>296</v>
      </c>
      <c r="K27" s="491"/>
      <c r="L27" s="488"/>
      <c r="M27" s="488"/>
      <c r="N27" s="489"/>
      <c r="O27" s="489"/>
      <c r="P27" s="489"/>
      <c r="Q27" s="489"/>
      <c r="R27" s="490"/>
      <c r="S27" s="489"/>
      <c r="T27" s="488" t="s">
        <v>268</v>
      </c>
    </row>
    <row r="28" ht="34.5">
      <c r="A28" s="488" t="s">
        <v>260</v>
      </c>
      <c r="B28" s="488" t="s">
        <v>261</v>
      </c>
      <c r="C28" s="488" t="s">
        <v>287</v>
      </c>
      <c r="D28" s="488" t="s">
        <v>263</v>
      </c>
      <c r="E28" s="488" t="s">
        <v>282</v>
      </c>
      <c r="F28" s="489" t="s">
        <v>288</v>
      </c>
      <c r="G28" s="488" t="s">
        <v>284</v>
      </c>
      <c r="H28" s="489"/>
      <c r="I28" s="489"/>
      <c r="J28" s="489" t="s">
        <v>297</v>
      </c>
      <c r="K28" s="491"/>
      <c r="L28" s="488"/>
      <c r="M28" s="488"/>
      <c r="N28" s="489"/>
      <c r="O28" s="489"/>
      <c r="P28" s="489"/>
      <c r="Q28" s="489"/>
      <c r="R28" s="490"/>
      <c r="S28" s="489"/>
      <c r="T28" s="488" t="s">
        <v>268</v>
      </c>
    </row>
    <row r="29" ht="34.5">
      <c r="A29" s="488" t="s">
        <v>260</v>
      </c>
      <c r="B29" s="488" t="s">
        <v>261</v>
      </c>
      <c r="C29" s="488" t="s">
        <v>298</v>
      </c>
      <c r="D29" s="488" t="s">
        <v>263</v>
      </c>
      <c r="E29" s="488" t="s">
        <v>282</v>
      </c>
      <c r="F29" s="489" t="s">
        <v>288</v>
      </c>
      <c r="G29" s="488" t="s">
        <v>284</v>
      </c>
      <c r="H29" s="489"/>
      <c r="I29" s="489"/>
      <c r="J29" s="489" t="s">
        <v>299</v>
      </c>
      <c r="K29" s="491"/>
      <c r="L29" s="488"/>
      <c r="M29" s="488"/>
      <c r="N29" s="489"/>
      <c r="O29" s="489"/>
      <c r="P29" s="489"/>
      <c r="Q29" s="489"/>
      <c r="R29" s="490"/>
      <c r="S29" s="489"/>
      <c r="T29" s="488" t="s">
        <v>268</v>
      </c>
    </row>
    <row r="30" ht="34.5">
      <c r="A30" s="488" t="s">
        <v>260</v>
      </c>
      <c r="B30" s="488" t="s">
        <v>261</v>
      </c>
      <c r="C30" s="488" t="s">
        <v>298</v>
      </c>
      <c r="D30" s="488" t="s">
        <v>263</v>
      </c>
      <c r="E30" s="488" t="s">
        <v>282</v>
      </c>
      <c r="F30" s="489" t="s">
        <v>288</v>
      </c>
      <c r="G30" s="488" t="s">
        <v>284</v>
      </c>
      <c r="H30" s="489"/>
      <c r="I30" s="489"/>
      <c r="J30" s="489" t="s">
        <v>300</v>
      </c>
      <c r="K30" s="491"/>
      <c r="L30" s="488"/>
      <c r="M30" s="488"/>
      <c r="N30" s="489"/>
      <c r="O30" s="489"/>
      <c r="P30" s="489"/>
      <c r="Q30" s="489"/>
      <c r="R30" s="490"/>
      <c r="S30" s="489"/>
      <c r="T30" s="488" t="s">
        <v>268</v>
      </c>
    </row>
    <row r="31" ht="34.5">
      <c r="A31" s="488" t="s">
        <v>260</v>
      </c>
      <c r="B31" s="488" t="s">
        <v>261</v>
      </c>
      <c r="C31" s="488" t="s">
        <v>298</v>
      </c>
      <c r="D31" s="488" t="s">
        <v>263</v>
      </c>
      <c r="E31" s="488" t="s">
        <v>282</v>
      </c>
      <c r="F31" s="489" t="s">
        <v>288</v>
      </c>
      <c r="G31" s="488" t="s">
        <v>284</v>
      </c>
      <c r="H31" s="489"/>
      <c r="I31" s="489"/>
      <c r="J31" s="489" t="s">
        <v>301</v>
      </c>
      <c r="K31" s="491"/>
      <c r="L31" s="488"/>
      <c r="M31" s="488"/>
      <c r="N31" s="489"/>
      <c r="O31" s="489"/>
      <c r="P31" s="489"/>
      <c r="Q31" s="489"/>
      <c r="R31" s="490"/>
      <c r="S31" s="489"/>
      <c r="T31" s="488" t="s">
        <v>268</v>
      </c>
    </row>
    <row r="32" ht="34.5">
      <c r="A32" s="488" t="s">
        <v>260</v>
      </c>
      <c r="B32" s="488" t="s">
        <v>261</v>
      </c>
      <c r="C32" s="488" t="s">
        <v>298</v>
      </c>
      <c r="D32" s="488" t="s">
        <v>263</v>
      </c>
      <c r="E32" s="488" t="s">
        <v>282</v>
      </c>
      <c r="F32" s="489" t="s">
        <v>288</v>
      </c>
      <c r="G32" s="488" t="s">
        <v>284</v>
      </c>
      <c r="H32" s="489"/>
      <c r="I32" s="489"/>
      <c r="J32" s="489" t="s">
        <v>302</v>
      </c>
      <c r="K32" s="491"/>
      <c r="L32" s="488"/>
      <c r="M32" s="488"/>
      <c r="N32" s="489"/>
      <c r="O32" s="489"/>
      <c r="P32" s="489"/>
      <c r="Q32" s="489"/>
      <c r="R32" s="490"/>
      <c r="S32" s="489"/>
      <c r="T32" s="488" t="s">
        <v>268</v>
      </c>
    </row>
    <row r="33" ht="34.5">
      <c r="A33" s="488" t="s">
        <v>260</v>
      </c>
      <c r="B33" s="488" t="s">
        <v>261</v>
      </c>
      <c r="C33" s="488" t="s">
        <v>298</v>
      </c>
      <c r="D33" s="488" t="s">
        <v>263</v>
      </c>
      <c r="E33" s="488" t="s">
        <v>282</v>
      </c>
      <c r="F33" s="489" t="s">
        <v>288</v>
      </c>
      <c r="G33" s="488" t="s">
        <v>284</v>
      </c>
      <c r="H33" s="489"/>
      <c r="I33" s="489"/>
      <c r="J33" s="489" t="s">
        <v>303</v>
      </c>
      <c r="K33" s="491"/>
      <c r="L33" s="488"/>
      <c r="M33" s="488"/>
      <c r="N33" s="489"/>
      <c r="O33" s="489"/>
      <c r="P33" s="489"/>
      <c r="Q33" s="489"/>
      <c r="R33" s="490"/>
      <c r="S33" s="489"/>
      <c r="T33" s="488" t="s">
        <v>268</v>
      </c>
    </row>
    <row r="34" ht="34.5">
      <c r="A34" s="488" t="s">
        <v>260</v>
      </c>
      <c r="B34" s="488" t="s">
        <v>261</v>
      </c>
      <c r="C34" s="488" t="s">
        <v>298</v>
      </c>
      <c r="D34" s="488" t="s">
        <v>263</v>
      </c>
      <c r="E34" s="488" t="s">
        <v>282</v>
      </c>
      <c r="F34" s="489" t="s">
        <v>288</v>
      </c>
      <c r="G34" s="488" t="s">
        <v>284</v>
      </c>
      <c r="H34" s="489"/>
      <c r="I34" s="489"/>
      <c r="J34" s="489" t="s">
        <v>304</v>
      </c>
      <c r="K34" s="491"/>
      <c r="L34" s="488"/>
      <c r="M34" s="488"/>
      <c r="N34" s="489"/>
      <c r="O34" s="489"/>
      <c r="P34" s="489"/>
      <c r="Q34" s="489"/>
      <c r="R34" s="490"/>
      <c r="S34" s="489"/>
      <c r="T34" s="488" t="s">
        <v>268</v>
      </c>
    </row>
    <row r="35" ht="34.5">
      <c r="A35" s="488" t="s">
        <v>260</v>
      </c>
      <c r="B35" s="488" t="s">
        <v>261</v>
      </c>
      <c r="C35" s="488" t="s">
        <v>298</v>
      </c>
      <c r="D35" s="488" t="s">
        <v>263</v>
      </c>
      <c r="E35" s="488" t="s">
        <v>282</v>
      </c>
      <c r="F35" s="489" t="s">
        <v>288</v>
      </c>
      <c r="G35" s="488" t="s">
        <v>284</v>
      </c>
      <c r="H35" s="489"/>
      <c r="I35" s="489"/>
      <c r="J35" s="489" t="s">
        <v>305</v>
      </c>
      <c r="K35" s="491"/>
      <c r="L35" s="488"/>
      <c r="M35" s="488"/>
      <c r="N35" s="489"/>
      <c r="O35" s="489"/>
      <c r="P35" s="489"/>
      <c r="Q35" s="489"/>
      <c r="R35" s="490"/>
      <c r="S35" s="489"/>
      <c r="T35" s="488" t="s">
        <v>268</v>
      </c>
    </row>
    <row r="36" ht="34.5">
      <c r="A36" s="488" t="s">
        <v>260</v>
      </c>
      <c r="B36" s="488" t="s">
        <v>261</v>
      </c>
      <c r="C36" s="488" t="s">
        <v>298</v>
      </c>
      <c r="D36" s="488" t="s">
        <v>263</v>
      </c>
      <c r="E36" s="488" t="s">
        <v>282</v>
      </c>
      <c r="F36" s="489" t="s">
        <v>288</v>
      </c>
      <c r="G36" s="488" t="s">
        <v>284</v>
      </c>
      <c r="H36" s="489"/>
      <c r="I36" s="489"/>
      <c r="J36" s="489" t="s">
        <v>306</v>
      </c>
      <c r="K36" s="491"/>
      <c r="L36" s="488"/>
      <c r="M36" s="488"/>
      <c r="N36" s="489"/>
      <c r="O36" s="489"/>
      <c r="P36" s="489"/>
      <c r="Q36" s="489"/>
      <c r="R36" s="490"/>
      <c r="S36" s="489"/>
      <c r="T36" s="488" t="s">
        <v>268</v>
      </c>
    </row>
    <row r="37" ht="34.5">
      <c r="A37" s="488" t="s">
        <v>260</v>
      </c>
      <c r="B37" s="488" t="s">
        <v>261</v>
      </c>
      <c r="C37" s="488" t="s">
        <v>298</v>
      </c>
      <c r="D37" s="488" t="s">
        <v>263</v>
      </c>
      <c r="E37" s="488" t="s">
        <v>282</v>
      </c>
      <c r="F37" s="489" t="s">
        <v>288</v>
      </c>
      <c r="G37" s="488" t="s">
        <v>284</v>
      </c>
      <c r="H37" s="489"/>
      <c r="I37" s="489"/>
      <c r="J37" s="489" t="s">
        <v>307</v>
      </c>
      <c r="K37" s="491"/>
      <c r="L37" s="488"/>
      <c r="M37" s="488"/>
      <c r="N37" s="489"/>
      <c r="O37" s="489"/>
      <c r="P37" s="489"/>
      <c r="Q37" s="489"/>
      <c r="R37" s="490"/>
      <c r="S37" s="489"/>
      <c r="T37" s="488" t="s">
        <v>268</v>
      </c>
    </row>
    <row r="38" ht="34.5">
      <c r="A38" s="488" t="s">
        <v>260</v>
      </c>
      <c r="B38" s="488" t="s">
        <v>261</v>
      </c>
      <c r="C38" s="488" t="s">
        <v>308</v>
      </c>
      <c r="D38" s="488" t="s">
        <v>263</v>
      </c>
      <c r="E38" s="488" t="s">
        <v>282</v>
      </c>
      <c r="F38" s="489" t="s">
        <v>288</v>
      </c>
      <c r="G38" s="488" t="s">
        <v>284</v>
      </c>
      <c r="H38" s="489"/>
      <c r="I38" s="489"/>
      <c r="J38" s="489" t="s">
        <v>309</v>
      </c>
      <c r="K38" s="491"/>
      <c r="L38" s="488"/>
      <c r="M38" s="488"/>
      <c r="N38" s="489"/>
      <c r="O38" s="489"/>
      <c r="P38" s="489"/>
      <c r="Q38" s="489"/>
      <c r="R38" s="490"/>
      <c r="S38" s="489"/>
      <c r="T38" s="488" t="s">
        <v>268</v>
      </c>
    </row>
    <row r="39" ht="34.5">
      <c r="A39" s="488" t="s">
        <v>260</v>
      </c>
      <c r="B39" s="488" t="s">
        <v>261</v>
      </c>
      <c r="C39" s="488" t="s">
        <v>308</v>
      </c>
      <c r="D39" s="488" t="s">
        <v>263</v>
      </c>
      <c r="E39" s="488" t="s">
        <v>282</v>
      </c>
      <c r="F39" s="489" t="s">
        <v>288</v>
      </c>
      <c r="G39" s="488" t="s">
        <v>284</v>
      </c>
      <c r="H39" s="489"/>
      <c r="I39" s="489"/>
      <c r="J39" s="489" t="s">
        <v>310</v>
      </c>
      <c r="K39" s="491"/>
      <c r="L39" s="488"/>
      <c r="M39" s="488"/>
      <c r="N39" s="489"/>
      <c r="O39" s="489"/>
      <c r="P39" s="489"/>
      <c r="Q39" s="489"/>
      <c r="R39" s="490"/>
      <c r="S39" s="489"/>
      <c r="T39" s="488" t="s">
        <v>268</v>
      </c>
    </row>
    <row r="40" ht="34.5">
      <c r="A40" s="488" t="s">
        <v>260</v>
      </c>
      <c r="B40" s="488" t="s">
        <v>261</v>
      </c>
      <c r="C40" s="488" t="s">
        <v>308</v>
      </c>
      <c r="D40" s="488" t="s">
        <v>263</v>
      </c>
      <c r="E40" s="488" t="s">
        <v>282</v>
      </c>
      <c r="F40" s="489" t="s">
        <v>288</v>
      </c>
      <c r="G40" s="488" t="s">
        <v>284</v>
      </c>
      <c r="H40" s="489"/>
      <c r="I40" s="489"/>
      <c r="J40" s="489" t="s">
        <v>311</v>
      </c>
      <c r="K40" s="491"/>
      <c r="L40" s="488"/>
      <c r="M40" s="488"/>
      <c r="N40" s="489"/>
      <c r="O40" s="489"/>
      <c r="P40" s="489"/>
      <c r="Q40" s="489"/>
      <c r="R40" s="490"/>
      <c r="S40" s="489"/>
      <c r="T40" s="488" t="s">
        <v>268</v>
      </c>
    </row>
    <row r="41" ht="34.5">
      <c r="A41" s="488" t="s">
        <v>260</v>
      </c>
      <c r="B41" s="488" t="s">
        <v>261</v>
      </c>
      <c r="C41" s="488" t="s">
        <v>308</v>
      </c>
      <c r="D41" s="488" t="s">
        <v>263</v>
      </c>
      <c r="E41" s="488" t="s">
        <v>282</v>
      </c>
      <c r="F41" s="489" t="s">
        <v>288</v>
      </c>
      <c r="G41" s="488" t="s">
        <v>284</v>
      </c>
      <c r="H41" s="489"/>
      <c r="I41" s="489"/>
      <c r="J41" s="489" t="s">
        <v>312</v>
      </c>
      <c r="K41" s="491"/>
      <c r="L41" s="488"/>
      <c r="M41" s="488"/>
      <c r="N41" s="489"/>
      <c r="O41" s="489"/>
      <c r="P41" s="489"/>
      <c r="Q41" s="489"/>
      <c r="R41" s="490"/>
      <c r="S41" s="489"/>
      <c r="T41" s="488" t="s">
        <v>268</v>
      </c>
    </row>
    <row r="42" ht="34.5">
      <c r="A42" s="488" t="s">
        <v>260</v>
      </c>
      <c r="B42" s="488" t="s">
        <v>261</v>
      </c>
      <c r="C42" s="488" t="s">
        <v>308</v>
      </c>
      <c r="D42" s="488" t="s">
        <v>263</v>
      </c>
      <c r="E42" s="488" t="s">
        <v>282</v>
      </c>
      <c r="F42" s="489" t="s">
        <v>288</v>
      </c>
      <c r="G42" s="488" t="s">
        <v>284</v>
      </c>
      <c r="H42" s="489"/>
      <c r="I42" s="489"/>
      <c r="J42" s="489" t="s">
        <v>313</v>
      </c>
      <c r="K42" s="491"/>
      <c r="L42" s="488"/>
      <c r="M42" s="488"/>
      <c r="N42" s="489"/>
      <c r="O42" s="489"/>
      <c r="P42" s="489"/>
      <c r="Q42" s="489"/>
      <c r="R42" s="490"/>
      <c r="S42" s="489"/>
      <c r="T42" s="488" t="s">
        <v>268</v>
      </c>
    </row>
    <row r="43" ht="34.5">
      <c r="A43" s="488" t="s">
        <v>260</v>
      </c>
      <c r="B43" s="488" t="s">
        <v>261</v>
      </c>
      <c r="C43" s="488" t="s">
        <v>308</v>
      </c>
      <c r="D43" s="488" t="s">
        <v>263</v>
      </c>
      <c r="E43" s="488" t="s">
        <v>282</v>
      </c>
      <c r="F43" s="489" t="s">
        <v>288</v>
      </c>
      <c r="G43" s="488" t="s">
        <v>284</v>
      </c>
      <c r="H43" s="489"/>
      <c r="I43" s="489"/>
      <c r="J43" s="489" t="s">
        <v>314</v>
      </c>
      <c r="K43" s="491"/>
      <c r="L43" s="488"/>
      <c r="M43" s="488"/>
      <c r="N43" s="489"/>
      <c r="O43" s="489"/>
      <c r="P43" s="489"/>
      <c r="Q43" s="489"/>
      <c r="R43" s="490"/>
      <c r="S43" s="489"/>
      <c r="T43" s="488" t="s">
        <v>268</v>
      </c>
    </row>
    <row r="44" ht="34.5">
      <c r="A44" s="488" t="s">
        <v>260</v>
      </c>
      <c r="B44" s="488" t="s">
        <v>261</v>
      </c>
      <c r="C44" s="488" t="s">
        <v>308</v>
      </c>
      <c r="D44" s="488" t="s">
        <v>263</v>
      </c>
      <c r="E44" s="488" t="s">
        <v>282</v>
      </c>
      <c r="F44" s="489" t="s">
        <v>288</v>
      </c>
      <c r="G44" s="488" t="s">
        <v>284</v>
      </c>
      <c r="H44" s="489"/>
      <c r="I44" s="489"/>
      <c r="J44" s="489" t="s">
        <v>315</v>
      </c>
      <c r="K44" s="491"/>
      <c r="L44" s="488"/>
      <c r="M44" s="488"/>
      <c r="N44" s="489"/>
      <c r="O44" s="489"/>
      <c r="P44" s="489"/>
      <c r="Q44" s="489"/>
      <c r="R44" s="490"/>
      <c r="S44" s="489"/>
      <c r="T44" s="488" t="s">
        <v>268</v>
      </c>
    </row>
    <row r="45" ht="34.5">
      <c r="A45" s="488" t="s">
        <v>260</v>
      </c>
      <c r="B45" s="488" t="s">
        <v>261</v>
      </c>
      <c r="C45" s="488" t="s">
        <v>308</v>
      </c>
      <c r="D45" s="488" t="s">
        <v>263</v>
      </c>
      <c r="E45" s="488" t="s">
        <v>282</v>
      </c>
      <c r="F45" s="489" t="s">
        <v>288</v>
      </c>
      <c r="G45" s="488" t="s">
        <v>284</v>
      </c>
      <c r="H45" s="489"/>
      <c r="I45" s="489"/>
      <c r="J45" s="489" t="s">
        <v>316</v>
      </c>
      <c r="K45" s="491"/>
      <c r="L45" s="488"/>
      <c r="M45" s="488"/>
      <c r="N45" s="489"/>
      <c r="O45" s="489"/>
      <c r="P45" s="489"/>
      <c r="Q45" s="489"/>
      <c r="R45" s="490"/>
      <c r="S45" s="489"/>
      <c r="T45" s="488" t="s">
        <v>268</v>
      </c>
    </row>
    <row r="46" ht="34.5">
      <c r="A46" s="488" t="s">
        <v>260</v>
      </c>
      <c r="B46" s="488" t="s">
        <v>261</v>
      </c>
      <c r="C46" s="488" t="s">
        <v>317</v>
      </c>
      <c r="D46" s="488" t="s">
        <v>263</v>
      </c>
      <c r="E46" s="488" t="s">
        <v>282</v>
      </c>
      <c r="F46" s="489" t="s">
        <v>288</v>
      </c>
      <c r="G46" s="488" t="s">
        <v>284</v>
      </c>
      <c r="H46" s="489"/>
      <c r="I46" s="489"/>
      <c r="J46" s="489" t="s">
        <v>318</v>
      </c>
      <c r="K46" s="491"/>
      <c r="L46" s="488"/>
      <c r="M46" s="488"/>
      <c r="N46" s="489"/>
      <c r="O46" s="489"/>
      <c r="P46" s="489"/>
      <c r="Q46" s="489"/>
      <c r="R46" s="490"/>
      <c r="S46" s="489"/>
      <c r="T46" s="488" t="s">
        <v>268</v>
      </c>
    </row>
    <row r="47" ht="34.5">
      <c r="A47" s="488" t="s">
        <v>260</v>
      </c>
      <c r="B47" s="488" t="s">
        <v>261</v>
      </c>
      <c r="C47" s="488" t="s">
        <v>317</v>
      </c>
      <c r="D47" s="488" t="s">
        <v>263</v>
      </c>
      <c r="E47" s="488" t="s">
        <v>282</v>
      </c>
      <c r="F47" s="489" t="s">
        <v>288</v>
      </c>
      <c r="G47" s="488" t="s">
        <v>284</v>
      </c>
      <c r="H47" s="489"/>
      <c r="I47" s="489"/>
      <c r="J47" s="489" t="s">
        <v>319</v>
      </c>
      <c r="K47" s="491"/>
      <c r="L47" s="488"/>
      <c r="M47" s="488"/>
      <c r="N47" s="489"/>
      <c r="O47" s="489"/>
      <c r="P47" s="489"/>
      <c r="Q47" s="489"/>
      <c r="R47" s="490"/>
      <c r="S47" s="489"/>
      <c r="T47" s="488" t="s">
        <v>268</v>
      </c>
    </row>
    <row r="48" ht="34.5">
      <c r="A48" s="488" t="s">
        <v>260</v>
      </c>
      <c r="B48" s="488" t="s">
        <v>261</v>
      </c>
      <c r="C48" s="488" t="s">
        <v>317</v>
      </c>
      <c r="D48" s="488" t="s">
        <v>263</v>
      </c>
      <c r="E48" s="488" t="s">
        <v>282</v>
      </c>
      <c r="F48" s="489" t="s">
        <v>288</v>
      </c>
      <c r="G48" s="488" t="s">
        <v>284</v>
      </c>
      <c r="H48" s="489"/>
      <c r="I48" s="489"/>
      <c r="J48" s="489" t="s">
        <v>320</v>
      </c>
      <c r="K48" s="491"/>
      <c r="L48" s="488"/>
      <c r="M48" s="488"/>
      <c r="N48" s="489"/>
      <c r="O48" s="489"/>
      <c r="P48" s="489"/>
      <c r="Q48" s="489"/>
      <c r="R48" s="490"/>
      <c r="S48" s="489"/>
      <c r="T48" s="488" t="s">
        <v>268</v>
      </c>
    </row>
    <row r="49" ht="34.5">
      <c r="A49" s="488" t="s">
        <v>260</v>
      </c>
      <c r="B49" s="488" t="s">
        <v>261</v>
      </c>
      <c r="C49" s="488" t="s">
        <v>317</v>
      </c>
      <c r="D49" s="488" t="s">
        <v>263</v>
      </c>
      <c r="E49" s="488" t="s">
        <v>282</v>
      </c>
      <c r="F49" s="489" t="s">
        <v>288</v>
      </c>
      <c r="G49" s="488" t="s">
        <v>284</v>
      </c>
      <c r="H49" s="489"/>
      <c r="I49" s="489"/>
      <c r="J49" s="489" t="s">
        <v>321</v>
      </c>
      <c r="K49" s="491"/>
      <c r="L49" s="488"/>
      <c r="M49" s="488"/>
      <c r="N49" s="489"/>
      <c r="O49" s="489"/>
      <c r="P49" s="489"/>
      <c r="Q49" s="489"/>
      <c r="R49" s="490"/>
      <c r="S49" s="489"/>
      <c r="T49" s="488" t="s">
        <v>268</v>
      </c>
    </row>
    <row r="50" ht="34.5">
      <c r="A50" s="488" t="s">
        <v>260</v>
      </c>
      <c r="B50" s="488" t="s">
        <v>261</v>
      </c>
      <c r="C50" s="488" t="s">
        <v>317</v>
      </c>
      <c r="D50" s="488" t="s">
        <v>263</v>
      </c>
      <c r="E50" s="488" t="s">
        <v>282</v>
      </c>
      <c r="F50" s="489" t="s">
        <v>288</v>
      </c>
      <c r="G50" s="488" t="s">
        <v>284</v>
      </c>
      <c r="H50" s="489"/>
      <c r="I50" s="489"/>
      <c r="J50" s="489" t="s">
        <v>322</v>
      </c>
      <c r="K50" s="491"/>
      <c r="L50" s="488"/>
      <c r="M50" s="488"/>
      <c r="N50" s="489"/>
      <c r="O50" s="489"/>
      <c r="P50" s="489"/>
      <c r="Q50" s="489"/>
      <c r="R50" s="490"/>
      <c r="S50" s="489"/>
      <c r="T50" s="488" t="s">
        <v>268</v>
      </c>
    </row>
    <row r="51" ht="34.5">
      <c r="A51" s="488" t="s">
        <v>260</v>
      </c>
      <c r="B51" s="488" t="s">
        <v>261</v>
      </c>
      <c r="C51" s="488" t="s">
        <v>317</v>
      </c>
      <c r="D51" s="488" t="s">
        <v>263</v>
      </c>
      <c r="E51" s="488" t="s">
        <v>282</v>
      </c>
      <c r="F51" s="489" t="s">
        <v>288</v>
      </c>
      <c r="G51" s="488" t="s">
        <v>284</v>
      </c>
      <c r="H51" s="489"/>
      <c r="I51" s="489"/>
      <c r="J51" s="489" t="s">
        <v>323</v>
      </c>
      <c r="K51" s="491"/>
      <c r="L51" s="488"/>
      <c r="M51" s="488"/>
      <c r="N51" s="489"/>
      <c r="O51" s="489"/>
      <c r="P51" s="489"/>
      <c r="Q51" s="489"/>
      <c r="R51" s="490"/>
      <c r="S51" s="489"/>
      <c r="T51" s="488" t="s">
        <v>268</v>
      </c>
    </row>
    <row r="52" ht="34.5">
      <c r="A52" s="488" t="s">
        <v>260</v>
      </c>
      <c r="B52" s="488" t="s">
        <v>261</v>
      </c>
      <c r="C52" s="488" t="s">
        <v>317</v>
      </c>
      <c r="D52" s="488" t="s">
        <v>263</v>
      </c>
      <c r="E52" s="488" t="s">
        <v>282</v>
      </c>
      <c r="F52" s="489" t="s">
        <v>288</v>
      </c>
      <c r="G52" s="488" t="s">
        <v>284</v>
      </c>
      <c r="H52" s="489"/>
      <c r="I52" s="489"/>
      <c r="J52" s="489" t="s">
        <v>324</v>
      </c>
      <c r="K52" s="491"/>
      <c r="L52" s="488"/>
      <c r="M52" s="488"/>
      <c r="N52" s="489"/>
      <c r="O52" s="489"/>
      <c r="P52" s="489"/>
      <c r="Q52" s="489"/>
      <c r="R52" s="490"/>
      <c r="S52" s="489"/>
      <c r="T52" s="488" t="s">
        <v>268</v>
      </c>
    </row>
    <row r="53" ht="34.5">
      <c r="A53" s="488" t="s">
        <v>260</v>
      </c>
      <c r="B53" s="488" t="s">
        <v>261</v>
      </c>
      <c r="C53" s="488" t="s">
        <v>317</v>
      </c>
      <c r="D53" s="488" t="s">
        <v>263</v>
      </c>
      <c r="E53" s="488" t="s">
        <v>282</v>
      </c>
      <c r="F53" s="489" t="s">
        <v>288</v>
      </c>
      <c r="G53" s="488" t="s">
        <v>284</v>
      </c>
      <c r="H53" s="489"/>
      <c r="I53" s="489"/>
      <c r="J53" s="489" t="s">
        <v>325</v>
      </c>
      <c r="K53" s="491"/>
      <c r="L53" s="488"/>
      <c r="M53" s="488"/>
      <c r="N53" s="489"/>
      <c r="O53" s="489"/>
      <c r="P53" s="489"/>
      <c r="Q53" s="489"/>
      <c r="R53" s="490"/>
      <c r="S53" s="489"/>
      <c r="T53" s="488" t="s">
        <v>268</v>
      </c>
    </row>
    <row r="54" ht="34.5">
      <c r="A54" s="488" t="s">
        <v>260</v>
      </c>
      <c r="B54" s="488" t="s">
        <v>261</v>
      </c>
      <c r="C54" s="488" t="s">
        <v>317</v>
      </c>
      <c r="D54" s="488" t="s">
        <v>263</v>
      </c>
      <c r="E54" s="488" t="s">
        <v>282</v>
      </c>
      <c r="F54" s="489" t="s">
        <v>288</v>
      </c>
      <c r="G54" s="488" t="s">
        <v>284</v>
      </c>
      <c r="H54" s="489"/>
      <c r="I54" s="489"/>
      <c r="J54" s="489" t="s">
        <v>326</v>
      </c>
      <c r="K54" s="491"/>
      <c r="L54" s="488"/>
      <c r="M54" s="488"/>
      <c r="N54" s="489"/>
      <c r="O54" s="489"/>
      <c r="P54" s="489"/>
      <c r="Q54" s="489"/>
      <c r="R54" s="490"/>
      <c r="S54" s="489"/>
      <c r="T54" s="488" t="s">
        <v>268</v>
      </c>
    </row>
    <row r="55" ht="34.5">
      <c r="A55" s="488" t="s">
        <v>260</v>
      </c>
      <c r="B55" s="488" t="s">
        <v>261</v>
      </c>
      <c r="C55" s="488" t="s">
        <v>317</v>
      </c>
      <c r="D55" s="488" t="s">
        <v>263</v>
      </c>
      <c r="E55" s="488" t="s">
        <v>282</v>
      </c>
      <c r="F55" s="489" t="s">
        <v>288</v>
      </c>
      <c r="G55" s="488" t="s">
        <v>284</v>
      </c>
      <c r="H55" s="489"/>
      <c r="I55" s="489"/>
      <c r="J55" s="489" t="s">
        <v>327</v>
      </c>
      <c r="K55" s="491"/>
      <c r="L55" s="488"/>
      <c r="M55" s="488"/>
      <c r="N55" s="489"/>
      <c r="O55" s="489"/>
      <c r="P55" s="489"/>
      <c r="Q55" s="489"/>
      <c r="R55" s="490"/>
      <c r="S55" s="489"/>
      <c r="T55" s="488" t="s">
        <v>268</v>
      </c>
    </row>
    <row r="56" ht="34.5">
      <c r="A56" s="488" t="s">
        <v>260</v>
      </c>
      <c r="B56" s="488" t="s">
        <v>261</v>
      </c>
      <c r="C56" s="488" t="s">
        <v>328</v>
      </c>
      <c r="D56" s="488" t="s">
        <v>263</v>
      </c>
      <c r="E56" s="488" t="s">
        <v>282</v>
      </c>
      <c r="F56" s="489" t="s">
        <v>288</v>
      </c>
      <c r="G56" s="488" t="s">
        <v>284</v>
      </c>
      <c r="H56" s="489"/>
      <c r="I56" s="489"/>
      <c r="J56" s="489" t="s">
        <v>329</v>
      </c>
      <c r="K56" s="491"/>
      <c r="L56" s="488"/>
      <c r="M56" s="488"/>
      <c r="N56" s="489"/>
      <c r="O56" s="489"/>
      <c r="P56" s="489"/>
      <c r="Q56" s="489"/>
      <c r="R56" s="490"/>
      <c r="S56" s="489"/>
      <c r="T56" s="488" t="s">
        <v>268</v>
      </c>
    </row>
    <row r="57" ht="34.5">
      <c r="A57" s="488" t="s">
        <v>260</v>
      </c>
      <c r="B57" s="488" t="s">
        <v>261</v>
      </c>
      <c r="C57" s="488" t="s">
        <v>328</v>
      </c>
      <c r="D57" s="488" t="s">
        <v>263</v>
      </c>
      <c r="E57" s="488" t="s">
        <v>282</v>
      </c>
      <c r="F57" s="489" t="s">
        <v>288</v>
      </c>
      <c r="G57" s="488" t="s">
        <v>284</v>
      </c>
      <c r="H57" s="489"/>
      <c r="I57" s="489"/>
      <c r="J57" s="489" t="s">
        <v>330</v>
      </c>
      <c r="K57" s="491"/>
      <c r="L57" s="488"/>
      <c r="M57" s="488"/>
      <c r="N57" s="489"/>
      <c r="O57" s="489"/>
      <c r="P57" s="489"/>
      <c r="Q57" s="489"/>
      <c r="R57" s="490"/>
      <c r="S57" s="489"/>
      <c r="T57" s="488" t="s">
        <v>268</v>
      </c>
    </row>
    <row r="58" ht="34.5">
      <c r="A58" s="488" t="s">
        <v>260</v>
      </c>
      <c r="B58" s="488" t="s">
        <v>261</v>
      </c>
      <c r="C58" s="488" t="s">
        <v>328</v>
      </c>
      <c r="D58" s="488" t="s">
        <v>263</v>
      </c>
      <c r="E58" s="488" t="s">
        <v>282</v>
      </c>
      <c r="F58" s="489" t="s">
        <v>288</v>
      </c>
      <c r="G58" s="488" t="s">
        <v>284</v>
      </c>
      <c r="H58" s="489"/>
      <c r="I58" s="489"/>
      <c r="J58" s="489" t="s">
        <v>331</v>
      </c>
      <c r="K58" s="491"/>
      <c r="L58" s="488"/>
      <c r="M58" s="488"/>
      <c r="N58" s="489"/>
      <c r="O58" s="489"/>
      <c r="P58" s="489"/>
      <c r="Q58" s="489"/>
      <c r="R58" s="490"/>
      <c r="S58" s="489"/>
      <c r="T58" s="488" t="s">
        <v>268</v>
      </c>
    </row>
    <row r="59" ht="34.5">
      <c r="A59" s="488" t="s">
        <v>260</v>
      </c>
      <c r="B59" s="488" t="s">
        <v>261</v>
      </c>
      <c r="C59" s="488" t="s">
        <v>328</v>
      </c>
      <c r="D59" s="488" t="s">
        <v>263</v>
      </c>
      <c r="E59" s="488" t="s">
        <v>282</v>
      </c>
      <c r="F59" s="489" t="s">
        <v>288</v>
      </c>
      <c r="G59" s="488" t="s">
        <v>284</v>
      </c>
      <c r="H59" s="489"/>
      <c r="I59" s="489"/>
      <c r="J59" s="489" t="s">
        <v>332</v>
      </c>
      <c r="K59" s="491"/>
      <c r="L59" s="488"/>
      <c r="M59" s="488"/>
      <c r="N59" s="489"/>
      <c r="O59" s="489"/>
      <c r="P59" s="489"/>
      <c r="Q59" s="489"/>
      <c r="R59" s="490"/>
      <c r="S59" s="489"/>
      <c r="T59" s="488" t="s">
        <v>268</v>
      </c>
    </row>
    <row r="60" ht="34.5">
      <c r="A60" s="488" t="s">
        <v>260</v>
      </c>
      <c r="B60" s="488" t="s">
        <v>261</v>
      </c>
      <c r="C60" s="488" t="s">
        <v>328</v>
      </c>
      <c r="D60" s="488" t="s">
        <v>263</v>
      </c>
      <c r="E60" s="488" t="s">
        <v>282</v>
      </c>
      <c r="F60" s="489" t="s">
        <v>288</v>
      </c>
      <c r="G60" s="488" t="s">
        <v>284</v>
      </c>
      <c r="H60" s="489"/>
      <c r="I60" s="489"/>
      <c r="J60" s="489" t="s">
        <v>333</v>
      </c>
      <c r="K60" s="491"/>
      <c r="L60" s="488"/>
      <c r="M60" s="488"/>
      <c r="N60" s="489"/>
      <c r="O60" s="489"/>
      <c r="P60" s="489"/>
      <c r="Q60" s="489"/>
      <c r="R60" s="490"/>
      <c r="S60" s="489"/>
      <c r="T60" s="488" t="s">
        <v>268</v>
      </c>
    </row>
    <row r="61" ht="34.5">
      <c r="A61" s="488" t="s">
        <v>260</v>
      </c>
      <c r="B61" s="488" t="s">
        <v>261</v>
      </c>
      <c r="C61" s="488" t="s">
        <v>328</v>
      </c>
      <c r="D61" s="488" t="s">
        <v>263</v>
      </c>
      <c r="E61" s="488" t="s">
        <v>282</v>
      </c>
      <c r="F61" s="489" t="s">
        <v>288</v>
      </c>
      <c r="G61" s="488" t="s">
        <v>284</v>
      </c>
      <c r="H61" s="489"/>
      <c r="I61" s="489"/>
      <c r="J61" s="489" t="s">
        <v>334</v>
      </c>
      <c r="K61" s="491"/>
      <c r="L61" s="488"/>
      <c r="M61" s="488"/>
      <c r="N61" s="489"/>
      <c r="O61" s="489"/>
      <c r="P61" s="489"/>
      <c r="Q61" s="489"/>
      <c r="R61" s="490"/>
      <c r="S61" s="489"/>
      <c r="T61" s="488" t="s">
        <v>268</v>
      </c>
    </row>
    <row r="62" ht="34.5">
      <c r="A62" s="488" t="s">
        <v>260</v>
      </c>
      <c r="B62" s="488" t="s">
        <v>261</v>
      </c>
      <c r="C62" s="488" t="s">
        <v>335</v>
      </c>
      <c r="D62" s="488" t="s">
        <v>263</v>
      </c>
      <c r="E62" s="488" t="s">
        <v>282</v>
      </c>
      <c r="F62" s="489" t="s">
        <v>288</v>
      </c>
      <c r="G62" s="488" t="s">
        <v>284</v>
      </c>
      <c r="H62" s="489"/>
      <c r="I62" s="489"/>
      <c r="J62" s="489" t="s">
        <v>336</v>
      </c>
      <c r="K62" s="491"/>
      <c r="L62" s="488"/>
      <c r="M62" s="488"/>
      <c r="N62" s="489"/>
      <c r="O62" s="489"/>
      <c r="P62" s="489"/>
      <c r="Q62" s="489"/>
      <c r="R62" s="490"/>
      <c r="S62" s="489"/>
      <c r="T62" s="488" t="s">
        <v>268</v>
      </c>
    </row>
    <row r="63" ht="34.5">
      <c r="A63" s="488" t="s">
        <v>260</v>
      </c>
      <c r="B63" s="488" t="s">
        <v>261</v>
      </c>
      <c r="C63" s="488" t="s">
        <v>335</v>
      </c>
      <c r="D63" s="488" t="s">
        <v>263</v>
      </c>
      <c r="E63" s="488" t="s">
        <v>282</v>
      </c>
      <c r="F63" s="489" t="s">
        <v>288</v>
      </c>
      <c r="G63" s="488" t="s">
        <v>284</v>
      </c>
      <c r="H63" s="489"/>
      <c r="I63" s="489"/>
      <c r="J63" s="489" t="s">
        <v>337</v>
      </c>
      <c r="K63" s="491"/>
      <c r="L63" s="488"/>
      <c r="M63" s="488"/>
      <c r="N63" s="489"/>
      <c r="O63" s="489"/>
      <c r="P63" s="489"/>
      <c r="Q63" s="489"/>
      <c r="R63" s="490"/>
      <c r="S63" s="489"/>
      <c r="T63" s="488" t="s">
        <v>268</v>
      </c>
    </row>
    <row r="64" ht="34.5">
      <c r="A64" s="488" t="s">
        <v>260</v>
      </c>
      <c r="B64" s="488" t="s">
        <v>261</v>
      </c>
      <c r="C64" s="488" t="s">
        <v>335</v>
      </c>
      <c r="D64" s="488" t="s">
        <v>263</v>
      </c>
      <c r="E64" s="488" t="s">
        <v>282</v>
      </c>
      <c r="F64" s="489" t="s">
        <v>288</v>
      </c>
      <c r="G64" s="488" t="s">
        <v>284</v>
      </c>
      <c r="H64" s="489"/>
      <c r="I64" s="489"/>
      <c r="J64" s="489" t="s">
        <v>338</v>
      </c>
      <c r="K64" s="491"/>
      <c r="L64" s="488"/>
      <c r="M64" s="488"/>
      <c r="N64" s="489"/>
      <c r="O64" s="489"/>
      <c r="P64" s="489"/>
      <c r="Q64" s="489"/>
      <c r="R64" s="490"/>
      <c r="S64" s="489"/>
      <c r="T64" s="488" t="s">
        <v>268</v>
      </c>
    </row>
    <row r="65" ht="34.5">
      <c r="A65" s="488" t="s">
        <v>260</v>
      </c>
      <c r="B65" s="488" t="s">
        <v>261</v>
      </c>
      <c r="C65" s="488" t="s">
        <v>335</v>
      </c>
      <c r="D65" s="488" t="s">
        <v>263</v>
      </c>
      <c r="E65" s="488" t="s">
        <v>282</v>
      </c>
      <c r="F65" s="489" t="s">
        <v>288</v>
      </c>
      <c r="G65" s="488" t="s">
        <v>284</v>
      </c>
      <c r="H65" s="489"/>
      <c r="I65" s="489"/>
      <c r="J65" s="489" t="s">
        <v>339</v>
      </c>
      <c r="K65" s="491"/>
      <c r="L65" s="488"/>
      <c r="M65" s="488"/>
      <c r="N65" s="489"/>
      <c r="O65" s="489"/>
      <c r="P65" s="489"/>
      <c r="Q65" s="489"/>
      <c r="R65" s="490"/>
      <c r="S65" s="489"/>
      <c r="T65" s="488" t="s">
        <v>268</v>
      </c>
    </row>
    <row r="66" ht="34.5">
      <c r="A66" s="488" t="s">
        <v>260</v>
      </c>
      <c r="B66" s="488" t="s">
        <v>261</v>
      </c>
      <c r="C66" s="488" t="s">
        <v>335</v>
      </c>
      <c r="D66" s="488" t="s">
        <v>263</v>
      </c>
      <c r="E66" s="488" t="s">
        <v>282</v>
      </c>
      <c r="F66" s="489" t="s">
        <v>288</v>
      </c>
      <c r="G66" s="488" t="s">
        <v>284</v>
      </c>
      <c r="H66" s="489"/>
      <c r="I66" s="489"/>
      <c r="J66" s="489" t="s">
        <v>340</v>
      </c>
      <c r="K66" s="491"/>
      <c r="L66" s="488"/>
      <c r="M66" s="488"/>
      <c r="N66" s="489"/>
      <c r="O66" s="489"/>
      <c r="P66" s="489"/>
      <c r="Q66" s="489"/>
      <c r="R66" s="490"/>
      <c r="S66" s="489"/>
      <c r="T66" s="488" t="s">
        <v>268</v>
      </c>
    </row>
    <row r="67" ht="34.5">
      <c r="A67" s="488" t="s">
        <v>260</v>
      </c>
      <c r="B67" s="488" t="s">
        <v>261</v>
      </c>
      <c r="C67" s="488" t="s">
        <v>335</v>
      </c>
      <c r="D67" s="488" t="s">
        <v>263</v>
      </c>
      <c r="E67" s="488" t="s">
        <v>282</v>
      </c>
      <c r="F67" s="489" t="s">
        <v>288</v>
      </c>
      <c r="G67" s="488" t="s">
        <v>284</v>
      </c>
      <c r="H67" s="489"/>
      <c r="I67" s="489"/>
      <c r="J67" s="489" t="s">
        <v>341</v>
      </c>
      <c r="K67" s="491"/>
      <c r="L67" s="488"/>
      <c r="M67" s="488"/>
      <c r="N67" s="489"/>
      <c r="O67" s="489"/>
      <c r="P67" s="489"/>
      <c r="Q67" s="489"/>
      <c r="R67" s="490"/>
      <c r="S67" s="489"/>
      <c r="T67" s="488" t="s">
        <v>268</v>
      </c>
    </row>
    <row r="68" ht="34.5">
      <c r="A68" s="488" t="s">
        <v>260</v>
      </c>
      <c r="B68" s="488" t="s">
        <v>261</v>
      </c>
      <c r="C68" s="488" t="s">
        <v>335</v>
      </c>
      <c r="D68" s="488" t="s">
        <v>263</v>
      </c>
      <c r="E68" s="488" t="s">
        <v>282</v>
      </c>
      <c r="F68" s="489" t="s">
        <v>288</v>
      </c>
      <c r="G68" s="488" t="s">
        <v>284</v>
      </c>
      <c r="H68" s="489"/>
      <c r="I68" s="489"/>
      <c r="J68" s="489" t="s">
        <v>342</v>
      </c>
      <c r="K68" s="491"/>
      <c r="L68" s="488"/>
      <c r="M68" s="488"/>
      <c r="N68" s="489"/>
      <c r="O68" s="489"/>
      <c r="P68" s="489"/>
      <c r="Q68" s="489"/>
      <c r="R68" s="490"/>
      <c r="S68" s="489"/>
      <c r="T68" s="488" t="s">
        <v>268</v>
      </c>
    </row>
    <row r="69" ht="34.5">
      <c r="A69" s="488" t="s">
        <v>260</v>
      </c>
      <c r="B69" s="488" t="s">
        <v>261</v>
      </c>
      <c r="C69" s="488" t="s">
        <v>335</v>
      </c>
      <c r="D69" s="488" t="s">
        <v>263</v>
      </c>
      <c r="E69" s="488" t="s">
        <v>282</v>
      </c>
      <c r="F69" s="489" t="s">
        <v>288</v>
      </c>
      <c r="G69" s="488" t="s">
        <v>284</v>
      </c>
      <c r="H69" s="489"/>
      <c r="I69" s="489"/>
      <c r="J69" s="489" t="s">
        <v>343</v>
      </c>
      <c r="K69" s="491"/>
      <c r="L69" s="488"/>
      <c r="M69" s="488"/>
      <c r="N69" s="489"/>
      <c r="O69" s="489"/>
      <c r="P69" s="489"/>
      <c r="Q69" s="489"/>
      <c r="R69" s="490"/>
      <c r="S69" s="489"/>
      <c r="T69" s="488" t="s">
        <v>268</v>
      </c>
    </row>
    <row r="70" ht="34.5">
      <c r="A70" s="488" t="s">
        <v>260</v>
      </c>
      <c r="B70" s="488" t="s">
        <v>261</v>
      </c>
      <c r="C70" s="488" t="s">
        <v>335</v>
      </c>
      <c r="D70" s="488" t="s">
        <v>263</v>
      </c>
      <c r="E70" s="488" t="s">
        <v>282</v>
      </c>
      <c r="F70" s="489" t="s">
        <v>288</v>
      </c>
      <c r="G70" s="488" t="s">
        <v>284</v>
      </c>
      <c r="H70" s="489"/>
      <c r="I70" s="489"/>
      <c r="J70" s="489" t="s">
        <v>344</v>
      </c>
      <c r="K70" s="491"/>
      <c r="L70" s="488"/>
      <c r="M70" s="488"/>
      <c r="N70" s="489"/>
      <c r="O70" s="489"/>
      <c r="P70" s="489"/>
      <c r="Q70" s="489"/>
      <c r="R70" s="490"/>
      <c r="S70" s="489"/>
      <c r="T70" s="488" t="s">
        <v>268</v>
      </c>
    </row>
    <row r="71" ht="34.5">
      <c r="A71" s="488" t="s">
        <v>260</v>
      </c>
      <c r="B71" s="488" t="s">
        <v>261</v>
      </c>
      <c r="C71" s="488" t="s">
        <v>335</v>
      </c>
      <c r="D71" s="488" t="s">
        <v>263</v>
      </c>
      <c r="E71" s="488" t="s">
        <v>282</v>
      </c>
      <c r="F71" s="489" t="s">
        <v>288</v>
      </c>
      <c r="G71" s="488" t="s">
        <v>284</v>
      </c>
      <c r="H71" s="489"/>
      <c r="I71" s="489"/>
      <c r="J71" s="489" t="s">
        <v>345</v>
      </c>
      <c r="K71" s="491"/>
      <c r="L71" s="488"/>
      <c r="M71" s="488"/>
      <c r="N71" s="489"/>
      <c r="O71" s="489"/>
      <c r="P71" s="489"/>
      <c r="Q71" s="489"/>
      <c r="R71" s="490"/>
      <c r="S71" s="489"/>
      <c r="T71" s="488" t="s">
        <v>268</v>
      </c>
    </row>
    <row r="72" ht="34.5">
      <c r="A72" s="488" t="s">
        <v>260</v>
      </c>
      <c r="B72" s="488" t="s">
        <v>261</v>
      </c>
      <c r="C72" s="488" t="s">
        <v>346</v>
      </c>
      <c r="D72" s="488" t="s">
        <v>263</v>
      </c>
      <c r="E72" s="488" t="s">
        <v>282</v>
      </c>
      <c r="F72" s="489" t="s">
        <v>288</v>
      </c>
      <c r="G72" s="488" t="s">
        <v>284</v>
      </c>
      <c r="H72" s="489"/>
      <c r="I72" s="489"/>
      <c r="J72" s="489" t="s">
        <v>347</v>
      </c>
      <c r="K72" s="491"/>
      <c r="L72" s="488"/>
      <c r="M72" s="488"/>
      <c r="N72" s="489"/>
      <c r="O72" s="489"/>
      <c r="P72" s="489"/>
      <c r="Q72" s="489"/>
      <c r="R72" s="490"/>
      <c r="S72" s="489"/>
      <c r="T72" s="488" t="s">
        <v>268</v>
      </c>
    </row>
    <row r="73" ht="34.5">
      <c r="A73" s="488" t="s">
        <v>260</v>
      </c>
      <c r="B73" s="488" t="s">
        <v>261</v>
      </c>
      <c r="C73" s="488" t="s">
        <v>346</v>
      </c>
      <c r="D73" s="488" t="s">
        <v>263</v>
      </c>
      <c r="E73" s="488" t="s">
        <v>282</v>
      </c>
      <c r="F73" s="489" t="s">
        <v>288</v>
      </c>
      <c r="G73" s="488" t="s">
        <v>284</v>
      </c>
      <c r="H73" s="489"/>
      <c r="I73" s="489"/>
      <c r="J73" s="489" t="s">
        <v>348</v>
      </c>
      <c r="K73" s="491"/>
      <c r="L73" s="488"/>
      <c r="M73" s="488"/>
      <c r="N73" s="489"/>
      <c r="O73" s="489"/>
      <c r="P73" s="489"/>
      <c r="Q73" s="489"/>
      <c r="R73" s="490"/>
      <c r="S73" s="489"/>
      <c r="T73" s="488" t="s">
        <v>268</v>
      </c>
    </row>
    <row r="74" ht="34.5">
      <c r="A74" s="488" t="s">
        <v>260</v>
      </c>
      <c r="B74" s="488" t="s">
        <v>261</v>
      </c>
      <c r="C74" s="488" t="s">
        <v>346</v>
      </c>
      <c r="D74" s="488" t="s">
        <v>263</v>
      </c>
      <c r="E74" s="488" t="s">
        <v>282</v>
      </c>
      <c r="F74" s="489" t="s">
        <v>288</v>
      </c>
      <c r="G74" s="488" t="s">
        <v>284</v>
      </c>
      <c r="H74" s="489"/>
      <c r="I74" s="489"/>
      <c r="J74" s="489" t="s">
        <v>349</v>
      </c>
      <c r="K74" s="491"/>
      <c r="L74" s="488"/>
      <c r="M74" s="488"/>
      <c r="N74" s="489"/>
      <c r="O74" s="489"/>
      <c r="P74" s="489"/>
      <c r="Q74" s="489"/>
      <c r="R74" s="490"/>
      <c r="S74" s="489"/>
      <c r="T74" s="488" t="s">
        <v>268</v>
      </c>
    </row>
    <row r="75" ht="34.5">
      <c r="A75" s="488" t="s">
        <v>260</v>
      </c>
      <c r="B75" s="488" t="s">
        <v>261</v>
      </c>
      <c r="C75" s="488" t="s">
        <v>346</v>
      </c>
      <c r="D75" s="488" t="s">
        <v>263</v>
      </c>
      <c r="E75" s="488" t="s">
        <v>282</v>
      </c>
      <c r="F75" s="489" t="s">
        <v>288</v>
      </c>
      <c r="G75" s="488" t="s">
        <v>284</v>
      </c>
      <c r="H75" s="489"/>
      <c r="I75" s="489"/>
      <c r="J75" s="489" t="s">
        <v>350</v>
      </c>
      <c r="K75" s="491"/>
      <c r="L75" s="488"/>
      <c r="M75" s="488"/>
      <c r="N75" s="489"/>
      <c r="O75" s="489"/>
      <c r="P75" s="489"/>
      <c r="Q75" s="489"/>
      <c r="R75" s="490"/>
      <c r="S75" s="489"/>
      <c r="T75" s="488" t="s">
        <v>268</v>
      </c>
    </row>
    <row r="76" ht="34.5">
      <c r="A76" s="488" t="s">
        <v>260</v>
      </c>
      <c r="B76" s="488" t="s">
        <v>261</v>
      </c>
      <c r="C76" s="488" t="s">
        <v>346</v>
      </c>
      <c r="D76" s="488" t="s">
        <v>263</v>
      </c>
      <c r="E76" s="488" t="s">
        <v>282</v>
      </c>
      <c r="F76" s="489" t="s">
        <v>288</v>
      </c>
      <c r="G76" s="488" t="s">
        <v>284</v>
      </c>
      <c r="H76" s="489"/>
      <c r="I76" s="489"/>
      <c r="J76" s="489" t="s">
        <v>351</v>
      </c>
      <c r="K76" s="491"/>
      <c r="L76" s="488"/>
      <c r="M76" s="488"/>
      <c r="N76" s="489"/>
      <c r="O76" s="489"/>
      <c r="P76" s="489"/>
      <c r="Q76" s="489"/>
      <c r="R76" s="490"/>
      <c r="S76" s="489"/>
      <c r="T76" s="488" t="s">
        <v>268</v>
      </c>
    </row>
    <row r="77" ht="34.5">
      <c r="A77" s="488" t="s">
        <v>260</v>
      </c>
      <c r="B77" s="488" t="s">
        <v>261</v>
      </c>
      <c r="C77" s="488" t="s">
        <v>346</v>
      </c>
      <c r="D77" s="488" t="s">
        <v>263</v>
      </c>
      <c r="E77" s="488" t="s">
        <v>282</v>
      </c>
      <c r="F77" s="489" t="s">
        <v>288</v>
      </c>
      <c r="G77" s="488" t="s">
        <v>284</v>
      </c>
      <c r="H77" s="489"/>
      <c r="I77" s="489"/>
      <c r="J77" s="489" t="s">
        <v>352</v>
      </c>
      <c r="K77" s="491"/>
      <c r="L77" s="488"/>
      <c r="M77" s="488"/>
      <c r="N77" s="489"/>
      <c r="O77" s="489"/>
      <c r="P77" s="489"/>
      <c r="Q77" s="489"/>
      <c r="R77" s="490"/>
      <c r="S77" s="489"/>
      <c r="T77" s="488" t="s">
        <v>268</v>
      </c>
    </row>
    <row r="78" ht="34.5">
      <c r="A78" s="488" t="s">
        <v>260</v>
      </c>
      <c r="B78" s="488" t="s">
        <v>261</v>
      </c>
      <c r="C78" s="488" t="s">
        <v>346</v>
      </c>
      <c r="D78" s="488" t="s">
        <v>263</v>
      </c>
      <c r="E78" s="488" t="s">
        <v>282</v>
      </c>
      <c r="F78" s="489" t="s">
        <v>288</v>
      </c>
      <c r="G78" s="488" t="s">
        <v>284</v>
      </c>
      <c r="H78" s="489"/>
      <c r="I78" s="489"/>
      <c r="J78" s="489" t="s">
        <v>353</v>
      </c>
      <c r="K78" s="491"/>
      <c r="L78" s="488"/>
      <c r="M78" s="488"/>
      <c r="N78" s="489"/>
      <c r="O78" s="489"/>
      <c r="P78" s="489"/>
      <c r="Q78" s="489"/>
      <c r="R78" s="490"/>
      <c r="S78" s="489"/>
      <c r="T78" s="488" t="s">
        <v>268</v>
      </c>
    </row>
    <row r="79" ht="34.5">
      <c r="A79" s="488" t="s">
        <v>260</v>
      </c>
      <c r="B79" s="488" t="s">
        <v>261</v>
      </c>
      <c r="C79" s="488" t="s">
        <v>346</v>
      </c>
      <c r="D79" s="488" t="s">
        <v>263</v>
      </c>
      <c r="E79" s="488" t="s">
        <v>282</v>
      </c>
      <c r="F79" s="489" t="s">
        <v>288</v>
      </c>
      <c r="G79" s="488" t="s">
        <v>284</v>
      </c>
      <c r="H79" s="489"/>
      <c r="I79" s="489"/>
      <c r="J79" s="489" t="s">
        <v>354</v>
      </c>
      <c r="K79" s="491"/>
      <c r="L79" s="488"/>
      <c r="M79" s="488"/>
      <c r="N79" s="489"/>
      <c r="O79" s="489"/>
      <c r="P79" s="489"/>
      <c r="Q79" s="489"/>
      <c r="R79" s="490"/>
      <c r="S79" s="489"/>
      <c r="T79" s="488" t="s">
        <v>268</v>
      </c>
    </row>
    <row r="80" ht="34.5">
      <c r="A80" s="488" t="s">
        <v>260</v>
      </c>
      <c r="B80" s="488" t="s">
        <v>261</v>
      </c>
      <c r="C80" s="488" t="s">
        <v>346</v>
      </c>
      <c r="D80" s="488" t="s">
        <v>263</v>
      </c>
      <c r="E80" s="488" t="s">
        <v>282</v>
      </c>
      <c r="F80" s="489" t="s">
        <v>288</v>
      </c>
      <c r="G80" s="488" t="s">
        <v>284</v>
      </c>
      <c r="H80" s="489"/>
      <c r="I80" s="489"/>
      <c r="J80" s="489" t="s">
        <v>355</v>
      </c>
      <c r="K80" s="491"/>
      <c r="L80" s="488"/>
      <c r="M80" s="488"/>
      <c r="N80" s="489"/>
      <c r="O80" s="489"/>
      <c r="P80" s="489"/>
      <c r="Q80" s="489"/>
      <c r="R80" s="490"/>
      <c r="S80" s="489"/>
      <c r="T80" s="488" t="s">
        <v>268</v>
      </c>
    </row>
    <row r="81" ht="34.5">
      <c r="A81" s="488" t="s">
        <v>260</v>
      </c>
      <c r="B81" s="488" t="s">
        <v>261</v>
      </c>
      <c r="C81" s="488" t="s">
        <v>356</v>
      </c>
      <c r="D81" s="488" t="s">
        <v>263</v>
      </c>
      <c r="E81" s="488" t="s">
        <v>282</v>
      </c>
      <c r="F81" s="489" t="s">
        <v>288</v>
      </c>
      <c r="G81" s="488" t="s">
        <v>284</v>
      </c>
      <c r="H81" s="489"/>
      <c r="I81" s="489"/>
      <c r="J81" s="489" t="s">
        <v>357</v>
      </c>
      <c r="K81" s="491"/>
      <c r="L81" s="488"/>
      <c r="M81" s="488"/>
      <c r="N81" s="489"/>
      <c r="O81" s="489"/>
      <c r="P81" s="489"/>
      <c r="Q81" s="489"/>
      <c r="R81" s="490"/>
      <c r="S81" s="489"/>
      <c r="T81" s="488" t="s">
        <v>268</v>
      </c>
    </row>
    <row r="82" ht="34.5">
      <c r="A82" s="488" t="s">
        <v>260</v>
      </c>
      <c r="B82" s="488" t="s">
        <v>261</v>
      </c>
      <c r="C82" s="488" t="s">
        <v>356</v>
      </c>
      <c r="D82" s="488" t="s">
        <v>263</v>
      </c>
      <c r="E82" s="488" t="s">
        <v>282</v>
      </c>
      <c r="F82" s="489" t="s">
        <v>288</v>
      </c>
      <c r="G82" s="488" t="s">
        <v>284</v>
      </c>
      <c r="H82" s="489"/>
      <c r="I82" s="489"/>
      <c r="J82" s="489" t="s">
        <v>358</v>
      </c>
      <c r="K82" s="491"/>
      <c r="L82" s="488"/>
      <c r="M82" s="488"/>
      <c r="N82" s="489"/>
      <c r="O82" s="489"/>
      <c r="P82" s="489"/>
      <c r="Q82" s="489"/>
      <c r="R82" s="490"/>
      <c r="S82" s="489"/>
      <c r="T82" s="488" t="s">
        <v>268</v>
      </c>
    </row>
    <row r="83" ht="34.5">
      <c r="A83" s="488" t="s">
        <v>260</v>
      </c>
      <c r="B83" s="488" t="s">
        <v>261</v>
      </c>
      <c r="C83" s="488" t="s">
        <v>356</v>
      </c>
      <c r="D83" s="488" t="s">
        <v>263</v>
      </c>
      <c r="E83" s="488" t="s">
        <v>282</v>
      </c>
      <c r="F83" s="489" t="s">
        <v>288</v>
      </c>
      <c r="G83" s="488" t="s">
        <v>284</v>
      </c>
      <c r="H83" s="489"/>
      <c r="I83" s="489"/>
      <c r="J83" s="489" t="s">
        <v>359</v>
      </c>
      <c r="K83" s="491"/>
      <c r="L83" s="488"/>
      <c r="M83" s="488"/>
      <c r="N83" s="489"/>
      <c r="O83" s="489"/>
      <c r="P83" s="489"/>
      <c r="Q83" s="489"/>
      <c r="R83" s="490"/>
      <c r="S83" s="489"/>
      <c r="T83" s="488" t="s">
        <v>268</v>
      </c>
    </row>
    <row r="84" ht="34.5">
      <c r="A84" s="488" t="s">
        <v>260</v>
      </c>
      <c r="B84" s="488" t="s">
        <v>261</v>
      </c>
      <c r="C84" s="488" t="s">
        <v>356</v>
      </c>
      <c r="D84" s="488" t="s">
        <v>263</v>
      </c>
      <c r="E84" s="488" t="s">
        <v>282</v>
      </c>
      <c r="F84" s="489" t="s">
        <v>288</v>
      </c>
      <c r="G84" s="488" t="s">
        <v>284</v>
      </c>
      <c r="H84" s="489"/>
      <c r="I84" s="489"/>
      <c r="J84" s="489" t="s">
        <v>360</v>
      </c>
      <c r="K84" s="491"/>
      <c r="L84" s="488"/>
      <c r="M84" s="488"/>
      <c r="N84" s="489"/>
      <c r="O84" s="489"/>
      <c r="P84" s="489"/>
      <c r="Q84" s="489"/>
      <c r="R84" s="490"/>
      <c r="S84" s="489"/>
      <c r="T84" s="488" t="s">
        <v>268</v>
      </c>
    </row>
    <row r="85" ht="34.5">
      <c r="A85" s="488" t="s">
        <v>260</v>
      </c>
      <c r="B85" s="488" t="s">
        <v>261</v>
      </c>
      <c r="C85" s="488" t="s">
        <v>356</v>
      </c>
      <c r="D85" s="488" t="s">
        <v>263</v>
      </c>
      <c r="E85" s="488" t="s">
        <v>282</v>
      </c>
      <c r="F85" s="489" t="s">
        <v>288</v>
      </c>
      <c r="G85" s="488" t="s">
        <v>284</v>
      </c>
      <c r="H85" s="489"/>
      <c r="I85" s="489"/>
      <c r="J85" s="489" t="s">
        <v>361</v>
      </c>
      <c r="K85" s="491"/>
      <c r="L85" s="488"/>
      <c r="M85" s="488"/>
      <c r="N85" s="489"/>
      <c r="O85" s="489"/>
      <c r="P85" s="489"/>
      <c r="Q85" s="489"/>
      <c r="R85" s="490"/>
      <c r="S85" s="489"/>
      <c r="T85" s="488" t="s">
        <v>268</v>
      </c>
    </row>
    <row r="86" ht="34.5">
      <c r="A86" s="488" t="s">
        <v>260</v>
      </c>
      <c r="B86" s="488" t="s">
        <v>261</v>
      </c>
      <c r="C86" s="488" t="s">
        <v>356</v>
      </c>
      <c r="D86" s="488" t="s">
        <v>263</v>
      </c>
      <c r="E86" s="488" t="s">
        <v>282</v>
      </c>
      <c r="F86" s="489" t="s">
        <v>288</v>
      </c>
      <c r="G86" s="488" t="s">
        <v>284</v>
      </c>
      <c r="H86" s="489"/>
      <c r="I86" s="489"/>
      <c r="J86" s="489" t="s">
        <v>362</v>
      </c>
      <c r="K86" s="491"/>
      <c r="L86" s="488"/>
      <c r="M86" s="488"/>
      <c r="N86" s="489"/>
      <c r="O86" s="489"/>
      <c r="P86" s="489"/>
      <c r="Q86" s="489"/>
      <c r="R86" s="490"/>
      <c r="S86" s="489"/>
      <c r="T86" s="488" t="s">
        <v>268</v>
      </c>
    </row>
    <row r="87" ht="34.5">
      <c r="A87" s="488" t="s">
        <v>260</v>
      </c>
      <c r="B87" s="488" t="s">
        <v>261</v>
      </c>
      <c r="C87" s="488" t="s">
        <v>356</v>
      </c>
      <c r="D87" s="488" t="s">
        <v>263</v>
      </c>
      <c r="E87" s="488" t="s">
        <v>282</v>
      </c>
      <c r="F87" s="489" t="s">
        <v>288</v>
      </c>
      <c r="G87" s="488" t="s">
        <v>284</v>
      </c>
      <c r="H87" s="489"/>
      <c r="I87" s="489"/>
      <c r="J87" s="489" t="s">
        <v>363</v>
      </c>
      <c r="K87" s="491"/>
      <c r="L87" s="488"/>
      <c r="M87" s="488"/>
      <c r="N87" s="489"/>
      <c r="O87" s="489"/>
      <c r="P87" s="489"/>
      <c r="Q87" s="489"/>
      <c r="R87" s="490"/>
      <c r="S87" s="489"/>
      <c r="T87" s="488" t="s">
        <v>268</v>
      </c>
    </row>
    <row r="88" ht="34.5">
      <c r="A88" s="488" t="s">
        <v>260</v>
      </c>
      <c r="B88" s="488" t="s">
        <v>261</v>
      </c>
      <c r="C88" s="488" t="s">
        <v>356</v>
      </c>
      <c r="D88" s="488" t="s">
        <v>263</v>
      </c>
      <c r="E88" s="488" t="s">
        <v>282</v>
      </c>
      <c r="F88" s="489" t="s">
        <v>288</v>
      </c>
      <c r="G88" s="488" t="s">
        <v>284</v>
      </c>
      <c r="H88" s="489"/>
      <c r="I88" s="489"/>
      <c r="J88" s="489" t="s">
        <v>364</v>
      </c>
      <c r="K88" s="491"/>
      <c r="L88" s="488"/>
      <c r="M88" s="488"/>
      <c r="N88" s="489"/>
      <c r="O88" s="489"/>
      <c r="P88" s="489"/>
      <c r="Q88" s="489"/>
      <c r="R88" s="490"/>
      <c r="S88" s="489"/>
      <c r="T88" s="488" t="s">
        <v>268</v>
      </c>
    </row>
    <row r="89" ht="34.5">
      <c r="A89" s="488" t="s">
        <v>260</v>
      </c>
      <c r="B89" s="488" t="s">
        <v>261</v>
      </c>
      <c r="C89" s="488" t="s">
        <v>365</v>
      </c>
      <c r="D89" s="488" t="s">
        <v>263</v>
      </c>
      <c r="E89" s="488" t="s">
        <v>282</v>
      </c>
      <c r="F89" s="489" t="s">
        <v>288</v>
      </c>
      <c r="G89" s="488" t="s">
        <v>284</v>
      </c>
      <c r="H89" s="489"/>
      <c r="I89" s="489"/>
      <c r="J89" s="489" t="s">
        <v>366</v>
      </c>
      <c r="K89" s="491"/>
      <c r="L89" s="488"/>
      <c r="M89" s="488"/>
      <c r="N89" s="489"/>
      <c r="O89" s="489"/>
      <c r="P89" s="489"/>
      <c r="Q89" s="489"/>
      <c r="R89" s="490"/>
      <c r="S89" s="489"/>
      <c r="T89" s="488" t="s">
        <v>268</v>
      </c>
    </row>
    <row r="90" ht="34.5">
      <c r="A90" s="488" t="s">
        <v>260</v>
      </c>
      <c r="B90" s="488" t="s">
        <v>261</v>
      </c>
      <c r="C90" s="488" t="s">
        <v>365</v>
      </c>
      <c r="D90" s="488" t="s">
        <v>263</v>
      </c>
      <c r="E90" s="488" t="s">
        <v>282</v>
      </c>
      <c r="F90" s="489" t="s">
        <v>288</v>
      </c>
      <c r="G90" s="488" t="s">
        <v>284</v>
      </c>
      <c r="H90" s="489"/>
      <c r="I90" s="489"/>
      <c r="J90" s="489" t="s">
        <v>367</v>
      </c>
      <c r="K90" s="491"/>
      <c r="L90" s="488"/>
      <c r="M90" s="488"/>
      <c r="N90" s="489"/>
      <c r="O90" s="489"/>
      <c r="P90" s="489"/>
      <c r="Q90" s="489"/>
      <c r="R90" s="490"/>
      <c r="S90" s="489"/>
      <c r="T90" s="488" t="s">
        <v>268</v>
      </c>
    </row>
    <row r="91" ht="34.5">
      <c r="A91" s="488" t="s">
        <v>260</v>
      </c>
      <c r="B91" s="488" t="s">
        <v>261</v>
      </c>
      <c r="C91" s="488" t="s">
        <v>365</v>
      </c>
      <c r="D91" s="488" t="s">
        <v>263</v>
      </c>
      <c r="E91" s="488" t="s">
        <v>282</v>
      </c>
      <c r="F91" s="489" t="s">
        <v>288</v>
      </c>
      <c r="G91" s="488" t="s">
        <v>284</v>
      </c>
      <c r="H91" s="489"/>
      <c r="I91" s="489"/>
      <c r="J91" s="489" t="s">
        <v>368</v>
      </c>
      <c r="K91" s="491"/>
      <c r="L91" s="488"/>
      <c r="M91" s="488"/>
      <c r="N91" s="489"/>
      <c r="O91" s="489"/>
      <c r="P91" s="489"/>
      <c r="Q91" s="489"/>
      <c r="R91" s="490"/>
      <c r="S91" s="489"/>
      <c r="T91" s="488" t="s">
        <v>268</v>
      </c>
    </row>
    <row r="92" ht="34.5">
      <c r="A92" s="488" t="s">
        <v>260</v>
      </c>
      <c r="B92" s="488" t="s">
        <v>261</v>
      </c>
      <c r="C92" s="488" t="s">
        <v>365</v>
      </c>
      <c r="D92" s="488" t="s">
        <v>263</v>
      </c>
      <c r="E92" s="488" t="s">
        <v>282</v>
      </c>
      <c r="F92" s="489" t="s">
        <v>288</v>
      </c>
      <c r="G92" s="488" t="s">
        <v>284</v>
      </c>
      <c r="H92" s="489"/>
      <c r="I92" s="489"/>
      <c r="J92" s="489" t="s">
        <v>369</v>
      </c>
      <c r="K92" s="491"/>
      <c r="L92" s="488"/>
      <c r="M92" s="488"/>
      <c r="N92" s="489"/>
      <c r="O92" s="489"/>
      <c r="P92" s="489"/>
      <c r="Q92" s="489"/>
      <c r="R92" s="490"/>
      <c r="S92" s="489"/>
      <c r="T92" s="488" t="s">
        <v>268</v>
      </c>
    </row>
    <row r="93" ht="34.5">
      <c r="A93" s="488" t="s">
        <v>260</v>
      </c>
      <c r="B93" s="488" t="s">
        <v>261</v>
      </c>
      <c r="C93" s="488" t="s">
        <v>365</v>
      </c>
      <c r="D93" s="488" t="s">
        <v>263</v>
      </c>
      <c r="E93" s="488" t="s">
        <v>282</v>
      </c>
      <c r="F93" s="489" t="s">
        <v>288</v>
      </c>
      <c r="G93" s="488" t="s">
        <v>284</v>
      </c>
      <c r="H93" s="489"/>
      <c r="I93" s="489"/>
      <c r="J93" s="489" t="s">
        <v>370</v>
      </c>
      <c r="K93" s="491"/>
      <c r="L93" s="488"/>
      <c r="M93" s="488"/>
      <c r="N93" s="489"/>
      <c r="O93" s="489"/>
      <c r="P93" s="489"/>
      <c r="Q93" s="489"/>
      <c r="R93" s="490"/>
      <c r="S93" s="489"/>
      <c r="T93" s="488" t="s">
        <v>268</v>
      </c>
    </row>
    <row r="94" ht="34.5">
      <c r="A94" s="488" t="s">
        <v>260</v>
      </c>
      <c r="B94" s="488" t="s">
        <v>261</v>
      </c>
      <c r="C94" s="488" t="s">
        <v>365</v>
      </c>
      <c r="D94" s="488" t="s">
        <v>263</v>
      </c>
      <c r="E94" s="488" t="s">
        <v>282</v>
      </c>
      <c r="F94" s="489" t="s">
        <v>288</v>
      </c>
      <c r="G94" s="488" t="s">
        <v>284</v>
      </c>
      <c r="H94" s="489"/>
      <c r="I94" s="489"/>
      <c r="J94" s="489" t="s">
        <v>371</v>
      </c>
      <c r="K94" s="491"/>
      <c r="L94" s="488"/>
      <c r="M94" s="488"/>
      <c r="N94" s="489"/>
      <c r="O94" s="489"/>
      <c r="P94" s="489"/>
      <c r="Q94" s="489"/>
      <c r="R94" s="490"/>
      <c r="S94" s="489"/>
      <c r="T94" s="488" t="s">
        <v>268</v>
      </c>
    </row>
    <row r="95" ht="34.5">
      <c r="A95" s="488" t="s">
        <v>260</v>
      </c>
      <c r="B95" s="488" t="s">
        <v>261</v>
      </c>
      <c r="C95" s="488" t="s">
        <v>372</v>
      </c>
      <c r="D95" s="488" t="s">
        <v>263</v>
      </c>
      <c r="E95" s="488" t="s">
        <v>282</v>
      </c>
      <c r="F95" s="489" t="s">
        <v>288</v>
      </c>
      <c r="G95" s="488" t="s">
        <v>284</v>
      </c>
      <c r="H95" s="489"/>
      <c r="I95" s="489"/>
      <c r="J95" s="489" t="s">
        <v>373</v>
      </c>
      <c r="K95" s="491"/>
      <c r="L95" s="488"/>
      <c r="M95" s="488"/>
      <c r="N95" s="489"/>
      <c r="O95" s="489"/>
      <c r="P95" s="489"/>
      <c r="Q95" s="489"/>
      <c r="R95" s="490"/>
      <c r="S95" s="489"/>
      <c r="T95" s="488" t="s">
        <v>268</v>
      </c>
    </row>
    <row r="96" ht="34.5">
      <c r="A96" s="488" t="s">
        <v>260</v>
      </c>
      <c r="B96" s="488" t="s">
        <v>261</v>
      </c>
      <c r="C96" s="488" t="s">
        <v>372</v>
      </c>
      <c r="D96" s="488" t="s">
        <v>263</v>
      </c>
      <c r="E96" s="488" t="s">
        <v>282</v>
      </c>
      <c r="F96" s="489" t="s">
        <v>288</v>
      </c>
      <c r="G96" s="488" t="s">
        <v>284</v>
      </c>
      <c r="H96" s="489"/>
      <c r="I96" s="489"/>
      <c r="J96" s="489" t="s">
        <v>374</v>
      </c>
      <c r="K96" s="491"/>
      <c r="L96" s="488"/>
      <c r="M96" s="488"/>
      <c r="N96" s="489"/>
      <c r="O96" s="489"/>
      <c r="P96" s="489"/>
      <c r="Q96" s="489"/>
      <c r="R96" s="490"/>
      <c r="S96" s="489"/>
      <c r="T96" s="488" t="s">
        <v>268</v>
      </c>
    </row>
    <row r="97" ht="34.5">
      <c r="A97" s="488" t="s">
        <v>260</v>
      </c>
      <c r="B97" s="488" t="s">
        <v>261</v>
      </c>
      <c r="C97" s="488" t="s">
        <v>372</v>
      </c>
      <c r="D97" s="488" t="s">
        <v>263</v>
      </c>
      <c r="E97" s="488" t="s">
        <v>282</v>
      </c>
      <c r="F97" s="489" t="s">
        <v>288</v>
      </c>
      <c r="G97" s="488" t="s">
        <v>284</v>
      </c>
      <c r="H97" s="489"/>
      <c r="I97" s="489"/>
      <c r="J97" s="489" t="s">
        <v>375</v>
      </c>
      <c r="K97" s="491"/>
      <c r="L97" s="488"/>
      <c r="M97" s="488"/>
      <c r="N97" s="489"/>
      <c r="O97" s="489"/>
      <c r="P97" s="489"/>
      <c r="Q97" s="489"/>
      <c r="R97" s="490"/>
      <c r="S97" s="489"/>
      <c r="T97" s="488" t="s">
        <v>268</v>
      </c>
    </row>
    <row r="98" ht="34.5">
      <c r="A98" s="488" t="s">
        <v>260</v>
      </c>
      <c r="B98" s="488" t="s">
        <v>261</v>
      </c>
      <c r="C98" s="488" t="s">
        <v>372</v>
      </c>
      <c r="D98" s="488" t="s">
        <v>263</v>
      </c>
      <c r="E98" s="488" t="s">
        <v>282</v>
      </c>
      <c r="F98" s="489" t="s">
        <v>288</v>
      </c>
      <c r="G98" s="488" t="s">
        <v>284</v>
      </c>
      <c r="H98" s="489"/>
      <c r="I98" s="489"/>
      <c r="J98" s="489" t="s">
        <v>376</v>
      </c>
      <c r="K98" s="491"/>
      <c r="L98" s="488"/>
      <c r="M98" s="488"/>
      <c r="N98" s="489"/>
      <c r="O98" s="489"/>
      <c r="P98" s="489"/>
      <c r="Q98" s="489"/>
      <c r="R98" s="490"/>
      <c r="S98" s="489"/>
      <c r="T98" s="488" t="s">
        <v>268</v>
      </c>
    </row>
    <row r="99" ht="34.5">
      <c r="A99" s="488" t="s">
        <v>260</v>
      </c>
      <c r="B99" s="488" t="s">
        <v>261</v>
      </c>
      <c r="C99" s="488" t="s">
        <v>372</v>
      </c>
      <c r="D99" s="488" t="s">
        <v>263</v>
      </c>
      <c r="E99" s="488" t="s">
        <v>282</v>
      </c>
      <c r="F99" s="489" t="s">
        <v>288</v>
      </c>
      <c r="G99" s="488" t="s">
        <v>284</v>
      </c>
      <c r="H99" s="489"/>
      <c r="I99" s="489"/>
      <c r="J99" s="489" t="s">
        <v>377</v>
      </c>
      <c r="K99" s="491"/>
      <c r="L99" s="488"/>
      <c r="M99" s="488"/>
      <c r="N99" s="489"/>
      <c r="O99" s="489"/>
      <c r="P99" s="489"/>
      <c r="Q99" s="489"/>
      <c r="R99" s="490"/>
      <c r="S99" s="489"/>
      <c r="T99" s="488" t="s">
        <v>268</v>
      </c>
    </row>
    <row r="100" ht="34.5">
      <c r="A100" s="488" t="s">
        <v>260</v>
      </c>
      <c r="B100" s="488" t="s">
        <v>261</v>
      </c>
      <c r="C100" s="488" t="s">
        <v>372</v>
      </c>
      <c r="D100" s="488" t="s">
        <v>263</v>
      </c>
      <c r="E100" s="488" t="s">
        <v>282</v>
      </c>
      <c r="F100" s="489" t="s">
        <v>288</v>
      </c>
      <c r="G100" s="488" t="s">
        <v>284</v>
      </c>
      <c r="H100" s="489"/>
      <c r="I100" s="489"/>
      <c r="J100" s="489" t="s">
        <v>378</v>
      </c>
      <c r="K100" s="491"/>
      <c r="L100" s="488"/>
      <c r="M100" s="488"/>
      <c r="N100" s="489"/>
      <c r="O100" s="489"/>
      <c r="P100" s="489"/>
      <c r="Q100" s="489"/>
      <c r="R100" s="490"/>
      <c r="S100" s="489"/>
      <c r="T100" s="488" t="s">
        <v>268</v>
      </c>
    </row>
    <row r="101" ht="34.5">
      <c r="A101" s="488" t="s">
        <v>260</v>
      </c>
      <c r="B101" s="488" t="s">
        <v>261</v>
      </c>
      <c r="C101" s="488" t="s">
        <v>372</v>
      </c>
      <c r="D101" s="488" t="s">
        <v>263</v>
      </c>
      <c r="E101" s="488" t="s">
        <v>282</v>
      </c>
      <c r="F101" s="489" t="s">
        <v>288</v>
      </c>
      <c r="G101" s="488" t="s">
        <v>284</v>
      </c>
      <c r="H101" s="489"/>
      <c r="I101" s="489"/>
      <c r="J101" s="489" t="s">
        <v>379</v>
      </c>
      <c r="K101" s="491"/>
      <c r="L101" s="488"/>
      <c r="M101" s="488"/>
      <c r="N101" s="489"/>
      <c r="O101" s="489"/>
      <c r="P101" s="489"/>
      <c r="Q101" s="489"/>
      <c r="R101" s="490"/>
      <c r="S101" s="489"/>
      <c r="T101" s="488" t="s">
        <v>268</v>
      </c>
    </row>
    <row r="102" ht="34.5">
      <c r="A102" s="488" t="s">
        <v>260</v>
      </c>
      <c r="B102" s="488" t="s">
        <v>261</v>
      </c>
      <c r="C102" s="488" t="s">
        <v>372</v>
      </c>
      <c r="D102" s="488" t="s">
        <v>263</v>
      </c>
      <c r="E102" s="488" t="s">
        <v>282</v>
      </c>
      <c r="F102" s="489" t="s">
        <v>288</v>
      </c>
      <c r="G102" s="488" t="s">
        <v>284</v>
      </c>
      <c r="H102" s="489"/>
      <c r="I102" s="489"/>
      <c r="J102" s="489" t="s">
        <v>380</v>
      </c>
      <c r="K102" s="491"/>
      <c r="L102" s="488"/>
      <c r="M102" s="488"/>
      <c r="N102" s="489"/>
      <c r="O102" s="489"/>
      <c r="P102" s="489"/>
      <c r="Q102" s="489"/>
      <c r="R102" s="490"/>
      <c r="S102" s="489"/>
      <c r="T102" s="488" t="s">
        <v>268</v>
      </c>
    </row>
    <row r="103" ht="34.5">
      <c r="A103" s="488" t="s">
        <v>260</v>
      </c>
      <c r="B103" s="488" t="s">
        <v>261</v>
      </c>
      <c r="C103" s="488" t="s">
        <v>381</v>
      </c>
      <c r="D103" s="488" t="s">
        <v>263</v>
      </c>
      <c r="E103" s="488" t="s">
        <v>282</v>
      </c>
      <c r="F103" s="489" t="s">
        <v>288</v>
      </c>
      <c r="G103" s="488" t="s">
        <v>284</v>
      </c>
      <c r="H103" s="489"/>
      <c r="I103" s="489"/>
      <c r="J103" s="489" t="s">
        <v>382</v>
      </c>
      <c r="K103" s="491"/>
      <c r="L103" s="488"/>
      <c r="M103" s="488"/>
      <c r="N103" s="489"/>
      <c r="O103" s="489"/>
      <c r="P103" s="489"/>
      <c r="Q103" s="489"/>
      <c r="R103" s="490"/>
      <c r="S103" s="489"/>
      <c r="T103" s="488" t="s">
        <v>268</v>
      </c>
    </row>
    <row r="104" ht="34.5">
      <c r="A104" s="488" t="s">
        <v>260</v>
      </c>
      <c r="B104" s="488" t="s">
        <v>261</v>
      </c>
      <c r="C104" s="488" t="s">
        <v>381</v>
      </c>
      <c r="D104" s="488" t="s">
        <v>263</v>
      </c>
      <c r="E104" s="488" t="s">
        <v>282</v>
      </c>
      <c r="F104" s="489" t="s">
        <v>288</v>
      </c>
      <c r="G104" s="488" t="s">
        <v>284</v>
      </c>
      <c r="H104" s="489"/>
      <c r="I104" s="489"/>
      <c r="J104" s="489" t="s">
        <v>383</v>
      </c>
      <c r="K104" s="491"/>
      <c r="L104" s="488"/>
      <c r="M104" s="488"/>
      <c r="N104" s="489"/>
      <c r="O104" s="489"/>
      <c r="P104" s="489"/>
      <c r="Q104" s="489"/>
      <c r="R104" s="490"/>
      <c r="S104" s="489"/>
      <c r="T104" s="488" t="s">
        <v>268</v>
      </c>
    </row>
    <row r="105" ht="34.5">
      <c r="A105" s="488" t="s">
        <v>260</v>
      </c>
      <c r="B105" s="488" t="s">
        <v>261</v>
      </c>
      <c r="C105" s="488" t="s">
        <v>381</v>
      </c>
      <c r="D105" s="488" t="s">
        <v>263</v>
      </c>
      <c r="E105" s="488" t="s">
        <v>282</v>
      </c>
      <c r="F105" s="489" t="s">
        <v>288</v>
      </c>
      <c r="G105" s="488" t="s">
        <v>284</v>
      </c>
      <c r="H105" s="489"/>
      <c r="I105" s="489"/>
      <c r="J105" s="489" t="s">
        <v>384</v>
      </c>
      <c r="K105" s="491"/>
      <c r="L105" s="488"/>
      <c r="M105" s="488"/>
      <c r="N105" s="489"/>
      <c r="O105" s="489"/>
      <c r="P105" s="489"/>
      <c r="Q105" s="489"/>
      <c r="R105" s="490"/>
      <c r="S105" s="489"/>
      <c r="T105" s="488" t="s">
        <v>268</v>
      </c>
    </row>
    <row r="106" ht="34.5">
      <c r="A106" s="488" t="s">
        <v>260</v>
      </c>
      <c r="B106" s="488" t="s">
        <v>261</v>
      </c>
      <c r="C106" s="488" t="s">
        <v>381</v>
      </c>
      <c r="D106" s="488" t="s">
        <v>263</v>
      </c>
      <c r="E106" s="488" t="s">
        <v>282</v>
      </c>
      <c r="F106" s="489" t="s">
        <v>288</v>
      </c>
      <c r="G106" s="488" t="s">
        <v>284</v>
      </c>
      <c r="H106" s="489"/>
      <c r="I106" s="489"/>
      <c r="J106" s="489" t="s">
        <v>385</v>
      </c>
      <c r="K106" s="491"/>
      <c r="L106" s="488"/>
      <c r="M106" s="488"/>
      <c r="N106" s="489"/>
      <c r="O106" s="489"/>
      <c r="P106" s="489"/>
      <c r="Q106" s="489"/>
      <c r="R106" s="490"/>
      <c r="S106" s="489"/>
      <c r="T106" s="488" t="s">
        <v>268</v>
      </c>
    </row>
    <row r="107" ht="34.5">
      <c r="A107" s="488" t="s">
        <v>260</v>
      </c>
      <c r="B107" s="488" t="s">
        <v>261</v>
      </c>
      <c r="C107" s="488" t="s">
        <v>381</v>
      </c>
      <c r="D107" s="488" t="s">
        <v>263</v>
      </c>
      <c r="E107" s="488" t="s">
        <v>282</v>
      </c>
      <c r="F107" s="489" t="s">
        <v>288</v>
      </c>
      <c r="G107" s="488" t="s">
        <v>284</v>
      </c>
      <c r="H107" s="489"/>
      <c r="I107" s="489"/>
      <c r="J107" s="489" t="s">
        <v>386</v>
      </c>
      <c r="K107" s="491"/>
      <c r="L107" s="488"/>
      <c r="M107" s="488"/>
      <c r="N107" s="489"/>
      <c r="O107" s="489"/>
      <c r="P107" s="489"/>
      <c r="Q107" s="489"/>
      <c r="R107" s="490"/>
      <c r="S107" s="489"/>
      <c r="T107" s="488" t="s">
        <v>268</v>
      </c>
    </row>
    <row r="108" ht="34.5">
      <c r="A108" s="488" t="s">
        <v>260</v>
      </c>
      <c r="B108" s="488" t="s">
        <v>261</v>
      </c>
      <c r="C108" s="488" t="s">
        <v>381</v>
      </c>
      <c r="D108" s="488" t="s">
        <v>263</v>
      </c>
      <c r="E108" s="488" t="s">
        <v>282</v>
      </c>
      <c r="F108" s="489" t="s">
        <v>288</v>
      </c>
      <c r="G108" s="488" t="s">
        <v>284</v>
      </c>
      <c r="H108" s="489"/>
      <c r="I108" s="489"/>
      <c r="J108" s="489" t="s">
        <v>387</v>
      </c>
      <c r="K108" s="491"/>
      <c r="L108" s="488"/>
      <c r="M108" s="488"/>
      <c r="N108" s="489"/>
      <c r="O108" s="489"/>
      <c r="P108" s="489"/>
      <c r="Q108" s="489"/>
      <c r="R108" s="490"/>
      <c r="S108" s="489"/>
      <c r="T108" s="488" t="s">
        <v>268</v>
      </c>
    </row>
    <row r="109" ht="34.5">
      <c r="A109" s="488" t="s">
        <v>260</v>
      </c>
      <c r="B109" s="488" t="s">
        <v>261</v>
      </c>
      <c r="C109" s="488" t="s">
        <v>381</v>
      </c>
      <c r="D109" s="488" t="s">
        <v>263</v>
      </c>
      <c r="E109" s="488" t="s">
        <v>282</v>
      </c>
      <c r="F109" s="489" t="s">
        <v>288</v>
      </c>
      <c r="G109" s="488" t="s">
        <v>284</v>
      </c>
      <c r="H109" s="489"/>
      <c r="I109" s="489"/>
      <c r="J109" s="489" t="s">
        <v>388</v>
      </c>
      <c r="K109" s="491"/>
      <c r="L109" s="488"/>
      <c r="M109" s="488"/>
      <c r="N109" s="489"/>
      <c r="O109" s="489"/>
      <c r="P109" s="489"/>
      <c r="Q109" s="489"/>
      <c r="R109" s="490"/>
      <c r="S109" s="489"/>
      <c r="T109" s="488" t="s">
        <v>268</v>
      </c>
    </row>
    <row r="110" ht="34.5">
      <c r="A110" s="488" t="s">
        <v>260</v>
      </c>
      <c r="B110" s="488" t="s">
        <v>261</v>
      </c>
      <c r="C110" s="488" t="s">
        <v>389</v>
      </c>
      <c r="D110" s="488" t="s">
        <v>263</v>
      </c>
      <c r="E110" s="488" t="s">
        <v>282</v>
      </c>
      <c r="F110" s="489" t="s">
        <v>288</v>
      </c>
      <c r="G110" s="488" t="s">
        <v>284</v>
      </c>
      <c r="H110" s="489"/>
      <c r="I110" s="489"/>
      <c r="J110" s="489" t="s">
        <v>390</v>
      </c>
      <c r="K110" s="491"/>
      <c r="L110" s="488"/>
      <c r="M110" s="488"/>
      <c r="N110" s="489"/>
      <c r="O110" s="489"/>
      <c r="P110" s="489"/>
      <c r="Q110" s="489"/>
      <c r="R110" s="490"/>
      <c r="S110" s="489"/>
      <c r="T110" s="488" t="s">
        <v>268</v>
      </c>
    </row>
    <row r="111" ht="34.5">
      <c r="A111" s="488" t="s">
        <v>260</v>
      </c>
      <c r="B111" s="488" t="s">
        <v>261</v>
      </c>
      <c r="C111" s="488" t="s">
        <v>389</v>
      </c>
      <c r="D111" s="488" t="s">
        <v>263</v>
      </c>
      <c r="E111" s="488" t="s">
        <v>282</v>
      </c>
      <c r="F111" s="489" t="s">
        <v>288</v>
      </c>
      <c r="G111" s="488" t="s">
        <v>284</v>
      </c>
      <c r="H111" s="489"/>
      <c r="I111" s="489"/>
      <c r="J111" s="489" t="s">
        <v>391</v>
      </c>
      <c r="K111" s="491"/>
      <c r="L111" s="488"/>
      <c r="M111" s="488"/>
      <c r="N111" s="489"/>
      <c r="O111" s="489"/>
      <c r="P111" s="489"/>
      <c r="Q111" s="489"/>
      <c r="R111" s="490"/>
      <c r="S111" s="489"/>
      <c r="T111" s="488" t="s">
        <v>268</v>
      </c>
    </row>
    <row r="112" ht="34.5">
      <c r="A112" s="488" t="s">
        <v>260</v>
      </c>
      <c r="B112" s="488" t="s">
        <v>261</v>
      </c>
      <c r="C112" s="488" t="s">
        <v>389</v>
      </c>
      <c r="D112" s="488" t="s">
        <v>263</v>
      </c>
      <c r="E112" s="488" t="s">
        <v>282</v>
      </c>
      <c r="F112" s="489" t="s">
        <v>288</v>
      </c>
      <c r="G112" s="488" t="s">
        <v>284</v>
      </c>
      <c r="H112" s="489"/>
      <c r="I112" s="489"/>
      <c r="J112" s="489" t="s">
        <v>392</v>
      </c>
      <c r="K112" s="491"/>
      <c r="L112" s="488"/>
      <c r="M112" s="488"/>
      <c r="N112" s="489"/>
      <c r="O112" s="489"/>
      <c r="P112" s="489"/>
      <c r="Q112" s="489"/>
      <c r="R112" s="490"/>
      <c r="S112" s="489"/>
      <c r="T112" s="488" t="s">
        <v>268</v>
      </c>
    </row>
    <row r="113" ht="34.5">
      <c r="A113" s="488" t="s">
        <v>260</v>
      </c>
      <c r="B113" s="488" t="s">
        <v>261</v>
      </c>
      <c r="C113" s="488" t="s">
        <v>389</v>
      </c>
      <c r="D113" s="488" t="s">
        <v>263</v>
      </c>
      <c r="E113" s="488" t="s">
        <v>282</v>
      </c>
      <c r="F113" s="489" t="s">
        <v>288</v>
      </c>
      <c r="G113" s="488" t="s">
        <v>284</v>
      </c>
      <c r="H113" s="489"/>
      <c r="I113" s="489"/>
      <c r="J113" s="489" t="s">
        <v>393</v>
      </c>
      <c r="K113" s="491"/>
      <c r="L113" s="488"/>
      <c r="M113" s="488"/>
      <c r="N113" s="489"/>
      <c r="O113" s="489"/>
      <c r="P113" s="489"/>
      <c r="Q113" s="489"/>
      <c r="R113" s="490"/>
      <c r="S113" s="489"/>
      <c r="T113" s="488" t="s">
        <v>268</v>
      </c>
    </row>
    <row r="114" ht="34.5">
      <c r="A114" s="488" t="s">
        <v>260</v>
      </c>
      <c r="B114" s="488" t="s">
        <v>261</v>
      </c>
      <c r="C114" s="488" t="s">
        <v>389</v>
      </c>
      <c r="D114" s="488" t="s">
        <v>263</v>
      </c>
      <c r="E114" s="488" t="s">
        <v>394</v>
      </c>
      <c r="F114" s="489" t="s">
        <v>395</v>
      </c>
      <c r="G114" s="488" t="s">
        <v>284</v>
      </c>
      <c r="H114" s="489"/>
      <c r="I114" s="489"/>
      <c r="J114" s="489" t="s">
        <v>396</v>
      </c>
      <c r="K114" s="491"/>
      <c r="L114" s="488"/>
      <c r="M114" s="488"/>
      <c r="N114" s="489"/>
      <c r="O114" s="489"/>
      <c r="P114" s="489"/>
      <c r="Q114" s="489"/>
      <c r="R114" s="490"/>
      <c r="S114" s="489"/>
      <c r="T114" s="488" t="s">
        <v>268</v>
      </c>
    </row>
    <row r="115" ht="34.5">
      <c r="A115" s="488" t="s">
        <v>260</v>
      </c>
      <c r="B115" s="488" t="s">
        <v>261</v>
      </c>
      <c r="C115" s="488" t="s">
        <v>389</v>
      </c>
      <c r="D115" s="488" t="s">
        <v>263</v>
      </c>
      <c r="E115" s="488" t="s">
        <v>394</v>
      </c>
      <c r="F115" s="489" t="s">
        <v>395</v>
      </c>
      <c r="G115" s="488" t="s">
        <v>284</v>
      </c>
      <c r="H115" s="489"/>
      <c r="I115" s="489"/>
      <c r="J115" s="489" t="s">
        <v>397</v>
      </c>
      <c r="K115" s="491"/>
      <c r="L115" s="488"/>
      <c r="M115" s="488"/>
      <c r="N115" s="489"/>
      <c r="O115" s="489"/>
      <c r="P115" s="489"/>
      <c r="Q115" s="489"/>
      <c r="R115" s="490"/>
      <c r="S115" s="489"/>
      <c r="T115" s="488" t="s">
        <v>268</v>
      </c>
    </row>
    <row r="116" ht="34.5">
      <c r="A116" s="488" t="s">
        <v>260</v>
      </c>
      <c r="B116" s="488" t="s">
        <v>261</v>
      </c>
      <c r="C116" s="488" t="s">
        <v>389</v>
      </c>
      <c r="D116" s="488" t="s">
        <v>263</v>
      </c>
      <c r="E116" s="488" t="s">
        <v>394</v>
      </c>
      <c r="F116" s="489" t="s">
        <v>395</v>
      </c>
      <c r="G116" s="488" t="s">
        <v>284</v>
      </c>
      <c r="H116" s="489"/>
      <c r="I116" s="489"/>
      <c r="J116" s="489" t="s">
        <v>398</v>
      </c>
      <c r="K116" s="491"/>
      <c r="L116" s="488"/>
      <c r="M116" s="488"/>
      <c r="N116" s="489"/>
      <c r="O116" s="489"/>
      <c r="P116" s="489"/>
      <c r="Q116" s="489"/>
      <c r="R116" s="490"/>
      <c r="S116" s="489"/>
      <c r="T116" s="488" t="s">
        <v>268</v>
      </c>
    </row>
    <row r="117" ht="34.5">
      <c r="A117" s="488" t="s">
        <v>260</v>
      </c>
      <c r="B117" s="488" t="s">
        <v>261</v>
      </c>
      <c r="C117" s="488" t="s">
        <v>389</v>
      </c>
      <c r="D117" s="488" t="s">
        <v>263</v>
      </c>
      <c r="E117" s="488" t="s">
        <v>394</v>
      </c>
      <c r="F117" s="489" t="s">
        <v>395</v>
      </c>
      <c r="G117" s="488" t="s">
        <v>284</v>
      </c>
      <c r="H117" s="489"/>
      <c r="I117" s="489"/>
      <c r="J117" s="489" t="s">
        <v>399</v>
      </c>
      <c r="K117" s="491"/>
      <c r="L117" s="488"/>
      <c r="M117" s="488"/>
      <c r="N117" s="489"/>
      <c r="O117" s="489"/>
      <c r="P117" s="489"/>
      <c r="Q117" s="489"/>
      <c r="R117" s="490"/>
      <c r="S117" s="489"/>
      <c r="T117" s="488" t="s">
        <v>268</v>
      </c>
    </row>
    <row r="118" ht="34.5">
      <c r="A118" s="488" t="s">
        <v>260</v>
      </c>
      <c r="B118" s="488" t="s">
        <v>261</v>
      </c>
      <c r="C118" s="488" t="s">
        <v>389</v>
      </c>
      <c r="D118" s="488" t="s">
        <v>263</v>
      </c>
      <c r="E118" s="488" t="s">
        <v>394</v>
      </c>
      <c r="F118" s="489" t="s">
        <v>395</v>
      </c>
      <c r="G118" s="488" t="s">
        <v>284</v>
      </c>
      <c r="H118" s="489"/>
      <c r="I118" s="489"/>
      <c r="J118" s="489" t="s">
        <v>400</v>
      </c>
      <c r="K118" s="491"/>
      <c r="L118" s="488"/>
      <c r="M118" s="488"/>
      <c r="N118" s="489"/>
      <c r="O118" s="489"/>
      <c r="P118" s="489"/>
      <c r="Q118" s="489"/>
      <c r="R118" s="490"/>
      <c r="S118" s="489"/>
      <c r="T118" s="488" t="s">
        <v>268</v>
      </c>
    </row>
    <row r="119" ht="34.5">
      <c r="A119" s="488" t="s">
        <v>260</v>
      </c>
      <c r="B119" s="488" t="s">
        <v>261</v>
      </c>
      <c r="C119" s="488" t="s">
        <v>389</v>
      </c>
      <c r="D119" s="488" t="s">
        <v>263</v>
      </c>
      <c r="E119" s="488" t="s">
        <v>394</v>
      </c>
      <c r="F119" s="489" t="s">
        <v>395</v>
      </c>
      <c r="G119" s="488" t="s">
        <v>284</v>
      </c>
      <c r="H119" s="489"/>
      <c r="I119" s="489"/>
      <c r="J119" s="489" t="s">
        <v>401</v>
      </c>
      <c r="K119" s="491"/>
      <c r="L119" s="488"/>
      <c r="M119" s="488"/>
      <c r="N119" s="489"/>
      <c r="O119" s="489"/>
      <c r="P119" s="489"/>
      <c r="Q119" s="489"/>
      <c r="R119" s="490"/>
      <c r="S119" s="489"/>
      <c r="T119" s="488" t="s">
        <v>268</v>
      </c>
    </row>
    <row r="120" ht="34.5">
      <c r="A120" s="488" t="s">
        <v>260</v>
      </c>
      <c r="B120" s="488" t="s">
        <v>261</v>
      </c>
      <c r="C120" s="488" t="s">
        <v>402</v>
      </c>
      <c r="D120" s="488" t="s">
        <v>263</v>
      </c>
      <c r="E120" s="488" t="s">
        <v>394</v>
      </c>
      <c r="F120" s="489" t="s">
        <v>395</v>
      </c>
      <c r="G120" s="488" t="s">
        <v>284</v>
      </c>
      <c r="H120" s="489"/>
      <c r="I120" s="489"/>
      <c r="J120" s="489" t="s">
        <v>403</v>
      </c>
      <c r="K120" s="491"/>
      <c r="L120" s="488"/>
      <c r="M120" s="488"/>
      <c r="N120" s="489"/>
      <c r="O120" s="489"/>
      <c r="P120" s="489"/>
      <c r="Q120" s="489"/>
      <c r="R120" s="490"/>
      <c r="S120" s="489"/>
      <c r="T120" s="488" t="s">
        <v>268</v>
      </c>
    </row>
    <row r="121" ht="34.5">
      <c r="A121" s="488" t="s">
        <v>260</v>
      </c>
      <c r="B121" s="488" t="s">
        <v>261</v>
      </c>
      <c r="C121" s="488" t="s">
        <v>402</v>
      </c>
      <c r="D121" s="488" t="s">
        <v>263</v>
      </c>
      <c r="E121" s="488" t="s">
        <v>394</v>
      </c>
      <c r="F121" s="489" t="s">
        <v>395</v>
      </c>
      <c r="G121" s="488" t="s">
        <v>284</v>
      </c>
      <c r="H121" s="489"/>
      <c r="I121" s="489"/>
      <c r="J121" s="489" t="s">
        <v>404</v>
      </c>
      <c r="K121" s="491"/>
      <c r="L121" s="488"/>
      <c r="M121" s="488"/>
      <c r="N121" s="489"/>
      <c r="O121" s="489"/>
      <c r="P121" s="489"/>
      <c r="Q121" s="489"/>
      <c r="R121" s="490"/>
      <c r="S121" s="489"/>
      <c r="T121" s="488" t="s">
        <v>268</v>
      </c>
    </row>
    <row r="122" ht="34.5">
      <c r="A122" s="488" t="s">
        <v>260</v>
      </c>
      <c r="B122" s="488" t="s">
        <v>261</v>
      </c>
      <c r="C122" s="488" t="s">
        <v>402</v>
      </c>
      <c r="D122" s="488" t="s">
        <v>263</v>
      </c>
      <c r="E122" s="488" t="s">
        <v>394</v>
      </c>
      <c r="F122" s="489" t="s">
        <v>395</v>
      </c>
      <c r="G122" s="488" t="s">
        <v>284</v>
      </c>
      <c r="H122" s="489"/>
      <c r="I122" s="489"/>
      <c r="J122" s="489" t="s">
        <v>405</v>
      </c>
      <c r="K122" s="491"/>
      <c r="L122" s="488"/>
      <c r="M122" s="488"/>
      <c r="N122" s="489"/>
      <c r="O122" s="489"/>
      <c r="P122" s="489"/>
      <c r="Q122" s="489"/>
      <c r="R122" s="490"/>
      <c r="S122" s="489"/>
      <c r="T122" s="488" t="s">
        <v>268</v>
      </c>
    </row>
    <row r="123" ht="34.5">
      <c r="A123" s="488" t="s">
        <v>260</v>
      </c>
      <c r="B123" s="488" t="s">
        <v>261</v>
      </c>
      <c r="C123" s="488" t="s">
        <v>402</v>
      </c>
      <c r="D123" s="488" t="s">
        <v>263</v>
      </c>
      <c r="E123" s="488" t="s">
        <v>394</v>
      </c>
      <c r="F123" s="489" t="s">
        <v>395</v>
      </c>
      <c r="G123" s="488" t="s">
        <v>284</v>
      </c>
      <c r="H123" s="489"/>
      <c r="I123" s="489"/>
      <c r="J123" s="489" t="s">
        <v>406</v>
      </c>
      <c r="K123" s="491"/>
      <c r="L123" s="488"/>
      <c r="M123" s="488"/>
      <c r="N123" s="489"/>
      <c r="O123" s="489"/>
      <c r="P123" s="489"/>
      <c r="Q123" s="489"/>
      <c r="R123" s="490"/>
      <c r="S123" s="489"/>
      <c r="T123" s="488" t="s">
        <v>268</v>
      </c>
    </row>
    <row r="124" ht="34.5">
      <c r="A124" s="488" t="s">
        <v>260</v>
      </c>
      <c r="B124" s="488" t="s">
        <v>261</v>
      </c>
      <c r="C124" s="488" t="s">
        <v>402</v>
      </c>
      <c r="D124" s="488" t="s">
        <v>263</v>
      </c>
      <c r="E124" s="488" t="s">
        <v>407</v>
      </c>
      <c r="F124" s="489" t="s">
        <v>408</v>
      </c>
      <c r="G124" s="488" t="s">
        <v>409</v>
      </c>
      <c r="H124" s="489"/>
      <c r="I124" s="489"/>
      <c r="J124" s="489" t="s">
        <v>410</v>
      </c>
      <c r="K124" s="491"/>
      <c r="L124" s="488"/>
      <c r="M124" s="488"/>
      <c r="N124" s="489"/>
      <c r="O124" s="489"/>
      <c r="P124" s="489"/>
      <c r="Q124" s="489"/>
      <c r="R124" s="490"/>
      <c r="S124" s="489"/>
      <c r="T124" s="488" t="s">
        <v>268</v>
      </c>
    </row>
    <row r="125" ht="34.5">
      <c r="A125" s="488" t="s">
        <v>260</v>
      </c>
      <c r="B125" s="488" t="s">
        <v>261</v>
      </c>
      <c r="C125" s="488" t="s">
        <v>402</v>
      </c>
      <c r="D125" s="488" t="s">
        <v>263</v>
      </c>
      <c r="E125" s="488" t="s">
        <v>407</v>
      </c>
      <c r="F125" s="489" t="s">
        <v>408</v>
      </c>
      <c r="G125" s="488" t="s">
        <v>409</v>
      </c>
      <c r="H125" s="489"/>
      <c r="I125" s="489"/>
      <c r="J125" s="489" t="s">
        <v>411</v>
      </c>
      <c r="K125" s="491"/>
      <c r="L125" s="488"/>
      <c r="M125" s="488"/>
      <c r="N125" s="489"/>
      <c r="O125" s="489"/>
      <c r="P125" s="489"/>
      <c r="Q125" s="489"/>
      <c r="R125" s="490"/>
      <c r="S125" s="489"/>
      <c r="T125" s="488" t="s">
        <v>268</v>
      </c>
    </row>
    <row r="126" ht="34.5">
      <c r="A126" s="488" t="s">
        <v>260</v>
      </c>
      <c r="B126" s="488" t="s">
        <v>261</v>
      </c>
      <c r="C126" s="488" t="s">
        <v>402</v>
      </c>
      <c r="D126" s="488" t="s">
        <v>263</v>
      </c>
      <c r="E126" s="488" t="s">
        <v>407</v>
      </c>
      <c r="F126" s="489" t="s">
        <v>408</v>
      </c>
      <c r="G126" s="488" t="s">
        <v>409</v>
      </c>
      <c r="H126" s="489"/>
      <c r="I126" s="489"/>
      <c r="J126" s="489" t="s">
        <v>412</v>
      </c>
      <c r="K126" s="491"/>
      <c r="L126" s="488"/>
      <c r="M126" s="488"/>
      <c r="N126" s="489"/>
      <c r="O126" s="489"/>
      <c r="P126" s="489"/>
      <c r="Q126" s="489"/>
      <c r="R126" s="490"/>
      <c r="S126" s="489"/>
      <c r="T126" s="488" t="s">
        <v>268</v>
      </c>
    </row>
    <row r="127" ht="34.5">
      <c r="A127" s="488" t="s">
        <v>260</v>
      </c>
      <c r="B127" s="488" t="s">
        <v>261</v>
      </c>
      <c r="C127" s="488" t="s">
        <v>402</v>
      </c>
      <c r="D127" s="488" t="s">
        <v>263</v>
      </c>
      <c r="E127" s="488" t="s">
        <v>407</v>
      </c>
      <c r="F127" s="489" t="s">
        <v>408</v>
      </c>
      <c r="G127" s="488" t="s">
        <v>409</v>
      </c>
      <c r="H127" s="489"/>
      <c r="I127" s="489"/>
      <c r="J127" s="489" t="s">
        <v>413</v>
      </c>
      <c r="K127" s="491"/>
      <c r="L127" s="488"/>
      <c r="M127" s="488"/>
      <c r="N127" s="489"/>
      <c r="O127" s="489"/>
      <c r="P127" s="489"/>
      <c r="Q127" s="489"/>
      <c r="R127" s="490"/>
      <c r="S127" s="489"/>
      <c r="T127" s="488" t="s">
        <v>268</v>
      </c>
    </row>
    <row r="128" ht="34.5">
      <c r="A128" s="488" t="s">
        <v>260</v>
      </c>
      <c r="B128" s="488" t="s">
        <v>261</v>
      </c>
      <c r="C128" s="488" t="s">
        <v>402</v>
      </c>
      <c r="D128" s="488" t="s">
        <v>263</v>
      </c>
      <c r="E128" s="488" t="s">
        <v>407</v>
      </c>
      <c r="F128" s="489" t="s">
        <v>408</v>
      </c>
      <c r="G128" s="488" t="s">
        <v>409</v>
      </c>
      <c r="H128" s="489"/>
      <c r="I128" s="489"/>
      <c r="J128" s="489" t="s">
        <v>414</v>
      </c>
      <c r="K128" s="491"/>
      <c r="L128" s="488"/>
      <c r="M128" s="488"/>
      <c r="N128" s="489"/>
      <c r="O128" s="489"/>
      <c r="P128" s="489"/>
      <c r="Q128" s="489"/>
      <c r="R128" s="490"/>
      <c r="S128" s="489"/>
      <c r="T128" s="488" t="s">
        <v>268</v>
      </c>
    </row>
    <row r="129" ht="34.5">
      <c r="A129" s="488" t="s">
        <v>260</v>
      </c>
      <c r="B129" s="488" t="s">
        <v>261</v>
      </c>
      <c r="C129" s="488" t="s">
        <v>415</v>
      </c>
      <c r="D129" s="488" t="s">
        <v>263</v>
      </c>
      <c r="E129" s="488" t="s">
        <v>407</v>
      </c>
      <c r="F129" s="489" t="s">
        <v>416</v>
      </c>
      <c r="G129" s="488" t="s">
        <v>409</v>
      </c>
      <c r="H129" s="489"/>
      <c r="I129" s="489"/>
      <c r="J129" s="489" t="s">
        <v>417</v>
      </c>
      <c r="K129" s="491"/>
      <c r="L129" s="488"/>
      <c r="M129" s="488"/>
      <c r="N129" s="489"/>
      <c r="O129" s="489"/>
      <c r="P129" s="489"/>
      <c r="Q129" s="489"/>
      <c r="R129" s="490"/>
      <c r="S129" s="489"/>
      <c r="T129" s="488" t="s">
        <v>268</v>
      </c>
    </row>
    <row r="130" ht="34.5">
      <c r="A130" s="488" t="s">
        <v>260</v>
      </c>
      <c r="B130" s="488" t="s">
        <v>261</v>
      </c>
      <c r="C130" s="488" t="s">
        <v>415</v>
      </c>
      <c r="D130" s="488" t="s">
        <v>263</v>
      </c>
      <c r="E130" s="488" t="s">
        <v>407</v>
      </c>
      <c r="F130" s="489" t="s">
        <v>416</v>
      </c>
      <c r="G130" s="488" t="s">
        <v>409</v>
      </c>
      <c r="H130" s="489"/>
      <c r="I130" s="489"/>
      <c r="J130" s="489" t="s">
        <v>418</v>
      </c>
      <c r="K130" s="491"/>
      <c r="L130" s="488"/>
      <c r="M130" s="488"/>
      <c r="N130" s="489"/>
      <c r="O130" s="489"/>
      <c r="P130" s="489"/>
      <c r="Q130" s="489"/>
      <c r="R130" s="490"/>
      <c r="S130" s="489"/>
      <c r="T130" s="488" t="s">
        <v>268</v>
      </c>
    </row>
    <row r="131" ht="34.5">
      <c r="A131" s="488" t="s">
        <v>260</v>
      </c>
      <c r="B131" s="488" t="s">
        <v>261</v>
      </c>
      <c r="C131" s="488" t="s">
        <v>415</v>
      </c>
      <c r="D131" s="488" t="s">
        <v>263</v>
      </c>
      <c r="E131" s="488" t="s">
        <v>407</v>
      </c>
      <c r="F131" s="489" t="s">
        <v>416</v>
      </c>
      <c r="G131" s="488" t="s">
        <v>409</v>
      </c>
      <c r="H131" s="489"/>
      <c r="I131" s="489"/>
      <c r="J131" s="489" t="s">
        <v>419</v>
      </c>
      <c r="K131" s="491"/>
      <c r="L131" s="488"/>
      <c r="M131" s="488"/>
      <c r="N131" s="489"/>
      <c r="O131" s="489"/>
      <c r="P131" s="489"/>
      <c r="Q131" s="489"/>
      <c r="R131" s="490"/>
      <c r="S131" s="489"/>
      <c r="T131" s="488" t="s">
        <v>268</v>
      </c>
    </row>
    <row r="132" ht="34.5">
      <c r="A132" s="488" t="s">
        <v>260</v>
      </c>
      <c r="B132" s="488" t="s">
        <v>261</v>
      </c>
      <c r="C132" s="488" t="s">
        <v>415</v>
      </c>
      <c r="D132" s="488" t="s">
        <v>263</v>
      </c>
      <c r="E132" s="488" t="s">
        <v>407</v>
      </c>
      <c r="F132" s="489" t="s">
        <v>416</v>
      </c>
      <c r="G132" s="488" t="s">
        <v>409</v>
      </c>
      <c r="H132" s="489"/>
      <c r="I132" s="489"/>
      <c r="J132" s="489" t="s">
        <v>420</v>
      </c>
      <c r="K132" s="491"/>
      <c r="L132" s="488"/>
      <c r="M132" s="488"/>
      <c r="N132" s="489"/>
      <c r="O132" s="489"/>
      <c r="P132" s="489"/>
      <c r="Q132" s="489"/>
      <c r="R132" s="490"/>
      <c r="S132" s="489"/>
      <c r="T132" s="488" t="s">
        <v>268</v>
      </c>
    </row>
    <row r="133" ht="34.5">
      <c r="A133" s="488" t="s">
        <v>260</v>
      </c>
      <c r="B133" s="488" t="s">
        <v>261</v>
      </c>
      <c r="C133" s="488" t="s">
        <v>415</v>
      </c>
      <c r="D133" s="488" t="s">
        <v>263</v>
      </c>
      <c r="E133" s="488" t="s">
        <v>407</v>
      </c>
      <c r="F133" s="489" t="s">
        <v>416</v>
      </c>
      <c r="G133" s="488" t="s">
        <v>409</v>
      </c>
      <c r="H133" s="489"/>
      <c r="I133" s="489"/>
      <c r="J133" s="489" t="s">
        <v>421</v>
      </c>
      <c r="K133" s="491"/>
      <c r="L133" s="488"/>
      <c r="M133" s="488"/>
      <c r="N133" s="489"/>
      <c r="O133" s="489"/>
      <c r="P133" s="489"/>
      <c r="Q133" s="489"/>
      <c r="R133" s="490"/>
      <c r="S133" s="489"/>
      <c r="T133" s="488" t="s">
        <v>268</v>
      </c>
    </row>
    <row r="134" ht="34.5">
      <c r="A134" s="488" t="s">
        <v>260</v>
      </c>
      <c r="B134" s="488" t="s">
        <v>261</v>
      </c>
      <c r="C134" s="488" t="s">
        <v>415</v>
      </c>
      <c r="D134" s="488" t="s">
        <v>263</v>
      </c>
      <c r="E134" s="488" t="s">
        <v>407</v>
      </c>
      <c r="F134" s="489" t="s">
        <v>416</v>
      </c>
      <c r="G134" s="488" t="s">
        <v>409</v>
      </c>
      <c r="H134" s="489"/>
      <c r="I134" s="489"/>
      <c r="J134" s="489" t="s">
        <v>422</v>
      </c>
      <c r="K134" s="491"/>
      <c r="L134" s="488"/>
      <c r="M134" s="488"/>
      <c r="N134" s="489"/>
      <c r="O134" s="489"/>
      <c r="P134" s="489"/>
      <c r="Q134" s="489"/>
      <c r="R134" s="490"/>
      <c r="S134" s="489"/>
      <c r="T134" s="488" t="s">
        <v>268</v>
      </c>
    </row>
    <row r="135" ht="34.5">
      <c r="A135" s="488" t="s">
        <v>260</v>
      </c>
      <c r="B135" s="488" t="s">
        <v>261</v>
      </c>
      <c r="C135" s="488" t="s">
        <v>415</v>
      </c>
      <c r="D135" s="488" t="s">
        <v>263</v>
      </c>
      <c r="E135" s="488" t="s">
        <v>407</v>
      </c>
      <c r="F135" s="489" t="s">
        <v>416</v>
      </c>
      <c r="G135" s="488" t="s">
        <v>409</v>
      </c>
      <c r="H135" s="489"/>
      <c r="I135" s="489"/>
      <c r="J135" s="489" t="s">
        <v>423</v>
      </c>
      <c r="K135" s="491"/>
      <c r="L135" s="488"/>
      <c r="M135" s="488"/>
      <c r="N135" s="489"/>
      <c r="O135" s="489"/>
      <c r="P135" s="489"/>
      <c r="Q135" s="489"/>
      <c r="R135" s="490"/>
      <c r="S135" s="489"/>
      <c r="T135" s="488" t="s">
        <v>268</v>
      </c>
    </row>
    <row r="136" ht="34.5">
      <c r="A136" s="488" t="s">
        <v>260</v>
      </c>
      <c r="B136" s="488" t="s">
        <v>261</v>
      </c>
      <c r="C136" s="488" t="s">
        <v>424</v>
      </c>
      <c r="D136" s="488" t="s">
        <v>263</v>
      </c>
      <c r="E136" s="488" t="s">
        <v>407</v>
      </c>
      <c r="F136" s="489" t="s">
        <v>416</v>
      </c>
      <c r="G136" s="488" t="s">
        <v>409</v>
      </c>
      <c r="H136" s="489"/>
      <c r="I136" s="489"/>
      <c r="J136" s="489" t="s">
        <v>425</v>
      </c>
      <c r="K136" s="491"/>
      <c r="L136" s="488"/>
      <c r="M136" s="488"/>
      <c r="N136" s="489"/>
      <c r="O136" s="489"/>
      <c r="P136" s="489"/>
      <c r="Q136" s="489"/>
      <c r="R136" s="490"/>
      <c r="S136" s="489"/>
      <c r="T136" s="488" t="s">
        <v>268</v>
      </c>
    </row>
    <row r="137" ht="34.5">
      <c r="A137" s="488" t="s">
        <v>260</v>
      </c>
      <c r="B137" s="488" t="s">
        <v>261</v>
      </c>
      <c r="C137" s="488" t="s">
        <v>424</v>
      </c>
      <c r="D137" s="488" t="s">
        <v>263</v>
      </c>
      <c r="E137" s="488" t="s">
        <v>407</v>
      </c>
      <c r="F137" s="489" t="s">
        <v>416</v>
      </c>
      <c r="G137" s="488" t="s">
        <v>409</v>
      </c>
      <c r="H137" s="489"/>
      <c r="I137" s="489"/>
      <c r="J137" s="489" t="s">
        <v>426</v>
      </c>
      <c r="K137" s="491"/>
      <c r="L137" s="488"/>
      <c r="M137" s="488"/>
      <c r="N137" s="489"/>
      <c r="O137" s="489"/>
      <c r="P137" s="489"/>
      <c r="Q137" s="489"/>
      <c r="R137" s="490"/>
      <c r="S137" s="489"/>
      <c r="T137" s="488" t="s">
        <v>268</v>
      </c>
    </row>
    <row r="138" ht="34.5">
      <c r="A138" s="488" t="s">
        <v>260</v>
      </c>
      <c r="B138" s="488" t="s">
        <v>261</v>
      </c>
      <c r="C138" s="488" t="s">
        <v>424</v>
      </c>
      <c r="D138" s="488" t="s">
        <v>263</v>
      </c>
      <c r="E138" s="488" t="s">
        <v>407</v>
      </c>
      <c r="F138" s="489" t="s">
        <v>416</v>
      </c>
      <c r="G138" s="488" t="s">
        <v>409</v>
      </c>
      <c r="H138" s="489"/>
      <c r="I138" s="489"/>
      <c r="J138" s="489" t="s">
        <v>427</v>
      </c>
      <c r="K138" s="491"/>
      <c r="L138" s="488"/>
      <c r="M138" s="488"/>
      <c r="N138" s="489"/>
      <c r="O138" s="489"/>
      <c r="P138" s="489"/>
      <c r="Q138" s="489"/>
      <c r="R138" s="490"/>
      <c r="S138" s="489"/>
      <c r="T138" s="488" t="s">
        <v>268</v>
      </c>
    </row>
    <row r="139" ht="34.5">
      <c r="A139" s="488" t="s">
        <v>260</v>
      </c>
      <c r="B139" s="488" t="s">
        <v>261</v>
      </c>
      <c r="C139" s="488" t="s">
        <v>424</v>
      </c>
      <c r="D139" s="488" t="s">
        <v>263</v>
      </c>
      <c r="E139" s="488" t="s">
        <v>407</v>
      </c>
      <c r="F139" s="489" t="s">
        <v>416</v>
      </c>
      <c r="G139" s="488" t="s">
        <v>409</v>
      </c>
      <c r="H139" s="489"/>
      <c r="I139" s="489"/>
      <c r="J139" s="489" t="s">
        <v>428</v>
      </c>
      <c r="K139" s="491">
        <v>83349063</v>
      </c>
      <c r="L139" s="488" t="s">
        <v>429</v>
      </c>
      <c r="M139" s="488"/>
      <c r="N139" s="489"/>
      <c r="O139" s="489"/>
      <c r="P139" s="489"/>
      <c r="Q139" s="489"/>
      <c r="R139" s="490"/>
      <c r="S139" s="489"/>
      <c r="T139" s="488" t="s">
        <v>268</v>
      </c>
    </row>
    <row r="140" ht="34.5">
      <c r="A140" s="488" t="s">
        <v>260</v>
      </c>
      <c r="B140" s="488" t="s">
        <v>261</v>
      </c>
      <c r="C140" s="488" t="s">
        <v>424</v>
      </c>
      <c r="D140" s="488" t="s">
        <v>263</v>
      </c>
      <c r="E140" s="488" t="s">
        <v>407</v>
      </c>
      <c r="F140" s="489" t="s">
        <v>416</v>
      </c>
      <c r="G140" s="488" t="s">
        <v>409</v>
      </c>
      <c r="H140" s="489"/>
      <c r="I140" s="489"/>
      <c r="J140" s="489" t="s">
        <v>430</v>
      </c>
      <c r="K140" s="491"/>
      <c r="L140" s="488"/>
      <c r="M140" s="488"/>
      <c r="N140" s="489"/>
      <c r="O140" s="489"/>
      <c r="P140" s="489"/>
      <c r="Q140" s="489"/>
      <c r="R140" s="490"/>
      <c r="S140" s="489"/>
      <c r="T140" s="488" t="s">
        <v>268</v>
      </c>
    </row>
    <row r="141" ht="34.5">
      <c r="A141" s="488" t="s">
        <v>260</v>
      </c>
      <c r="B141" s="488" t="s">
        <v>261</v>
      </c>
      <c r="C141" s="488" t="s">
        <v>424</v>
      </c>
      <c r="D141" s="488" t="s">
        <v>263</v>
      </c>
      <c r="E141" s="488" t="s">
        <v>407</v>
      </c>
      <c r="F141" s="489" t="s">
        <v>416</v>
      </c>
      <c r="G141" s="488" t="s">
        <v>409</v>
      </c>
      <c r="H141" s="489"/>
      <c r="I141" s="489"/>
      <c r="J141" s="489" t="s">
        <v>431</v>
      </c>
      <c r="K141" s="491"/>
      <c r="L141" s="488"/>
      <c r="M141" s="488"/>
      <c r="N141" s="489"/>
      <c r="O141" s="489"/>
      <c r="P141" s="489"/>
      <c r="Q141" s="489"/>
      <c r="R141" s="490"/>
      <c r="S141" s="489"/>
      <c r="T141" s="488" t="s">
        <v>268</v>
      </c>
    </row>
    <row r="142" ht="34.5">
      <c r="A142" s="488" t="s">
        <v>260</v>
      </c>
      <c r="B142" s="488" t="s">
        <v>261</v>
      </c>
      <c r="C142" s="488" t="s">
        <v>424</v>
      </c>
      <c r="D142" s="488" t="s">
        <v>263</v>
      </c>
      <c r="E142" s="488" t="s">
        <v>407</v>
      </c>
      <c r="F142" s="489" t="s">
        <v>416</v>
      </c>
      <c r="G142" s="488" t="s">
        <v>409</v>
      </c>
      <c r="H142" s="489"/>
      <c r="I142" s="489"/>
      <c r="J142" s="489" t="s">
        <v>432</v>
      </c>
      <c r="K142" s="491"/>
      <c r="L142" s="488"/>
      <c r="M142" s="488"/>
      <c r="N142" s="489"/>
      <c r="O142" s="489"/>
      <c r="P142" s="489"/>
      <c r="Q142" s="489"/>
      <c r="R142" s="490"/>
      <c r="S142" s="489"/>
      <c r="T142" s="488" t="s">
        <v>268</v>
      </c>
    </row>
    <row r="143" ht="34.5">
      <c r="A143" s="488" t="s">
        <v>260</v>
      </c>
      <c r="B143" s="488" t="s">
        <v>261</v>
      </c>
      <c r="C143" s="488" t="s">
        <v>424</v>
      </c>
      <c r="D143" s="488" t="s">
        <v>263</v>
      </c>
      <c r="E143" s="488" t="s">
        <v>407</v>
      </c>
      <c r="F143" s="489" t="s">
        <v>416</v>
      </c>
      <c r="G143" s="488" t="s">
        <v>409</v>
      </c>
      <c r="H143" s="489"/>
      <c r="I143" s="489"/>
      <c r="J143" s="489" t="s">
        <v>433</v>
      </c>
      <c r="K143" s="491"/>
      <c r="L143" s="488"/>
      <c r="M143" s="488"/>
      <c r="N143" s="489"/>
      <c r="O143" s="489"/>
      <c r="P143" s="489"/>
      <c r="Q143" s="489"/>
      <c r="R143" s="490"/>
      <c r="S143" s="489"/>
      <c r="T143" s="488" t="s">
        <v>268</v>
      </c>
    </row>
    <row r="144" ht="34.5">
      <c r="A144" s="488" t="s">
        <v>260</v>
      </c>
      <c r="B144" s="488" t="s">
        <v>261</v>
      </c>
      <c r="C144" s="488" t="s">
        <v>434</v>
      </c>
      <c r="D144" s="488" t="s">
        <v>263</v>
      </c>
      <c r="E144" s="488" t="s">
        <v>407</v>
      </c>
      <c r="F144" s="489" t="s">
        <v>416</v>
      </c>
      <c r="G144" s="488" t="s">
        <v>409</v>
      </c>
      <c r="H144" s="489"/>
      <c r="I144" s="489"/>
      <c r="J144" s="489" t="s">
        <v>435</v>
      </c>
      <c r="K144" s="491"/>
      <c r="L144" s="488"/>
      <c r="M144" s="488"/>
      <c r="N144" s="489"/>
      <c r="O144" s="489"/>
      <c r="P144" s="489"/>
      <c r="Q144" s="489"/>
      <c r="R144" s="490"/>
      <c r="S144" s="489"/>
      <c r="T144" s="488" t="s">
        <v>268</v>
      </c>
    </row>
    <row r="145" ht="34.5">
      <c r="A145" s="488" t="s">
        <v>260</v>
      </c>
      <c r="B145" s="488" t="s">
        <v>261</v>
      </c>
      <c r="C145" s="488" t="s">
        <v>434</v>
      </c>
      <c r="D145" s="488" t="s">
        <v>263</v>
      </c>
      <c r="E145" s="488" t="s">
        <v>407</v>
      </c>
      <c r="F145" s="489" t="s">
        <v>416</v>
      </c>
      <c r="G145" s="488" t="s">
        <v>409</v>
      </c>
      <c r="H145" s="489"/>
      <c r="I145" s="489"/>
      <c r="J145" s="489" t="s">
        <v>436</v>
      </c>
      <c r="K145" s="491"/>
      <c r="L145" s="488"/>
      <c r="M145" s="488"/>
      <c r="N145" s="489"/>
      <c r="O145" s="489"/>
      <c r="P145" s="489"/>
      <c r="Q145" s="489"/>
      <c r="R145" s="490"/>
      <c r="S145" s="489"/>
      <c r="T145" s="488" t="s">
        <v>268</v>
      </c>
    </row>
    <row r="146" ht="34.5">
      <c r="A146" s="488" t="s">
        <v>260</v>
      </c>
      <c r="B146" s="488" t="s">
        <v>261</v>
      </c>
      <c r="C146" s="488" t="s">
        <v>434</v>
      </c>
      <c r="D146" s="488" t="s">
        <v>263</v>
      </c>
      <c r="E146" s="488" t="s">
        <v>407</v>
      </c>
      <c r="F146" s="489" t="s">
        <v>416</v>
      </c>
      <c r="G146" s="488" t="s">
        <v>409</v>
      </c>
      <c r="H146" s="489"/>
      <c r="I146" s="489"/>
      <c r="J146" s="489" t="s">
        <v>437</v>
      </c>
      <c r="K146" s="491">
        <v>167250000</v>
      </c>
      <c r="L146" s="488" t="s">
        <v>429</v>
      </c>
      <c r="M146" s="488"/>
      <c r="N146" s="489"/>
      <c r="O146" s="489"/>
      <c r="P146" s="489"/>
      <c r="Q146" s="489"/>
      <c r="R146" s="490"/>
      <c r="S146" s="489"/>
      <c r="T146" s="488" t="s">
        <v>268</v>
      </c>
    </row>
    <row r="147" ht="34.5">
      <c r="A147" s="488" t="s">
        <v>260</v>
      </c>
      <c r="B147" s="488" t="s">
        <v>261</v>
      </c>
      <c r="C147" s="488" t="s">
        <v>434</v>
      </c>
      <c r="D147" s="488" t="s">
        <v>263</v>
      </c>
      <c r="E147" s="488" t="s">
        <v>407</v>
      </c>
      <c r="F147" s="489" t="s">
        <v>416</v>
      </c>
      <c r="G147" s="488" t="s">
        <v>409</v>
      </c>
      <c r="H147" s="489"/>
      <c r="I147" s="489"/>
      <c r="J147" s="489" t="s">
        <v>438</v>
      </c>
      <c r="K147" s="491"/>
      <c r="L147" s="488"/>
      <c r="M147" s="488"/>
      <c r="N147" s="489"/>
      <c r="O147" s="489"/>
      <c r="P147" s="489"/>
      <c r="Q147" s="489"/>
      <c r="R147" s="490"/>
      <c r="S147" s="489"/>
      <c r="T147" s="488" t="s">
        <v>268</v>
      </c>
    </row>
    <row r="148" ht="34.5">
      <c r="A148" s="488" t="s">
        <v>260</v>
      </c>
      <c r="B148" s="488" t="s">
        <v>261</v>
      </c>
      <c r="C148" s="488" t="s">
        <v>434</v>
      </c>
      <c r="D148" s="488" t="s">
        <v>263</v>
      </c>
      <c r="E148" s="488" t="s">
        <v>407</v>
      </c>
      <c r="F148" s="489" t="s">
        <v>416</v>
      </c>
      <c r="G148" s="488" t="s">
        <v>409</v>
      </c>
      <c r="H148" s="489"/>
      <c r="I148" s="489"/>
      <c r="J148" s="489" t="s">
        <v>439</v>
      </c>
      <c r="K148" s="491"/>
      <c r="L148" s="488"/>
      <c r="M148" s="488"/>
      <c r="N148" s="489"/>
      <c r="O148" s="489"/>
      <c r="P148" s="489"/>
      <c r="Q148" s="489"/>
      <c r="R148" s="490"/>
      <c r="S148" s="489"/>
      <c r="T148" s="488" t="s">
        <v>268</v>
      </c>
    </row>
    <row r="149" ht="34.5">
      <c r="A149" s="488" t="s">
        <v>260</v>
      </c>
      <c r="B149" s="488" t="s">
        <v>261</v>
      </c>
      <c r="C149" s="488" t="s">
        <v>434</v>
      </c>
      <c r="D149" s="488" t="s">
        <v>263</v>
      </c>
      <c r="E149" s="488" t="s">
        <v>407</v>
      </c>
      <c r="F149" s="489" t="s">
        <v>416</v>
      </c>
      <c r="G149" s="488" t="s">
        <v>409</v>
      </c>
      <c r="H149" s="489"/>
      <c r="I149" s="489"/>
      <c r="J149" s="489" t="s">
        <v>440</v>
      </c>
      <c r="K149" s="491"/>
      <c r="L149" s="488"/>
      <c r="M149" s="488"/>
      <c r="N149" s="489"/>
      <c r="O149" s="489"/>
      <c r="P149" s="489"/>
      <c r="Q149" s="489"/>
      <c r="R149" s="490"/>
      <c r="S149" s="489"/>
      <c r="T149" s="488" t="s">
        <v>268</v>
      </c>
    </row>
    <row r="150" ht="34.5">
      <c r="A150" s="488" t="s">
        <v>260</v>
      </c>
      <c r="B150" s="488" t="s">
        <v>261</v>
      </c>
      <c r="C150" s="488" t="s">
        <v>441</v>
      </c>
      <c r="D150" s="488" t="s">
        <v>263</v>
      </c>
      <c r="E150" s="488" t="s">
        <v>442</v>
      </c>
      <c r="F150" s="489" t="s">
        <v>443</v>
      </c>
      <c r="G150" s="488" t="s">
        <v>444</v>
      </c>
      <c r="H150" s="489"/>
      <c r="I150" s="489"/>
      <c r="J150" s="489" t="s">
        <v>445</v>
      </c>
      <c r="K150" s="491"/>
      <c r="L150" s="488"/>
      <c r="M150" s="488"/>
      <c r="N150" s="489"/>
      <c r="O150" s="489"/>
      <c r="P150" s="489"/>
      <c r="Q150" s="489"/>
      <c r="R150" s="490"/>
      <c r="S150" s="489"/>
      <c r="T150" s="488" t="s">
        <v>268</v>
      </c>
    </row>
    <row r="151" ht="34.5">
      <c r="A151" s="488" t="s">
        <v>260</v>
      </c>
      <c r="B151" s="488" t="s">
        <v>261</v>
      </c>
      <c r="C151" s="488" t="s">
        <v>441</v>
      </c>
      <c r="D151" s="488" t="s">
        <v>263</v>
      </c>
      <c r="E151" s="488" t="s">
        <v>442</v>
      </c>
      <c r="F151" s="489" t="s">
        <v>443</v>
      </c>
      <c r="G151" s="488" t="s">
        <v>444</v>
      </c>
      <c r="H151" s="489"/>
      <c r="I151" s="489"/>
      <c r="J151" s="489" t="s">
        <v>446</v>
      </c>
      <c r="K151" s="491">
        <v>1104</v>
      </c>
      <c r="L151" s="488" t="s">
        <v>429</v>
      </c>
      <c r="M151" s="488"/>
      <c r="N151" s="489"/>
      <c r="O151" s="489"/>
      <c r="P151" s="489"/>
      <c r="Q151" s="489"/>
      <c r="R151" s="490"/>
      <c r="S151" s="489"/>
      <c r="T151" s="488" t="s">
        <v>268</v>
      </c>
    </row>
    <row r="152" ht="34.5">
      <c r="A152" s="488" t="s">
        <v>260</v>
      </c>
      <c r="B152" s="488" t="s">
        <v>261</v>
      </c>
      <c r="C152" s="488" t="s">
        <v>441</v>
      </c>
      <c r="D152" s="488" t="s">
        <v>263</v>
      </c>
      <c r="E152" s="488" t="s">
        <v>447</v>
      </c>
      <c r="F152" s="489" t="s">
        <v>448</v>
      </c>
      <c r="G152" s="488" t="s">
        <v>37</v>
      </c>
      <c r="H152" s="489"/>
      <c r="I152" s="489"/>
      <c r="J152" s="489" t="s">
        <v>449</v>
      </c>
      <c r="K152" s="491"/>
      <c r="L152" s="488"/>
      <c r="M152" s="488"/>
      <c r="N152" s="489"/>
      <c r="O152" s="489"/>
      <c r="P152" s="489"/>
      <c r="Q152" s="489"/>
      <c r="R152" s="490"/>
      <c r="S152" s="489"/>
      <c r="T152" s="488" t="s">
        <v>268</v>
      </c>
    </row>
    <row r="153" ht="34.5">
      <c r="A153" s="488" t="s">
        <v>260</v>
      </c>
      <c r="B153" s="488" t="s">
        <v>261</v>
      </c>
      <c r="C153" s="488" t="s">
        <v>441</v>
      </c>
      <c r="D153" s="488" t="s">
        <v>263</v>
      </c>
      <c r="E153" s="488" t="s">
        <v>447</v>
      </c>
      <c r="F153" s="489" t="s">
        <v>448</v>
      </c>
      <c r="G153" s="488" t="s">
        <v>37</v>
      </c>
      <c r="H153" s="489"/>
      <c r="I153" s="489"/>
      <c r="J153" s="489" t="s">
        <v>450</v>
      </c>
      <c r="K153" s="491">
        <v>5462185</v>
      </c>
      <c r="L153" s="488" t="s">
        <v>429</v>
      </c>
      <c r="M153" s="488"/>
      <c r="N153" s="489"/>
      <c r="O153" s="489"/>
      <c r="P153" s="489"/>
      <c r="Q153" s="489"/>
      <c r="R153" s="490"/>
      <c r="S153" s="489"/>
      <c r="T153" s="488" t="s">
        <v>268</v>
      </c>
    </row>
    <row r="154" ht="34.5">
      <c r="A154" s="488" t="s">
        <v>260</v>
      </c>
      <c r="B154" s="488" t="s">
        <v>261</v>
      </c>
      <c r="C154" s="488" t="s">
        <v>441</v>
      </c>
      <c r="D154" s="488" t="s">
        <v>263</v>
      </c>
      <c r="E154" s="488" t="s">
        <v>447</v>
      </c>
      <c r="F154" s="489" t="s">
        <v>448</v>
      </c>
      <c r="G154" s="488" t="s">
        <v>37</v>
      </c>
      <c r="H154" s="489"/>
      <c r="I154" s="489"/>
      <c r="J154" s="489" t="s">
        <v>451</v>
      </c>
      <c r="K154" s="491"/>
      <c r="L154" s="488"/>
      <c r="M154" s="488"/>
      <c r="N154" s="489"/>
      <c r="O154" s="489"/>
      <c r="P154" s="489"/>
      <c r="Q154" s="489"/>
      <c r="R154" s="490"/>
      <c r="S154" s="489"/>
      <c r="T154" s="488" t="s">
        <v>268</v>
      </c>
    </row>
    <row r="155" ht="34.5">
      <c r="A155" s="488" t="s">
        <v>260</v>
      </c>
      <c r="B155" s="488" t="s">
        <v>261</v>
      </c>
      <c r="C155" s="488" t="s">
        <v>441</v>
      </c>
      <c r="D155" s="488" t="s">
        <v>263</v>
      </c>
      <c r="E155" s="488" t="s">
        <v>447</v>
      </c>
      <c r="F155" s="489" t="s">
        <v>448</v>
      </c>
      <c r="G155" s="488" t="s">
        <v>37</v>
      </c>
      <c r="H155" s="489"/>
      <c r="I155" s="489"/>
      <c r="J155" s="489" t="s">
        <v>452</v>
      </c>
      <c r="K155" s="491"/>
      <c r="L155" s="488"/>
      <c r="M155" s="488"/>
      <c r="N155" s="489"/>
      <c r="O155" s="489"/>
      <c r="P155" s="489"/>
      <c r="Q155" s="489"/>
      <c r="R155" s="490"/>
      <c r="S155" s="489"/>
      <c r="T155" s="488" t="s">
        <v>268</v>
      </c>
    </row>
    <row r="156" ht="34.5">
      <c r="A156" s="488" t="s">
        <v>260</v>
      </c>
      <c r="B156" s="488" t="s">
        <v>261</v>
      </c>
      <c r="C156" s="488" t="s">
        <v>441</v>
      </c>
      <c r="D156" s="488" t="s">
        <v>263</v>
      </c>
      <c r="E156" s="488" t="s">
        <v>447</v>
      </c>
      <c r="F156" s="489" t="s">
        <v>448</v>
      </c>
      <c r="G156" s="488" t="s">
        <v>37</v>
      </c>
      <c r="H156" s="489"/>
      <c r="I156" s="489"/>
      <c r="J156" s="489" t="s">
        <v>453</v>
      </c>
      <c r="K156" s="491"/>
      <c r="L156" s="488"/>
      <c r="M156" s="488"/>
      <c r="N156" s="489"/>
      <c r="O156" s="489"/>
      <c r="P156" s="489"/>
      <c r="Q156" s="489"/>
      <c r="R156" s="490"/>
      <c r="S156" s="489"/>
      <c r="T156" s="488" t="s">
        <v>268</v>
      </c>
    </row>
    <row r="157" ht="34.5">
      <c r="A157" s="488" t="s">
        <v>260</v>
      </c>
      <c r="B157" s="488" t="s">
        <v>261</v>
      </c>
      <c r="C157" s="488" t="s">
        <v>441</v>
      </c>
      <c r="D157" s="488" t="s">
        <v>263</v>
      </c>
      <c r="E157" s="488" t="s">
        <v>447</v>
      </c>
      <c r="F157" s="489" t="s">
        <v>448</v>
      </c>
      <c r="G157" s="488" t="s">
        <v>37</v>
      </c>
      <c r="H157" s="489"/>
      <c r="I157" s="489"/>
      <c r="J157" s="489" t="s">
        <v>454</v>
      </c>
      <c r="K157" s="491"/>
      <c r="L157" s="488"/>
      <c r="M157" s="488"/>
      <c r="N157" s="489"/>
      <c r="O157" s="489"/>
      <c r="P157" s="489"/>
      <c r="Q157" s="489"/>
      <c r="R157" s="490"/>
      <c r="S157" s="489"/>
      <c r="T157" s="488" t="s">
        <v>268</v>
      </c>
    </row>
    <row r="158" ht="34.5">
      <c r="A158" s="488" t="s">
        <v>260</v>
      </c>
      <c r="B158" s="488" t="s">
        <v>261</v>
      </c>
      <c r="C158" s="488" t="s">
        <v>455</v>
      </c>
      <c r="D158" s="488" t="s">
        <v>263</v>
      </c>
      <c r="E158" s="488" t="s">
        <v>447</v>
      </c>
      <c r="F158" s="489" t="s">
        <v>456</v>
      </c>
      <c r="G158" s="488" t="s">
        <v>37</v>
      </c>
      <c r="H158" s="489"/>
      <c r="I158" s="489"/>
      <c r="J158" s="489" t="s">
        <v>457</v>
      </c>
      <c r="K158" s="491"/>
      <c r="L158" s="488"/>
      <c r="M158" s="488"/>
      <c r="N158" s="489"/>
      <c r="O158" s="489"/>
      <c r="P158" s="489"/>
      <c r="Q158" s="489"/>
      <c r="R158" s="490"/>
      <c r="S158" s="489"/>
      <c r="T158" s="488" t="s">
        <v>268</v>
      </c>
    </row>
    <row r="159" ht="34.5">
      <c r="A159" s="488" t="s">
        <v>260</v>
      </c>
      <c r="B159" s="488" t="s">
        <v>261</v>
      </c>
      <c r="C159" s="488" t="s">
        <v>455</v>
      </c>
      <c r="D159" s="488" t="s">
        <v>263</v>
      </c>
      <c r="E159" s="488" t="s">
        <v>447</v>
      </c>
      <c r="F159" s="489" t="s">
        <v>456</v>
      </c>
      <c r="G159" s="488" t="s">
        <v>37</v>
      </c>
      <c r="H159" s="489"/>
      <c r="I159" s="489"/>
      <c r="J159" s="489" t="s">
        <v>458</v>
      </c>
      <c r="K159" s="491">
        <v>807747</v>
      </c>
      <c r="L159" s="488" t="s">
        <v>429</v>
      </c>
      <c r="M159" s="488"/>
      <c r="N159" s="489"/>
      <c r="O159" s="489"/>
      <c r="P159" s="489"/>
      <c r="Q159" s="489"/>
      <c r="R159" s="490"/>
      <c r="S159" s="489"/>
      <c r="T159" s="488" t="s">
        <v>268</v>
      </c>
    </row>
    <row r="160" ht="34.5">
      <c r="A160" s="488" t="s">
        <v>260</v>
      </c>
      <c r="B160" s="488" t="s">
        <v>261</v>
      </c>
      <c r="C160" s="488" t="s">
        <v>455</v>
      </c>
      <c r="D160" s="488" t="s">
        <v>263</v>
      </c>
      <c r="E160" s="488" t="s">
        <v>447</v>
      </c>
      <c r="F160" s="489" t="s">
        <v>456</v>
      </c>
      <c r="G160" s="488" t="s">
        <v>37</v>
      </c>
      <c r="H160" s="489"/>
      <c r="I160" s="489"/>
      <c r="J160" s="489" t="s">
        <v>459</v>
      </c>
      <c r="K160" s="491"/>
      <c r="L160" s="488"/>
      <c r="M160" s="488"/>
      <c r="N160" s="489"/>
      <c r="O160" s="489"/>
      <c r="P160" s="489"/>
      <c r="Q160" s="489"/>
      <c r="R160" s="490"/>
      <c r="S160" s="489"/>
      <c r="T160" s="488" t="s">
        <v>268</v>
      </c>
    </row>
    <row r="161" ht="34.5">
      <c r="A161" s="488" t="s">
        <v>260</v>
      </c>
      <c r="B161" s="488" t="s">
        <v>261</v>
      </c>
      <c r="C161" s="488" t="s">
        <v>455</v>
      </c>
      <c r="D161" s="488" t="s">
        <v>263</v>
      </c>
      <c r="E161" s="488" t="s">
        <v>447</v>
      </c>
      <c r="F161" s="489" t="s">
        <v>456</v>
      </c>
      <c r="G161" s="488" t="s">
        <v>37</v>
      </c>
      <c r="H161" s="489"/>
      <c r="I161" s="489"/>
      <c r="J161" s="489" t="s">
        <v>460</v>
      </c>
      <c r="K161" s="491"/>
      <c r="L161" s="488"/>
      <c r="M161" s="488"/>
      <c r="N161" s="489"/>
      <c r="O161" s="489"/>
      <c r="P161" s="489"/>
      <c r="Q161" s="489"/>
      <c r="R161" s="490"/>
      <c r="S161" s="489"/>
      <c r="T161" s="488" t="s">
        <v>268</v>
      </c>
    </row>
    <row r="162" ht="34.5">
      <c r="A162" s="488" t="s">
        <v>260</v>
      </c>
      <c r="B162" s="488" t="s">
        <v>261</v>
      </c>
      <c r="C162" s="488" t="s">
        <v>455</v>
      </c>
      <c r="D162" s="488" t="s">
        <v>263</v>
      </c>
      <c r="E162" s="488" t="s">
        <v>447</v>
      </c>
      <c r="F162" s="489" t="s">
        <v>456</v>
      </c>
      <c r="G162" s="488" t="s">
        <v>37</v>
      </c>
      <c r="H162" s="489"/>
      <c r="I162" s="489"/>
      <c r="J162" s="489" t="s">
        <v>461</v>
      </c>
      <c r="K162" s="491"/>
      <c r="L162" s="488"/>
      <c r="M162" s="488"/>
      <c r="N162" s="489"/>
      <c r="O162" s="489"/>
      <c r="P162" s="489"/>
      <c r="Q162" s="489"/>
      <c r="R162" s="490"/>
      <c r="S162" s="489"/>
      <c r="T162" s="488" t="s">
        <v>268</v>
      </c>
    </row>
    <row r="163" ht="34.5">
      <c r="A163" s="488" t="s">
        <v>260</v>
      </c>
      <c r="B163" s="488" t="s">
        <v>261</v>
      </c>
      <c r="C163" s="488" t="s">
        <v>455</v>
      </c>
      <c r="D163" s="488" t="s">
        <v>263</v>
      </c>
      <c r="E163" s="488" t="s">
        <v>462</v>
      </c>
      <c r="F163" s="489" t="s">
        <v>463</v>
      </c>
      <c r="G163" s="488" t="s">
        <v>464</v>
      </c>
      <c r="H163" s="489"/>
      <c r="I163" s="489"/>
      <c r="J163" s="489" t="s">
        <v>465</v>
      </c>
      <c r="K163" s="491"/>
      <c r="L163" s="488"/>
      <c r="M163" s="488"/>
      <c r="N163" s="489"/>
      <c r="O163" s="489"/>
      <c r="P163" s="489"/>
      <c r="Q163" s="489"/>
      <c r="R163" s="490"/>
      <c r="S163" s="489"/>
      <c r="T163" s="488" t="s">
        <v>268</v>
      </c>
    </row>
    <row r="164" ht="34.5">
      <c r="A164" s="488" t="s">
        <v>260</v>
      </c>
      <c r="B164" s="488" t="s">
        <v>261</v>
      </c>
      <c r="C164" s="488" t="s">
        <v>455</v>
      </c>
      <c r="D164" s="488" t="s">
        <v>263</v>
      </c>
      <c r="E164" s="488" t="s">
        <v>462</v>
      </c>
      <c r="F164" s="489" t="s">
        <v>463</v>
      </c>
      <c r="G164" s="488" t="s">
        <v>464</v>
      </c>
      <c r="H164" s="489"/>
      <c r="I164" s="489"/>
      <c r="J164" s="489" t="s">
        <v>466</v>
      </c>
      <c r="K164" s="491">
        <v>124848</v>
      </c>
      <c r="L164" s="488" t="s">
        <v>429</v>
      </c>
      <c r="M164" s="488"/>
      <c r="N164" s="489"/>
      <c r="O164" s="489"/>
      <c r="P164" s="489"/>
      <c r="Q164" s="489"/>
      <c r="R164" s="490"/>
      <c r="S164" s="489"/>
      <c r="T164" s="488" t="s">
        <v>268</v>
      </c>
    </row>
    <row r="165" ht="34.5">
      <c r="A165" s="488" t="s">
        <v>260</v>
      </c>
      <c r="B165" s="488" t="s">
        <v>261</v>
      </c>
      <c r="C165" s="488" t="s">
        <v>467</v>
      </c>
      <c r="D165" s="488" t="s">
        <v>263</v>
      </c>
      <c r="E165" s="488" t="s">
        <v>468</v>
      </c>
      <c r="F165" s="489" t="s">
        <v>469</v>
      </c>
      <c r="G165" s="488" t="s">
        <v>470</v>
      </c>
      <c r="H165" s="489"/>
      <c r="I165" s="489"/>
      <c r="J165" s="489" t="s">
        <v>471</v>
      </c>
      <c r="K165" s="491"/>
      <c r="L165" s="488"/>
      <c r="M165" s="488"/>
      <c r="N165" s="489"/>
      <c r="O165" s="489"/>
      <c r="P165" s="489"/>
      <c r="Q165" s="489"/>
      <c r="R165" s="490"/>
      <c r="S165" s="489"/>
      <c r="T165" s="488" t="s">
        <v>268</v>
      </c>
    </row>
    <row r="166" ht="34.5">
      <c r="A166" s="488" t="s">
        <v>260</v>
      </c>
      <c r="B166" s="488" t="s">
        <v>261</v>
      </c>
      <c r="C166" s="488" t="s">
        <v>467</v>
      </c>
      <c r="D166" s="488" t="s">
        <v>263</v>
      </c>
      <c r="E166" s="488" t="s">
        <v>468</v>
      </c>
      <c r="F166" s="489" t="s">
        <v>469</v>
      </c>
      <c r="G166" s="488" t="s">
        <v>470</v>
      </c>
      <c r="H166" s="489"/>
      <c r="I166" s="489"/>
      <c r="J166" s="489" t="s">
        <v>472</v>
      </c>
      <c r="K166" s="491">
        <v>13195714</v>
      </c>
      <c r="L166" s="488" t="s">
        <v>429</v>
      </c>
      <c r="M166" s="488"/>
      <c r="N166" s="489"/>
      <c r="O166" s="489"/>
      <c r="P166" s="489"/>
      <c r="Q166" s="489"/>
      <c r="R166" s="490"/>
      <c r="S166" s="489"/>
      <c r="T166" s="488" t="s">
        <v>268</v>
      </c>
    </row>
    <row r="167" ht="34.5">
      <c r="A167" s="488" t="s">
        <v>260</v>
      </c>
      <c r="B167" s="488" t="s">
        <v>261</v>
      </c>
      <c r="C167" s="488" t="s">
        <v>467</v>
      </c>
      <c r="D167" s="488" t="s">
        <v>263</v>
      </c>
      <c r="E167" s="488" t="s">
        <v>468</v>
      </c>
      <c r="F167" s="489" t="s">
        <v>469</v>
      </c>
      <c r="G167" s="488" t="s">
        <v>470</v>
      </c>
      <c r="H167" s="489"/>
      <c r="I167" s="489"/>
      <c r="J167" s="489" t="s">
        <v>473</v>
      </c>
      <c r="K167" s="491"/>
      <c r="L167" s="488"/>
      <c r="M167" s="488"/>
      <c r="N167" s="489"/>
      <c r="O167" s="489"/>
      <c r="P167" s="489"/>
      <c r="Q167" s="489"/>
      <c r="R167" s="490"/>
      <c r="S167" s="489"/>
      <c r="T167" s="488" t="s">
        <v>268</v>
      </c>
    </row>
    <row r="168" ht="34.5">
      <c r="A168" s="488" t="s">
        <v>260</v>
      </c>
      <c r="B168" s="488" t="s">
        <v>261</v>
      </c>
      <c r="C168" s="488" t="s">
        <v>474</v>
      </c>
      <c r="D168" s="488" t="s">
        <v>263</v>
      </c>
      <c r="E168" s="488" t="s">
        <v>475</v>
      </c>
      <c r="F168" s="489" t="s">
        <v>476</v>
      </c>
      <c r="G168" s="488" t="s">
        <v>266</v>
      </c>
      <c r="H168" s="489"/>
      <c r="I168" s="489"/>
      <c r="J168" s="489" t="s">
        <v>477</v>
      </c>
      <c r="K168" s="491"/>
      <c r="L168" s="488"/>
      <c r="M168" s="488"/>
      <c r="N168" s="489"/>
      <c r="O168" s="489"/>
      <c r="P168" s="489"/>
      <c r="Q168" s="489"/>
      <c r="R168" s="490"/>
      <c r="S168" s="489"/>
      <c r="T168" s="488" t="s">
        <v>268</v>
      </c>
    </row>
    <row r="169" ht="34.5">
      <c r="A169" s="488" t="s">
        <v>260</v>
      </c>
      <c r="B169" s="488" t="s">
        <v>261</v>
      </c>
      <c r="C169" s="488" t="s">
        <v>474</v>
      </c>
      <c r="D169" s="488" t="s">
        <v>263</v>
      </c>
      <c r="E169" s="488" t="s">
        <v>475</v>
      </c>
      <c r="F169" s="489" t="s">
        <v>476</v>
      </c>
      <c r="G169" s="488" t="s">
        <v>266</v>
      </c>
      <c r="H169" s="489"/>
      <c r="I169" s="489"/>
      <c r="J169" s="489" t="s">
        <v>478</v>
      </c>
      <c r="K169" s="491">
        <v>235805</v>
      </c>
      <c r="L169" s="488" t="s">
        <v>429</v>
      </c>
      <c r="M169" s="488"/>
      <c r="N169" s="489"/>
      <c r="O169" s="489"/>
      <c r="P169" s="489"/>
      <c r="Q169" s="489"/>
      <c r="R169" s="490"/>
      <c r="S169" s="489"/>
      <c r="T169" s="488" t="s">
        <v>268</v>
      </c>
    </row>
    <row r="170" ht="34.5">
      <c r="A170" s="488" t="s">
        <v>260</v>
      </c>
      <c r="B170" s="488" t="s">
        <v>261</v>
      </c>
      <c r="C170" s="488" t="s">
        <v>474</v>
      </c>
      <c r="D170" s="488" t="s">
        <v>263</v>
      </c>
      <c r="E170" s="488" t="s">
        <v>475</v>
      </c>
      <c r="F170" s="489" t="s">
        <v>476</v>
      </c>
      <c r="G170" s="488" t="s">
        <v>266</v>
      </c>
      <c r="H170" s="489"/>
      <c r="I170" s="489"/>
      <c r="J170" s="489" t="s">
        <v>479</v>
      </c>
      <c r="K170" s="491">
        <v>258312</v>
      </c>
      <c r="L170" s="488" t="s">
        <v>429</v>
      </c>
      <c r="M170" s="488"/>
      <c r="N170" s="489"/>
      <c r="O170" s="489"/>
      <c r="P170" s="489"/>
      <c r="Q170" s="489"/>
      <c r="R170" s="490"/>
      <c r="S170" s="489"/>
      <c r="T170" s="488" t="s">
        <v>268</v>
      </c>
    </row>
    <row r="171" ht="34.5">
      <c r="A171" s="488" t="s">
        <v>260</v>
      </c>
      <c r="B171" s="488" t="s">
        <v>261</v>
      </c>
      <c r="C171" s="488" t="s">
        <v>474</v>
      </c>
      <c r="D171" s="488" t="s">
        <v>263</v>
      </c>
      <c r="E171" s="488" t="s">
        <v>475</v>
      </c>
      <c r="F171" s="489" t="s">
        <v>476</v>
      </c>
      <c r="G171" s="488" t="s">
        <v>266</v>
      </c>
      <c r="H171" s="489"/>
      <c r="I171" s="489"/>
      <c r="J171" s="489" t="s">
        <v>480</v>
      </c>
      <c r="K171" s="491"/>
      <c r="L171" s="488"/>
      <c r="M171" s="488"/>
      <c r="N171" s="489"/>
      <c r="O171" s="489"/>
      <c r="P171" s="489"/>
      <c r="Q171" s="489"/>
      <c r="R171" s="490"/>
      <c r="S171" s="489"/>
      <c r="T171" s="488" t="s">
        <v>268</v>
      </c>
    </row>
    <row r="172" ht="34.5">
      <c r="A172" s="488" t="s">
        <v>260</v>
      </c>
      <c r="B172" s="488" t="s">
        <v>261</v>
      </c>
      <c r="C172" s="488" t="s">
        <v>474</v>
      </c>
      <c r="D172" s="488" t="s">
        <v>263</v>
      </c>
      <c r="E172" s="488" t="s">
        <v>475</v>
      </c>
      <c r="F172" s="489" t="s">
        <v>476</v>
      </c>
      <c r="G172" s="488" t="s">
        <v>266</v>
      </c>
      <c r="H172" s="489"/>
      <c r="I172" s="489"/>
      <c r="J172" s="489" t="s">
        <v>481</v>
      </c>
      <c r="K172" s="491"/>
      <c r="L172" s="488"/>
      <c r="M172" s="488"/>
      <c r="N172" s="489"/>
      <c r="O172" s="489"/>
      <c r="P172" s="489"/>
      <c r="Q172" s="489"/>
      <c r="R172" s="490"/>
      <c r="S172" s="489"/>
      <c r="T172" s="488" t="s">
        <v>268</v>
      </c>
    </row>
    <row r="173" ht="34.5">
      <c r="A173" s="488" t="s">
        <v>260</v>
      </c>
      <c r="B173" s="488" t="s">
        <v>261</v>
      </c>
      <c r="C173" s="488" t="s">
        <v>474</v>
      </c>
      <c r="D173" s="488" t="s">
        <v>263</v>
      </c>
      <c r="E173" s="488" t="s">
        <v>475</v>
      </c>
      <c r="F173" s="489" t="s">
        <v>476</v>
      </c>
      <c r="G173" s="488" t="s">
        <v>266</v>
      </c>
      <c r="H173" s="489"/>
      <c r="I173" s="489"/>
      <c r="J173" s="489" t="s">
        <v>482</v>
      </c>
      <c r="K173" s="491">
        <v>500000</v>
      </c>
      <c r="L173" s="488" t="s">
        <v>429</v>
      </c>
      <c r="M173" s="488"/>
      <c r="N173" s="489"/>
      <c r="O173" s="489"/>
      <c r="P173" s="489"/>
      <c r="Q173" s="489"/>
      <c r="R173" s="490"/>
      <c r="S173" s="489"/>
      <c r="T173" s="488" t="s">
        <v>268</v>
      </c>
    </row>
    <row r="174" ht="34.5">
      <c r="A174" s="488" t="s">
        <v>260</v>
      </c>
      <c r="B174" s="488" t="s">
        <v>261</v>
      </c>
      <c r="C174" s="488" t="s">
        <v>474</v>
      </c>
      <c r="D174" s="488" t="s">
        <v>263</v>
      </c>
      <c r="E174" s="488" t="s">
        <v>475</v>
      </c>
      <c r="F174" s="489" t="s">
        <v>476</v>
      </c>
      <c r="G174" s="488" t="s">
        <v>266</v>
      </c>
      <c r="H174" s="489"/>
      <c r="I174" s="489"/>
      <c r="J174" s="489" t="s">
        <v>483</v>
      </c>
      <c r="K174" s="491"/>
      <c r="L174" s="488"/>
      <c r="M174" s="488"/>
      <c r="N174" s="489"/>
      <c r="O174" s="489"/>
      <c r="P174" s="489"/>
      <c r="Q174" s="489"/>
      <c r="R174" s="490"/>
      <c r="S174" s="489"/>
      <c r="T174" s="488" t="s">
        <v>268</v>
      </c>
    </row>
    <row r="175" ht="34.5">
      <c r="A175" s="488" t="s">
        <v>260</v>
      </c>
      <c r="B175" s="488" t="s">
        <v>261</v>
      </c>
      <c r="C175" s="488" t="s">
        <v>484</v>
      </c>
      <c r="D175" s="488" t="s">
        <v>263</v>
      </c>
      <c r="E175" s="488" t="s">
        <v>475</v>
      </c>
      <c r="F175" s="489" t="s">
        <v>485</v>
      </c>
      <c r="G175" s="488" t="s">
        <v>266</v>
      </c>
      <c r="H175" s="489"/>
      <c r="I175" s="489"/>
      <c r="J175" s="489" t="s">
        <v>486</v>
      </c>
      <c r="K175" s="491">
        <v>1844310</v>
      </c>
      <c r="L175" s="488" t="s">
        <v>429</v>
      </c>
      <c r="M175" s="488"/>
      <c r="N175" s="489"/>
      <c r="O175" s="489"/>
      <c r="P175" s="489"/>
      <c r="Q175" s="489"/>
      <c r="R175" s="490"/>
      <c r="S175" s="489"/>
      <c r="T175" s="488" t="s">
        <v>268</v>
      </c>
    </row>
    <row r="176" ht="34.5">
      <c r="A176" s="488" t="s">
        <v>260</v>
      </c>
      <c r="B176" s="488" t="s">
        <v>261</v>
      </c>
      <c r="C176" s="488" t="s">
        <v>484</v>
      </c>
      <c r="D176" s="488" t="s">
        <v>263</v>
      </c>
      <c r="E176" s="488" t="s">
        <v>487</v>
      </c>
      <c r="F176" s="489" t="s">
        <v>488</v>
      </c>
      <c r="G176" s="488" t="s">
        <v>444</v>
      </c>
      <c r="H176" s="489"/>
      <c r="I176" s="489"/>
      <c r="J176" s="489" t="s">
        <v>489</v>
      </c>
      <c r="K176" s="491"/>
      <c r="L176" s="488"/>
      <c r="M176" s="488"/>
      <c r="N176" s="489"/>
      <c r="O176" s="489"/>
      <c r="P176" s="489"/>
      <c r="Q176" s="489"/>
      <c r="R176" s="490"/>
      <c r="S176" s="489"/>
      <c r="T176" s="488" t="s">
        <v>268</v>
      </c>
    </row>
    <row r="177" ht="34.5">
      <c r="A177" s="488" t="s">
        <v>260</v>
      </c>
      <c r="B177" s="488" t="s">
        <v>261</v>
      </c>
      <c r="C177" s="488" t="s">
        <v>484</v>
      </c>
      <c r="D177" s="488" t="s">
        <v>263</v>
      </c>
      <c r="E177" s="488" t="s">
        <v>487</v>
      </c>
      <c r="F177" s="489" t="s">
        <v>488</v>
      </c>
      <c r="G177" s="488" t="s">
        <v>444</v>
      </c>
      <c r="H177" s="489"/>
      <c r="I177" s="489"/>
      <c r="J177" s="489" t="s">
        <v>490</v>
      </c>
      <c r="K177" s="491">
        <v>4324822</v>
      </c>
      <c r="L177" s="488" t="s">
        <v>429</v>
      </c>
      <c r="M177" s="488"/>
      <c r="N177" s="489"/>
      <c r="O177" s="489"/>
      <c r="P177" s="489"/>
      <c r="Q177" s="489"/>
      <c r="R177" s="490"/>
      <c r="S177" s="489"/>
      <c r="T177" s="488" t="s">
        <v>268</v>
      </c>
    </row>
    <row r="178" ht="34.5">
      <c r="A178" s="488" t="s">
        <v>260</v>
      </c>
      <c r="B178" s="488" t="s">
        <v>261</v>
      </c>
      <c r="C178" s="488" t="s">
        <v>484</v>
      </c>
      <c r="D178" s="488" t="s">
        <v>263</v>
      </c>
      <c r="E178" s="488" t="s">
        <v>487</v>
      </c>
      <c r="F178" s="489" t="s">
        <v>488</v>
      </c>
      <c r="G178" s="488" t="s">
        <v>444</v>
      </c>
      <c r="H178" s="489"/>
      <c r="I178" s="489"/>
      <c r="J178" s="489" t="s">
        <v>491</v>
      </c>
      <c r="K178" s="491">
        <v>158250000</v>
      </c>
      <c r="L178" s="488" t="s">
        <v>429</v>
      </c>
      <c r="M178" s="488"/>
      <c r="N178" s="489"/>
      <c r="O178" s="489"/>
      <c r="P178" s="489"/>
      <c r="Q178" s="489"/>
      <c r="R178" s="490"/>
      <c r="S178" s="489"/>
      <c r="T178" s="488" t="s">
        <v>268</v>
      </c>
    </row>
    <row r="179" ht="34.5">
      <c r="A179" s="488" t="s">
        <v>260</v>
      </c>
      <c r="B179" s="488" t="s">
        <v>261</v>
      </c>
      <c r="C179" s="488" t="s">
        <v>484</v>
      </c>
      <c r="D179" s="488" t="s">
        <v>263</v>
      </c>
      <c r="E179" s="488" t="s">
        <v>487</v>
      </c>
      <c r="F179" s="489" t="s">
        <v>488</v>
      </c>
      <c r="G179" s="488" t="s">
        <v>444</v>
      </c>
      <c r="H179" s="489"/>
      <c r="I179" s="489"/>
      <c r="J179" s="489" t="s">
        <v>492</v>
      </c>
      <c r="K179" s="491"/>
      <c r="L179" s="488"/>
      <c r="M179" s="488"/>
      <c r="N179" s="489"/>
      <c r="O179" s="489"/>
      <c r="P179" s="489"/>
      <c r="Q179" s="489"/>
      <c r="R179" s="490"/>
      <c r="S179" s="489"/>
      <c r="T179" s="488" t="s">
        <v>268</v>
      </c>
    </row>
    <row r="180" ht="34.5">
      <c r="A180" s="488" t="s">
        <v>260</v>
      </c>
      <c r="B180" s="488" t="s">
        <v>261</v>
      </c>
      <c r="C180" s="488" t="s">
        <v>484</v>
      </c>
      <c r="D180" s="488" t="s">
        <v>263</v>
      </c>
      <c r="E180" s="488" t="s">
        <v>493</v>
      </c>
      <c r="F180" s="489" t="s">
        <v>494</v>
      </c>
      <c r="G180" s="488" t="s">
        <v>495</v>
      </c>
      <c r="H180" s="489"/>
      <c r="I180" s="489"/>
      <c r="J180" s="489" t="s">
        <v>496</v>
      </c>
      <c r="K180" s="491"/>
      <c r="L180" s="488"/>
      <c r="M180" s="488"/>
      <c r="N180" s="489"/>
      <c r="O180" s="489"/>
      <c r="P180" s="489"/>
      <c r="Q180" s="489"/>
      <c r="R180" s="490"/>
      <c r="S180" s="489"/>
      <c r="T180" s="488" t="s">
        <v>268</v>
      </c>
    </row>
    <row r="181" ht="34.5">
      <c r="A181" s="488" t="s">
        <v>260</v>
      </c>
      <c r="B181" s="488" t="s">
        <v>261</v>
      </c>
      <c r="C181" s="488" t="s">
        <v>484</v>
      </c>
      <c r="D181" s="488" t="s">
        <v>263</v>
      </c>
      <c r="E181" s="488" t="s">
        <v>493</v>
      </c>
      <c r="F181" s="489" t="s">
        <v>494</v>
      </c>
      <c r="G181" s="488" t="s">
        <v>495</v>
      </c>
      <c r="H181" s="489"/>
      <c r="I181" s="489"/>
      <c r="J181" s="489" t="s">
        <v>497</v>
      </c>
      <c r="K181" s="491"/>
      <c r="L181" s="488"/>
      <c r="M181" s="488"/>
      <c r="N181" s="489"/>
      <c r="O181" s="489"/>
      <c r="P181" s="489"/>
      <c r="Q181" s="489"/>
      <c r="R181" s="490"/>
      <c r="S181" s="489"/>
      <c r="T181" s="488" t="s">
        <v>268</v>
      </c>
    </row>
    <row r="182" ht="34.5">
      <c r="A182" s="488" t="s">
        <v>260</v>
      </c>
      <c r="B182" s="488" t="s">
        <v>261</v>
      </c>
      <c r="C182" s="488" t="s">
        <v>484</v>
      </c>
      <c r="D182" s="488" t="s">
        <v>263</v>
      </c>
      <c r="E182" s="488" t="s">
        <v>493</v>
      </c>
      <c r="F182" s="489" t="s">
        <v>494</v>
      </c>
      <c r="G182" s="488" t="s">
        <v>495</v>
      </c>
      <c r="H182" s="489"/>
      <c r="I182" s="489"/>
      <c r="J182" s="489" t="s">
        <v>498</v>
      </c>
      <c r="K182" s="491">
        <v>723071</v>
      </c>
      <c r="L182" s="488" t="s">
        <v>429</v>
      </c>
      <c r="M182" s="488"/>
      <c r="N182" s="489"/>
      <c r="O182" s="489"/>
      <c r="P182" s="489"/>
      <c r="Q182" s="489"/>
      <c r="R182" s="490"/>
      <c r="S182" s="489"/>
      <c r="T182" s="488" t="s">
        <v>268</v>
      </c>
    </row>
    <row r="183" ht="34.5">
      <c r="A183" s="488" t="s">
        <v>260</v>
      </c>
      <c r="B183" s="488" t="s">
        <v>261</v>
      </c>
      <c r="C183" s="488" t="s">
        <v>484</v>
      </c>
      <c r="D183" s="488" t="s">
        <v>263</v>
      </c>
      <c r="E183" s="488" t="s">
        <v>493</v>
      </c>
      <c r="F183" s="489" t="s">
        <v>494</v>
      </c>
      <c r="G183" s="488" t="s">
        <v>495</v>
      </c>
      <c r="H183" s="489"/>
      <c r="I183" s="489"/>
      <c r="J183" s="489" t="s">
        <v>499</v>
      </c>
      <c r="K183" s="491"/>
      <c r="L183" s="488"/>
      <c r="M183" s="488"/>
      <c r="N183" s="489"/>
      <c r="O183" s="489"/>
      <c r="P183" s="489"/>
      <c r="Q183" s="489"/>
      <c r="R183" s="490"/>
      <c r="S183" s="489"/>
      <c r="T183" s="488" t="s">
        <v>268</v>
      </c>
    </row>
    <row r="184" ht="34.5">
      <c r="A184" s="488" t="s">
        <v>260</v>
      </c>
      <c r="B184" s="488" t="s">
        <v>261</v>
      </c>
      <c r="C184" s="488" t="s">
        <v>500</v>
      </c>
      <c r="D184" s="488" t="s">
        <v>263</v>
      </c>
      <c r="E184" s="488" t="s">
        <v>493</v>
      </c>
      <c r="F184" s="489" t="s">
        <v>501</v>
      </c>
      <c r="G184" s="488" t="s">
        <v>495</v>
      </c>
      <c r="H184" s="489"/>
      <c r="I184" s="489"/>
      <c r="J184" s="489" t="s">
        <v>502</v>
      </c>
      <c r="K184" s="491"/>
      <c r="L184" s="488"/>
      <c r="M184" s="488"/>
      <c r="N184" s="489"/>
      <c r="O184" s="489"/>
      <c r="P184" s="489"/>
      <c r="Q184" s="489"/>
      <c r="R184" s="490"/>
      <c r="S184" s="489"/>
      <c r="T184" s="488" t="s">
        <v>268</v>
      </c>
    </row>
    <row r="185" ht="34.5">
      <c r="A185" s="488" t="s">
        <v>260</v>
      </c>
      <c r="B185" s="488" t="s">
        <v>261</v>
      </c>
      <c r="C185" s="488" t="s">
        <v>500</v>
      </c>
      <c r="D185" s="488" t="s">
        <v>263</v>
      </c>
      <c r="E185" s="488" t="s">
        <v>493</v>
      </c>
      <c r="F185" s="489" t="s">
        <v>501</v>
      </c>
      <c r="G185" s="488" t="s">
        <v>495</v>
      </c>
      <c r="H185" s="489"/>
      <c r="I185" s="489"/>
      <c r="J185" s="489" t="s">
        <v>503</v>
      </c>
      <c r="K185" s="491"/>
      <c r="L185" s="488"/>
      <c r="M185" s="488"/>
      <c r="N185" s="489"/>
      <c r="O185" s="489"/>
      <c r="P185" s="489"/>
      <c r="Q185" s="489"/>
      <c r="R185" s="490"/>
      <c r="S185" s="489"/>
      <c r="T185" s="488" t="s">
        <v>268</v>
      </c>
    </row>
    <row r="186" ht="34.5">
      <c r="A186" s="488" t="s">
        <v>260</v>
      </c>
      <c r="B186" s="488" t="s">
        <v>261</v>
      </c>
      <c r="C186" s="488" t="s">
        <v>500</v>
      </c>
      <c r="D186" s="488" t="s">
        <v>263</v>
      </c>
      <c r="E186" s="488" t="s">
        <v>493</v>
      </c>
      <c r="F186" s="489" t="s">
        <v>501</v>
      </c>
      <c r="G186" s="488" t="s">
        <v>495</v>
      </c>
      <c r="H186" s="489"/>
      <c r="I186" s="489"/>
      <c r="J186" s="489" t="s">
        <v>504</v>
      </c>
      <c r="K186" s="491"/>
      <c r="L186" s="488"/>
      <c r="M186" s="488"/>
      <c r="N186" s="489"/>
      <c r="O186" s="489"/>
      <c r="P186" s="489"/>
      <c r="Q186" s="489"/>
      <c r="R186" s="490"/>
      <c r="S186" s="489"/>
      <c r="T186" s="488" t="s">
        <v>268</v>
      </c>
    </row>
    <row r="187" ht="34.5">
      <c r="A187" s="488" t="s">
        <v>260</v>
      </c>
      <c r="B187" s="488" t="s">
        <v>261</v>
      </c>
      <c r="C187" s="488" t="s">
        <v>500</v>
      </c>
      <c r="D187" s="488" t="s">
        <v>263</v>
      </c>
      <c r="E187" s="488" t="s">
        <v>493</v>
      </c>
      <c r="F187" s="489" t="s">
        <v>501</v>
      </c>
      <c r="G187" s="488" t="s">
        <v>495</v>
      </c>
      <c r="H187" s="489"/>
      <c r="I187" s="489"/>
      <c r="J187" s="489" t="s">
        <v>505</v>
      </c>
      <c r="K187" s="491"/>
      <c r="L187" s="488"/>
      <c r="M187" s="488"/>
      <c r="N187" s="489"/>
      <c r="O187" s="489"/>
      <c r="P187" s="489"/>
      <c r="Q187" s="489"/>
      <c r="R187" s="490"/>
      <c r="S187" s="489"/>
      <c r="T187" s="488" t="s">
        <v>268</v>
      </c>
    </row>
    <row r="188" ht="34.5">
      <c r="A188" s="488" t="s">
        <v>260</v>
      </c>
      <c r="B188" s="488" t="s">
        <v>261</v>
      </c>
      <c r="C188" s="488" t="s">
        <v>500</v>
      </c>
      <c r="D188" s="488" t="s">
        <v>263</v>
      </c>
      <c r="E188" s="488" t="s">
        <v>506</v>
      </c>
      <c r="F188" s="489" t="s">
        <v>507</v>
      </c>
      <c r="G188" s="488" t="s">
        <v>464</v>
      </c>
      <c r="H188" s="489"/>
      <c r="I188" s="489"/>
      <c r="J188" s="489" t="s">
        <v>508</v>
      </c>
      <c r="K188" s="491"/>
      <c r="L188" s="488"/>
      <c r="M188" s="488"/>
      <c r="N188" s="489"/>
      <c r="O188" s="489"/>
      <c r="P188" s="489"/>
      <c r="Q188" s="489"/>
      <c r="R188" s="490"/>
      <c r="S188" s="489"/>
      <c r="T188" s="488" t="s">
        <v>268</v>
      </c>
    </row>
    <row r="189" ht="34.5">
      <c r="A189" s="488" t="s">
        <v>260</v>
      </c>
      <c r="B189" s="488" t="s">
        <v>261</v>
      </c>
      <c r="C189" s="488" t="s">
        <v>500</v>
      </c>
      <c r="D189" s="488" t="s">
        <v>263</v>
      </c>
      <c r="E189" s="488" t="s">
        <v>506</v>
      </c>
      <c r="F189" s="489" t="s">
        <v>507</v>
      </c>
      <c r="G189" s="488" t="s">
        <v>464</v>
      </c>
      <c r="H189" s="489"/>
      <c r="I189" s="489"/>
      <c r="J189" s="489" t="s">
        <v>509</v>
      </c>
      <c r="K189" s="491">
        <v>20824</v>
      </c>
      <c r="L189" s="488" t="s">
        <v>429</v>
      </c>
      <c r="M189" s="488"/>
      <c r="N189" s="489"/>
      <c r="O189" s="489"/>
      <c r="P189" s="489"/>
      <c r="Q189" s="489"/>
      <c r="R189" s="490"/>
      <c r="S189" s="489"/>
      <c r="T189" s="488" t="s">
        <v>268</v>
      </c>
    </row>
    <row r="190" ht="34.5">
      <c r="A190" s="488" t="s">
        <v>260</v>
      </c>
      <c r="B190" s="488" t="s">
        <v>261</v>
      </c>
      <c r="C190" s="488" t="s">
        <v>510</v>
      </c>
      <c r="D190" s="488" t="s">
        <v>263</v>
      </c>
      <c r="E190" s="488" t="s">
        <v>511</v>
      </c>
      <c r="F190" s="489" t="s">
        <v>512</v>
      </c>
      <c r="G190" s="488" t="s">
        <v>495</v>
      </c>
      <c r="H190" s="489"/>
      <c r="I190" s="489"/>
      <c r="J190" s="489" t="s">
        <v>513</v>
      </c>
      <c r="K190" s="491"/>
      <c r="L190" s="488"/>
      <c r="M190" s="488"/>
      <c r="N190" s="489"/>
      <c r="O190" s="489"/>
      <c r="P190" s="489"/>
      <c r="Q190" s="489"/>
      <c r="R190" s="490"/>
      <c r="S190" s="489"/>
      <c r="T190" s="488" t="s">
        <v>268</v>
      </c>
    </row>
    <row r="191" ht="34.5">
      <c r="A191" s="488" t="s">
        <v>260</v>
      </c>
      <c r="B191" s="488" t="s">
        <v>261</v>
      </c>
      <c r="C191" s="488" t="s">
        <v>510</v>
      </c>
      <c r="D191" s="488" t="s">
        <v>263</v>
      </c>
      <c r="E191" s="488" t="s">
        <v>511</v>
      </c>
      <c r="F191" s="489" t="s">
        <v>512</v>
      </c>
      <c r="G191" s="488" t="s">
        <v>495</v>
      </c>
      <c r="H191" s="489"/>
      <c r="I191" s="489"/>
      <c r="J191" s="489" t="s">
        <v>514</v>
      </c>
      <c r="K191" s="491">
        <v>538918</v>
      </c>
      <c r="L191" s="488" t="s">
        <v>429</v>
      </c>
      <c r="M191" s="488"/>
      <c r="N191" s="489"/>
      <c r="O191" s="489"/>
      <c r="P191" s="489"/>
      <c r="Q191" s="489"/>
      <c r="R191" s="490"/>
      <c r="S191" s="489"/>
      <c r="T191" s="488" t="s">
        <v>268</v>
      </c>
    </row>
    <row r="192" ht="34.5">
      <c r="A192" s="488" t="s">
        <v>260</v>
      </c>
      <c r="B192" s="488" t="s">
        <v>261</v>
      </c>
      <c r="C192" s="488" t="s">
        <v>510</v>
      </c>
      <c r="D192" s="488" t="s">
        <v>263</v>
      </c>
      <c r="E192" s="488" t="s">
        <v>515</v>
      </c>
      <c r="F192" s="489" t="s">
        <v>516</v>
      </c>
      <c r="G192" s="488" t="s">
        <v>266</v>
      </c>
      <c r="H192" s="489"/>
      <c r="I192" s="489"/>
      <c r="J192" s="489" t="s">
        <v>517</v>
      </c>
      <c r="K192" s="491"/>
      <c r="L192" s="488"/>
      <c r="M192" s="488"/>
      <c r="N192" s="489"/>
      <c r="O192" s="489"/>
      <c r="P192" s="489"/>
      <c r="Q192" s="489"/>
      <c r="R192" s="490"/>
      <c r="S192" s="489"/>
      <c r="T192" s="488" t="s">
        <v>268</v>
      </c>
    </row>
    <row r="193" ht="34.5">
      <c r="A193" s="488" t="s">
        <v>260</v>
      </c>
      <c r="B193" s="488" t="s">
        <v>261</v>
      </c>
      <c r="C193" s="488" t="s">
        <v>510</v>
      </c>
      <c r="D193" s="488" t="s">
        <v>263</v>
      </c>
      <c r="E193" s="488" t="s">
        <v>515</v>
      </c>
      <c r="F193" s="489" t="s">
        <v>516</v>
      </c>
      <c r="G193" s="488" t="s">
        <v>266</v>
      </c>
      <c r="H193" s="489"/>
      <c r="I193" s="489"/>
      <c r="J193" s="489" t="s">
        <v>518</v>
      </c>
      <c r="K193" s="491"/>
      <c r="L193" s="488"/>
      <c r="M193" s="488"/>
      <c r="N193" s="489"/>
      <c r="O193" s="489"/>
      <c r="P193" s="489"/>
      <c r="Q193" s="489"/>
      <c r="R193" s="490"/>
      <c r="S193" s="489"/>
      <c r="T193" s="488" t="s">
        <v>268</v>
      </c>
    </row>
    <row r="194" ht="34.5">
      <c r="A194" s="488" t="s">
        <v>260</v>
      </c>
      <c r="B194" s="488" t="s">
        <v>261</v>
      </c>
      <c r="C194" s="488" t="s">
        <v>519</v>
      </c>
      <c r="D194" s="488" t="s">
        <v>263</v>
      </c>
      <c r="E194" s="488" t="s">
        <v>515</v>
      </c>
      <c r="F194" s="489" t="s">
        <v>520</v>
      </c>
      <c r="G194" s="488" t="s">
        <v>266</v>
      </c>
      <c r="H194" s="489"/>
      <c r="I194" s="489"/>
      <c r="J194" s="489" t="s">
        <v>521</v>
      </c>
      <c r="K194" s="491"/>
      <c r="L194" s="488"/>
      <c r="M194" s="488"/>
      <c r="N194" s="489"/>
      <c r="O194" s="489"/>
      <c r="P194" s="489"/>
      <c r="Q194" s="489"/>
      <c r="R194" s="490"/>
      <c r="S194" s="489"/>
      <c r="T194" s="488" t="s">
        <v>268</v>
      </c>
    </row>
    <row r="195" ht="34.5">
      <c r="A195" s="488" t="s">
        <v>260</v>
      </c>
      <c r="B195" s="488" t="s">
        <v>261</v>
      </c>
      <c r="C195" s="488" t="s">
        <v>519</v>
      </c>
      <c r="D195" s="488" t="s">
        <v>263</v>
      </c>
      <c r="E195" s="488" t="s">
        <v>515</v>
      </c>
      <c r="F195" s="489" t="s">
        <v>520</v>
      </c>
      <c r="G195" s="488" t="s">
        <v>266</v>
      </c>
      <c r="H195" s="489"/>
      <c r="I195" s="489"/>
      <c r="J195" s="489" t="s">
        <v>522</v>
      </c>
      <c r="K195" s="491">
        <v>142658</v>
      </c>
      <c r="L195" s="488" t="s">
        <v>429</v>
      </c>
      <c r="M195" s="488"/>
      <c r="N195" s="489"/>
      <c r="O195" s="489"/>
      <c r="P195" s="489"/>
      <c r="Q195" s="489"/>
      <c r="R195" s="490"/>
      <c r="S195" s="489"/>
      <c r="T195" s="488" t="s">
        <v>268</v>
      </c>
    </row>
    <row r="196" ht="34.5">
      <c r="A196" s="488" t="s">
        <v>260</v>
      </c>
      <c r="B196" s="488" t="s">
        <v>261</v>
      </c>
      <c r="C196" s="488" t="s">
        <v>519</v>
      </c>
      <c r="D196" s="488" t="s">
        <v>263</v>
      </c>
      <c r="E196" s="488" t="s">
        <v>515</v>
      </c>
      <c r="F196" s="489" t="s">
        <v>520</v>
      </c>
      <c r="G196" s="488" t="s">
        <v>266</v>
      </c>
      <c r="H196" s="489"/>
      <c r="I196" s="489"/>
      <c r="J196" s="489" t="s">
        <v>523</v>
      </c>
      <c r="K196" s="491"/>
      <c r="L196" s="488"/>
      <c r="M196" s="488"/>
      <c r="N196" s="489"/>
      <c r="O196" s="489"/>
      <c r="P196" s="489"/>
      <c r="Q196" s="489"/>
      <c r="R196" s="490"/>
      <c r="S196" s="489"/>
      <c r="T196" s="488" t="s">
        <v>268</v>
      </c>
    </row>
    <row r="197" ht="34.5">
      <c r="A197" s="488" t="s">
        <v>260</v>
      </c>
      <c r="B197" s="488" t="s">
        <v>261</v>
      </c>
      <c r="C197" s="488" t="s">
        <v>519</v>
      </c>
      <c r="D197" s="488" t="s">
        <v>263</v>
      </c>
      <c r="E197" s="488" t="s">
        <v>515</v>
      </c>
      <c r="F197" s="489" t="s">
        <v>520</v>
      </c>
      <c r="G197" s="488" t="s">
        <v>266</v>
      </c>
      <c r="H197" s="489"/>
      <c r="I197" s="489"/>
      <c r="J197" s="489" t="s">
        <v>524</v>
      </c>
      <c r="K197" s="491">
        <v>314345</v>
      </c>
      <c r="L197" s="488" t="s">
        <v>429</v>
      </c>
      <c r="M197" s="488"/>
      <c r="N197" s="489"/>
      <c r="O197" s="489"/>
      <c r="P197" s="489"/>
      <c r="Q197" s="489"/>
      <c r="R197" s="490"/>
      <c r="S197" s="489"/>
      <c r="T197" s="488" t="s">
        <v>268</v>
      </c>
    </row>
    <row r="198" ht="34.5">
      <c r="A198" s="488" t="s">
        <v>260</v>
      </c>
      <c r="B198" s="488" t="s">
        <v>261</v>
      </c>
      <c r="C198" s="488" t="s">
        <v>519</v>
      </c>
      <c r="D198" s="488" t="s">
        <v>263</v>
      </c>
      <c r="E198" s="488" t="s">
        <v>515</v>
      </c>
      <c r="F198" s="489" t="s">
        <v>520</v>
      </c>
      <c r="G198" s="488" t="s">
        <v>266</v>
      </c>
      <c r="H198" s="489"/>
      <c r="I198" s="489"/>
      <c r="J198" s="489" t="s">
        <v>525</v>
      </c>
      <c r="K198" s="491"/>
      <c r="L198" s="488"/>
      <c r="M198" s="488"/>
      <c r="N198" s="489"/>
      <c r="O198" s="489"/>
      <c r="P198" s="489"/>
      <c r="Q198" s="489"/>
      <c r="R198" s="490"/>
      <c r="S198" s="489"/>
      <c r="T198" s="488" t="s">
        <v>268</v>
      </c>
    </row>
    <row r="199" ht="34.5">
      <c r="A199" s="488" t="s">
        <v>260</v>
      </c>
      <c r="B199" s="488" t="s">
        <v>261</v>
      </c>
      <c r="C199" s="488" t="s">
        <v>519</v>
      </c>
      <c r="D199" s="488" t="s">
        <v>263</v>
      </c>
      <c r="E199" s="488" t="s">
        <v>515</v>
      </c>
      <c r="F199" s="489" t="s">
        <v>520</v>
      </c>
      <c r="G199" s="488" t="s">
        <v>266</v>
      </c>
      <c r="H199" s="489"/>
      <c r="I199" s="489"/>
      <c r="J199" s="489" t="s">
        <v>526</v>
      </c>
      <c r="K199" s="491">
        <v>36000</v>
      </c>
      <c r="L199" s="488" t="s">
        <v>429</v>
      </c>
      <c r="M199" s="488"/>
      <c r="N199" s="489"/>
      <c r="O199" s="489"/>
      <c r="P199" s="489"/>
      <c r="Q199" s="489"/>
      <c r="R199" s="490"/>
      <c r="S199" s="489"/>
      <c r="T199" s="488" t="s">
        <v>268</v>
      </c>
    </row>
    <row r="200" ht="34.5">
      <c r="A200" s="488" t="s">
        <v>260</v>
      </c>
      <c r="B200" s="488" t="s">
        <v>261</v>
      </c>
      <c r="C200" s="488" t="s">
        <v>527</v>
      </c>
      <c r="D200" s="488" t="s">
        <v>263</v>
      </c>
      <c r="E200" s="488" t="s">
        <v>528</v>
      </c>
      <c r="F200" s="489" t="s">
        <v>529</v>
      </c>
      <c r="G200" s="488" t="s">
        <v>55</v>
      </c>
      <c r="H200" s="489"/>
      <c r="I200" s="489"/>
      <c r="J200" s="489" t="s">
        <v>530</v>
      </c>
      <c r="K200" s="491"/>
      <c r="L200" s="488"/>
      <c r="M200" s="488"/>
      <c r="N200" s="489"/>
      <c r="O200" s="489"/>
      <c r="P200" s="489"/>
      <c r="Q200" s="489"/>
      <c r="R200" s="490"/>
      <c r="S200" s="489"/>
      <c r="T200" s="488" t="s">
        <v>268</v>
      </c>
    </row>
    <row r="201" ht="34.5">
      <c r="A201" s="488" t="s">
        <v>260</v>
      </c>
      <c r="B201" s="488" t="s">
        <v>261</v>
      </c>
      <c r="C201" s="488" t="s">
        <v>527</v>
      </c>
      <c r="D201" s="488" t="s">
        <v>263</v>
      </c>
      <c r="E201" s="488" t="s">
        <v>528</v>
      </c>
      <c r="F201" s="489" t="s">
        <v>529</v>
      </c>
      <c r="G201" s="488" t="s">
        <v>55</v>
      </c>
      <c r="H201" s="489"/>
      <c r="I201" s="489"/>
      <c r="J201" s="489" t="s">
        <v>531</v>
      </c>
      <c r="K201" s="491">
        <v>1636617</v>
      </c>
      <c r="L201" s="488" t="s">
        <v>429</v>
      </c>
      <c r="M201" s="488"/>
      <c r="N201" s="489"/>
      <c r="O201" s="489"/>
      <c r="P201" s="489"/>
      <c r="Q201" s="489"/>
      <c r="R201" s="490"/>
      <c r="S201" s="489"/>
      <c r="T201" s="488" t="s">
        <v>268</v>
      </c>
    </row>
    <row r="202" ht="34.5">
      <c r="A202" s="488" t="s">
        <v>260</v>
      </c>
      <c r="B202" s="488" t="s">
        <v>261</v>
      </c>
      <c r="C202" s="488" t="s">
        <v>527</v>
      </c>
      <c r="D202" s="488" t="s">
        <v>263</v>
      </c>
      <c r="E202" s="488" t="s">
        <v>528</v>
      </c>
      <c r="F202" s="489" t="s">
        <v>529</v>
      </c>
      <c r="G202" s="488" t="s">
        <v>55</v>
      </c>
      <c r="H202" s="489"/>
      <c r="I202" s="489"/>
      <c r="J202" s="489" t="s">
        <v>532</v>
      </c>
      <c r="K202" s="491">
        <v>1500000</v>
      </c>
      <c r="L202" s="488" t="s">
        <v>429</v>
      </c>
      <c r="M202" s="488"/>
      <c r="N202" s="489"/>
      <c r="O202" s="489"/>
      <c r="P202" s="489"/>
      <c r="Q202" s="489"/>
      <c r="R202" s="490"/>
      <c r="S202" s="489"/>
      <c r="T202" s="488" t="s">
        <v>268</v>
      </c>
    </row>
    <row r="203" ht="34.5">
      <c r="A203" s="488" t="s">
        <v>260</v>
      </c>
      <c r="B203" s="488" t="s">
        <v>261</v>
      </c>
      <c r="C203" s="488" t="s">
        <v>527</v>
      </c>
      <c r="D203" s="488" t="s">
        <v>263</v>
      </c>
      <c r="E203" s="488" t="s">
        <v>533</v>
      </c>
      <c r="F203" s="489" t="s">
        <v>534</v>
      </c>
      <c r="G203" s="488" t="s">
        <v>535</v>
      </c>
      <c r="H203" s="489"/>
      <c r="I203" s="489"/>
      <c r="J203" s="489" t="s">
        <v>536</v>
      </c>
      <c r="K203" s="491"/>
      <c r="L203" s="488"/>
      <c r="M203" s="488"/>
      <c r="N203" s="489"/>
      <c r="O203" s="489"/>
      <c r="P203" s="489"/>
      <c r="Q203" s="489"/>
      <c r="R203" s="490"/>
      <c r="S203" s="489"/>
      <c r="T203" s="488" t="s">
        <v>268</v>
      </c>
    </row>
    <row r="204" ht="34.5">
      <c r="A204" s="488" t="s">
        <v>260</v>
      </c>
      <c r="B204" s="488" t="s">
        <v>261</v>
      </c>
      <c r="C204" s="488" t="s">
        <v>527</v>
      </c>
      <c r="D204" s="488" t="s">
        <v>263</v>
      </c>
      <c r="E204" s="488" t="s">
        <v>533</v>
      </c>
      <c r="F204" s="489" t="s">
        <v>534</v>
      </c>
      <c r="G204" s="488" t="s">
        <v>535</v>
      </c>
      <c r="H204" s="489"/>
      <c r="I204" s="489"/>
      <c r="J204" s="489" t="s">
        <v>537</v>
      </c>
      <c r="K204" s="491">
        <v>158250000</v>
      </c>
      <c r="L204" s="488" t="s">
        <v>429</v>
      </c>
      <c r="M204" s="488"/>
      <c r="N204" s="489"/>
      <c r="O204" s="489"/>
      <c r="P204" s="489"/>
      <c r="Q204" s="489"/>
      <c r="R204" s="490"/>
      <c r="S204" s="489"/>
      <c r="T204" s="488" t="s">
        <v>268</v>
      </c>
    </row>
    <row r="205" ht="34.5">
      <c r="A205" s="488" t="s">
        <v>260</v>
      </c>
      <c r="B205" s="488" t="s">
        <v>261</v>
      </c>
      <c r="C205" s="488" t="s">
        <v>527</v>
      </c>
      <c r="D205" s="488" t="s">
        <v>263</v>
      </c>
      <c r="E205" s="488" t="s">
        <v>533</v>
      </c>
      <c r="F205" s="489" t="s">
        <v>534</v>
      </c>
      <c r="G205" s="488" t="s">
        <v>535</v>
      </c>
      <c r="H205" s="489"/>
      <c r="I205" s="489"/>
      <c r="J205" s="489" t="s">
        <v>538</v>
      </c>
      <c r="K205" s="491"/>
      <c r="L205" s="488"/>
      <c r="M205" s="488"/>
      <c r="N205" s="489"/>
      <c r="O205" s="489"/>
      <c r="P205" s="489"/>
      <c r="Q205" s="489"/>
      <c r="R205" s="490"/>
      <c r="S205" s="489"/>
      <c r="T205" s="488" t="s">
        <v>268</v>
      </c>
    </row>
    <row r="206" ht="34.5">
      <c r="A206" s="488" t="s">
        <v>260</v>
      </c>
      <c r="B206" s="488" t="s">
        <v>261</v>
      </c>
      <c r="C206" s="488" t="s">
        <v>527</v>
      </c>
      <c r="D206" s="488" t="s">
        <v>263</v>
      </c>
      <c r="E206" s="488" t="s">
        <v>533</v>
      </c>
      <c r="F206" s="489" t="s">
        <v>534</v>
      </c>
      <c r="G206" s="488" t="s">
        <v>535</v>
      </c>
      <c r="H206" s="489"/>
      <c r="I206" s="489"/>
      <c r="J206" s="489" t="s">
        <v>539</v>
      </c>
      <c r="K206" s="491">
        <v>1843071</v>
      </c>
      <c r="L206" s="488" t="s">
        <v>429</v>
      </c>
      <c r="M206" s="488"/>
      <c r="N206" s="489"/>
      <c r="O206" s="489"/>
      <c r="P206" s="489"/>
      <c r="Q206" s="489"/>
      <c r="R206" s="490"/>
      <c r="S206" s="489"/>
      <c r="T206" s="488" t="s">
        <v>268</v>
      </c>
    </row>
    <row r="207" ht="34.5">
      <c r="A207" s="488" t="s">
        <v>260</v>
      </c>
      <c r="B207" s="488" t="s">
        <v>261</v>
      </c>
      <c r="C207" s="488" t="s">
        <v>540</v>
      </c>
      <c r="D207" s="488" t="s">
        <v>263</v>
      </c>
      <c r="E207" s="488" t="s">
        <v>533</v>
      </c>
      <c r="F207" s="489" t="s">
        <v>541</v>
      </c>
      <c r="G207" s="488" t="s">
        <v>535</v>
      </c>
      <c r="H207" s="489"/>
      <c r="I207" s="489"/>
      <c r="J207" s="489" t="s">
        <v>542</v>
      </c>
      <c r="K207" s="491"/>
      <c r="L207" s="488"/>
      <c r="M207" s="488"/>
      <c r="N207" s="489"/>
      <c r="O207" s="489"/>
      <c r="P207" s="489"/>
      <c r="Q207" s="489"/>
      <c r="R207" s="490"/>
      <c r="S207" s="489"/>
      <c r="T207" s="488" t="s">
        <v>268</v>
      </c>
    </row>
    <row r="208" ht="34.5">
      <c r="A208" s="488" t="s">
        <v>260</v>
      </c>
      <c r="B208" s="488" t="s">
        <v>261</v>
      </c>
      <c r="C208" s="488" t="s">
        <v>540</v>
      </c>
      <c r="D208" s="488" t="s">
        <v>263</v>
      </c>
      <c r="E208" s="488" t="s">
        <v>533</v>
      </c>
      <c r="F208" s="489" t="s">
        <v>541</v>
      </c>
      <c r="G208" s="488" t="s">
        <v>535</v>
      </c>
      <c r="H208" s="489"/>
      <c r="I208" s="489"/>
      <c r="J208" s="489" t="s">
        <v>543</v>
      </c>
      <c r="K208" s="491">
        <v>9000000</v>
      </c>
      <c r="L208" s="488" t="s">
        <v>429</v>
      </c>
      <c r="M208" s="488"/>
      <c r="N208" s="489"/>
      <c r="O208" s="489"/>
      <c r="P208" s="489"/>
      <c r="Q208" s="489"/>
      <c r="R208" s="490"/>
      <c r="S208" s="489"/>
      <c r="T208" s="488" t="s">
        <v>268</v>
      </c>
    </row>
    <row r="209" ht="34.5">
      <c r="A209" s="488" t="s">
        <v>260</v>
      </c>
      <c r="B209" s="488" t="s">
        <v>261</v>
      </c>
      <c r="C209" s="488" t="s">
        <v>540</v>
      </c>
      <c r="D209" s="488" t="s">
        <v>263</v>
      </c>
      <c r="E209" s="488" t="s">
        <v>533</v>
      </c>
      <c r="F209" s="489" t="s">
        <v>541</v>
      </c>
      <c r="G209" s="488" t="s">
        <v>535</v>
      </c>
      <c r="H209" s="489"/>
      <c r="I209" s="489"/>
      <c r="J209" s="489" t="s">
        <v>544</v>
      </c>
      <c r="K209" s="491"/>
      <c r="L209" s="488"/>
      <c r="M209" s="488"/>
      <c r="N209" s="489"/>
      <c r="O209" s="489"/>
      <c r="P209" s="489"/>
      <c r="Q209" s="489"/>
      <c r="R209" s="490"/>
      <c r="S209" s="489"/>
      <c r="T209" s="488" t="s">
        <v>268</v>
      </c>
    </row>
    <row r="210" ht="34.5">
      <c r="A210" s="488" t="s">
        <v>260</v>
      </c>
      <c r="B210" s="488" t="s">
        <v>261</v>
      </c>
      <c r="C210" s="488" t="s">
        <v>540</v>
      </c>
      <c r="D210" s="488" t="s">
        <v>263</v>
      </c>
      <c r="E210" s="488" t="s">
        <v>533</v>
      </c>
      <c r="F210" s="489" t="s">
        <v>541</v>
      </c>
      <c r="G210" s="488" t="s">
        <v>535</v>
      </c>
      <c r="H210" s="489"/>
      <c r="I210" s="489"/>
      <c r="J210" s="489" t="s">
        <v>545</v>
      </c>
      <c r="K210" s="491"/>
      <c r="L210" s="488"/>
      <c r="M210" s="488"/>
      <c r="N210" s="489"/>
      <c r="O210" s="489"/>
      <c r="P210" s="489"/>
      <c r="Q210" s="489"/>
      <c r="R210" s="490"/>
      <c r="S210" s="489"/>
      <c r="T210" s="488" t="s">
        <v>268</v>
      </c>
    </row>
    <row r="211" ht="34.5">
      <c r="A211" s="488" t="s">
        <v>260</v>
      </c>
      <c r="B211" s="488" t="s">
        <v>261</v>
      </c>
      <c r="C211" s="488" t="s">
        <v>540</v>
      </c>
      <c r="D211" s="488" t="s">
        <v>263</v>
      </c>
      <c r="E211" s="488" t="s">
        <v>533</v>
      </c>
      <c r="F211" s="489" t="s">
        <v>541</v>
      </c>
      <c r="G211" s="488" t="s">
        <v>535</v>
      </c>
      <c r="H211" s="489"/>
      <c r="I211" s="489"/>
      <c r="J211" s="489" t="s">
        <v>546</v>
      </c>
      <c r="K211" s="491"/>
      <c r="L211" s="488"/>
      <c r="M211" s="488"/>
      <c r="N211" s="489"/>
      <c r="O211" s="489"/>
      <c r="P211" s="489"/>
      <c r="Q211" s="489"/>
      <c r="R211" s="490"/>
      <c r="S211" s="489"/>
      <c r="T211" s="488" t="s">
        <v>268</v>
      </c>
    </row>
    <row r="212" ht="34.5">
      <c r="A212" s="488" t="s">
        <v>260</v>
      </c>
      <c r="B212" s="488" t="s">
        <v>261</v>
      </c>
      <c r="C212" s="488" t="s">
        <v>540</v>
      </c>
      <c r="D212" s="488" t="s">
        <v>263</v>
      </c>
      <c r="E212" s="488" t="s">
        <v>533</v>
      </c>
      <c r="F212" s="489" t="s">
        <v>541</v>
      </c>
      <c r="G212" s="488" t="s">
        <v>535</v>
      </c>
      <c r="H212" s="489"/>
      <c r="I212" s="489"/>
      <c r="J212" s="489" t="s">
        <v>547</v>
      </c>
      <c r="K212" s="491"/>
      <c r="L212" s="488"/>
      <c r="M212" s="488"/>
      <c r="N212" s="489"/>
      <c r="O212" s="489"/>
      <c r="P212" s="489"/>
      <c r="Q212" s="489"/>
      <c r="R212" s="490"/>
      <c r="S212" s="489"/>
      <c r="T212" s="488" t="s">
        <v>268</v>
      </c>
    </row>
    <row r="213" ht="34.5">
      <c r="A213" s="488" t="s">
        <v>260</v>
      </c>
      <c r="B213" s="488" t="s">
        <v>261</v>
      </c>
      <c r="C213" s="488" t="s">
        <v>540</v>
      </c>
      <c r="D213" s="488" t="s">
        <v>263</v>
      </c>
      <c r="E213" s="488" t="s">
        <v>533</v>
      </c>
      <c r="F213" s="489" t="s">
        <v>541</v>
      </c>
      <c r="G213" s="488" t="s">
        <v>535</v>
      </c>
      <c r="H213" s="489"/>
      <c r="I213" s="489"/>
      <c r="J213" s="489" t="s">
        <v>548</v>
      </c>
      <c r="K213" s="491">
        <v>1750000</v>
      </c>
      <c r="L213" s="488" t="s">
        <v>429</v>
      </c>
      <c r="M213" s="488"/>
      <c r="N213" s="489"/>
      <c r="O213" s="489"/>
      <c r="P213" s="489"/>
      <c r="Q213" s="489"/>
      <c r="R213" s="490"/>
      <c r="S213" s="489"/>
      <c r="T213" s="488" t="s">
        <v>268</v>
      </c>
    </row>
    <row r="214" ht="34.5">
      <c r="A214" s="488" t="s">
        <v>260</v>
      </c>
      <c r="B214" s="488" t="s">
        <v>261</v>
      </c>
      <c r="C214" s="488" t="s">
        <v>549</v>
      </c>
      <c r="D214" s="488" t="s">
        <v>263</v>
      </c>
      <c r="E214" s="488" t="s">
        <v>533</v>
      </c>
      <c r="F214" s="489" t="s">
        <v>541</v>
      </c>
      <c r="G214" s="488" t="s">
        <v>535</v>
      </c>
      <c r="H214" s="489"/>
      <c r="I214" s="489"/>
      <c r="J214" s="489" t="s">
        <v>550</v>
      </c>
      <c r="K214" s="491"/>
      <c r="L214" s="488"/>
      <c r="M214" s="488"/>
      <c r="N214" s="489"/>
      <c r="O214" s="489"/>
      <c r="P214" s="489"/>
      <c r="Q214" s="489"/>
      <c r="R214" s="490"/>
      <c r="S214" s="489"/>
      <c r="T214" s="488" t="s">
        <v>268</v>
      </c>
    </row>
    <row r="215" ht="34.5">
      <c r="A215" s="488" t="s">
        <v>260</v>
      </c>
      <c r="B215" s="488" t="s">
        <v>261</v>
      </c>
      <c r="C215" s="488" t="s">
        <v>549</v>
      </c>
      <c r="D215" s="488" t="s">
        <v>263</v>
      </c>
      <c r="E215" s="488" t="s">
        <v>533</v>
      </c>
      <c r="F215" s="489" t="s">
        <v>541</v>
      </c>
      <c r="G215" s="488" t="s">
        <v>535</v>
      </c>
      <c r="H215" s="489"/>
      <c r="I215" s="489"/>
      <c r="J215" s="489" t="s">
        <v>551</v>
      </c>
      <c r="K215" s="491"/>
      <c r="L215" s="488"/>
      <c r="M215" s="488"/>
      <c r="N215" s="489"/>
      <c r="O215" s="489"/>
      <c r="P215" s="489"/>
      <c r="Q215" s="489"/>
      <c r="R215" s="490"/>
      <c r="S215" s="489"/>
      <c r="T215" s="488" t="s">
        <v>268</v>
      </c>
    </row>
    <row r="216" ht="34.5">
      <c r="A216" s="488" t="s">
        <v>260</v>
      </c>
      <c r="B216" s="488" t="s">
        <v>261</v>
      </c>
      <c r="C216" s="488" t="s">
        <v>549</v>
      </c>
      <c r="D216" s="488" t="s">
        <v>263</v>
      </c>
      <c r="E216" s="488" t="s">
        <v>533</v>
      </c>
      <c r="F216" s="489" t="s">
        <v>541</v>
      </c>
      <c r="G216" s="488" t="s">
        <v>535</v>
      </c>
      <c r="H216" s="489"/>
      <c r="I216" s="489"/>
      <c r="J216" s="489" t="s">
        <v>552</v>
      </c>
      <c r="K216" s="491"/>
      <c r="L216" s="488"/>
      <c r="M216" s="488"/>
      <c r="N216" s="489"/>
      <c r="O216" s="489"/>
      <c r="P216" s="489"/>
      <c r="Q216" s="489"/>
      <c r="R216" s="490"/>
      <c r="S216" s="489"/>
      <c r="T216" s="488" t="s">
        <v>268</v>
      </c>
    </row>
    <row r="217" ht="34.5">
      <c r="A217" s="488" t="s">
        <v>260</v>
      </c>
      <c r="B217" s="488" t="s">
        <v>261</v>
      </c>
      <c r="C217" s="488" t="s">
        <v>549</v>
      </c>
      <c r="D217" s="488" t="s">
        <v>263</v>
      </c>
      <c r="E217" s="488" t="s">
        <v>533</v>
      </c>
      <c r="F217" s="489" t="s">
        <v>541</v>
      </c>
      <c r="G217" s="488" t="s">
        <v>535</v>
      </c>
      <c r="H217" s="489"/>
      <c r="I217" s="489"/>
      <c r="J217" s="489" t="s">
        <v>553</v>
      </c>
      <c r="K217" s="491"/>
      <c r="L217" s="488"/>
      <c r="M217" s="488"/>
      <c r="N217" s="489"/>
      <c r="O217" s="489"/>
      <c r="P217" s="489"/>
      <c r="Q217" s="489"/>
      <c r="R217" s="490"/>
      <c r="S217" s="489"/>
      <c r="T217" s="488" t="s">
        <v>268</v>
      </c>
    </row>
    <row r="218" ht="34.5">
      <c r="A218" s="488" t="s">
        <v>260</v>
      </c>
      <c r="B218" s="488" t="s">
        <v>261</v>
      </c>
      <c r="C218" s="488" t="s">
        <v>549</v>
      </c>
      <c r="D218" s="488" t="s">
        <v>263</v>
      </c>
      <c r="E218" s="488" t="s">
        <v>533</v>
      </c>
      <c r="F218" s="489" t="s">
        <v>541</v>
      </c>
      <c r="G218" s="488" t="s">
        <v>535</v>
      </c>
      <c r="H218" s="489"/>
      <c r="I218" s="489"/>
      <c r="J218" s="489" t="s">
        <v>554</v>
      </c>
      <c r="K218" s="491">
        <v>128676793</v>
      </c>
      <c r="L218" s="488" t="s">
        <v>429</v>
      </c>
      <c r="M218" s="488"/>
      <c r="N218" s="489"/>
      <c r="O218" s="489"/>
      <c r="P218" s="489"/>
      <c r="Q218" s="489"/>
      <c r="R218" s="490"/>
      <c r="S218" s="489"/>
      <c r="T218" s="488" t="s">
        <v>268</v>
      </c>
    </row>
    <row r="219" ht="34.5">
      <c r="A219" s="488" t="s">
        <v>260</v>
      </c>
      <c r="B219" s="488" t="s">
        <v>261</v>
      </c>
      <c r="C219" s="488" t="s">
        <v>549</v>
      </c>
      <c r="D219" s="488" t="s">
        <v>263</v>
      </c>
      <c r="E219" s="488" t="s">
        <v>555</v>
      </c>
      <c r="F219" s="489" t="s">
        <v>556</v>
      </c>
      <c r="G219" s="488" t="s">
        <v>535</v>
      </c>
      <c r="H219" s="489"/>
      <c r="I219" s="489"/>
      <c r="J219" s="489" t="s">
        <v>557</v>
      </c>
      <c r="K219" s="491"/>
      <c r="L219" s="488"/>
      <c r="M219" s="488"/>
      <c r="N219" s="489"/>
      <c r="O219" s="489"/>
      <c r="P219" s="489"/>
      <c r="Q219" s="489"/>
      <c r="R219" s="490"/>
      <c r="S219" s="489"/>
      <c r="T219" s="488" t="s">
        <v>268</v>
      </c>
    </row>
    <row r="220" ht="34.5">
      <c r="A220" s="488" t="s">
        <v>260</v>
      </c>
      <c r="B220" s="488" t="s">
        <v>261</v>
      </c>
      <c r="C220" s="488" t="s">
        <v>549</v>
      </c>
      <c r="D220" s="488" t="s">
        <v>263</v>
      </c>
      <c r="E220" s="488" t="s">
        <v>555</v>
      </c>
      <c r="F220" s="489" t="s">
        <v>556</v>
      </c>
      <c r="G220" s="488" t="s">
        <v>535</v>
      </c>
      <c r="H220" s="489"/>
      <c r="I220" s="489"/>
      <c r="J220" s="489" t="s">
        <v>558</v>
      </c>
      <c r="K220" s="491"/>
      <c r="L220" s="488"/>
      <c r="M220" s="488"/>
      <c r="N220" s="489"/>
      <c r="O220" s="489"/>
      <c r="P220" s="489"/>
      <c r="Q220" s="489"/>
      <c r="R220" s="490"/>
      <c r="S220" s="489"/>
      <c r="T220" s="488" t="s">
        <v>268</v>
      </c>
    </row>
    <row r="221" ht="34.5">
      <c r="A221" s="488" t="s">
        <v>260</v>
      </c>
      <c r="B221" s="488" t="s">
        <v>261</v>
      </c>
      <c r="C221" s="488" t="s">
        <v>549</v>
      </c>
      <c r="D221" s="488" t="s">
        <v>263</v>
      </c>
      <c r="E221" s="488" t="s">
        <v>555</v>
      </c>
      <c r="F221" s="489" t="s">
        <v>556</v>
      </c>
      <c r="G221" s="488" t="s">
        <v>535</v>
      </c>
      <c r="H221" s="489"/>
      <c r="I221" s="489"/>
      <c r="J221" s="489" t="s">
        <v>559</v>
      </c>
      <c r="K221" s="491"/>
      <c r="L221" s="488"/>
      <c r="M221" s="488"/>
      <c r="N221" s="489"/>
      <c r="O221" s="489"/>
      <c r="P221" s="489"/>
      <c r="Q221" s="489"/>
      <c r="R221" s="490"/>
      <c r="S221" s="489"/>
      <c r="T221" s="488" t="s">
        <v>268</v>
      </c>
    </row>
    <row r="222" ht="34.5">
      <c r="A222" s="488" t="s">
        <v>260</v>
      </c>
      <c r="B222" s="488" t="s">
        <v>261</v>
      </c>
      <c r="C222" s="488" t="s">
        <v>549</v>
      </c>
      <c r="D222" s="488" t="s">
        <v>263</v>
      </c>
      <c r="E222" s="488" t="s">
        <v>555</v>
      </c>
      <c r="F222" s="489" t="s">
        <v>556</v>
      </c>
      <c r="G222" s="488" t="s">
        <v>535</v>
      </c>
      <c r="H222" s="489"/>
      <c r="I222" s="489"/>
      <c r="J222" s="489" t="s">
        <v>560</v>
      </c>
      <c r="K222" s="491"/>
      <c r="L222" s="488"/>
      <c r="M222" s="488"/>
      <c r="N222" s="489"/>
      <c r="O222" s="489"/>
      <c r="P222" s="489"/>
      <c r="Q222" s="489"/>
      <c r="R222" s="490"/>
      <c r="S222" s="489"/>
      <c r="T222" s="488" t="s">
        <v>268</v>
      </c>
    </row>
    <row r="223" ht="34.5">
      <c r="A223" s="488" t="s">
        <v>260</v>
      </c>
      <c r="B223" s="488" t="s">
        <v>261</v>
      </c>
      <c r="C223" s="488" t="s">
        <v>561</v>
      </c>
      <c r="D223" s="488" t="s">
        <v>263</v>
      </c>
      <c r="E223" s="488" t="s">
        <v>562</v>
      </c>
      <c r="F223" s="489" t="s">
        <v>563</v>
      </c>
      <c r="G223" s="488" t="s">
        <v>266</v>
      </c>
      <c r="H223" s="489"/>
      <c r="I223" s="489"/>
      <c r="J223" s="489" t="s">
        <v>564</v>
      </c>
      <c r="K223" s="491"/>
      <c r="L223" s="488"/>
      <c r="M223" s="488"/>
      <c r="N223" s="489"/>
      <c r="O223" s="489"/>
      <c r="P223" s="489"/>
      <c r="Q223" s="489"/>
      <c r="R223" s="490"/>
      <c r="S223" s="489"/>
      <c r="T223" s="488" t="s">
        <v>268</v>
      </c>
    </row>
    <row r="224" ht="34.5">
      <c r="A224" s="488" t="s">
        <v>260</v>
      </c>
      <c r="B224" s="488" t="s">
        <v>261</v>
      </c>
      <c r="C224" s="488" t="s">
        <v>561</v>
      </c>
      <c r="D224" s="488" t="s">
        <v>263</v>
      </c>
      <c r="E224" s="488" t="s">
        <v>562</v>
      </c>
      <c r="F224" s="489" t="s">
        <v>563</v>
      </c>
      <c r="G224" s="488" t="s">
        <v>266</v>
      </c>
      <c r="H224" s="489"/>
      <c r="I224" s="489"/>
      <c r="J224" s="489" t="s">
        <v>565</v>
      </c>
      <c r="K224" s="491">
        <v>697569</v>
      </c>
      <c r="L224" s="488" t="s">
        <v>429</v>
      </c>
      <c r="M224" s="488"/>
      <c r="N224" s="489"/>
      <c r="O224" s="489"/>
      <c r="P224" s="489"/>
      <c r="Q224" s="489"/>
      <c r="R224" s="490"/>
      <c r="S224" s="489"/>
      <c r="T224" s="488" t="s">
        <v>268</v>
      </c>
    </row>
    <row r="225" ht="34.5">
      <c r="A225" s="488" t="s">
        <v>260</v>
      </c>
      <c r="B225" s="488" t="s">
        <v>261</v>
      </c>
      <c r="C225" s="488" t="s">
        <v>561</v>
      </c>
      <c r="D225" s="488" t="s">
        <v>263</v>
      </c>
      <c r="E225" s="488" t="s">
        <v>566</v>
      </c>
      <c r="F225" s="489" t="s">
        <v>567</v>
      </c>
      <c r="G225" s="488" t="s">
        <v>568</v>
      </c>
      <c r="H225" s="489"/>
      <c r="I225" s="489"/>
      <c r="J225" s="489" t="s">
        <v>569</v>
      </c>
      <c r="K225" s="491"/>
      <c r="L225" s="488"/>
      <c r="M225" s="488"/>
      <c r="N225" s="489"/>
      <c r="O225" s="489"/>
      <c r="P225" s="489"/>
      <c r="Q225" s="489"/>
      <c r="R225" s="490"/>
      <c r="S225" s="489"/>
      <c r="T225" s="488" t="s">
        <v>268</v>
      </c>
    </row>
    <row r="226" ht="34.5">
      <c r="A226" s="488" t="s">
        <v>260</v>
      </c>
      <c r="B226" s="488" t="s">
        <v>261</v>
      </c>
      <c r="C226" s="488" t="s">
        <v>561</v>
      </c>
      <c r="D226" s="488" t="s">
        <v>263</v>
      </c>
      <c r="E226" s="488" t="s">
        <v>566</v>
      </c>
      <c r="F226" s="489" t="s">
        <v>567</v>
      </c>
      <c r="G226" s="488" t="s">
        <v>568</v>
      </c>
      <c r="H226" s="489"/>
      <c r="I226" s="489"/>
      <c r="J226" s="489" t="s">
        <v>570</v>
      </c>
      <c r="K226" s="491">
        <v>22500000</v>
      </c>
      <c r="L226" s="488" t="s">
        <v>429</v>
      </c>
      <c r="M226" s="488"/>
      <c r="N226" s="489"/>
      <c r="O226" s="489"/>
      <c r="P226" s="489"/>
      <c r="Q226" s="489"/>
      <c r="R226" s="490"/>
      <c r="S226" s="489"/>
      <c r="T226" s="488" t="s">
        <v>268</v>
      </c>
    </row>
    <row r="227" ht="34.5">
      <c r="A227" s="488" t="s">
        <v>260</v>
      </c>
      <c r="B227" s="488" t="s">
        <v>261</v>
      </c>
      <c r="C227" s="488" t="s">
        <v>561</v>
      </c>
      <c r="D227" s="488" t="s">
        <v>263</v>
      </c>
      <c r="E227" s="488" t="s">
        <v>566</v>
      </c>
      <c r="F227" s="489" t="s">
        <v>567</v>
      </c>
      <c r="G227" s="488" t="s">
        <v>568</v>
      </c>
      <c r="H227" s="489"/>
      <c r="I227" s="489"/>
      <c r="J227" s="489" t="s">
        <v>571</v>
      </c>
      <c r="K227" s="491"/>
      <c r="L227" s="488"/>
      <c r="M227" s="488"/>
      <c r="N227" s="489"/>
      <c r="O227" s="489"/>
      <c r="P227" s="489"/>
      <c r="Q227" s="489"/>
      <c r="R227" s="490"/>
      <c r="S227" s="489"/>
      <c r="T227" s="488" t="s">
        <v>268</v>
      </c>
    </row>
    <row r="228" ht="34.5">
      <c r="A228" s="488" t="s">
        <v>260</v>
      </c>
      <c r="B228" s="488" t="s">
        <v>261</v>
      </c>
      <c r="C228" s="488" t="s">
        <v>561</v>
      </c>
      <c r="D228" s="488" t="s">
        <v>263</v>
      </c>
      <c r="E228" s="488" t="s">
        <v>566</v>
      </c>
      <c r="F228" s="489" t="s">
        <v>567</v>
      </c>
      <c r="G228" s="488" t="s">
        <v>568</v>
      </c>
      <c r="H228" s="489"/>
      <c r="I228" s="489"/>
      <c r="J228" s="489" t="s">
        <v>572</v>
      </c>
      <c r="K228" s="491">
        <v>26250000</v>
      </c>
      <c r="L228" s="488" t="s">
        <v>429</v>
      </c>
      <c r="M228" s="488"/>
      <c r="N228" s="489"/>
      <c r="O228" s="489"/>
      <c r="P228" s="489"/>
      <c r="Q228" s="489"/>
      <c r="R228" s="490"/>
      <c r="S228" s="489"/>
      <c r="T228" s="488" t="s">
        <v>268</v>
      </c>
    </row>
    <row r="229" ht="34.5">
      <c r="A229" s="488" t="s">
        <v>260</v>
      </c>
      <c r="B229" s="488" t="s">
        <v>261</v>
      </c>
      <c r="C229" s="488" t="s">
        <v>561</v>
      </c>
      <c r="D229" s="488" t="s">
        <v>263</v>
      </c>
      <c r="E229" s="488" t="s">
        <v>566</v>
      </c>
      <c r="F229" s="489" t="s">
        <v>567</v>
      </c>
      <c r="G229" s="488" t="s">
        <v>568</v>
      </c>
      <c r="H229" s="489"/>
      <c r="I229" s="489"/>
      <c r="J229" s="489" t="s">
        <v>573</v>
      </c>
      <c r="K229" s="491"/>
      <c r="L229" s="488"/>
      <c r="M229" s="488"/>
      <c r="N229" s="489"/>
      <c r="O229" s="489"/>
      <c r="P229" s="489"/>
      <c r="Q229" s="489"/>
      <c r="R229" s="490"/>
      <c r="S229" s="489"/>
      <c r="T229" s="488" t="s">
        <v>268</v>
      </c>
    </row>
    <row r="230" ht="34.5">
      <c r="A230" s="488" t="s">
        <v>260</v>
      </c>
      <c r="B230" s="488" t="s">
        <v>261</v>
      </c>
      <c r="C230" s="488" t="s">
        <v>574</v>
      </c>
      <c r="D230" s="488" t="s">
        <v>263</v>
      </c>
      <c r="E230" s="488" t="s">
        <v>566</v>
      </c>
      <c r="F230" s="489" t="s">
        <v>575</v>
      </c>
      <c r="G230" s="488" t="s">
        <v>568</v>
      </c>
      <c r="H230" s="489"/>
      <c r="I230" s="489"/>
      <c r="J230" s="489" t="s">
        <v>576</v>
      </c>
      <c r="K230" s="491"/>
      <c r="L230" s="488"/>
      <c r="M230" s="488"/>
      <c r="N230" s="489"/>
      <c r="O230" s="489"/>
      <c r="P230" s="489"/>
      <c r="Q230" s="489"/>
      <c r="R230" s="490"/>
      <c r="S230" s="489"/>
      <c r="T230" s="488" t="s">
        <v>268</v>
      </c>
    </row>
    <row r="231" ht="34.5">
      <c r="A231" s="488" t="s">
        <v>260</v>
      </c>
      <c r="B231" s="488" t="s">
        <v>261</v>
      </c>
      <c r="C231" s="488" t="s">
        <v>574</v>
      </c>
      <c r="D231" s="488" t="s">
        <v>263</v>
      </c>
      <c r="E231" s="488" t="s">
        <v>566</v>
      </c>
      <c r="F231" s="489" t="s">
        <v>575</v>
      </c>
      <c r="G231" s="488" t="s">
        <v>568</v>
      </c>
      <c r="H231" s="489"/>
      <c r="I231" s="489"/>
      <c r="J231" s="489" t="s">
        <v>577</v>
      </c>
      <c r="K231" s="491"/>
      <c r="L231" s="488"/>
      <c r="M231" s="488"/>
      <c r="N231" s="489"/>
      <c r="O231" s="489"/>
      <c r="P231" s="489"/>
      <c r="Q231" s="489"/>
      <c r="R231" s="490"/>
      <c r="S231" s="489"/>
      <c r="T231" s="488" t="s">
        <v>268</v>
      </c>
    </row>
    <row r="232" ht="34.5">
      <c r="A232" s="488" t="s">
        <v>260</v>
      </c>
      <c r="B232" s="488" t="s">
        <v>261</v>
      </c>
      <c r="C232" s="488" t="s">
        <v>574</v>
      </c>
      <c r="D232" s="488" t="s">
        <v>263</v>
      </c>
      <c r="E232" s="488" t="s">
        <v>566</v>
      </c>
      <c r="F232" s="489" t="s">
        <v>575</v>
      </c>
      <c r="G232" s="488" t="s">
        <v>568</v>
      </c>
      <c r="H232" s="489"/>
      <c r="I232" s="489"/>
      <c r="J232" s="489" t="s">
        <v>578</v>
      </c>
      <c r="K232" s="491"/>
      <c r="L232" s="488"/>
      <c r="M232" s="488"/>
      <c r="N232" s="489"/>
      <c r="O232" s="489"/>
      <c r="P232" s="489"/>
      <c r="Q232" s="489"/>
      <c r="R232" s="490"/>
      <c r="S232" s="489"/>
      <c r="T232" s="488" t="s">
        <v>268</v>
      </c>
    </row>
    <row r="233" ht="34.5">
      <c r="A233" s="488" t="s">
        <v>260</v>
      </c>
      <c r="B233" s="488" t="s">
        <v>261</v>
      </c>
      <c r="C233" s="488" t="s">
        <v>574</v>
      </c>
      <c r="D233" s="488" t="s">
        <v>263</v>
      </c>
      <c r="E233" s="488" t="s">
        <v>566</v>
      </c>
      <c r="F233" s="489" t="s">
        <v>575</v>
      </c>
      <c r="G233" s="488" t="s">
        <v>568</v>
      </c>
      <c r="H233" s="489"/>
      <c r="I233" s="489"/>
      <c r="J233" s="489" t="s">
        <v>579</v>
      </c>
      <c r="K233" s="491"/>
      <c r="L233" s="488"/>
      <c r="M233" s="488"/>
      <c r="N233" s="489"/>
      <c r="O233" s="489"/>
      <c r="P233" s="489"/>
      <c r="Q233" s="489"/>
      <c r="R233" s="490"/>
      <c r="S233" s="489"/>
      <c r="T233" s="488" t="s">
        <v>268</v>
      </c>
    </row>
    <row r="234" ht="34.5">
      <c r="A234" s="488" t="s">
        <v>260</v>
      </c>
      <c r="B234" s="488" t="s">
        <v>261</v>
      </c>
      <c r="C234" s="488" t="s">
        <v>574</v>
      </c>
      <c r="D234" s="488" t="s">
        <v>263</v>
      </c>
      <c r="E234" s="488" t="s">
        <v>566</v>
      </c>
      <c r="F234" s="489" t="s">
        <v>575</v>
      </c>
      <c r="G234" s="488" t="s">
        <v>568</v>
      </c>
      <c r="H234" s="489"/>
      <c r="I234" s="489"/>
      <c r="J234" s="489" t="s">
        <v>580</v>
      </c>
      <c r="K234" s="491"/>
      <c r="L234" s="488"/>
      <c r="M234" s="488"/>
      <c r="N234" s="489"/>
      <c r="O234" s="489"/>
      <c r="P234" s="489"/>
      <c r="Q234" s="489"/>
      <c r="R234" s="490"/>
      <c r="S234" s="489"/>
      <c r="T234" s="488" t="s">
        <v>268</v>
      </c>
    </row>
    <row r="235" ht="34.5">
      <c r="A235" s="488" t="s">
        <v>260</v>
      </c>
      <c r="B235" s="488" t="s">
        <v>261</v>
      </c>
      <c r="C235" s="488" t="s">
        <v>574</v>
      </c>
      <c r="D235" s="488" t="s">
        <v>263</v>
      </c>
      <c r="E235" s="488" t="s">
        <v>566</v>
      </c>
      <c r="F235" s="489" t="s">
        <v>575</v>
      </c>
      <c r="G235" s="488" t="s">
        <v>568</v>
      </c>
      <c r="H235" s="489"/>
      <c r="I235" s="489"/>
      <c r="J235" s="489" t="s">
        <v>581</v>
      </c>
      <c r="K235" s="491"/>
      <c r="L235" s="488"/>
      <c r="M235" s="488"/>
      <c r="N235" s="489"/>
      <c r="O235" s="489"/>
      <c r="P235" s="489"/>
      <c r="Q235" s="489"/>
      <c r="R235" s="490"/>
      <c r="S235" s="489"/>
      <c r="T235" s="488" t="s">
        <v>268</v>
      </c>
    </row>
    <row r="236" ht="34.5">
      <c r="A236" s="488" t="s">
        <v>260</v>
      </c>
      <c r="B236" s="488" t="s">
        <v>261</v>
      </c>
      <c r="C236" s="488" t="s">
        <v>574</v>
      </c>
      <c r="D236" s="488" t="s">
        <v>263</v>
      </c>
      <c r="E236" s="488" t="s">
        <v>566</v>
      </c>
      <c r="F236" s="489" t="s">
        <v>575</v>
      </c>
      <c r="G236" s="488" t="s">
        <v>568</v>
      </c>
      <c r="H236" s="489"/>
      <c r="I236" s="489"/>
      <c r="J236" s="489" t="s">
        <v>582</v>
      </c>
      <c r="K236" s="491">
        <v>161163460</v>
      </c>
      <c r="L236" s="488" t="s">
        <v>429</v>
      </c>
      <c r="M236" s="488"/>
      <c r="N236" s="489"/>
      <c r="O236" s="489"/>
      <c r="P236" s="489"/>
      <c r="Q236" s="489"/>
      <c r="R236" s="490"/>
      <c r="S236" s="489"/>
      <c r="T236" s="488" t="s">
        <v>268</v>
      </c>
    </row>
    <row r="237" ht="34.5">
      <c r="A237" s="488" t="s">
        <v>260</v>
      </c>
      <c r="B237" s="488" t="s">
        <v>261</v>
      </c>
      <c r="C237" s="488" t="s">
        <v>574</v>
      </c>
      <c r="D237" s="488" t="s">
        <v>263</v>
      </c>
      <c r="E237" s="488" t="s">
        <v>566</v>
      </c>
      <c r="F237" s="489" t="s">
        <v>575</v>
      </c>
      <c r="G237" s="488" t="s">
        <v>568</v>
      </c>
      <c r="H237" s="489"/>
      <c r="I237" s="489"/>
      <c r="J237" s="489" t="s">
        <v>583</v>
      </c>
      <c r="K237" s="491">
        <v>9116256</v>
      </c>
      <c r="L237" s="488" t="s">
        <v>429</v>
      </c>
      <c r="M237" s="488"/>
      <c r="N237" s="489"/>
      <c r="O237" s="489"/>
      <c r="P237" s="489"/>
      <c r="Q237" s="489"/>
      <c r="R237" s="490"/>
      <c r="S237" s="489"/>
      <c r="T237" s="488" t="s">
        <v>268</v>
      </c>
    </row>
    <row r="238" ht="34.5">
      <c r="A238" s="488" t="s">
        <v>260</v>
      </c>
      <c r="B238" s="488" t="s">
        <v>261</v>
      </c>
      <c r="C238" s="488" t="s">
        <v>574</v>
      </c>
      <c r="D238" s="488" t="s">
        <v>263</v>
      </c>
      <c r="E238" s="488" t="s">
        <v>566</v>
      </c>
      <c r="F238" s="489" t="s">
        <v>575</v>
      </c>
      <c r="G238" s="488" t="s">
        <v>568</v>
      </c>
      <c r="H238" s="489"/>
      <c r="I238" s="489"/>
      <c r="J238" s="489" t="s">
        <v>584</v>
      </c>
      <c r="K238" s="491">
        <v>10939508</v>
      </c>
      <c r="L238" s="488" t="s">
        <v>429</v>
      </c>
      <c r="M238" s="488"/>
      <c r="N238" s="489"/>
      <c r="O238" s="489"/>
      <c r="P238" s="489"/>
      <c r="Q238" s="489"/>
      <c r="R238" s="490"/>
      <c r="S238" s="489"/>
      <c r="T238" s="488" t="s">
        <v>268</v>
      </c>
    </row>
    <row r="239" ht="34.5">
      <c r="A239" s="488" t="s">
        <v>260</v>
      </c>
      <c r="B239" s="488" t="s">
        <v>261</v>
      </c>
      <c r="C239" s="488" t="s">
        <v>574</v>
      </c>
      <c r="D239" s="488" t="s">
        <v>263</v>
      </c>
      <c r="E239" s="488" t="s">
        <v>566</v>
      </c>
      <c r="F239" s="489" t="s">
        <v>575</v>
      </c>
      <c r="G239" s="488" t="s">
        <v>568</v>
      </c>
      <c r="H239" s="489"/>
      <c r="I239" s="489"/>
      <c r="J239" s="489" t="s">
        <v>585</v>
      </c>
      <c r="K239" s="491">
        <v>3750000</v>
      </c>
      <c r="L239" s="488" t="s">
        <v>429</v>
      </c>
      <c r="M239" s="488"/>
      <c r="N239" s="489"/>
      <c r="O239" s="489"/>
      <c r="P239" s="489"/>
      <c r="Q239" s="489"/>
      <c r="R239" s="490"/>
      <c r="S239" s="489"/>
      <c r="T239" s="488" t="s">
        <v>268</v>
      </c>
    </row>
    <row r="240" ht="34.5">
      <c r="A240" s="488" t="s">
        <v>260</v>
      </c>
      <c r="B240" s="488" t="s">
        <v>261</v>
      </c>
      <c r="C240" s="488" t="s">
        <v>586</v>
      </c>
      <c r="D240" s="488" t="s">
        <v>263</v>
      </c>
      <c r="E240" s="488" t="s">
        <v>566</v>
      </c>
      <c r="F240" s="489" t="s">
        <v>575</v>
      </c>
      <c r="G240" s="488" t="s">
        <v>568</v>
      </c>
      <c r="H240" s="489"/>
      <c r="I240" s="489"/>
      <c r="J240" s="489" t="s">
        <v>587</v>
      </c>
      <c r="K240" s="491"/>
      <c r="L240" s="488"/>
      <c r="M240" s="488"/>
      <c r="N240" s="489"/>
      <c r="O240" s="489"/>
      <c r="P240" s="489"/>
      <c r="Q240" s="489"/>
      <c r="R240" s="490"/>
      <c r="S240" s="489"/>
      <c r="T240" s="488" t="s">
        <v>268</v>
      </c>
    </row>
    <row r="241" ht="34.5">
      <c r="A241" s="488" t="s">
        <v>260</v>
      </c>
      <c r="B241" s="488" t="s">
        <v>261</v>
      </c>
      <c r="C241" s="488" t="s">
        <v>586</v>
      </c>
      <c r="D241" s="488" t="s">
        <v>263</v>
      </c>
      <c r="E241" s="488" t="s">
        <v>566</v>
      </c>
      <c r="F241" s="489" t="s">
        <v>575</v>
      </c>
      <c r="G241" s="488" t="s">
        <v>568</v>
      </c>
      <c r="H241" s="489"/>
      <c r="I241" s="489"/>
      <c r="J241" s="489" t="s">
        <v>588</v>
      </c>
      <c r="K241" s="491"/>
      <c r="L241" s="488"/>
      <c r="M241" s="488"/>
      <c r="N241" s="489"/>
      <c r="O241" s="489"/>
      <c r="P241" s="489"/>
      <c r="Q241" s="489"/>
      <c r="R241" s="490"/>
      <c r="S241" s="489"/>
      <c r="T241" s="488" t="s">
        <v>268</v>
      </c>
    </row>
    <row r="242" ht="34.5">
      <c r="A242" s="488" t="s">
        <v>260</v>
      </c>
      <c r="B242" s="488" t="s">
        <v>261</v>
      </c>
      <c r="C242" s="488" t="s">
        <v>586</v>
      </c>
      <c r="D242" s="488" t="s">
        <v>263</v>
      </c>
      <c r="E242" s="488" t="s">
        <v>566</v>
      </c>
      <c r="F242" s="489" t="s">
        <v>575</v>
      </c>
      <c r="G242" s="488" t="s">
        <v>568</v>
      </c>
      <c r="H242" s="489"/>
      <c r="I242" s="489"/>
      <c r="J242" s="489" t="s">
        <v>589</v>
      </c>
      <c r="K242" s="491"/>
      <c r="L242" s="488"/>
      <c r="M242" s="488"/>
      <c r="N242" s="489"/>
      <c r="O242" s="489"/>
      <c r="P242" s="489"/>
      <c r="Q242" s="489"/>
      <c r="R242" s="490"/>
      <c r="S242" s="489"/>
      <c r="T242" s="488" t="s">
        <v>268</v>
      </c>
    </row>
    <row r="243" ht="34.5">
      <c r="A243" s="488" t="s">
        <v>260</v>
      </c>
      <c r="B243" s="488" t="s">
        <v>261</v>
      </c>
      <c r="C243" s="488" t="s">
        <v>586</v>
      </c>
      <c r="D243" s="488" t="s">
        <v>263</v>
      </c>
      <c r="E243" s="488" t="s">
        <v>566</v>
      </c>
      <c r="F243" s="489" t="s">
        <v>575</v>
      </c>
      <c r="G243" s="488" t="s">
        <v>568</v>
      </c>
      <c r="H243" s="489"/>
      <c r="I243" s="489"/>
      <c r="J243" s="489" t="s">
        <v>590</v>
      </c>
      <c r="K243" s="491"/>
      <c r="L243" s="488"/>
      <c r="M243" s="488"/>
      <c r="N243" s="489"/>
      <c r="O243" s="489"/>
      <c r="P243" s="489"/>
      <c r="Q243" s="489"/>
      <c r="R243" s="490"/>
      <c r="S243" s="489"/>
      <c r="T243" s="488" t="s">
        <v>268</v>
      </c>
    </row>
    <row r="244" ht="34.5">
      <c r="A244" s="488" t="s">
        <v>260</v>
      </c>
      <c r="B244" s="488" t="s">
        <v>261</v>
      </c>
      <c r="C244" s="488" t="s">
        <v>586</v>
      </c>
      <c r="D244" s="488" t="s">
        <v>263</v>
      </c>
      <c r="E244" s="488" t="s">
        <v>591</v>
      </c>
      <c r="F244" s="489" t="s">
        <v>592</v>
      </c>
      <c r="G244" s="488" t="s">
        <v>593</v>
      </c>
      <c r="H244" s="489"/>
      <c r="I244" s="489"/>
      <c r="J244" s="489" t="s">
        <v>594</v>
      </c>
      <c r="K244" s="491"/>
      <c r="L244" s="488"/>
      <c r="M244" s="488"/>
      <c r="N244" s="489"/>
      <c r="O244" s="489"/>
      <c r="P244" s="489"/>
      <c r="Q244" s="489"/>
      <c r="R244" s="490"/>
      <c r="S244" s="489"/>
      <c r="T244" s="488" t="s">
        <v>268</v>
      </c>
    </row>
    <row r="245" ht="34.5">
      <c r="A245" s="488" t="s">
        <v>260</v>
      </c>
      <c r="B245" s="488" t="s">
        <v>261</v>
      </c>
      <c r="C245" s="488" t="s">
        <v>586</v>
      </c>
      <c r="D245" s="488" t="s">
        <v>263</v>
      </c>
      <c r="E245" s="488" t="s">
        <v>591</v>
      </c>
      <c r="F245" s="489" t="s">
        <v>592</v>
      </c>
      <c r="G245" s="488" t="s">
        <v>593</v>
      </c>
      <c r="H245" s="489"/>
      <c r="I245" s="489"/>
      <c r="J245" s="489" t="s">
        <v>595</v>
      </c>
      <c r="K245" s="491"/>
      <c r="L245" s="488"/>
      <c r="M245" s="488"/>
      <c r="N245" s="489"/>
      <c r="O245" s="489"/>
      <c r="P245" s="489"/>
      <c r="Q245" s="489"/>
      <c r="R245" s="490"/>
      <c r="S245" s="489"/>
      <c r="T245" s="488" t="s">
        <v>268</v>
      </c>
    </row>
    <row r="246" ht="34.5">
      <c r="A246" s="488" t="s">
        <v>260</v>
      </c>
      <c r="B246" s="488" t="s">
        <v>261</v>
      </c>
      <c r="C246" s="488" t="s">
        <v>586</v>
      </c>
      <c r="D246" s="488" t="s">
        <v>263</v>
      </c>
      <c r="E246" s="488" t="s">
        <v>591</v>
      </c>
      <c r="F246" s="489" t="s">
        <v>592</v>
      </c>
      <c r="G246" s="488" t="s">
        <v>593</v>
      </c>
      <c r="H246" s="489"/>
      <c r="I246" s="489"/>
      <c r="J246" s="489" t="s">
        <v>596</v>
      </c>
      <c r="K246" s="491">
        <v>25174194</v>
      </c>
      <c r="L246" s="488" t="s">
        <v>429</v>
      </c>
      <c r="M246" s="488"/>
      <c r="N246" s="489"/>
      <c r="O246" s="489"/>
      <c r="P246" s="489"/>
      <c r="Q246" s="489"/>
      <c r="R246" s="490"/>
      <c r="S246" s="489"/>
      <c r="T246" s="488" t="s">
        <v>268</v>
      </c>
    </row>
    <row r="247" ht="34.5">
      <c r="A247" s="488" t="s">
        <v>260</v>
      </c>
      <c r="B247" s="488" t="s">
        <v>261</v>
      </c>
      <c r="C247" s="488" t="s">
        <v>597</v>
      </c>
      <c r="D247" s="488" t="s">
        <v>263</v>
      </c>
      <c r="E247" s="488" t="s">
        <v>591</v>
      </c>
      <c r="F247" s="489" t="s">
        <v>598</v>
      </c>
      <c r="G247" s="488" t="s">
        <v>593</v>
      </c>
      <c r="H247" s="489"/>
      <c r="I247" s="489"/>
      <c r="J247" s="489" t="s">
        <v>599</v>
      </c>
      <c r="K247" s="491"/>
      <c r="L247" s="488"/>
      <c r="M247" s="488"/>
      <c r="N247" s="489"/>
      <c r="O247" s="489"/>
      <c r="P247" s="489"/>
      <c r="Q247" s="489"/>
      <c r="R247" s="490"/>
      <c r="S247" s="489"/>
      <c r="T247" s="488" t="s">
        <v>268</v>
      </c>
    </row>
    <row r="248" ht="34.5">
      <c r="A248" s="488" t="s">
        <v>260</v>
      </c>
      <c r="B248" s="488" t="s">
        <v>261</v>
      </c>
      <c r="C248" s="488" t="s">
        <v>597</v>
      </c>
      <c r="D248" s="488" t="s">
        <v>263</v>
      </c>
      <c r="E248" s="488" t="s">
        <v>591</v>
      </c>
      <c r="F248" s="489" t="s">
        <v>598</v>
      </c>
      <c r="G248" s="488" t="s">
        <v>593</v>
      </c>
      <c r="H248" s="489"/>
      <c r="I248" s="489"/>
      <c r="J248" s="489" t="s">
        <v>600</v>
      </c>
      <c r="K248" s="491">
        <v>1930197</v>
      </c>
      <c r="L248" s="488" t="s">
        <v>429</v>
      </c>
      <c r="M248" s="488"/>
      <c r="N248" s="489"/>
      <c r="O248" s="489"/>
      <c r="P248" s="489"/>
      <c r="Q248" s="489"/>
      <c r="R248" s="490"/>
      <c r="S248" s="489"/>
      <c r="T248" s="488" t="s">
        <v>268</v>
      </c>
    </row>
    <row r="249" ht="34.5">
      <c r="A249" s="488" t="s">
        <v>260</v>
      </c>
      <c r="B249" s="488" t="s">
        <v>261</v>
      </c>
      <c r="C249" s="488" t="s">
        <v>597</v>
      </c>
      <c r="D249" s="488" t="s">
        <v>263</v>
      </c>
      <c r="E249" s="488" t="s">
        <v>601</v>
      </c>
      <c r="F249" s="489" t="s">
        <v>602</v>
      </c>
      <c r="G249" s="488" t="s">
        <v>603</v>
      </c>
      <c r="H249" s="489"/>
      <c r="I249" s="489"/>
      <c r="J249" s="489" t="s">
        <v>604</v>
      </c>
      <c r="K249" s="491"/>
      <c r="L249" s="488"/>
      <c r="M249" s="488"/>
      <c r="N249" s="489"/>
      <c r="O249" s="489"/>
      <c r="P249" s="489"/>
      <c r="Q249" s="489"/>
      <c r="R249" s="490"/>
      <c r="S249" s="489"/>
      <c r="T249" s="488" t="s">
        <v>268</v>
      </c>
    </row>
    <row r="250" ht="34.5">
      <c r="A250" s="488" t="s">
        <v>260</v>
      </c>
      <c r="B250" s="488" t="s">
        <v>261</v>
      </c>
      <c r="C250" s="488" t="s">
        <v>597</v>
      </c>
      <c r="D250" s="488" t="s">
        <v>263</v>
      </c>
      <c r="E250" s="488" t="s">
        <v>601</v>
      </c>
      <c r="F250" s="489" t="s">
        <v>602</v>
      </c>
      <c r="G250" s="488" t="s">
        <v>603</v>
      </c>
      <c r="H250" s="489"/>
      <c r="I250" s="489"/>
      <c r="J250" s="489" t="s">
        <v>605</v>
      </c>
      <c r="K250" s="491">
        <v>1278900</v>
      </c>
      <c r="L250" s="488" t="s">
        <v>429</v>
      </c>
      <c r="M250" s="488"/>
      <c r="N250" s="489"/>
      <c r="O250" s="489"/>
      <c r="P250" s="489"/>
      <c r="Q250" s="489"/>
      <c r="R250" s="490"/>
      <c r="S250" s="489"/>
      <c r="T250" s="488" t="s">
        <v>268</v>
      </c>
    </row>
    <row r="251" ht="34.5">
      <c r="A251" s="488" t="s">
        <v>260</v>
      </c>
      <c r="B251" s="488" t="s">
        <v>261</v>
      </c>
      <c r="C251" s="488" t="s">
        <v>597</v>
      </c>
      <c r="D251" s="488" t="s">
        <v>263</v>
      </c>
      <c r="E251" s="488" t="s">
        <v>601</v>
      </c>
      <c r="F251" s="489" t="s">
        <v>602</v>
      </c>
      <c r="G251" s="488" t="s">
        <v>603</v>
      </c>
      <c r="H251" s="489"/>
      <c r="I251" s="489"/>
      <c r="J251" s="489" t="s">
        <v>606</v>
      </c>
      <c r="K251" s="491">
        <v>239097</v>
      </c>
      <c r="L251" s="488" t="s">
        <v>429</v>
      </c>
      <c r="M251" s="488"/>
      <c r="N251" s="489"/>
      <c r="O251" s="489"/>
      <c r="P251" s="489"/>
      <c r="Q251" s="489"/>
      <c r="R251" s="490"/>
      <c r="S251" s="489"/>
      <c r="T251" s="488" t="s">
        <v>268</v>
      </c>
    </row>
    <row r="252" ht="34.5">
      <c r="A252" s="488" t="s">
        <v>260</v>
      </c>
      <c r="B252" s="488" t="s">
        <v>261</v>
      </c>
      <c r="C252" s="488" t="s">
        <v>597</v>
      </c>
      <c r="D252" s="488" t="s">
        <v>263</v>
      </c>
      <c r="E252" s="488" t="s">
        <v>607</v>
      </c>
      <c r="F252" s="489" t="s">
        <v>608</v>
      </c>
      <c r="G252" s="488" t="s">
        <v>464</v>
      </c>
      <c r="H252" s="489"/>
      <c r="I252" s="489"/>
      <c r="J252" s="489" t="s">
        <v>609</v>
      </c>
      <c r="K252" s="491"/>
      <c r="L252" s="488"/>
      <c r="M252" s="488"/>
      <c r="N252" s="489"/>
      <c r="O252" s="489"/>
      <c r="P252" s="489"/>
      <c r="Q252" s="489"/>
      <c r="R252" s="490"/>
      <c r="S252" s="489"/>
      <c r="T252" s="488" t="s">
        <v>268</v>
      </c>
    </row>
    <row r="253" ht="34.5">
      <c r="A253" s="488" t="s">
        <v>260</v>
      </c>
      <c r="B253" s="488" t="s">
        <v>261</v>
      </c>
      <c r="C253" s="488" t="s">
        <v>597</v>
      </c>
      <c r="D253" s="488" t="s">
        <v>263</v>
      </c>
      <c r="E253" s="488" t="s">
        <v>607</v>
      </c>
      <c r="F253" s="489" t="s">
        <v>608</v>
      </c>
      <c r="G253" s="488" t="s">
        <v>464</v>
      </c>
      <c r="H253" s="489"/>
      <c r="I253" s="489"/>
      <c r="J253" s="489" t="s">
        <v>610</v>
      </c>
      <c r="K253" s="491">
        <v>11881633</v>
      </c>
      <c r="L253" s="488" t="s">
        <v>429</v>
      </c>
      <c r="M253" s="488"/>
      <c r="N253" s="489"/>
      <c r="O253" s="489"/>
      <c r="P253" s="489"/>
      <c r="Q253" s="489"/>
      <c r="R253" s="490"/>
      <c r="S253" s="489"/>
      <c r="T253" s="488" t="s">
        <v>268</v>
      </c>
    </row>
    <row r="254" ht="34.5">
      <c r="A254" s="488" t="s">
        <v>260</v>
      </c>
      <c r="B254" s="488" t="s">
        <v>261</v>
      </c>
      <c r="C254" s="488" t="s">
        <v>597</v>
      </c>
      <c r="D254" s="488" t="s">
        <v>263</v>
      </c>
      <c r="E254" s="488" t="s">
        <v>607</v>
      </c>
      <c r="F254" s="489" t="s">
        <v>608</v>
      </c>
      <c r="G254" s="488" t="s">
        <v>464</v>
      </c>
      <c r="H254" s="489"/>
      <c r="I254" s="489"/>
      <c r="J254" s="489" t="s">
        <v>611</v>
      </c>
      <c r="K254" s="491"/>
      <c r="L254" s="488"/>
      <c r="M254" s="488"/>
      <c r="N254" s="489"/>
      <c r="O254" s="489"/>
      <c r="P254" s="489"/>
      <c r="Q254" s="489"/>
      <c r="R254" s="490"/>
      <c r="S254" s="489"/>
      <c r="T254" s="488" t="s">
        <v>268</v>
      </c>
    </row>
    <row r="255" ht="34.5">
      <c r="A255" s="488" t="s">
        <v>260</v>
      </c>
      <c r="B255" s="488" t="s">
        <v>261</v>
      </c>
      <c r="C255" s="488" t="s">
        <v>612</v>
      </c>
      <c r="D255" s="488" t="s">
        <v>263</v>
      </c>
      <c r="E255" s="488" t="s">
        <v>613</v>
      </c>
      <c r="F255" s="489" t="s">
        <v>614</v>
      </c>
      <c r="G255" s="488" t="s">
        <v>568</v>
      </c>
      <c r="H255" s="489"/>
      <c r="I255" s="489"/>
      <c r="J255" s="489" t="s">
        <v>615</v>
      </c>
      <c r="K255" s="491"/>
      <c r="L255" s="488"/>
      <c r="M255" s="488"/>
      <c r="N255" s="489"/>
      <c r="O255" s="489"/>
      <c r="P255" s="489"/>
      <c r="Q255" s="489"/>
      <c r="R255" s="490"/>
      <c r="S255" s="489"/>
      <c r="T255" s="488" t="s">
        <v>268</v>
      </c>
    </row>
    <row r="256" ht="34.5">
      <c r="A256" s="488" t="s">
        <v>260</v>
      </c>
      <c r="B256" s="488" t="s">
        <v>261</v>
      </c>
      <c r="C256" s="488" t="s">
        <v>612</v>
      </c>
      <c r="D256" s="488" t="s">
        <v>263</v>
      </c>
      <c r="E256" s="488" t="s">
        <v>613</v>
      </c>
      <c r="F256" s="489" t="s">
        <v>614</v>
      </c>
      <c r="G256" s="488" t="s">
        <v>568</v>
      </c>
      <c r="H256" s="489"/>
      <c r="I256" s="489"/>
      <c r="J256" s="489" t="s">
        <v>616</v>
      </c>
      <c r="K256" s="491"/>
      <c r="L256" s="488"/>
      <c r="M256" s="488"/>
      <c r="N256" s="489"/>
      <c r="O256" s="489"/>
      <c r="P256" s="489"/>
      <c r="Q256" s="489"/>
      <c r="R256" s="490"/>
      <c r="S256" s="489"/>
      <c r="T256" s="488" t="s">
        <v>268</v>
      </c>
    </row>
    <row r="257" ht="34.5">
      <c r="A257" s="488" t="s">
        <v>260</v>
      </c>
      <c r="B257" s="488" t="s">
        <v>261</v>
      </c>
      <c r="C257" s="488" t="s">
        <v>612</v>
      </c>
      <c r="D257" s="488" t="s">
        <v>263</v>
      </c>
      <c r="E257" s="488" t="s">
        <v>613</v>
      </c>
      <c r="F257" s="489" t="s">
        <v>614</v>
      </c>
      <c r="G257" s="488" t="s">
        <v>568</v>
      </c>
      <c r="H257" s="489"/>
      <c r="I257" s="489"/>
      <c r="J257" s="489" t="s">
        <v>617</v>
      </c>
      <c r="K257" s="491">
        <v>13662921</v>
      </c>
      <c r="L257" s="488" t="s">
        <v>429</v>
      </c>
      <c r="M257" s="488"/>
      <c r="N257" s="489"/>
      <c r="O257" s="489"/>
      <c r="P257" s="489"/>
      <c r="Q257" s="489"/>
      <c r="R257" s="490"/>
      <c r="S257" s="489"/>
      <c r="T257" s="488" t="s">
        <v>268</v>
      </c>
    </row>
    <row r="258" ht="34.5">
      <c r="A258" s="488" t="s">
        <v>260</v>
      </c>
      <c r="B258" s="488" t="s">
        <v>261</v>
      </c>
      <c r="C258" s="488" t="s">
        <v>612</v>
      </c>
      <c r="D258" s="488" t="s">
        <v>263</v>
      </c>
      <c r="E258" s="488" t="s">
        <v>618</v>
      </c>
      <c r="F258" s="489" t="s">
        <v>619</v>
      </c>
      <c r="G258" s="488" t="s">
        <v>620</v>
      </c>
      <c r="H258" s="489"/>
      <c r="I258" s="489"/>
      <c r="J258" s="489" t="s">
        <v>621</v>
      </c>
      <c r="K258" s="491">
        <v>13751305</v>
      </c>
      <c r="L258" s="488" t="s">
        <v>429</v>
      </c>
      <c r="M258" s="488"/>
      <c r="N258" s="489"/>
      <c r="O258" s="489"/>
      <c r="P258" s="489"/>
      <c r="Q258" s="489"/>
      <c r="R258" s="490"/>
      <c r="S258" s="489"/>
      <c r="T258" s="488" t="s">
        <v>268</v>
      </c>
    </row>
    <row r="259" ht="34.5">
      <c r="A259" s="488" t="s">
        <v>260</v>
      </c>
      <c r="B259" s="488" t="s">
        <v>261</v>
      </c>
      <c r="C259" s="488" t="s">
        <v>612</v>
      </c>
      <c r="D259" s="488" t="s">
        <v>263</v>
      </c>
      <c r="E259" s="488" t="s">
        <v>618</v>
      </c>
      <c r="F259" s="489" t="s">
        <v>619</v>
      </c>
      <c r="G259" s="488" t="s">
        <v>620</v>
      </c>
      <c r="H259" s="489"/>
      <c r="I259" s="489"/>
      <c r="J259" s="489" t="s">
        <v>622</v>
      </c>
      <c r="K259" s="491"/>
      <c r="L259" s="488"/>
      <c r="M259" s="488"/>
      <c r="N259" s="489"/>
      <c r="O259" s="489"/>
      <c r="P259" s="489"/>
      <c r="Q259" s="489"/>
      <c r="R259" s="490"/>
      <c r="S259" s="489"/>
      <c r="T259" s="488" t="s">
        <v>268</v>
      </c>
    </row>
    <row r="260" ht="34.5">
      <c r="A260" s="488" t="s">
        <v>260</v>
      </c>
      <c r="B260" s="488" t="s">
        <v>261</v>
      </c>
      <c r="C260" s="488" t="s">
        <v>612</v>
      </c>
      <c r="D260" s="488" t="s">
        <v>263</v>
      </c>
      <c r="E260" s="488" t="s">
        <v>618</v>
      </c>
      <c r="F260" s="489" t="s">
        <v>619</v>
      </c>
      <c r="G260" s="488" t="s">
        <v>620</v>
      </c>
      <c r="H260" s="489"/>
      <c r="I260" s="489"/>
      <c r="J260" s="489" t="s">
        <v>623</v>
      </c>
      <c r="K260" s="491"/>
      <c r="L260" s="488"/>
      <c r="M260" s="488"/>
      <c r="N260" s="489"/>
      <c r="O260" s="489"/>
      <c r="P260" s="489"/>
      <c r="Q260" s="489"/>
      <c r="R260" s="490"/>
      <c r="S260" s="489"/>
      <c r="T260" s="488" t="s">
        <v>268</v>
      </c>
    </row>
    <row r="261" ht="34.5">
      <c r="A261" s="488" t="s">
        <v>260</v>
      </c>
      <c r="B261" s="488" t="s">
        <v>261</v>
      </c>
      <c r="C261" s="488" t="s">
        <v>612</v>
      </c>
      <c r="D261" s="488" t="s">
        <v>263</v>
      </c>
      <c r="E261" s="488" t="s">
        <v>618</v>
      </c>
      <c r="F261" s="489" t="s">
        <v>619</v>
      </c>
      <c r="G261" s="488" t="s">
        <v>620</v>
      </c>
      <c r="H261" s="489"/>
      <c r="I261" s="489"/>
      <c r="J261" s="489" t="s">
        <v>624</v>
      </c>
      <c r="K261" s="491"/>
      <c r="L261" s="488"/>
      <c r="M261" s="488"/>
      <c r="N261" s="489"/>
      <c r="O261" s="489"/>
      <c r="P261" s="489"/>
      <c r="Q261" s="489"/>
      <c r="R261" s="490"/>
      <c r="S261" s="489"/>
      <c r="T261" s="488" t="s">
        <v>268</v>
      </c>
    </row>
    <row r="262" ht="34.5">
      <c r="A262" s="488" t="s">
        <v>260</v>
      </c>
      <c r="B262" s="488" t="s">
        <v>261</v>
      </c>
      <c r="C262" s="488" t="s">
        <v>612</v>
      </c>
      <c r="D262" s="488" t="s">
        <v>263</v>
      </c>
      <c r="E262" s="488" t="s">
        <v>618</v>
      </c>
      <c r="F262" s="489" t="s">
        <v>619</v>
      </c>
      <c r="G262" s="488" t="s">
        <v>620</v>
      </c>
      <c r="H262" s="489"/>
      <c r="I262" s="489"/>
      <c r="J262" s="489" t="s">
        <v>625</v>
      </c>
      <c r="K262" s="491"/>
      <c r="L262" s="488"/>
      <c r="M262" s="488"/>
      <c r="N262" s="489"/>
      <c r="O262" s="489"/>
      <c r="P262" s="489"/>
      <c r="Q262" s="489"/>
      <c r="R262" s="490"/>
      <c r="S262" s="489"/>
      <c r="T262" s="488" t="s">
        <v>268</v>
      </c>
    </row>
    <row r="263" ht="34.5">
      <c r="A263" s="488" t="s">
        <v>260</v>
      </c>
      <c r="B263" s="488" t="s">
        <v>261</v>
      </c>
      <c r="C263" s="488" t="s">
        <v>626</v>
      </c>
      <c r="D263" s="488" t="s">
        <v>263</v>
      </c>
      <c r="E263" s="488" t="s">
        <v>618</v>
      </c>
      <c r="F263" s="489" t="s">
        <v>627</v>
      </c>
      <c r="G263" s="488" t="s">
        <v>620</v>
      </c>
      <c r="H263" s="489"/>
      <c r="I263" s="489"/>
      <c r="J263" s="489" t="s">
        <v>628</v>
      </c>
      <c r="K263" s="491"/>
      <c r="L263" s="488"/>
      <c r="M263" s="488"/>
      <c r="N263" s="489"/>
      <c r="O263" s="489"/>
      <c r="P263" s="489"/>
      <c r="Q263" s="489"/>
      <c r="R263" s="490"/>
      <c r="S263" s="489"/>
      <c r="T263" s="488" t="s">
        <v>268</v>
      </c>
    </row>
    <row r="264" ht="34.5">
      <c r="A264" s="488" t="s">
        <v>260</v>
      </c>
      <c r="B264" s="488" t="s">
        <v>261</v>
      </c>
      <c r="C264" s="488" t="s">
        <v>626</v>
      </c>
      <c r="D264" s="488" t="s">
        <v>263</v>
      </c>
      <c r="E264" s="488" t="s">
        <v>618</v>
      </c>
      <c r="F264" s="489" t="s">
        <v>627</v>
      </c>
      <c r="G264" s="488" t="s">
        <v>620</v>
      </c>
      <c r="H264" s="489"/>
      <c r="I264" s="489"/>
      <c r="J264" s="489" t="s">
        <v>629</v>
      </c>
      <c r="K264" s="491"/>
      <c r="L264" s="488"/>
      <c r="M264" s="488"/>
      <c r="N264" s="489"/>
      <c r="O264" s="489"/>
      <c r="P264" s="489"/>
      <c r="Q264" s="489"/>
      <c r="R264" s="490"/>
      <c r="S264" s="489"/>
      <c r="T264" s="488" t="s">
        <v>268</v>
      </c>
    </row>
    <row r="265" ht="34.5">
      <c r="A265" s="488" t="s">
        <v>260</v>
      </c>
      <c r="B265" s="488" t="s">
        <v>261</v>
      </c>
      <c r="C265" s="488" t="s">
        <v>626</v>
      </c>
      <c r="D265" s="488" t="s">
        <v>263</v>
      </c>
      <c r="E265" s="488" t="s">
        <v>618</v>
      </c>
      <c r="F265" s="489" t="s">
        <v>627</v>
      </c>
      <c r="G265" s="488" t="s">
        <v>620</v>
      </c>
      <c r="H265" s="489"/>
      <c r="I265" s="489"/>
      <c r="J265" s="489" t="s">
        <v>630</v>
      </c>
      <c r="K265" s="491"/>
      <c r="L265" s="488"/>
      <c r="M265" s="488"/>
      <c r="N265" s="489"/>
      <c r="O265" s="489"/>
      <c r="P265" s="489"/>
      <c r="Q265" s="489"/>
      <c r="R265" s="490"/>
      <c r="S265" s="489"/>
      <c r="T265" s="488" t="s">
        <v>268</v>
      </c>
    </row>
    <row r="266" ht="34.5">
      <c r="A266" s="488" t="s">
        <v>260</v>
      </c>
      <c r="B266" s="488" t="s">
        <v>261</v>
      </c>
      <c r="C266" s="488" t="s">
        <v>626</v>
      </c>
      <c r="D266" s="488" t="s">
        <v>263</v>
      </c>
      <c r="E266" s="488" t="s">
        <v>618</v>
      </c>
      <c r="F266" s="489" t="s">
        <v>627</v>
      </c>
      <c r="G266" s="488" t="s">
        <v>620</v>
      </c>
      <c r="H266" s="489"/>
      <c r="I266" s="489"/>
      <c r="J266" s="489" t="s">
        <v>631</v>
      </c>
      <c r="K266" s="491">
        <v>125000</v>
      </c>
      <c r="L266" s="488" t="s">
        <v>429</v>
      </c>
      <c r="M266" s="488"/>
      <c r="N266" s="489"/>
      <c r="O266" s="489"/>
      <c r="P266" s="489"/>
      <c r="Q266" s="489"/>
      <c r="R266" s="490"/>
      <c r="S266" s="489"/>
      <c r="T266" s="488" t="s">
        <v>268</v>
      </c>
    </row>
    <row r="267" ht="34.5">
      <c r="A267" s="488" t="s">
        <v>260</v>
      </c>
      <c r="B267" s="488" t="s">
        <v>261</v>
      </c>
      <c r="C267" s="488" t="s">
        <v>632</v>
      </c>
      <c r="D267" s="488" t="s">
        <v>263</v>
      </c>
      <c r="E267" s="488" t="s">
        <v>618</v>
      </c>
      <c r="F267" s="489" t="s">
        <v>627</v>
      </c>
      <c r="G267" s="488" t="s">
        <v>620</v>
      </c>
      <c r="H267" s="489"/>
      <c r="I267" s="489"/>
      <c r="J267" s="489" t="s">
        <v>633</v>
      </c>
      <c r="K267" s="491"/>
      <c r="L267" s="488"/>
      <c r="M267" s="488"/>
      <c r="N267" s="489"/>
      <c r="O267" s="489"/>
      <c r="P267" s="489"/>
      <c r="Q267" s="489"/>
      <c r="R267" s="490"/>
      <c r="S267" s="489"/>
      <c r="T267" s="488" t="s">
        <v>268</v>
      </c>
    </row>
    <row r="268" ht="34.5">
      <c r="A268" s="488" t="s">
        <v>260</v>
      </c>
      <c r="B268" s="488" t="s">
        <v>261</v>
      </c>
      <c r="C268" s="488" t="s">
        <v>632</v>
      </c>
      <c r="D268" s="488" t="s">
        <v>263</v>
      </c>
      <c r="E268" s="488" t="s">
        <v>618</v>
      </c>
      <c r="F268" s="489" t="s">
        <v>627</v>
      </c>
      <c r="G268" s="488" t="s">
        <v>620</v>
      </c>
      <c r="H268" s="489"/>
      <c r="I268" s="489"/>
      <c r="J268" s="489" t="s">
        <v>634</v>
      </c>
      <c r="K268" s="491"/>
      <c r="L268" s="488"/>
      <c r="M268" s="488"/>
      <c r="N268" s="489"/>
      <c r="O268" s="489"/>
      <c r="P268" s="489"/>
      <c r="Q268" s="489"/>
      <c r="R268" s="490"/>
      <c r="S268" s="489"/>
      <c r="T268" s="488" t="s">
        <v>268</v>
      </c>
    </row>
    <row r="269" ht="34.5">
      <c r="A269" s="488" t="s">
        <v>260</v>
      </c>
      <c r="B269" s="488" t="s">
        <v>261</v>
      </c>
      <c r="C269" s="488" t="s">
        <v>632</v>
      </c>
      <c r="D269" s="488" t="s">
        <v>263</v>
      </c>
      <c r="E269" s="488" t="s">
        <v>618</v>
      </c>
      <c r="F269" s="489" t="s">
        <v>627</v>
      </c>
      <c r="G269" s="488" t="s">
        <v>620</v>
      </c>
      <c r="H269" s="489"/>
      <c r="I269" s="489"/>
      <c r="J269" s="489" t="s">
        <v>635</v>
      </c>
      <c r="K269" s="491">
        <v>0.11</v>
      </c>
      <c r="L269" s="488" t="s">
        <v>429</v>
      </c>
      <c r="M269" s="488"/>
      <c r="N269" s="489"/>
      <c r="O269" s="489"/>
      <c r="P269" s="489"/>
      <c r="Q269" s="489"/>
      <c r="R269" s="490"/>
      <c r="S269" s="489"/>
      <c r="T269" s="488" t="s">
        <v>268</v>
      </c>
    </row>
    <row r="270" ht="34.5">
      <c r="A270" s="488" t="s">
        <v>260</v>
      </c>
      <c r="B270" s="488" t="s">
        <v>261</v>
      </c>
      <c r="C270" s="488" t="s">
        <v>632</v>
      </c>
      <c r="D270" s="488" t="s">
        <v>263</v>
      </c>
      <c r="E270" s="488" t="s">
        <v>618</v>
      </c>
      <c r="F270" s="489" t="s">
        <v>627</v>
      </c>
      <c r="G270" s="488" t="s">
        <v>620</v>
      </c>
      <c r="H270" s="489"/>
      <c r="I270" s="489"/>
      <c r="J270" s="489" t="s">
        <v>636</v>
      </c>
      <c r="K270" s="491">
        <v>0.13</v>
      </c>
      <c r="L270" s="488" t="s">
        <v>429</v>
      </c>
      <c r="M270" s="488"/>
      <c r="N270" s="489"/>
      <c r="O270" s="489"/>
      <c r="P270" s="489"/>
      <c r="Q270" s="489"/>
      <c r="R270" s="490"/>
      <c r="S270" s="489"/>
      <c r="T270" s="488" t="s">
        <v>268</v>
      </c>
    </row>
    <row r="271" ht="34.5">
      <c r="A271" s="488" t="s">
        <v>260</v>
      </c>
      <c r="B271" s="488" t="s">
        <v>261</v>
      </c>
      <c r="C271" s="488" t="s">
        <v>632</v>
      </c>
      <c r="D271" s="488" t="s">
        <v>263</v>
      </c>
      <c r="E271" s="488" t="s">
        <v>618</v>
      </c>
      <c r="F271" s="489" t="s">
        <v>627</v>
      </c>
      <c r="G271" s="488" t="s">
        <v>620</v>
      </c>
      <c r="H271" s="489"/>
      <c r="I271" s="489"/>
      <c r="J271" s="489" t="s">
        <v>637</v>
      </c>
      <c r="K271" s="491">
        <v>0.06</v>
      </c>
      <c r="L271" s="488" t="s">
        <v>429</v>
      </c>
      <c r="M271" s="488"/>
      <c r="N271" s="489"/>
      <c r="O271" s="489"/>
      <c r="P271" s="489"/>
      <c r="Q271" s="489"/>
      <c r="R271" s="490"/>
      <c r="S271" s="489"/>
      <c r="T271" s="488" t="s">
        <v>268</v>
      </c>
    </row>
    <row r="272" ht="34.5">
      <c r="A272" s="488" t="s">
        <v>260</v>
      </c>
      <c r="B272" s="488" t="s">
        <v>261</v>
      </c>
      <c r="C272" s="488" t="s">
        <v>638</v>
      </c>
      <c r="D272" s="488" t="s">
        <v>263</v>
      </c>
      <c r="E272" s="488" t="s">
        <v>618</v>
      </c>
      <c r="F272" s="489" t="s">
        <v>627</v>
      </c>
      <c r="G272" s="488" t="s">
        <v>620</v>
      </c>
      <c r="H272" s="489"/>
      <c r="I272" s="489"/>
      <c r="J272" s="489" t="s">
        <v>639</v>
      </c>
      <c r="K272" s="491"/>
      <c r="L272" s="488"/>
      <c r="M272" s="488"/>
      <c r="N272" s="489"/>
      <c r="O272" s="489"/>
      <c r="P272" s="489"/>
      <c r="Q272" s="489"/>
      <c r="R272" s="490"/>
      <c r="S272" s="489"/>
      <c r="T272" s="488" t="s">
        <v>268</v>
      </c>
    </row>
    <row r="273" ht="34.5">
      <c r="A273" s="488" t="s">
        <v>260</v>
      </c>
      <c r="B273" s="488" t="s">
        <v>261</v>
      </c>
      <c r="C273" s="488" t="s">
        <v>638</v>
      </c>
      <c r="D273" s="488" t="s">
        <v>263</v>
      </c>
      <c r="E273" s="488" t="s">
        <v>618</v>
      </c>
      <c r="F273" s="489" t="s">
        <v>627</v>
      </c>
      <c r="G273" s="488" t="s">
        <v>620</v>
      </c>
      <c r="H273" s="489"/>
      <c r="I273" s="489"/>
      <c r="J273" s="489" t="s">
        <v>640</v>
      </c>
      <c r="K273" s="491"/>
      <c r="L273" s="488"/>
      <c r="M273" s="488"/>
      <c r="N273" s="489"/>
      <c r="O273" s="489"/>
      <c r="P273" s="489"/>
      <c r="Q273" s="489"/>
      <c r="R273" s="490"/>
      <c r="S273" s="489"/>
      <c r="T273" s="488" t="s">
        <v>268</v>
      </c>
    </row>
    <row r="274" ht="34.5">
      <c r="A274" s="488" t="s">
        <v>260</v>
      </c>
      <c r="B274" s="488" t="s">
        <v>261</v>
      </c>
      <c r="C274" s="488" t="s">
        <v>638</v>
      </c>
      <c r="D274" s="488" t="s">
        <v>263</v>
      </c>
      <c r="E274" s="488" t="s">
        <v>618</v>
      </c>
      <c r="F274" s="489" t="s">
        <v>627</v>
      </c>
      <c r="G274" s="488" t="s">
        <v>620</v>
      </c>
      <c r="H274" s="489"/>
      <c r="I274" s="489"/>
      <c r="J274" s="489" t="s">
        <v>641</v>
      </c>
      <c r="K274" s="491">
        <v>0.06</v>
      </c>
      <c r="L274" s="488" t="s">
        <v>429</v>
      </c>
      <c r="M274" s="488"/>
      <c r="N274" s="489"/>
      <c r="O274" s="489"/>
      <c r="P274" s="489"/>
      <c r="Q274" s="489"/>
      <c r="R274" s="490"/>
      <c r="S274" s="489"/>
      <c r="T274" s="488" t="s">
        <v>268</v>
      </c>
    </row>
    <row r="275" ht="34.5">
      <c r="A275" s="488" t="s">
        <v>260</v>
      </c>
      <c r="B275" s="488" t="s">
        <v>261</v>
      </c>
      <c r="C275" s="488" t="s">
        <v>638</v>
      </c>
      <c r="D275" s="488" t="s">
        <v>263</v>
      </c>
      <c r="E275" s="488" t="s">
        <v>618</v>
      </c>
      <c r="F275" s="489" t="s">
        <v>627</v>
      </c>
      <c r="G275" s="488" t="s">
        <v>620</v>
      </c>
      <c r="H275" s="489"/>
      <c r="I275" s="489"/>
      <c r="J275" s="489" t="s">
        <v>642</v>
      </c>
      <c r="K275" s="491"/>
      <c r="L275" s="488"/>
      <c r="M275" s="488"/>
      <c r="N275" s="489"/>
      <c r="O275" s="489"/>
      <c r="P275" s="489"/>
      <c r="Q275" s="489"/>
      <c r="R275" s="490"/>
      <c r="S275" s="489"/>
      <c r="T275" s="488" t="s">
        <v>268</v>
      </c>
    </row>
    <row r="276" ht="34.5">
      <c r="A276" s="488" t="s">
        <v>260</v>
      </c>
      <c r="B276" s="488" t="s">
        <v>261</v>
      </c>
      <c r="C276" s="488" t="s">
        <v>643</v>
      </c>
      <c r="D276" s="488" t="s">
        <v>263</v>
      </c>
      <c r="E276" s="488" t="s">
        <v>618</v>
      </c>
      <c r="F276" s="489" t="s">
        <v>627</v>
      </c>
      <c r="G276" s="488" t="s">
        <v>620</v>
      </c>
      <c r="H276" s="489"/>
      <c r="I276" s="489"/>
      <c r="J276" s="489" t="s">
        <v>644</v>
      </c>
      <c r="K276" s="491"/>
      <c r="L276" s="488"/>
      <c r="M276" s="488"/>
      <c r="N276" s="489"/>
      <c r="O276" s="489"/>
      <c r="P276" s="489"/>
      <c r="Q276" s="489"/>
      <c r="R276" s="490"/>
      <c r="S276" s="489"/>
      <c r="T276" s="488" t="s">
        <v>268</v>
      </c>
    </row>
    <row r="277" ht="34.5">
      <c r="A277" s="488" t="s">
        <v>260</v>
      </c>
      <c r="B277" s="488" t="s">
        <v>261</v>
      </c>
      <c r="C277" s="488" t="s">
        <v>643</v>
      </c>
      <c r="D277" s="488" t="s">
        <v>263</v>
      </c>
      <c r="E277" s="488" t="s">
        <v>618</v>
      </c>
      <c r="F277" s="489" t="s">
        <v>627</v>
      </c>
      <c r="G277" s="488" t="s">
        <v>620</v>
      </c>
      <c r="H277" s="489"/>
      <c r="I277" s="489"/>
      <c r="J277" s="489" t="s">
        <v>645</v>
      </c>
      <c r="K277" s="491">
        <v>965788</v>
      </c>
      <c r="L277" s="488" t="s">
        <v>429</v>
      </c>
      <c r="M277" s="488"/>
      <c r="N277" s="489"/>
      <c r="O277" s="489"/>
      <c r="P277" s="489"/>
      <c r="Q277" s="489"/>
      <c r="R277" s="490"/>
      <c r="S277" s="489"/>
      <c r="T277" s="488" t="s">
        <v>268</v>
      </c>
    </row>
    <row r="278" ht="34.5">
      <c r="A278" s="488" t="s">
        <v>260</v>
      </c>
      <c r="B278" s="488" t="s">
        <v>261</v>
      </c>
      <c r="C278" s="488" t="s">
        <v>643</v>
      </c>
      <c r="D278" s="488" t="s">
        <v>263</v>
      </c>
      <c r="E278" s="488" t="s">
        <v>618</v>
      </c>
      <c r="F278" s="489" t="s">
        <v>627</v>
      </c>
      <c r="G278" s="488" t="s">
        <v>620</v>
      </c>
      <c r="H278" s="489"/>
      <c r="I278" s="489"/>
      <c r="J278" s="489" t="s">
        <v>646</v>
      </c>
      <c r="K278" s="491"/>
      <c r="L278" s="488"/>
      <c r="M278" s="488"/>
      <c r="N278" s="489"/>
      <c r="O278" s="489"/>
      <c r="P278" s="489"/>
      <c r="Q278" s="489"/>
      <c r="R278" s="490"/>
      <c r="S278" s="489"/>
      <c r="T278" s="488" t="s">
        <v>268</v>
      </c>
    </row>
    <row r="279" ht="34.5">
      <c r="A279" s="488" t="s">
        <v>260</v>
      </c>
      <c r="B279" s="488" t="s">
        <v>261</v>
      </c>
      <c r="C279" s="488" t="s">
        <v>647</v>
      </c>
      <c r="D279" s="488" t="s">
        <v>263</v>
      </c>
      <c r="E279" s="488" t="s">
        <v>618</v>
      </c>
      <c r="F279" s="489" t="s">
        <v>627</v>
      </c>
      <c r="G279" s="488" t="s">
        <v>620</v>
      </c>
      <c r="H279" s="489"/>
      <c r="I279" s="489"/>
      <c r="J279" s="489" t="s">
        <v>648</v>
      </c>
      <c r="K279" s="491"/>
      <c r="L279" s="488"/>
      <c r="M279" s="488"/>
      <c r="N279" s="489"/>
      <c r="O279" s="489"/>
      <c r="P279" s="489"/>
      <c r="Q279" s="489"/>
      <c r="R279" s="490"/>
      <c r="S279" s="489"/>
      <c r="T279" s="488" t="s">
        <v>268</v>
      </c>
    </row>
    <row r="280" ht="34.5">
      <c r="A280" s="488" t="s">
        <v>260</v>
      </c>
      <c r="B280" s="488" t="s">
        <v>261</v>
      </c>
      <c r="C280" s="488" t="s">
        <v>647</v>
      </c>
      <c r="D280" s="488" t="s">
        <v>263</v>
      </c>
      <c r="E280" s="488" t="s">
        <v>618</v>
      </c>
      <c r="F280" s="489" t="s">
        <v>627</v>
      </c>
      <c r="G280" s="488" t="s">
        <v>620</v>
      </c>
      <c r="H280" s="489"/>
      <c r="I280" s="489"/>
      <c r="J280" s="489" t="s">
        <v>649</v>
      </c>
      <c r="K280" s="491"/>
      <c r="L280" s="488"/>
      <c r="M280" s="488"/>
      <c r="N280" s="489"/>
      <c r="O280" s="489"/>
      <c r="P280" s="489"/>
      <c r="Q280" s="489"/>
      <c r="R280" s="490"/>
      <c r="S280" s="489"/>
      <c r="T280" s="488" t="s">
        <v>268</v>
      </c>
    </row>
    <row r="281" ht="34.5">
      <c r="A281" s="488" t="s">
        <v>260</v>
      </c>
      <c r="B281" s="488" t="s">
        <v>261</v>
      </c>
      <c r="C281" s="488" t="s">
        <v>647</v>
      </c>
      <c r="D281" s="488" t="s">
        <v>263</v>
      </c>
      <c r="E281" s="488" t="s">
        <v>618</v>
      </c>
      <c r="F281" s="489" t="s">
        <v>627</v>
      </c>
      <c r="G281" s="488" t="s">
        <v>620</v>
      </c>
      <c r="H281" s="489"/>
      <c r="I281" s="489"/>
      <c r="J281" s="489" t="s">
        <v>650</v>
      </c>
      <c r="K281" s="491"/>
      <c r="L281" s="488"/>
      <c r="M281" s="488"/>
      <c r="N281" s="489"/>
      <c r="O281" s="489"/>
      <c r="P281" s="489"/>
      <c r="Q281" s="489"/>
      <c r="R281" s="490"/>
      <c r="S281" s="489"/>
      <c r="T281" s="488" t="s">
        <v>268</v>
      </c>
    </row>
    <row r="282" ht="34.5">
      <c r="A282" s="488" t="s">
        <v>260</v>
      </c>
      <c r="B282" s="488" t="s">
        <v>261</v>
      </c>
      <c r="C282" s="488" t="s">
        <v>647</v>
      </c>
      <c r="D282" s="488" t="s">
        <v>263</v>
      </c>
      <c r="E282" s="488" t="s">
        <v>618</v>
      </c>
      <c r="F282" s="489" t="s">
        <v>627</v>
      </c>
      <c r="G282" s="488" t="s">
        <v>620</v>
      </c>
      <c r="H282" s="489"/>
      <c r="I282" s="489"/>
      <c r="J282" s="489" t="s">
        <v>651</v>
      </c>
      <c r="K282" s="491"/>
      <c r="L282" s="488"/>
      <c r="M282" s="488"/>
      <c r="N282" s="489"/>
      <c r="O282" s="489"/>
      <c r="P282" s="489"/>
      <c r="Q282" s="489"/>
      <c r="R282" s="490"/>
      <c r="S282" s="489"/>
      <c r="T282" s="488" t="s">
        <v>268</v>
      </c>
    </row>
    <row r="283" ht="34.5">
      <c r="A283" s="488" t="s">
        <v>260</v>
      </c>
      <c r="B283" s="488" t="s">
        <v>261</v>
      </c>
      <c r="C283" s="488" t="s">
        <v>647</v>
      </c>
      <c r="D283" s="488" t="s">
        <v>263</v>
      </c>
      <c r="E283" s="488" t="s">
        <v>618</v>
      </c>
      <c r="F283" s="489" t="s">
        <v>627</v>
      </c>
      <c r="G283" s="488" t="s">
        <v>620</v>
      </c>
      <c r="H283" s="489"/>
      <c r="I283" s="489"/>
      <c r="J283" s="489" t="s">
        <v>652</v>
      </c>
      <c r="K283" s="491"/>
      <c r="L283" s="488"/>
      <c r="M283" s="488"/>
      <c r="N283" s="489"/>
      <c r="O283" s="489"/>
      <c r="P283" s="489"/>
      <c r="Q283" s="489"/>
      <c r="R283" s="490"/>
      <c r="S283" s="489"/>
      <c r="T283" s="488" t="s">
        <v>268</v>
      </c>
    </row>
    <row r="284" ht="34.5">
      <c r="A284" s="488" t="s">
        <v>260</v>
      </c>
      <c r="B284" s="488" t="s">
        <v>261</v>
      </c>
      <c r="C284" s="488" t="s">
        <v>653</v>
      </c>
      <c r="D284" s="488" t="s">
        <v>263</v>
      </c>
      <c r="E284" s="488" t="s">
        <v>654</v>
      </c>
      <c r="F284" s="489" t="s">
        <v>655</v>
      </c>
      <c r="G284" s="488" t="s">
        <v>656</v>
      </c>
      <c r="H284" s="489"/>
      <c r="I284" s="489"/>
      <c r="J284" s="489" t="s">
        <v>657</v>
      </c>
      <c r="K284" s="491"/>
      <c r="L284" s="488"/>
      <c r="M284" s="488"/>
      <c r="N284" s="489"/>
      <c r="O284" s="489"/>
      <c r="P284" s="489"/>
      <c r="Q284" s="489"/>
      <c r="R284" s="490"/>
      <c r="S284" s="489"/>
      <c r="T284" s="488" t="s">
        <v>268</v>
      </c>
    </row>
    <row r="285" ht="34.5">
      <c r="A285" s="488" t="s">
        <v>260</v>
      </c>
      <c r="B285" s="488" t="s">
        <v>261</v>
      </c>
      <c r="C285" s="488" t="s">
        <v>653</v>
      </c>
      <c r="D285" s="488" t="s">
        <v>263</v>
      </c>
      <c r="E285" s="488" t="s">
        <v>654</v>
      </c>
      <c r="F285" s="489" t="s">
        <v>655</v>
      </c>
      <c r="G285" s="488" t="s">
        <v>656</v>
      </c>
      <c r="H285" s="489"/>
      <c r="I285" s="489"/>
      <c r="J285" s="489" t="s">
        <v>658</v>
      </c>
      <c r="K285" s="491"/>
      <c r="L285" s="488"/>
      <c r="M285" s="488"/>
      <c r="N285" s="489"/>
      <c r="O285" s="489"/>
      <c r="P285" s="489"/>
      <c r="Q285" s="489"/>
      <c r="R285" s="490"/>
      <c r="S285" s="489"/>
      <c r="T285" s="488" t="s">
        <v>268</v>
      </c>
    </row>
    <row r="286" ht="34.5">
      <c r="A286" s="488" t="s">
        <v>260</v>
      </c>
      <c r="B286" s="488" t="s">
        <v>261</v>
      </c>
      <c r="C286" s="488" t="s">
        <v>653</v>
      </c>
      <c r="D286" s="488" t="s">
        <v>263</v>
      </c>
      <c r="E286" s="488" t="s">
        <v>654</v>
      </c>
      <c r="F286" s="489" t="s">
        <v>655</v>
      </c>
      <c r="G286" s="488" t="s">
        <v>656</v>
      </c>
      <c r="H286" s="489"/>
      <c r="I286" s="489"/>
      <c r="J286" s="489" t="s">
        <v>659</v>
      </c>
      <c r="K286" s="491"/>
      <c r="L286" s="488"/>
      <c r="M286" s="488"/>
      <c r="N286" s="489"/>
      <c r="O286" s="489"/>
      <c r="P286" s="489"/>
      <c r="Q286" s="489"/>
      <c r="R286" s="490"/>
      <c r="S286" s="489"/>
      <c r="T286" s="488" t="s">
        <v>268</v>
      </c>
    </row>
    <row r="287" ht="34.5">
      <c r="A287" s="488" t="s">
        <v>260</v>
      </c>
      <c r="B287" s="488" t="s">
        <v>261</v>
      </c>
      <c r="C287" s="488" t="s">
        <v>653</v>
      </c>
      <c r="D287" s="488" t="s">
        <v>263</v>
      </c>
      <c r="E287" s="488" t="s">
        <v>654</v>
      </c>
      <c r="F287" s="489" t="s">
        <v>655</v>
      </c>
      <c r="G287" s="488" t="s">
        <v>656</v>
      </c>
      <c r="H287" s="489"/>
      <c r="I287" s="489"/>
      <c r="J287" s="489" t="s">
        <v>660</v>
      </c>
      <c r="K287" s="491"/>
      <c r="L287" s="488"/>
      <c r="M287" s="488"/>
      <c r="N287" s="489"/>
      <c r="O287" s="489"/>
      <c r="P287" s="489"/>
      <c r="Q287" s="489"/>
      <c r="R287" s="490"/>
      <c r="S287" s="489"/>
      <c r="T287" s="488" t="s">
        <v>268</v>
      </c>
    </row>
    <row r="288" ht="34.5">
      <c r="A288" s="488" t="s">
        <v>260</v>
      </c>
      <c r="B288" s="488" t="s">
        <v>261</v>
      </c>
      <c r="C288" s="488" t="s">
        <v>653</v>
      </c>
      <c r="D288" s="488" t="s">
        <v>263</v>
      </c>
      <c r="E288" s="488" t="s">
        <v>654</v>
      </c>
      <c r="F288" s="489" t="s">
        <v>655</v>
      </c>
      <c r="G288" s="488" t="s">
        <v>656</v>
      </c>
      <c r="H288" s="489"/>
      <c r="I288" s="489"/>
      <c r="J288" s="489" t="s">
        <v>661</v>
      </c>
      <c r="K288" s="491"/>
      <c r="L288" s="488"/>
      <c r="M288" s="488"/>
      <c r="N288" s="489"/>
      <c r="O288" s="489"/>
      <c r="P288" s="489"/>
      <c r="Q288" s="489"/>
      <c r="R288" s="490"/>
      <c r="S288" s="489"/>
      <c r="T288" s="488" t="s">
        <v>268</v>
      </c>
    </row>
    <row r="289" ht="34.5">
      <c r="A289" s="488" t="s">
        <v>260</v>
      </c>
      <c r="B289" s="488" t="s">
        <v>261</v>
      </c>
      <c r="C289" s="488" t="s">
        <v>653</v>
      </c>
      <c r="D289" s="488" t="s">
        <v>263</v>
      </c>
      <c r="E289" s="488" t="s">
        <v>654</v>
      </c>
      <c r="F289" s="489" t="s">
        <v>655</v>
      </c>
      <c r="G289" s="488" t="s">
        <v>656</v>
      </c>
      <c r="H289" s="489"/>
      <c r="I289" s="489"/>
      <c r="J289" s="489" t="s">
        <v>662</v>
      </c>
      <c r="K289" s="491">
        <v>5211891</v>
      </c>
      <c r="L289" s="488" t="s">
        <v>429</v>
      </c>
      <c r="M289" s="488"/>
      <c r="N289" s="489"/>
      <c r="O289" s="489"/>
      <c r="P289" s="489"/>
      <c r="Q289" s="489"/>
      <c r="R289" s="490"/>
      <c r="S289" s="489"/>
      <c r="T289" s="488" t="s">
        <v>268</v>
      </c>
    </row>
    <row r="290" ht="34.5">
      <c r="A290" s="488" t="s">
        <v>260</v>
      </c>
      <c r="B290" s="488" t="s">
        <v>261</v>
      </c>
      <c r="C290" s="488" t="s">
        <v>663</v>
      </c>
      <c r="D290" s="488" t="s">
        <v>263</v>
      </c>
      <c r="E290" s="488" t="s">
        <v>654</v>
      </c>
      <c r="F290" s="489" t="s">
        <v>664</v>
      </c>
      <c r="G290" s="488" t="s">
        <v>656</v>
      </c>
      <c r="H290" s="489"/>
      <c r="I290" s="489"/>
      <c r="J290" s="489" t="s">
        <v>665</v>
      </c>
      <c r="K290" s="491"/>
      <c r="L290" s="488"/>
      <c r="M290" s="488"/>
      <c r="N290" s="489"/>
      <c r="O290" s="489"/>
      <c r="P290" s="489"/>
      <c r="Q290" s="489"/>
      <c r="R290" s="490"/>
      <c r="S290" s="489"/>
      <c r="T290" s="488" t="s">
        <v>268</v>
      </c>
    </row>
    <row r="291" ht="34.5">
      <c r="A291" s="488" t="s">
        <v>260</v>
      </c>
      <c r="B291" s="488" t="s">
        <v>261</v>
      </c>
      <c r="C291" s="488" t="s">
        <v>663</v>
      </c>
      <c r="D291" s="488" t="s">
        <v>263</v>
      </c>
      <c r="E291" s="488" t="s">
        <v>654</v>
      </c>
      <c r="F291" s="489" t="s">
        <v>664</v>
      </c>
      <c r="G291" s="488" t="s">
        <v>656</v>
      </c>
      <c r="H291" s="489"/>
      <c r="I291" s="489"/>
      <c r="J291" s="489" t="s">
        <v>666</v>
      </c>
      <c r="K291" s="491">
        <v>19005909</v>
      </c>
      <c r="L291" s="488" t="s">
        <v>429</v>
      </c>
      <c r="M291" s="488"/>
      <c r="N291" s="489"/>
      <c r="O291" s="489"/>
      <c r="P291" s="489"/>
      <c r="Q291" s="489"/>
      <c r="R291" s="490"/>
      <c r="S291" s="489"/>
      <c r="T291" s="488" t="s">
        <v>268</v>
      </c>
    </row>
    <row r="292" ht="34.5">
      <c r="A292" s="488" t="s">
        <v>260</v>
      </c>
      <c r="B292" s="488" t="s">
        <v>261</v>
      </c>
      <c r="C292" s="488" t="s">
        <v>663</v>
      </c>
      <c r="D292" s="488" t="s">
        <v>263</v>
      </c>
      <c r="E292" s="488" t="s">
        <v>654</v>
      </c>
      <c r="F292" s="489" t="s">
        <v>664</v>
      </c>
      <c r="G292" s="488" t="s">
        <v>656</v>
      </c>
      <c r="H292" s="489"/>
      <c r="I292" s="489"/>
      <c r="J292" s="489" t="s">
        <v>667</v>
      </c>
      <c r="K292" s="491"/>
      <c r="L292" s="488"/>
      <c r="M292" s="488"/>
      <c r="N292" s="489"/>
      <c r="O292" s="489"/>
      <c r="P292" s="489"/>
      <c r="Q292" s="489"/>
      <c r="R292" s="490"/>
      <c r="S292" s="489"/>
      <c r="T292" s="488" t="s">
        <v>268</v>
      </c>
    </row>
    <row r="293" ht="34.5">
      <c r="A293" s="488" t="s">
        <v>260</v>
      </c>
      <c r="B293" s="488" t="s">
        <v>261</v>
      </c>
      <c r="C293" s="488" t="s">
        <v>663</v>
      </c>
      <c r="D293" s="488" t="s">
        <v>263</v>
      </c>
      <c r="E293" s="488" t="s">
        <v>654</v>
      </c>
      <c r="F293" s="489" t="s">
        <v>664</v>
      </c>
      <c r="G293" s="488" t="s">
        <v>656</v>
      </c>
      <c r="H293" s="489"/>
      <c r="I293" s="489"/>
      <c r="J293" s="489" t="s">
        <v>668</v>
      </c>
      <c r="K293" s="491">
        <v>193382</v>
      </c>
      <c r="L293" s="488" t="s">
        <v>429</v>
      </c>
      <c r="M293" s="488"/>
      <c r="N293" s="489"/>
      <c r="O293" s="489"/>
      <c r="P293" s="489"/>
      <c r="Q293" s="489"/>
      <c r="R293" s="490"/>
      <c r="S293" s="489"/>
      <c r="T293" s="488" t="s">
        <v>268</v>
      </c>
    </row>
    <row r="294" ht="34.5">
      <c r="A294" s="488" t="s">
        <v>260</v>
      </c>
      <c r="B294" s="488" t="s">
        <v>261</v>
      </c>
      <c r="C294" s="488" t="s">
        <v>669</v>
      </c>
      <c r="D294" s="488" t="s">
        <v>263</v>
      </c>
      <c r="E294" s="488" t="s">
        <v>654</v>
      </c>
      <c r="F294" s="489" t="s">
        <v>664</v>
      </c>
      <c r="G294" s="488" t="s">
        <v>656</v>
      </c>
      <c r="H294" s="489"/>
      <c r="I294" s="489"/>
      <c r="J294" s="489" t="s">
        <v>670</v>
      </c>
      <c r="K294" s="491"/>
      <c r="L294" s="488"/>
      <c r="M294" s="488"/>
      <c r="N294" s="489"/>
      <c r="O294" s="489"/>
      <c r="P294" s="489"/>
      <c r="Q294" s="489"/>
      <c r="R294" s="490"/>
      <c r="S294" s="489"/>
      <c r="T294" s="488" t="s">
        <v>268</v>
      </c>
    </row>
    <row r="295" ht="34.5">
      <c r="A295" s="488" t="s">
        <v>260</v>
      </c>
      <c r="B295" s="488" t="s">
        <v>261</v>
      </c>
      <c r="C295" s="488" t="s">
        <v>669</v>
      </c>
      <c r="D295" s="488" t="s">
        <v>263</v>
      </c>
      <c r="E295" s="488" t="s">
        <v>654</v>
      </c>
      <c r="F295" s="489" t="s">
        <v>664</v>
      </c>
      <c r="G295" s="488" t="s">
        <v>656</v>
      </c>
      <c r="H295" s="489"/>
      <c r="I295" s="489"/>
      <c r="J295" s="489" t="s">
        <v>671</v>
      </c>
      <c r="K295" s="491"/>
      <c r="L295" s="488"/>
      <c r="M295" s="488"/>
      <c r="N295" s="489"/>
      <c r="O295" s="489"/>
      <c r="P295" s="489"/>
      <c r="Q295" s="489"/>
      <c r="R295" s="490"/>
      <c r="S295" s="489"/>
      <c r="T295" s="488" t="s">
        <v>268</v>
      </c>
    </row>
    <row r="296" ht="34.5">
      <c r="A296" s="488" t="s">
        <v>260</v>
      </c>
      <c r="B296" s="488" t="s">
        <v>261</v>
      </c>
      <c r="C296" s="488" t="s">
        <v>669</v>
      </c>
      <c r="D296" s="488" t="s">
        <v>263</v>
      </c>
      <c r="E296" s="488" t="s">
        <v>654</v>
      </c>
      <c r="F296" s="489" t="s">
        <v>664</v>
      </c>
      <c r="G296" s="488" t="s">
        <v>656</v>
      </c>
      <c r="H296" s="489"/>
      <c r="I296" s="489"/>
      <c r="J296" s="489" t="s">
        <v>672</v>
      </c>
      <c r="K296" s="491"/>
      <c r="L296" s="488"/>
      <c r="M296" s="488"/>
      <c r="N296" s="489"/>
      <c r="O296" s="489"/>
      <c r="P296" s="489"/>
      <c r="Q296" s="489"/>
      <c r="R296" s="490"/>
      <c r="S296" s="489"/>
      <c r="T296" s="488" t="s">
        <v>268</v>
      </c>
    </row>
    <row r="297" ht="34.5">
      <c r="A297" s="488" t="s">
        <v>260</v>
      </c>
      <c r="B297" s="488" t="s">
        <v>261</v>
      </c>
      <c r="C297" s="488" t="s">
        <v>669</v>
      </c>
      <c r="D297" s="488" t="s">
        <v>263</v>
      </c>
      <c r="E297" s="488" t="s">
        <v>654</v>
      </c>
      <c r="F297" s="489" t="s">
        <v>664</v>
      </c>
      <c r="G297" s="488" t="s">
        <v>656</v>
      </c>
      <c r="H297" s="489"/>
      <c r="I297" s="489"/>
      <c r="J297" s="489" t="s">
        <v>673</v>
      </c>
      <c r="K297" s="491"/>
      <c r="L297" s="488"/>
      <c r="M297" s="488"/>
      <c r="N297" s="489"/>
      <c r="O297" s="489"/>
      <c r="P297" s="489"/>
      <c r="Q297" s="489"/>
      <c r="R297" s="490"/>
      <c r="S297" s="489"/>
      <c r="T297" s="488" t="s">
        <v>268</v>
      </c>
    </row>
    <row r="298" ht="34.5">
      <c r="A298" s="488" t="s">
        <v>260</v>
      </c>
      <c r="B298" s="488" t="s">
        <v>261</v>
      </c>
      <c r="C298" s="488" t="s">
        <v>669</v>
      </c>
      <c r="D298" s="488" t="s">
        <v>263</v>
      </c>
      <c r="E298" s="488" t="s">
        <v>654</v>
      </c>
      <c r="F298" s="489" t="s">
        <v>664</v>
      </c>
      <c r="G298" s="488" t="s">
        <v>656</v>
      </c>
      <c r="H298" s="489"/>
      <c r="I298" s="489"/>
      <c r="J298" s="489" t="s">
        <v>674</v>
      </c>
      <c r="K298" s="491">
        <v>1930197</v>
      </c>
      <c r="L298" s="488" t="s">
        <v>429</v>
      </c>
      <c r="M298" s="488"/>
      <c r="N298" s="489"/>
      <c r="O298" s="489"/>
      <c r="P298" s="489"/>
      <c r="Q298" s="489"/>
      <c r="R298" s="490"/>
      <c r="S298" s="489"/>
      <c r="T298" s="488" t="s">
        <v>268</v>
      </c>
    </row>
    <row r="299" ht="34.5">
      <c r="A299" s="488" t="s">
        <v>260</v>
      </c>
      <c r="B299" s="488" t="s">
        <v>261</v>
      </c>
      <c r="C299" s="488" t="s">
        <v>669</v>
      </c>
      <c r="D299" s="488" t="s">
        <v>263</v>
      </c>
      <c r="E299" s="488" t="s">
        <v>654</v>
      </c>
      <c r="F299" s="489" t="s">
        <v>664</v>
      </c>
      <c r="G299" s="488" t="s">
        <v>656</v>
      </c>
      <c r="H299" s="489"/>
      <c r="I299" s="489"/>
      <c r="J299" s="489" t="s">
        <v>675</v>
      </c>
      <c r="K299" s="491">
        <v>14154507</v>
      </c>
      <c r="L299" s="488" t="s">
        <v>429</v>
      </c>
      <c r="M299" s="488"/>
      <c r="N299" s="489"/>
      <c r="O299" s="489"/>
      <c r="P299" s="489"/>
      <c r="Q299" s="489"/>
      <c r="R299" s="490"/>
      <c r="S299" s="489"/>
      <c r="T299" s="488" t="s">
        <v>268</v>
      </c>
    </row>
    <row r="300" ht="34.5">
      <c r="A300" s="488" t="s">
        <v>260</v>
      </c>
      <c r="B300" s="488" t="s">
        <v>261</v>
      </c>
      <c r="C300" s="488" t="s">
        <v>676</v>
      </c>
      <c r="D300" s="488" t="s">
        <v>263</v>
      </c>
      <c r="E300" s="488" t="s">
        <v>654</v>
      </c>
      <c r="F300" s="489" t="s">
        <v>664</v>
      </c>
      <c r="G300" s="488" t="s">
        <v>656</v>
      </c>
      <c r="H300" s="489"/>
      <c r="I300" s="489"/>
      <c r="J300" s="489" t="s">
        <v>677</v>
      </c>
      <c r="K300" s="491"/>
      <c r="L300" s="488"/>
      <c r="M300" s="488"/>
      <c r="N300" s="489"/>
      <c r="O300" s="489"/>
      <c r="P300" s="489"/>
      <c r="Q300" s="489"/>
      <c r="R300" s="490"/>
      <c r="S300" s="489"/>
      <c r="T300" s="488" t="s">
        <v>268</v>
      </c>
    </row>
    <row r="301" ht="34.5">
      <c r="A301" s="488" t="s">
        <v>260</v>
      </c>
      <c r="B301" s="488" t="s">
        <v>261</v>
      </c>
      <c r="C301" s="488" t="s">
        <v>676</v>
      </c>
      <c r="D301" s="488" t="s">
        <v>263</v>
      </c>
      <c r="E301" s="488" t="s">
        <v>654</v>
      </c>
      <c r="F301" s="489" t="s">
        <v>664</v>
      </c>
      <c r="G301" s="488" t="s">
        <v>656</v>
      </c>
      <c r="H301" s="489"/>
      <c r="I301" s="489"/>
      <c r="J301" s="489" t="s">
        <v>678</v>
      </c>
      <c r="K301" s="491">
        <v>7599484</v>
      </c>
      <c r="L301" s="488" t="s">
        <v>429</v>
      </c>
      <c r="M301" s="488"/>
      <c r="N301" s="489"/>
      <c r="O301" s="489"/>
      <c r="P301" s="489"/>
      <c r="Q301" s="489"/>
      <c r="R301" s="490"/>
      <c r="S301" s="489"/>
      <c r="T301" s="488" t="s">
        <v>268</v>
      </c>
    </row>
    <row r="302" ht="34.5">
      <c r="A302" s="488" t="s">
        <v>260</v>
      </c>
      <c r="B302" s="488" t="s">
        <v>261</v>
      </c>
      <c r="C302" s="488" t="s">
        <v>676</v>
      </c>
      <c r="D302" s="488" t="s">
        <v>263</v>
      </c>
      <c r="E302" s="488" t="s">
        <v>654</v>
      </c>
      <c r="F302" s="489" t="s">
        <v>664</v>
      </c>
      <c r="G302" s="488" t="s">
        <v>656</v>
      </c>
      <c r="H302" s="489"/>
      <c r="I302" s="489"/>
      <c r="J302" s="489" t="s">
        <v>679</v>
      </c>
      <c r="K302" s="491">
        <v>11644308</v>
      </c>
      <c r="L302" s="488" t="s">
        <v>429</v>
      </c>
      <c r="M302" s="488"/>
      <c r="N302" s="489"/>
      <c r="O302" s="489"/>
      <c r="P302" s="489"/>
      <c r="Q302" s="489"/>
      <c r="R302" s="490"/>
      <c r="S302" s="489"/>
      <c r="T302" s="488" t="s">
        <v>268</v>
      </c>
    </row>
    <row r="303" ht="34.5">
      <c r="A303" s="488" t="s">
        <v>260</v>
      </c>
      <c r="B303" s="488" t="s">
        <v>261</v>
      </c>
      <c r="C303" s="488" t="s">
        <v>676</v>
      </c>
      <c r="D303" s="488" t="s">
        <v>263</v>
      </c>
      <c r="E303" s="488" t="s">
        <v>654</v>
      </c>
      <c r="F303" s="489" t="s">
        <v>664</v>
      </c>
      <c r="G303" s="488" t="s">
        <v>656</v>
      </c>
      <c r="H303" s="489"/>
      <c r="I303" s="489"/>
      <c r="J303" s="489" t="s">
        <v>680</v>
      </c>
      <c r="K303" s="491">
        <v>45000000</v>
      </c>
      <c r="L303" s="488" t="s">
        <v>429</v>
      </c>
      <c r="M303" s="488"/>
      <c r="N303" s="489"/>
      <c r="O303" s="489"/>
      <c r="P303" s="489"/>
      <c r="Q303" s="489"/>
      <c r="R303" s="490"/>
      <c r="S303" s="489"/>
      <c r="T303" s="488" t="s">
        <v>268</v>
      </c>
    </row>
    <row r="304" ht="34.5">
      <c r="A304" s="488" t="s">
        <v>260</v>
      </c>
      <c r="B304" s="488" t="s">
        <v>261</v>
      </c>
      <c r="C304" s="488" t="s">
        <v>676</v>
      </c>
      <c r="D304" s="488" t="s">
        <v>263</v>
      </c>
      <c r="E304" s="488" t="s">
        <v>654</v>
      </c>
      <c r="F304" s="489" t="s">
        <v>664</v>
      </c>
      <c r="G304" s="488" t="s">
        <v>656</v>
      </c>
      <c r="H304" s="489"/>
      <c r="I304" s="489"/>
      <c r="J304" s="489" t="s">
        <v>681</v>
      </c>
      <c r="K304" s="491"/>
      <c r="L304" s="488"/>
      <c r="M304" s="488"/>
      <c r="N304" s="489"/>
      <c r="O304" s="489"/>
      <c r="P304" s="489"/>
      <c r="Q304" s="489"/>
      <c r="R304" s="490"/>
      <c r="S304" s="489"/>
      <c r="T304" s="488" t="s">
        <v>268</v>
      </c>
    </row>
    <row r="305" ht="34.5">
      <c r="A305" s="488" t="s">
        <v>260</v>
      </c>
      <c r="B305" s="488" t="s">
        <v>261</v>
      </c>
      <c r="C305" s="488" t="s">
        <v>676</v>
      </c>
      <c r="D305" s="488" t="s">
        <v>263</v>
      </c>
      <c r="E305" s="488" t="s">
        <v>654</v>
      </c>
      <c r="F305" s="489" t="s">
        <v>664</v>
      </c>
      <c r="G305" s="488" t="s">
        <v>656</v>
      </c>
      <c r="H305" s="489"/>
      <c r="I305" s="489"/>
      <c r="J305" s="489" t="s">
        <v>682</v>
      </c>
      <c r="K305" s="491"/>
      <c r="L305" s="488"/>
      <c r="M305" s="488"/>
      <c r="N305" s="489"/>
      <c r="O305" s="489"/>
      <c r="P305" s="489"/>
      <c r="Q305" s="489"/>
      <c r="R305" s="490"/>
      <c r="S305" s="489"/>
      <c r="T305" s="488" t="s">
        <v>268</v>
      </c>
    </row>
    <row r="306" ht="34.5">
      <c r="A306" s="488" t="s">
        <v>260</v>
      </c>
      <c r="B306" s="488" t="s">
        <v>261</v>
      </c>
      <c r="C306" s="488" t="s">
        <v>683</v>
      </c>
      <c r="D306" s="488" t="s">
        <v>263</v>
      </c>
      <c r="E306" s="488" t="s">
        <v>684</v>
      </c>
      <c r="F306" s="489" t="s">
        <v>685</v>
      </c>
      <c r="G306" s="488" t="s">
        <v>686</v>
      </c>
      <c r="H306" s="489"/>
      <c r="I306" s="489"/>
      <c r="J306" s="489" t="s">
        <v>687</v>
      </c>
      <c r="K306" s="491">
        <v>966905</v>
      </c>
      <c r="L306" s="488" t="s">
        <v>429</v>
      </c>
      <c r="M306" s="488"/>
      <c r="N306" s="489"/>
      <c r="O306" s="489"/>
      <c r="P306" s="489"/>
      <c r="Q306" s="489"/>
      <c r="R306" s="490"/>
      <c r="S306" s="489"/>
      <c r="T306" s="488" t="s">
        <v>268</v>
      </c>
    </row>
    <row r="307" ht="34.5">
      <c r="A307" s="488" t="s">
        <v>260</v>
      </c>
      <c r="B307" s="488" t="s">
        <v>261</v>
      </c>
      <c r="C307" s="488" t="s">
        <v>683</v>
      </c>
      <c r="D307" s="488" t="s">
        <v>263</v>
      </c>
      <c r="E307" s="488" t="s">
        <v>684</v>
      </c>
      <c r="F307" s="489" t="s">
        <v>685</v>
      </c>
      <c r="G307" s="488" t="s">
        <v>686</v>
      </c>
      <c r="H307" s="489"/>
      <c r="I307" s="489"/>
      <c r="J307" s="489" t="s">
        <v>688</v>
      </c>
      <c r="K307" s="491">
        <v>9200000</v>
      </c>
      <c r="L307" s="488" t="s">
        <v>429</v>
      </c>
      <c r="M307" s="488"/>
      <c r="N307" s="489"/>
      <c r="O307" s="489"/>
      <c r="P307" s="489"/>
      <c r="Q307" s="489"/>
      <c r="R307" s="490"/>
      <c r="S307" s="489"/>
      <c r="T307" s="488" t="s">
        <v>268</v>
      </c>
    </row>
    <row r="308" ht="34.5">
      <c r="A308" s="488" t="s">
        <v>260</v>
      </c>
      <c r="B308" s="488" t="s">
        <v>261</v>
      </c>
      <c r="C308" s="488" t="s">
        <v>689</v>
      </c>
      <c r="D308" s="488" t="s">
        <v>263</v>
      </c>
      <c r="E308" s="488" t="s">
        <v>684</v>
      </c>
      <c r="F308" s="489" t="s">
        <v>685</v>
      </c>
      <c r="G308" s="488" t="s">
        <v>686</v>
      </c>
      <c r="H308" s="489"/>
      <c r="I308" s="489"/>
      <c r="J308" s="489" t="s">
        <v>690</v>
      </c>
      <c r="K308" s="491"/>
      <c r="L308" s="488"/>
      <c r="M308" s="488"/>
      <c r="N308" s="489"/>
      <c r="O308" s="489"/>
      <c r="P308" s="489"/>
      <c r="Q308" s="489"/>
      <c r="R308" s="490"/>
      <c r="S308" s="489"/>
      <c r="T308" s="488" t="s">
        <v>268</v>
      </c>
    </row>
    <row r="309" ht="34.5">
      <c r="A309" s="488" t="s">
        <v>260</v>
      </c>
      <c r="B309" s="488" t="s">
        <v>261</v>
      </c>
      <c r="C309" s="488" t="s">
        <v>689</v>
      </c>
      <c r="D309" s="488" t="s">
        <v>263</v>
      </c>
      <c r="E309" s="488" t="s">
        <v>684</v>
      </c>
      <c r="F309" s="489" t="s">
        <v>685</v>
      </c>
      <c r="G309" s="488" t="s">
        <v>686</v>
      </c>
      <c r="H309" s="489"/>
      <c r="I309" s="489"/>
      <c r="J309" s="489" t="s">
        <v>691</v>
      </c>
      <c r="K309" s="491"/>
      <c r="L309" s="488"/>
      <c r="M309" s="488"/>
      <c r="N309" s="489"/>
      <c r="O309" s="489"/>
      <c r="P309" s="489"/>
      <c r="Q309" s="489"/>
      <c r="R309" s="490"/>
      <c r="S309" s="489"/>
      <c r="T309" s="488" t="s">
        <v>268</v>
      </c>
    </row>
    <row r="310" ht="34.5">
      <c r="A310" s="488" t="s">
        <v>260</v>
      </c>
      <c r="B310" s="488" t="s">
        <v>261</v>
      </c>
      <c r="C310" s="488" t="s">
        <v>689</v>
      </c>
      <c r="D310" s="488" t="s">
        <v>263</v>
      </c>
      <c r="E310" s="488" t="s">
        <v>684</v>
      </c>
      <c r="F310" s="489" t="s">
        <v>685</v>
      </c>
      <c r="G310" s="488" t="s">
        <v>686</v>
      </c>
      <c r="H310" s="489"/>
      <c r="I310" s="489"/>
      <c r="J310" s="489" t="s">
        <v>692</v>
      </c>
      <c r="K310" s="491"/>
      <c r="L310" s="488"/>
      <c r="M310" s="488"/>
      <c r="N310" s="489"/>
      <c r="O310" s="489"/>
      <c r="P310" s="489"/>
      <c r="Q310" s="489"/>
      <c r="R310" s="490"/>
      <c r="S310" s="489"/>
      <c r="T310" s="488" t="s">
        <v>268</v>
      </c>
    </row>
    <row r="311" ht="34.5">
      <c r="A311" s="488" t="s">
        <v>260</v>
      </c>
      <c r="B311" s="488" t="s">
        <v>261</v>
      </c>
      <c r="C311" s="488" t="s">
        <v>693</v>
      </c>
      <c r="D311" s="488" t="s">
        <v>263</v>
      </c>
      <c r="E311" s="488" t="s">
        <v>684</v>
      </c>
      <c r="F311" s="489" t="s">
        <v>685</v>
      </c>
      <c r="G311" s="488" t="s">
        <v>686</v>
      </c>
      <c r="H311" s="489"/>
      <c r="I311" s="489"/>
      <c r="J311" s="489" t="s">
        <v>694</v>
      </c>
      <c r="K311" s="491"/>
      <c r="L311" s="488"/>
      <c r="M311" s="488"/>
      <c r="N311" s="489"/>
      <c r="O311" s="489"/>
      <c r="P311" s="489"/>
      <c r="Q311" s="489"/>
      <c r="R311" s="490"/>
      <c r="S311" s="489"/>
      <c r="T311" s="488" t="s">
        <v>268</v>
      </c>
    </row>
    <row r="312" ht="34.5">
      <c r="A312" s="488" t="s">
        <v>260</v>
      </c>
      <c r="B312" s="488" t="s">
        <v>261</v>
      </c>
      <c r="C312" s="488" t="s">
        <v>693</v>
      </c>
      <c r="D312" s="488" t="s">
        <v>263</v>
      </c>
      <c r="E312" s="488" t="s">
        <v>684</v>
      </c>
      <c r="F312" s="489" t="s">
        <v>685</v>
      </c>
      <c r="G312" s="488" t="s">
        <v>686</v>
      </c>
      <c r="H312" s="489"/>
      <c r="I312" s="489"/>
      <c r="J312" s="489" t="s">
        <v>695</v>
      </c>
      <c r="K312" s="491"/>
      <c r="L312" s="488"/>
      <c r="M312" s="488"/>
      <c r="N312" s="489"/>
      <c r="O312" s="489"/>
      <c r="P312" s="489"/>
      <c r="Q312" s="489"/>
      <c r="R312" s="490"/>
      <c r="S312" s="489"/>
      <c r="T312" s="488" t="s">
        <v>268</v>
      </c>
    </row>
    <row r="313" ht="34.5">
      <c r="A313" s="488" t="s">
        <v>260</v>
      </c>
      <c r="B313" s="488" t="s">
        <v>261</v>
      </c>
      <c r="C313" s="488" t="s">
        <v>693</v>
      </c>
      <c r="D313" s="488" t="s">
        <v>263</v>
      </c>
      <c r="E313" s="488" t="s">
        <v>684</v>
      </c>
      <c r="F313" s="489" t="s">
        <v>685</v>
      </c>
      <c r="G313" s="488" t="s">
        <v>686</v>
      </c>
      <c r="H313" s="489"/>
      <c r="I313" s="489"/>
      <c r="J313" s="489" t="s">
        <v>696</v>
      </c>
      <c r="K313" s="491">
        <v>18955792</v>
      </c>
      <c r="L313" s="488" t="s">
        <v>429</v>
      </c>
      <c r="M313" s="488"/>
      <c r="N313" s="489"/>
      <c r="O313" s="489"/>
      <c r="P313" s="489"/>
      <c r="Q313" s="489"/>
      <c r="R313" s="490"/>
      <c r="S313" s="489"/>
      <c r="T313" s="488" t="s">
        <v>268</v>
      </c>
    </row>
    <row r="314" ht="34.5">
      <c r="A314" s="488" t="s">
        <v>260</v>
      </c>
      <c r="B314" s="488" t="s">
        <v>261</v>
      </c>
      <c r="C314" s="488" t="s">
        <v>697</v>
      </c>
      <c r="D314" s="488" t="s">
        <v>263</v>
      </c>
      <c r="E314" s="488" t="s">
        <v>684</v>
      </c>
      <c r="F314" s="489" t="s">
        <v>685</v>
      </c>
      <c r="G314" s="488" t="s">
        <v>686</v>
      </c>
      <c r="H314" s="489"/>
      <c r="I314" s="489"/>
      <c r="J314" s="489" t="s">
        <v>698</v>
      </c>
      <c r="K314" s="491">
        <v>57284243</v>
      </c>
      <c r="L314" s="488" t="s">
        <v>429</v>
      </c>
      <c r="M314" s="488"/>
      <c r="N314" s="489"/>
      <c r="O314" s="489"/>
      <c r="P314" s="489"/>
      <c r="Q314" s="489"/>
      <c r="R314" s="490"/>
      <c r="S314" s="489"/>
      <c r="T314" s="488" t="s">
        <v>268</v>
      </c>
    </row>
    <row r="315" ht="34.5">
      <c r="A315" s="488" t="s">
        <v>260</v>
      </c>
      <c r="B315" s="488" t="s">
        <v>261</v>
      </c>
      <c r="C315" s="488" t="s">
        <v>699</v>
      </c>
      <c r="D315" s="488" t="s">
        <v>263</v>
      </c>
      <c r="E315" s="488" t="s">
        <v>684</v>
      </c>
      <c r="F315" s="489" t="s">
        <v>685</v>
      </c>
      <c r="G315" s="488" t="s">
        <v>686</v>
      </c>
      <c r="H315" s="489"/>
      <c r="I315" s="489"/>
      <c r="J315" s="489" t="s">
        <v>700</v>
      </c>
      <c r="K315" s="491"/>
      <c r="L315" s="488"/>
      <c r="M315" s="488"/>
      <c r="N315" s="489"/>
      <c r="O315" s="489"/>
      <c r="P315" s="489"/>
      <c r="Q315" s="489"/>
      <c r="R315" s="490"/>
      <c r="S315" s="489"/>
      <c r="T315" s="488" t="s">
        <v>268</v>
      </c>
    </row>
    <row r="316" ht="34.5">
      <c r="A316" s="488" t="s">
        <v>260</v>
      </c>
      <c r="B316" s="488" t="s">
        <v>261</v>
      </c>
      <c r="C316" s="488" t="s">
        <v>701</v>
      </c>
      <c r="D316" s="488" t="s">
        <v>263</v>
      </c>
      <c r="E316" s="488" t="s">
        <v>684</v>
      </c>
      <c r="F316" s="489" t="s">
        <v>685</v>
      </c>
      <c r="G316" s="488" t="s">
        <v>686</v>
      </c>
      <c r="H316" s="489"/>
      <c r="I316" s="489"/>
      <c r="J316" s="489" t="s">
        <v>702</v>
      </c>
      <c r="K316" s="491"/>
      <c r="L316" s="488"/>
      <c r="M316" s="488"/>
      <c r="N316" s="489"/>
      <c r="O316" s="489"/>
      <c r="P316" s="489"/>
      <c r="Q316" s="489"/>
      <c r="R316" s="490"/>
      <c r="S316" s="489"/>
      <c r="T316" s="488" t="s">
        <v>268</v>
      </c>
    </row>
    <row r="317" ht="34.5">
      <c r="A317" s="488" t="s">
        <v>260</v>
      </c>
      <c r="B317" s="488" t="s">
        <v>261</v>
      </c>
      <c r="C317" s="488" t="s">
        <v>703</v>
      </c>
      <c r="D317" s="488" t="s">
        <v>263</v>
      </c>
      <c r="E317" s="488" t="s">
        <v>684</v>
      </c>
      <c r="F317" s="489" t="s">
        <v>685</v>
      </c>
      <c r="G317" s="488" t="s">
        <v>686</v>
      </c>
      <c r="H317" s="489"/>
      <c r="I317" s="489"/>
      <c r="J317" s="489" t="s">
        <v>704</v>
      </c>
      <c r="K317" s="491"/>
      <c r="L317" s="488"/>
      <c r="M317" s="488"/>
      <c r="N317" s="489"/>
      <c r="O317" s="489"/>
      <c r="P317" s="489"/>
      <c r="Q317" s="489"/>
      <c r="R317" s="490"/>
      <c r="S317" s="489"/>
      <c r="T317" s="488" t="s">
        <v>268</v>
      </c>
    </row>
    <row r="318" ht="34.5">
      <c r="A318" s="488" t="s">
        <v>260</v>
      </c>
      <c r="B318" s="488" t="s">
        <v>261</v>
      </c>
      <c r="C318" s="488" t="s">
        <v>705</v>
      </c>
      <c r="D318" s="488" t="s">
        <v>263</v>
      </c>
      <c r="E318" s="488" t="s">
        <v>684</v>
      </c>
      <c r="F318" s="489" t="s">
        <v>685</v>
      </c>
      <c r="G318" s="488" t="s">
        <v>686</v>
      </c>
      <c r="H318" s="489"/>
      <c r="I318" s="489"/>
      <c r="J318" s="489" t="s">
        <v>706</v>
      </c>
      <c r="K318" s="491"/>
      <c r="L318" s="488"/>
      <c r="M318" s="488"/>
      <c r="N318" s="489"/>
      <c r="O318" s="489"/>
      <c r="P318" s="489"/>
      <c r="Q318" s="489"/>
      <c r="R318" s="490"/>
      <c r="S318" s="489"/>
      <c r="T318" s="488" t="s">
        <v>268</v>
      </c>
    </row>
    <row r="319" ht="34.5">
      <c r="A319" s="488" t="s">
        <v>260</v>
      </c>
      <c r="B319" s="488" t="s">
        <v>261</v>
      </c>
      <c r="C319" s="488" t="s">
        <v>705</v>
      </c>
      <c r="D319" s="488" t="s">
        <v>263</v>
      </c>
      <c r="E319" s="488" t="s">
        <v>684</v>
      </c>
      <c r="F319" s="489" t="s">
        <v>685</v>
      </c>
      <c r="G319" s="488" t="s">
        <v>686</v>
      </c>
      <c r="H319" s="489"/>
      <c r="I319" s="489"/>
      <c r="J319" s="489" t="s">
        <v>707</v>
      </c>
      <c r="K319" s="491"/>
      <c r="L319" s="488"/>
      <c r="M319" s="488"/>
      <c r="N319" s="489"/>
      <c r="O319" s="489"/>
      <c r="P319" s="489"/>
      <c r="Q319" s="489"/>
      <c r="R319" s="490"/>
      <c r="S319" s="489"/>
      <c r="T319" s="488" t="s">
        <v>268</v>
      </c>
    </row>
    <row r="320" ht="34.5">
      <c r="A320" s="488" t="s">
        <v>260</v>
      </c>
      <c r="B320" s="488" t="s">
        <v>261</v>
      </c>
      <c r="C320" s="488" t="s">
        <v>705</v>
      </c>
      <c r="D320" s="488" t="s">
        <v>263</v>
      </c>
      <c r="E320" s="488" t="s">
        <v>684</v>
      </c>
      <c r="F320" s="489" t="s">
        <v>685</v>
      </c>
      <c r="G320" s="488" t="s">
        <v>686</v>
      </c>
      <c r="H320" s="489"/>
      <c r="I320" s="489"/>
      <c r="J320" s="489" t="s">
        <v>708</v>
      </c>
      <c r="K320" s="491"/>
      <c r="L320" s="488"/>
      <c r="M320" s="488"/>
      <c r="N320" s="489"/>
      <c r="O320" s="489"/>
      <c r="P320" s="489"/>
      <c r="Q320" s="489"/>
      <c r="R320" s="490"/>
      <c r="S320" s="489"/>
      <c r="T320" s="488" t="s">
        <v>268</v>
      </c>
    </row>
    <row r="321" ht="34.5">
      <c r="A321" s="488" t="s">
        <v>260</v>
      </c>
      <c r="B321" s="488" t="s">
        <v>261</v>
      </c>
      <c r="C321" s="488" t="s">
        <v>705</v>
      </c>
      <c r="D321" s="488" t="s">
        <v>263</v>
      </c>
      <c r="E321" s="488" t="s">
        <v>684</v>
      </c>
      <c r="F321" s="489" t="s">
        <v>685</v>
      </c>
      <c r="G321" s="488" t="s">
        <v>686</v>
      </c>
      <c r="H321" s="489"/>
      <c r="I321" s="489"/>
      <c r="J321" s="489" t="s">
        <v>709</v>
      </c>
      <c r="K321" s="491"/>
      <c r="L321" s="488"/>
      <c r="M321" s="488"/>
      <c r="N321" s="489"/>
      <c r="O321" s="489"/>
      <c r="P321" s="489"/>
      <c r="Q321" s="489"/>
      <c r="R321" s="490"/>
      <c r="S321" s="489"/>
      <c r="T321" s="488" t="s">
        <v>268</v>
      </c>
    </row>
    <row r="322" ht="34.5">
      <c r="A322" s="488" t="s">
        <v>260</v>
      </c>
      <c r="B322" s="488" t="s">
        <v>261</v>
      </c>
      <c r="C322" s="488" t="s">
        <v>705</v>
      </c>
      <c r="D322" s="488" t="s">
        <v>263</v>
      </c>
      <c r="E322" s="488" t="s">
        <v>684</v>
      </c>
      <c r="F322" s="489" t="s">
        <v>685</v>
      </c>
      <c r="G322" s="488" t="s">
        <v>686</v>
      </c>
      <c r="H322" s="489"/>
      <c r="I322" s="489"/>
      <c r="J322" s="489" t="s">
        <v>710</v>
      </c>
      <c r="K322" s="491"/>
      <c r="L322" s="488"/>
      <c r="M322" s="488"/>
      <c r="N322" s="489"/>
      <c r="O322" s="489"/>
      <c r="P322" s="489"/>
      <c r="Q322" s="489"/>
      <c r="R322" s="490"/>
      <c r="S322" s="489"/>
      <c r="T322" s="488" t="s">
        <v>268</v>
      </c>
    </row>
    <row r="323" ht="34.5">
      <c r="A323" s="488" t="s">
        <v>260</v>
      </c>
      <c r="B323" s="488" t="s">
        <v>261</v>
      </c>
      <c r="C323" s="488" t="s">
        <v>705</v>
      </c>
      <c r="D323" s="488" t="s">
        <v>263</v>
      </c>
      <c r="E323" s="488" t="s">
        <v>684</v>
      </c>
      <c r="F323" s="489" t="s">
        <v>685</v>
      </c>
      <c r="G323" s="488" t="s">
        <v>686</v>
      </c>
      <c r="H323" s="489"/>
      <c r="I323" s="489"/>
      <c r="J323" s="489" t="s">
        <v>711</v>
      </c>
      <c r="K323" s="491"/>
      <c r="L323" s="488"/>
      <c r="M323" s="488"/>
      <c r="N323" s="489"/>
      <c r="O323" s="489"/>
      <c r="P323" s="489"/>
      <c r="Q323" s="489"/>
      <c r="R323" s="490"/>
      <c r="S323" s="489"/>
      <c r="T323" s="488" t="s">
        <v>268</v>
      </c>
    </row>
    <row r="324" ht="34.5">
      <c r="A324" s="488" t="s">
        <v>260</v>
      </c>
      <c r="B324" s="488" t="s">
        <v>261</v>
      </c>
      <c r="C324" s="488" t="s">
        <v>705</v>
      </c>
      <c r="D324" s="488" t="s">
        <v>263</v>
      </c>
      <c r="E324" s="488" t="s">
        <v>684</v>
      </c>
      <c r="F324" s="489" t="s">
        <v>685</v>
      </c>
      <c r="G324" s="488" t="s">
        <v>686</v>
      </c>
      <c r="H324" s="489"/>
      <c r="I324" s="489"/>
      <c r="J324" s="489" t="s">
        <v>712</v>
      </c>
      <c r="K324" s="491"/>
      <c r="L324" s="488"/>
      <c r="M324" s="488"/>
      <c r="N324" s="489"/>
      <c r="O324" s="489"/>
      <c r="P324" s="489"/>
      <c r="Q324" s="489"/>
      <c r="R324" s="490"/>
      <c r="S324" s="489"/>
      <c r="T324" s="488" t="s">
        <v>268</v>
      </c>
    </row>
    <row r="325" ht="34.5">
      <c r="A325" s="488" t="s">
        <v>260</v>
      </c>
      <c r="B325" s="488" t="s">
        <v>261</v>
      </c>
      <c r="C325" s="488" t="s">
        <v>705</v>
      </c>
      <c r="D325" s="488" t="s">
        <v>263</v>
      </c>
      <c r="E325" s="488" t="s">
        <v>684</v>
      </c>
      <c r="F325" s="489" t="s">
        <v>685</v>
      </c>
      <c r="G325" s="488" t="s">
        <v>686</v>
      </c>
      <c r="H325" s="489"/>
      <c r="I325" s="489"/>
      <c r="J325" s="489" t="s">
        <v>713</v>
      </c>
      <c r="K325" s="491"/>
      <c r="L325" s="488"/>
      <c r="M325" s="488"/>
      <c r="N325" s="489"/>
      <c r="O325" s="489"/>
      <c r="P325" s="489"/>
      <c r="Q325" s="489"/>
      <c r="R325" s="490"/>
      <c r="S325" s="489"/>
      <c r="T325" s="488" t="s">
        <v>268</v>
      </c>
    </row>
    <row r="326" ht="34.5">
      <c r="A326" s="488" t="s">
        <v>260</v>
      </c>
      <c r="B326" s="488" t="s">
        <v>261</v>
      </c>
      <c r="C326" s="488" t="s">
        <v>705</v>
      </c>
      <c r="D326" s="488" t="s">
        <v>263</v>
      </c>
      <c r="E326" s="488" t="s">
        <v>684</v>
      </c>
      <c r="F326" s="489" t="s">
        <v>685</v>
      </c>
      <c r="G326" s="488" t="s">
        <v>686</v>
      </c>
      <c r="H326" s="489"/>
      <c r="I326" s="489"/>
      <c r="J326" s="489" t="s">
        <v>714</v>
      </c>
      <c r="K326" s="491"/>
      <c r="L326" s="488"/>
      <c r="M326" s="488"/>
      <c r="N326" s="489"/>
      <c r="O326" s="489"/>
      <c r="P326" s="489"/>
      <c r="Q326" s="489"/>
      <c r="R326" s="490"/>
      <c r="S326" s="489"/>
      <c r="T326" s="488" t="s">
        <v>268</v>
      </c>
    </row>
    <row r="327" ht="34.5">
      <c r="A327" s="488" t="s">
        <v>260</v>
      </c>
      <c r="B327" s="488" t="s">
        <v>261</v>
      </c>
      <c r="C327" s="488" t="s">
        <v>705</v>
      </c>
      <c r="D327" s="488" t="s">
        <v>263</v>
      </c>
      <c r="E327" s="488" t="s">
        <v>684</v>
      </c>
      <c r="F327" s="489" t="s">
        <v>685</v>
      </c>
      <c r="G327" s="488" t="s">
        <v>686</v>
      </c>
      <c r="H327" s="489"/>
      <c r="I327" s="489"/>
      <c r="J327" s="489" t="s">
        <v>715</v>
      </c>
      <c r="K327" s="491"/>
      <c r="L327" s="488"/>
      <c r="M327" s="488"/>
      <c r="N327" s="489"/>
      <c r="O327" s="489"/>
      <c r="P327" s="489"/>
      <c r="Q327" s="489"/>
      <c r="R327" s="490"/>
      <c r="S327" s="489"/>
      <c r="T327" s="488" t="s">
        <v>268</v>
      </c>
    </row>
    <row r="328" ht="34.5">
      <c r="A328" s="488" t="s">
        <v>260</v>
      </c>
      <c r="B328" s="488" t="s">
        <v>261</v>
      </c>
      <c r="C328" s="488" t="s">
        <v>705</v>
      </c>
      <c r="D328" s="488" t="s">
        <v>263</v>
      </c>
      <c r="E328" s="488" t="s">
        <v>684</v>
      </c>
      <c r="F328" s="489" t="s">
        <v>685</v>
      </c>
      <c r="G328" s="488" t="s">
        <v>686</v>
      </c>
      <c r="H328" s="489"/>
      <c r="I328" s="489"/>
      <c r="J328" s="489" t="s">
        <v>716</v>
      </c>
      <c r="K328" s="491"/>
      <c r="L328" s="488"/>
      <c r="M328" s="488"/>
      <c r="N328" s="489"/>
      <c r="O328" s="489"/>
      <c r="P328" s="489"/>
      <c r="Q328" s="489"/>
      <c r="R328" s="490"/>
      <c r="S328" s="489"/>
      <c r="T328" s="488" t="s">
        <v>268</v>
      </c>
    </row>
    <row r="329" ht="34.5">
      <c r="A329" s="488" t="s">
        <v>260</v>
      </c>
      <c r="B329" s="488" t="s">
        <v>261</v>
      </c>
      <c r="C329" s="488" t="s">
        <v>705</v>
      </c>
      <c r="D329" s="488" t="s">
        <v>263</v>
      </c>
      <c r="E329" s="488" t="s">
        <v>684</v>
      </c>
      <c r="F329" s="489" t="s">
        <v>685</v>
      </c>
      <c r="G329" s="488" t="s">
        <v>686</v>
      </c>
      <c r="H329" s="489"/>
      <c r="I329" s="489"/>
      <c r="J329" s="489" t="s">
        <v>717</v>
      </c>
      <c r="K329" s="491"/>
      <c r="L329" s="488"/>
      <c r="M329" s="488"/>
      <c r="N329" s="489"/>
      <c r="O329" s="489"/>
      <c r="P329" s="489"/>
      <c r="Q329" s="489"/>
      <c r="R329" s="490"/>
      <c r="S329" s="489"/>
      <c r="T329" s="488" t="s">
        <v>268</v>
      </c>
    </row>
    <row r="330" ht="34.5">
      <c r="A330" s="488" t="s">
        <v>260</v>
      </c>
      <c r="B330" s="488" t="s">
        <v>261</v>
      </c>
      <c r="C330" s="488" t="s">
        <v>705</v>
      </c>
      <c r="D330" s="488" t="s">
        <v>263</v>
      </c>
      <c r="E330" s="488" t="s">
        <v>684</v>
      </c>
      <c r="F330" s="489" t="s">
        <v>685</v>
      </c>
      <c r="G330" s="488" t="s">
        <v>686</v>
      </c>
      <c r="H330" s="489"/>
      <c r="I330" s="489"/>
      <c r="J330" s="489" t="s">
        <v>718</v>
      </c>
      <c r="K330" s="491"/>
      <c r="L330" s="488"/>
      <c r="M330" s="488"/>
      <c r="N330" s="489"/>
      <c r="O330" s="489"/>
      <c r="P330" s="489"/>
      <c r="Q330" s="489"/>
      <c r="R330" s="490"/>
      <c r="S330" s="489"/>
      <c r="T330" s="488" t="s">
        <v>268</v>
      </c>
    </row>
    <row r="331" ht="34.5">
      <c r="A331" s="488" t="s">
        <v>260</v>
      </c>
      <c r="B331" s="488" t="s">
        <v>261</v>
      </c>
      <c r="C331" s="488" t="s">
        <v>705</v>
      </c>
      <c r="D331" s="488" t="s">
        <v>263</v>
      </c>
      <c r="E331" s="488" t="s">
        <v>684</v>
      </c>
      <c r="F331" s="489" t="s">
        <v>685</v>
      </c>
      <c r="G331" s="488" t="s">
        <v>686</v>
      </c>
      <c r="H331" s="489"/>
      <c r="I331" s="489"/>
      <c r="J331" s="489" t="s">
        <v>719</v>
      </c>
      <c r="K331" s="491"/>
      <c r="L331" s="488"/>
      <c r="M331" s="488"/>
      <c r="N331" s="489"/>
      <c r="O331" s="489"/>
      <c r="P331" s="489"/>
      <c r="Q331" s="489"/>
      <c r="R331" s="490"/>
      <c r="S331" s="489"/>
      <c r="T331" s="488" t="s">
        <v>268</v>
      </c>
    </row>
    <row r="332" ht="34.5">
      <c r="A332" s="488" t="s">
        <v>260</v>
      </c>
      <c r="B332" s="488" t="s">
        <v>261</v>
      </c>
      <c r="C332" s="488" t="s">
        <v>720</v>
      </c>
      <c r="D332" s="488" t="s">
        <v>263</v>
      </c>
      <c r="E332" s="488" t="s">
        <v>684</v>
      </c>
      <c r="F332" s="489" t="s">
        <v>685</v>
      </c>
      <c r="G332" s="488" t="s">
        <v>686</v>
      </c>
      <c r="H332" s="489"/>
      <c r="I332" s="489"/>
      <c r="J332" s="489" t="s">
        <v>721</v>
      </c>
      <c r="K332" s="491"/>
      <c r="L332" s="488"/>
      <c r="M332" s="488"/>
      <c r="N332" s="489"/>
      <c r="O332" s="489"/>
      <c r="P332" s="489"/>
      <c r="Q332" s="489"/>
      <c r="R332" s="490"/>
      <c r="S332" s="489"/>
      <c r="T332" s="488" t="s">
        <v>268</v>
      </c>
    </row>
    <row r="333" ht="34.5">
      <c r="A333" s="488" t="s">
        <v>260</v>
      </c>
      <c r="B333" s="488" t="s">
        <v>261</v>
      </c>
      <c r="C333" s="488" t="s">
        <v>720</v>
      </c>
      <c r="D333" s="488" t="s">
        <v>263</v>
      </c>
      <c r="E333" s="488" t="s">
        <v>684</v>
      </c>
      <c r="F333" s="489" t="s">
        <v>685</v>
      </c>
      <c r="G333" s="488" t="s">
        <v>686</v>
      </c>
      <c r="H333" s="489"/>
      <c r="I333" s="489"/>
      <c r="J333" s="489" t="s">
        <v>722</v>
      </c>
      <c r="K333" s="491"/>
      <c r="L333" s="488"/>
      <c r="M333" s="488"/>
      <c r="N333" s="489"/>
      <c r="O333" s="489"/>
      <c r="P333" s="489"/>
      <c r="Q333" s="489"/>
      <c r="R333" s="490"/>
      <c r="S333" s="489"/>
      <c r="T333" s="488" t="s">
        <v>268</v>
      </c>
    </row>
    <row r="334" ht="34.5">
      <c r="A334" s="488" t="s">
        <v>260</v>
      </c>
      <c r="B334" s="488" t="s">
        <v>261</v>
      </c>
      <c r="C334" s="488" t="s">
        <v>720</v>
      </c>
      <c r="D334" s="488" t="s">
        <v>263</v>
      </c>
      <c r="E334" s="488" t="s">
        <v>684</v>
      </c>
      <c r="F334" s="489" t="s">
        <v>685</v>
      </c>
      <c r="G334" s="488" t="s">
        <v>686</v>
      </c>
      <c r="H334" s="489"/>
      <c r="I334" s="489"/>
      <c r="J334" s="489" t="s">
        <v>723</v>
      </c>
      <c r="K334" s="491"/>
      <c r="L334" s="488"/>
      <c r="M334" s="488"/>
      <c r="N334" s="489"/>
      <c r="O334" s="489"/>
      <c r="P334" s="489"/>
      <c r="Q334" s="489"/>
      <c r="R334" s="490"/>
      <c r="S334" s="489"/>
      <c r="T334" s="488" t="s">
        <v>268</v>
      </c>
    </row>
    <row r="335" ht="34.5">
      <c r="A335" s="488" t="s">
        <v>260</v>
      </c>
      <c r="B335" s="488" t="s">
        <v>261</v>
      </c>
      <c r="C335" s="488" t="s">
        <v>720</v>
      </c>
      <c r="D335" s="488" t="s">
        <v>263</v>
      </c>
      <c r="E335" s="488" t="s">
        <v>684</v>
      </c>
      <c r="F335" s="489" t="s">
        <v>685</v>
      </c>
      <c r="G335" s="488" t="s">
        <v>686</v>
      </c>
      <c r="H335" s="489"/>
      <c r="I335" s="489"/>
      <c r="J335" s="489" t="s">
        <v>724</v>
      </c>
      <c r="K335" s="491">
        <v>37673</v>
      </c>
      <c r="L335" s="488" t="s">
        <v>429</v>
      </c>
      <c r="M335" s="488"/>
      <c r="N335" s="489"/>
      <c r="O335" s="489"/>
      <c r="P335" s="489"/>
      <c r="Q335" s="489"/>
      <c r="R335" s="490"/>
      <c r="S335" s="489"/>
      <c r="T335" s="488" t="s">
        <v>268</v>
      </c>
    </row>
    <row r="336" ht="34.5">
      <c r="A336" s="488" t="s">
        <v>260</v>
      </c>
      <c r="B336" s="488" t="s">
        <v>261</v>
      </c>
      <c r="C336" s="488" t="s">
        <v>720</v>
      </c>
      <c r="D336" s="488" t="s">
        <v>263</v>
      </c>
      <c r="E336" s="488" t="s">
        <v>684</v>
      </c>
      <c r="F336" s="489" t="s">
        <v>685</v>
      </c>
      <c r="G336" s="488" t="s">
        <v>686</v>
      </c>
      <c r="H336" s="489"/>
      <c r="I336" s="489"/>
      <c r="J336" s="489" t="s">
        <v>725</v>
      </c>
      <c r="K336" s="491"/>
      <c r="L336" s="488"/>
      <c r="M336" s="488"/>
      <c r="N336" s="489"/>
      <c r="O336" s="489"/>
      <c r="P336" s="489"/>
      <c r="Q336" s="489"/>
      <c r="R336" s="490"/>
      <c r="S336" s="489"/>
      <c r="T336" s="488" t="s">
        <v>268</v>
      </c>
    </row>
    <row r="337" ht="34.5">
      <c r="A337" s="488" t="s">
        <v>260</v>
      </c>
      <c r="B337" s="488" t="s">
        <v>261</v>
      </c>
      <c r="C337" s="488" t="s">
        <v>720</v>
      </c>
      <c r="D337" s="488" t="s">
        <v>263</v>
      </c>
      <c r="E337" s="488" t="s">
        <v>684</v>
      </c>
      <c r="F337" s="489" t="s">
        <v>685</v>
      </c>
      <c r="G337" s="488" t="s">
        <v>686</v>
      </c>
      <c r="H337" s="489"/>
      <c r="I337" s="489"/>
      <c r="J337" s="489" t="s">
        <v>726</v>
      </c>
      <c r="K337" s="491"/>
      <c r="L337" s="488"/>
      <c r="M337" s="488"/>
      <c r="N337" s="489"/>
      <c r="O337" s="489"/>
      <c r="P337" s="489"/>
      <c r="Q337" s="489"/>
      <c r="R337" s="490"/>
      <c r="S337" s="489"/>
      <c r="T337" s="488" t="s">
        <v>268</v>
      </c>
    </row>
    <row r="338" ht="34.5">
      <c r="A338" s="488" t="s">
        <v>260</v>
      </c>
      <c r="B338" s="488" t="s">
        <v>261</v>
      </c>
      <c r="C338" s="488" t="s">
        <v>720</v>
      </c>
      <c r="D338" s="488" t="s">
        <v>263</v>
      </c>
      <c r="E338" s="488" t="s">
        <v>684</v>
      </c>
      <c r="F338" s="489" t="s">
        <v>685</v>
      </c>
      <c r="G338" s="488" t="s">
        <v>686</v>
      </c>
      <c r="H338" s="489"/>
      <c r="I338" s="489"/>
      <c r="J338" s="489" t="s">
        <v>727</v>
      </c>
      <c r="K338" s="491"/>
      <c r="L338" s="488"/>
      <c r="M338" s="488"/>
      <c r="N338" s="489"/>
      <c r="O338" s="489"/>
      <c r="P338" s="489"/>
      <c r="Q338" s="489"/>
      <c r="R338" s="490"/>
      <c r="S338" s="489"/>
      <c r="T338" s="488" t="s">
        <v>268</v>
      </c>
    </row>
    <row r="339" ht="34.5">
      <c r="A339" s="488" t="s">
        <v>260</v>
      </c>
      <c r="B339" s="488" t="s">
        <v>261</v>
      </c>
      <c r="C339" s="488" t="s">
        <v>720</v>
      </c>
      <c r="D339" s="488" t="s">
        <v>263</v>
      </c>
      <c r="E339" s="488" t="s">
        <v>684</v>
      </c>
      <c r="F339" s="489" t="s">
        <v>685</v>
      </c>
      <c r="G339" s="488" t="s">
        <v>686</v>
      </c>
      <c r="H339" s="489"/>
      <c r="I339" s="489"/>
      <c r="J339" s="489" t="s">
        <v>728</v>
      </c>
      <c r="K339" s="491"/>
      <c r="L339" s="488"/>
      <c r="M339" s="488"/>
      <c r="N339" s="489"/>
      <c r="O339" s="489"/>
      <c r="P339" s="489"/>
      <c r="Q339" s="489"/>
      <c r="R339" s="490"/>
      <c r="S339" s="489"/>
      <c r="T339" s="488" t="s">
        <v>268</v>
      </c>
    </row>
    <row r="340" ht="34.5">
      <c r="A340" s="488" t="s">
        <v>260</v>
      </c>
      <c r="B340" s="488" t="s">
        <v>261</v>
      </c>
      <c r="C340" s="488" t="s">
        <v>720</v>
      </c>
      <c r="D340" s="488" t="s">
        <v>263</v>
      </c>
      <c r="E340" s="488" t="s">
        <v>684</v>
      </c>
      <c r="F340" s="489" t="s">
        <v>685</v>
      </c>
      <c r="G340" s="488" t="s">
        <v>686</v>
      </c>
      <c r="H340" s="489"/>
      <c r="I340" s="489"/>
      <c r="J340" s="489" t="s">
        <v>729</v>
      </c>
      <c r="K340" s="491"/>
      <c r="L340" s="488"/>
      <c r="M340" s="488"/>
      <c r="N340" s="489"/>
      <c r="O340" s="489"/>
      <c r="P340" s="489"/>
      <c r="Q340" s="489"/>
      <c r="R340" s="490"/>
      <c r="S340" s="489"/>
      <c r="T340" s="488" t="s">
        <v>268</v>
      </c>
    </row>
    <row r="341" ht="34.5">
      <c r="A341" s="488" t="s">
        <v>260</v>
      </c>
      <c r="B341" s="488" t="s">
        <v>261</v>
      </c>
      <c r="C341" s="488" t="s">
        <v>720</v>
      </c>
      <c r="D341" s="488" t="s">
        <v>263</v>
      </c>
      <c r="E341" s="488" t="s">
        <v>684</v>
      </c>
      <c r="F341" s="489" t="s">
        <v>685</v>
      </c>
      <c r="G341" s="488" t="s">
        <v>686</v>
      </c>
      <c r="H341" s="489"/>
      <c r="I341" s="489"/>
      <c r="J341" s="489" t="s">
        <v>730</v>
      </c>
      <c r="K341" s="491"/>
      <c r="L341" s="488"/>
      <c r="M341" s="488"/>
      <c r="N341" s="489"/>
      <c r="O341" s="489"/>
      <c r="P341" s="489"/>
      <c r="Q341" s="489"/>
      <c r="R341" s="490"/>
      <c r="S341" s="489"/>
      <c r="T341" s="488" t="s">
        <v>268</v>
      </c>
    </row>
    <row r="342" ht="34.5">
      <c r="A342" s="488" t="s">
        <v>260</v>
      </c>
      <c r="B342" s="488" t="s">
        <v>261</v>
      </c>
      <c r="C342" s="488" t="s">
        <v>731</v>
      </c>
      <c r="D342" s="488" t="s">
        <v>263</v>
      </c>
      <c r="E342" s="488" t="s">
        <v>684</v>
      </c>
      <c r="F342" s="489" t="s">
        <v>685</v>
      </c>
      <c r="G342" s="488" t="s">
        <v>686</v>
      </c>
      <c r="H342" s="489"/>
      <c r="I342" s="489"/>
      <c r="J342" s="489" t="s">
        <v>732</v>
      </c>
      <c r="K342" s="491"/>
      <c r="L342" s="488"/>
      <c r="M342" s="488"/>
      <c r="N342" s="489"/>
      <c r="O342" s="489"/>
      <c r="P342" s="489"/>
      <c r="Q342" s="489"/>
      <c r="R342" s="490"/>
      <c r="S342" s="489"/>
      <c r="T342" s="488" t="s">
        <v>268</v>
      </c>
    </row>
    <row r="343" ht="34.5">
      <c r="A343" s="488" t="s">
        <v>260</v>
      </c>
      <c r="B343" s="488" t="s">
        <v>261</v>
      </c>
      <c r="C343" s="488" t="s">
        <v>731</v>
      </c>
      <c r="D343" s="488" t="s">
        <v>263</v>
      </c>
      <c r="E343" s="488" t="s">
        <v>684</v>
      </c>
      <c r="F343" s="489" t="s">
        <v>685</v>
      </c>
      <c r="G343" s="488" t="s">
        <v>686</v>
      </c>
      <c r="H343" s="489"/>
      <c r="I343" s="489"/>
      <c r="J343" s="489" t="s">
        <v>733</v>
      </c>
      <c r="K343" s="491"/>
      <c r="L343" s="488"/>
      <c r="M343" s="488"/>
      <c r="N343" s="489"/>
      <c r="O343" s="489"/>
      <c r="P343" s="489"/>
      <c r="Q343" s="489"/>
      <c r="R343" s="490"/>
      <c r="S343" s="489"/>
      <c r="T343" s="488" t="s">
        <v>268</v>
      </c>
    </row>
    <row r="344" ht="34.5">
      <c r="A344" s="488" t="s">
        <v>260</v>
      </c>
      <c r="B344" s="488" t="s">
        <v>261</v>
      </c>
      <c r="C344" s="488" t="s">
        <v>731</v>
      </c>
      <c r="D344" s="488" t="s">
        <v>263</v>
      </c>
      <c r="E344" s="488" t="s">
        <v>684</v>
      </c>
      <c r="F344" s="489" t="s">
        <v>685</v>
      </c>
      <c r="G344" s="488" t="s">
        <v>686</v>
      </c>
      <c r="H344" s="489"/>
      <c r="I344" s="489"/>
      <c r="J344" s="489" t="s">
        <v>734</v>
      </c>
      <c r="K344" s="491"/>
      <c r="L344" s="488"/>
      <c r="M344" s="488"/>
      <c r="N344" s="489"/>
      <c r="O344" s="489"/>
      <c r="P344" s="489"/>
      <c r="Q344" s="489"/>
      <c r="R344" s="490"/>
      <c r="S344" s="489"/>
      <c r="T344" s="488" t="s">
        <v>268</v>
      </c>
    </row>
    <row r="345" ht="34.5">
      <c r="A345" s="488" t="s">
        <v>260</v>
      </c>
      <c r="B345" s="488" t="s">
        <v>261</v>
      </c>
      <c r="C345" s="488" t="s">
        <v>731</v>
      </c>
      <c r="D345" s="488" t="s">
        <v>263</v>
      </c>
      <c r="E345" s="488" t="s">
        <v>684</v>
      </c>
      <c r="F345" s="489" t="s">
        <v>685</v>
      </c>
      <c r="G345" s="488" t="s">
        <v>686</v>
      </c>
      <c r="H345" s="489"/>
      <c r="I345" s="489"/>
      <c r="J345" s="489" t="s">
        <v>735</v>
      </c>
      <c r="K345" s="491"/>
      <c r="L345" s="488"/>
      <c r="M345" s="488"/>
      <c r="N345" s="489"/>
      <c r="O345" s="489"/>
      <c r="P345" s="489"/>
      <c r="Q345" s="489"/>
      <c r="R345" s="490"/>
      <c r="S345" s="489"/>
      <c r="T345" s="488" t="s">
        <v>268</v>
      </c>
    </row>
    <row r="346" ht="34.5">
      <c r="A346" s="488" t="s">
        <v>260</v>
      </c>
      <c r="B346" s="488" t="s">
        <v>261</v>
      </c>
      <c r="C346" s="488" t="s">
        <v>731</v>
      </c>
      <c r="D346" s="488" t="s">
        <v>263</v>
      </c>
      <c r="E346" s="488" t="s">
        <v>684</v>
      </c>
      <c r="F346" s="489" t="s">
        <v>685</v>
      </c>
      <c r="G346" s="488" t="s">
        <v>686</v>
      </c>
      <c r="H346" s="489"/>
      <c r="I346" s="489"/>
      <c r="J346" s="489" t="s">
        <v>736</v>
      </c>
      <c r="K346" s="491"/>
      <c r="L346" s="488"/>
      <c r="M346" s="488"/>
      <c r="N346" s="489"/>
      <c r="O346" s="489"/>
      <c r="P346" s="489"/>
      <c r="Q346" s="489"/>
      <c r="R346" s="490"/>
      <c r="S346" s="489"/>
      <c r="T346" s="488" t="s">
        <v>268</v>
      </c>
    </row>
    <row r="347" ht="34.5">
      <c r="A347" s="488" t="s">
        <v>260</v>
      </c>
      <c r="B347" s="488" t="s">
        <v>261</v>
      </c>
      <c r="C347" s="488" t="s">
        <v>731</v>
      </c>
      <c r="D347" s="488" t="s">
        <v>263</v>
      </c>
      <c r="E347" s="488" t="s">
        <v>684</v>
      </c>
      <c r="F347" s="489" t="s">
        <v>685</v>
      </c>
      <c r="G347" s="488" t="s">
        <v>686</v>
      </c>
      <c r="H347" s="489"/>
      <c r="I347" s="489"/>
      <c r="J347" s="489" t="s">
        <v>737</v>
      </c>
      <c r="K347" s="491"/>
      <c r="L347" s="488"/>
      <c r="M347" s="488"/>
      <c r="N347" s="489"/>
      <c r="O347" s="489"/>
      <c r="P347" s="489"/>
      <c r="Q347" s="489"/>
      <c r="R347" s="490"/>
      <c r="S347" s="489"/>
      <c r="T347" s="488" t="s">
        <v>268</v>
      </c>
    </row>
    <row r="348" ht="34.5">
      <c r="A348" s="488" t="s">
        <v>260</v>
      </c>
      <c r="B348" s="488" t="s">
        <v>261</v>
      </c>
      <c r="C348" s="488" t="s">
        <v>731</v>
      </c>
      <c r="D348" s="488" t="s">
        <v>263</v>
      </c>
      <c r="E348" s="488" t="s">
        <v>684</v>
      </c>
      <c r="F348" s="489" t="s">
        <v>685</v>
      </c>
      <c r="G348" s="488" t="s">
        <v>686</v>
      </c>
      <c r="H348" s="489"/>
      <c r="I348" s="489"/>
      <c r="J348" s="489" t="s">
        <v>738</v>
      </c>
      <c r="K348" s="491"/>
      <c r="L348" s="488"/>
      <c r="M348" s="488"/>
      <c r="N348" s="489"/>
      <c r="O348" s="489"/>
      <c r="P348" s="489"/>
      <c r="Q348" s="489"/>
      <c r="R348" s="490"/>
      <c r="S348" s="489"/>
      <c r="T348" s="488" t="s">
        <v>268</v>
      </c>
    </row>
    <row r="349" ht="34.5">
      <c r="A349" s="488" t="s">
        <v>260</v>
      </c>
      <c r="B349" s="488" t="s">
        <v>261</v>
      </c>
      <c r="C349" s="488" t="s">
        <v>739</v>
      </c>
      <c r="D349" s="488" t="s">
        <v>263</v>
      </c>
      <c r="E349" s="488" t="s">
        <v>684</v>
      </c>
      <c r="F349" s="489" t="s">
        <v>685</v>
      </c>
      <c r="G349" s="488" t="s">
        <v>686</v>
      </c>
      <c r="H349" s="489"/>
      <c r="I349" s="489"/>
      <c r="J349" s="489" t="s">
        <v>740</v>
      </c>
      <c r="K349" s="491"/>
      <c r="L349" s="488"/>
      <c r="M349" s="488"/>
      <c r="N349" s="489"/>
      <c r="O349" s="489"/>
      <c r="P349" s="489"/>
      <c r="Q349" s="489"/>
      <c r="R349" s="490"/>
      <c r="S349" s="489"/>
      <c r="T349" s="488" t="s">
        <v>268</v>
      </c>
    </row>
    <row r="350" ht="34.5">
      <c r="A350" s="488" t="s">
        <v>260</v>
      </c>
      <c r="B350" s="488" t="s">
        <v>261</v>
      </c>
      <c r="C350" s="488" t="s">
        <v>739</v>
      </c>
      <c r="D350" s="488" t="s">
        <v>263</v>
      </c>
      <c r="E350" s="488" t="s">
        <v>684</v>
      </c>
      <c r="F350" s="489" t="s">
        <v>685</v>
      </c>
      <c r="G350" s="488" t="s">
        <v>686</v>
      </c>
      <c r="H350" s="489"/>
      <c r="I350" s="489"/>
      <c r="J350" s="489" t="s">
        <v>741</v>
      </c>
      <c r="K350" s="491">
        <v>9168</v>
      </c>
      <c r="L350" s="488" t="s">
        <v>429</v>
      </c>
      <c r="M350" s="488"/>
      <c r="N350" s="489"/>
      <c r="O350" s="489"/>
      <c r="P350" s="489"/>
      <c r="Q350" s="489"/>
      <c r="R350" s="490"/>
      <c r="S350" s="489"/>
      <c r="T350" s="488" t="s">
        <v>268</v>
      </c>
    </row>
    <row r="351" ht="34.5">
      <c r="A351" s="488" t="s">
        <v>260</v>
      </c>
      <c r="B351" s="488" t="s">
        <v>261</v>
      </c>
      <c r="C351" s="488" t="s">
        <v>739</v>
      </c>
      <c r="D351" s="488" t="s">
        <v>263</v>
      </c>
      <c r="E351" s="488" t="s">
        <v>684</v>
      </c>
      <c r="F351" s="489" t="s">
        <v>685</v>
      </c>
      <c r="G351" s="488" t="s">
        <v>686</v>
      </c>
      <c r="H351" s="489"/>
      <c r="I351" s="489"/>
      <c r="J351" s="489" t="s">
        <v>742</v>
      </c>
      <c r="K351" s="491"/>
      <c r="L351" s="488"/>
      <c r="M351" s="488"/>
      <c r="N351" s="489"/>
      <c r="O351" s="489"/>
      <c r="P351" s="489"/>
      <c r="Q351" s="489"/>
      <c r="R351" s="490"/>
      <c r="S351" s="489"/>
      <c r="T351" s="488" t="s">
        <v>268</v>
      </c>
    </row>
    <row r="352" ht="34.5">
      <c r="A352" s="488" t="s">
        <v>260</v>
      </c>
      <c r="B352" s="488" t="s">
        <v>261</v>
      </c>
      <c r="C352" s="488" t="s">
        <v>739</v>
      </c>
      <c r="D352" s="488" t="s">
        <v>263</v>
      </c>
      <c r="E352" s="488" t="s">
        <v>684</v>
      </c>
      <c r="F352" s="489" t="s">
        <v>685</v>
      </c>
      <c r="G352" s="488" t="s">
        <v>686</v>
      </c>
      <c r="H352" s="489"/>
      <c r="I352" s="489"/>
      <c r="J352" s="489" t="s">
        <v>743</v>
      </c>
      <c r="K352" s="491"/>
      <c r="L352" s="488"/>
      <c r="M352" s="488"/>
      <c r="N352" s="489"/>
      <c r="O352" s="489"/>
      <c r="P352" s="489"/>
      <c r="Q352" s="489"/>
      <c r="R352" s="490"/>
      <c r="S352" s="489"/>
      <c r="T352" s="488" t="s">
        <v>268</v>
      </c>
    </row>
    <row r="353" ht="34.5">
      <c r="A353" s="488" t="s">
        <v>260</v>
      </c>
      <c r="B353" s="488" t="s">
        <v>261</v>
      </c>
      <c r="C353" s="488" t="s">
        <v>739</v>
      </c>
      <c r="D353" s="488" t="s">
        <v>263</v>
      </c>
      <c r="E353" s="488" t="s">
        <v>684</v>
      </c>
      <c r="F353" s="489" t="s">
        <v>685</v>
      </c>
      <c r="G353" s="488" t="s">
        <v>686</v>
      </c>
      <c r="H353" s="489"/>
      <c r="I353" s="489"/>
      <c r="J353" s="489" t="s">
        <v>744</v>
      </c>
      <c r="K353" s="491">
        <v>9525</v>
      </c>
      <c r="L353" s="488" t="s">
        <v>429</v>
      </c>
      <c r="M353" s="488"/>
      <c r="N353" s="489"/>
      <c r="O353" s="489"/>
      <c r="P353" s="489"/>
      <c r="Q353" s="489"/>
      <c r="R353" s="490"/>
      <c r="S353" s="489"/>
      <c r="T353" s="488" t="s">
        <v>268</v>
      </c>
    </row>
    <row r="354" ht="34.5">
      <c r="A354" s="488" t="s">
        <v>260</v>
      </c>
      <c r="B354" s="488" t="s">
        <v>261</v>
      </c>
      <c r="C354" s="488" t="s">
        <v>739</v>
      </c>
      <c r="D354" s="488" t="s">
        <v>263</v>
      </c>
      <c r="E354" s="488" t="s">
        <v>684</v>
      </c>
      <c r="F354" s="489" t="s">
        <v>685</v>
      </c>
      <c r="G354" s="488" t="s">
        <v>686</v>
      </c>
      <c r="H354" s="489"/>
      <c r="I354" s="489"/>
      <c r="J354" s="489" t="s">
        <v>745</v>
      </c>
      <c r="K354" s="491"/>
      <c r="L354" s="488"/>
      <c r="M354" s="488"/>
      <c r="N354" s="489"/>
      <c r="O354" s="489"/>
      <c r="P354" s="489"/>
      <c r="Q354" s="489"/>
      <c r="R354" s="490"/>
      <c r="S354" s="489"/>
      <c r="T354" s="488" t="s">
        <v>268</v>
      </c>
    </row>
    <row r="355" ht="34.5">
      <c r="A355" s="488" t="s">
        <v>260</v>
      </c>
      <c r="B355" s="488" t="s">
        <v>261</v>
      </c>
      <c r="C355" s="488" t="s">
        <v>739</v>
      </c>
      <c r="D355" s="488" t="s">
        <v>263</v>
      </c>
      <c r="E355" s="488" t="s">
        <v>684</v>
      </c>
      <c r="F355" s="489" t="s">
        <v>685</v>
      </c>
      <c r="G355" s="488" t="s">
        <v>686</v>
      </c>
      <c r="H355" s="489"/>
      <c r="I355" s="489"/>
      <c r="J355" s="489" t="s">
        <v>746</v>
      </c>
      <c r="K355" s="491"/>
      <c r="L355" s="488"/>
      <c r="M355" s="488"/>
      <c r="N355" s="489"/>
      <c r="O355" s="489"/>
      <c r="P355" s="489"/>
      <c r="Q355" s="489"/>
      <c r="R355" s="490"/>
      <c r="S355" s="489"/>
      <c r="T355" s="488" t="s">
        <v>268</v>
      </c>
    </row>
    <row r="356" ht="34.5">
      <c r="A356" s="488" t="s">
        <v>260</v>
      </c>
      <c r="B356" s="488" t="s">
        <v>261</v>
      </c>
      <c r="C356" s="488" t="s">
        <v>739</v>
      </c>
      <c r="D356" s="488" t="s">
        <v>263</v>
      </c>
      <c r="E356" s="488" t="s">
        <v>684</v>
      </c>
      <c r="F356" s="489" t="s">
        <v>685</v>
      </c>
      <c r="G356" s="488" t="s">
        <v>686</v>
      </c>
      <c r="H356" s="489"/>
      <c r="I356" s="489"/>
      <c r="J356" s="489" t="s">
        <v>747</v>
      </c>
      <c r="K356" s="491"/>
      <c r="L356" s="488"/>
      <c r="M356" s="488"/>
      <c r="N356" s="489"/>
      <c r="O356" s="489"/>
      <c r="P356" s="489"/>
      <c r="Q356" s="489"/>
      <c r="R356" s="490"/>
      <c r="S356" s="489"/>
      <c r="T356" s="488" t="s">
        <v>268</v>
      </c>
    </row>
    <row r="357" ht="34.5">
      <c r="A357" s="488" t="s">
        <v>260</v>
      </c>
      <c r="B357" s="488" t="s">
        <v>261</v>
      </c>
      <c r="C357" s="488" t="s">
        <v>748</v>
      </c>
      <c r="D357" s="488" t="s">
        <v>263</v>
      </c>
      <c r="E357" s="488" t="s">
        <v>684</v>
      </c>
      <c r="F357" s="489" t="s">
        <v>685</v>
      </c>
      <c r="G357" s="488" t="s">
        <v>686</v>
      </c>
      <c r="H357" s="489"/>
      <c r="I357" s="489"/>
      <c r="J357" s="489" t="s">
        <v>749</v>
      </c>
      <c r="K357" s="491">
        <v>39378</v>
      </c>
      <c r="L357" s="488" t="s">
        <v>429</v>
      </c>
      <c r="M357" s="488"/>
      <c r="N357" s="489"/>
      <c r="O357" s="489"/>
      <c r="P357" s="489"/>
      <c r="Q357" s="489"/>
      <c r="R357" s="490"/>
      <c r="S357" s="489"/>
      <c r="T357" s="488" t="s">
        <v>268</v>
      </c>
    </row>
    <row r="358" ht="34.5">
      <c r="A358" s="488" t="s">
        <v>260</v>
      </c>
      <c r="B358" s="488" t="s">
        <v>261</v>
      </c>
      <c r="C358" s="488" t="s">
        <v>750</v>
      </c>
      <c r="D358" s="488" t="s">
        <v>263</v>
      </c>
      <c r="E358" s="488" t="s">
        <v>684</v>
      </c>
      <c r="F358" s="489" t="s">
        <v>685</v>
      </c>
      <c r="G358" s="488" t="s">
        <v>686</v>
      </c>
      <c r="H358" s="489"/>
      <c r="I358" s="489"/>
      <c r="J358" s="489" t="s">
        <v>751</v>
      </c>
      <c r="K358" s="491"/>
      <c r="L358" s="488"/>
      <c r="M358" s="488"/>
      <c r="N358" s="489"/>
      <c r="O358" s="489"/>
      <c r="P358" s="489"/>
      <c r="Q358" s="489"/>
      <c r="R358" s="490"/>
      <c r="S358" s="489"/>
      <c r="T358" s="488" t="s">
        <v>268</v>
      </c>
    </row>
    <row r="359" ht="34.5">
      <c r="A359" s="488" t="s">
        <v>260</v>
      </c>
      <c r="B359" s="488" t="s">
        <v>261</v>
      </c>
      <c r="C359" s="488" t="s">
        <v>750</v>
      </c>
      <c r="D359" s="488" t="s">
        <v>263</v>
      </c>
      <c r="E359" s="488" t="s">
        <v>684</v>
      </c>
      <c r="F359" s="489" t="s">
        <v>685</v>
      </c>
      <c r="G359" s="488" t="s">
        <v>686</v>
      </c>
      <c r="H359" s="489"/>
      <c r="I359" s="489"/>
      <c r="J359" s="489" t="s">
        <v>752</v>
      </c>
      <c r="K359" s="491"/>
      <c r="L359" s="488"/>
      <c r="M359" s="488"/>
      <c r="N359" s="489"/>
      <c r="O359" s="489"/>
      <c r="P359" s="489"/>
      <c r="Q359" s="489"/>
      <c r="R359" s="490"/>
      <c r="S359" s="489"/>
      <c r="T359" s="488" t="s">
        <v>268</v>
      </c>
    </row>
    <row r="360" ht="34.5">
      <c r="A360" s="488" t="s">
        <v>260</v>
      </c>
      <c r="B360" s="488" t="s">
        <v>261</v>
      </c>
      <c r="C360" s="488" t="s">
        <v>750</v>
      </c>
      <c r="D360" s="488" t="s">
        <v>263</v>
      </c>
      <c r="E360" s="488" t="s">
        <v>684</v>
      </c>
      <c r="F360" s="489" t="s">
        <v>685</v>
      </c>
      <c r="G360" s="488" t="s">
        <v>686</v>
      </c>
      <c r="H360" s="489"/>
      <c r="I360" s="489"/>
      <c r="J360" s="489" t="s">
        <v>753</v>
      </c>
      <c r="K360" s="491"/>
      <c r="L360" s="488"/>
      <c r="M360" s="488"/>
      <c r="N360" s="489"/>
      <c r="O360" s="489"/>
      <c r="P360" s="489"/>
      <c r="Q360" s="489"/>
      <c r="R360" s="490"/>
      <c r="S360" s="489"/>
      <c r="T360" s="488" t="s">
        <v>268</v>
      </c>
    </row>
    <row r="361" ht="34.5">
      <c r="A361" s="488" t="s">
        <v>260</v>
      </c>
      <c r="B361" s="488" t="s">
        <v>261</v>
      </c>
      <c r="C361" s="488" t="s">
        <v>754</v>
      </c>
      <c r="D361" s="488" t="s">
        <v>263</v>
      </c>
      <c r="E361" s="488" t="s">
        <v>684</v>
      </c>
      <c r="F361" s="489" t="s">
        <v>685</v>
      </c>
      <c r="G361" s="488" t="s">
        <v>686</v>
      </c>
      <c r="H361" s="489"/>
      <c r="I361" s="489"/>
      <c r="J361" s="489" t="s">
        <v>755</v>
      </c>
      <c r="K361" s="491"/>
      <c r="L361" s="488"/>
      <c r="M361" s="488"/>
      <c r="N361" s="489"/>
      <c r="O361" s="489"/>
      <c r="P361" s="489"/>
      <c r="Q361" s="489"/>
      <c r="R361" s="490"/>
      <c r="S361" s="489"/>
      <c r="T361" s="488" t="s">
        <v>268</v>
      </c>
    </row>
    <row r="362" ht="34.5">
      <c r="A362" s="488" t="s">
        <v>260</v>
      </c>
      <c r="B362" s="488" t="s">
        <v>261</v>
      </c>
      <c r="C362" s="488" t="s">
        <v>754</v>
      </c>
      <c r="D362" s="488" t="s">
        <v>263</v>
      </c>
      <c r="E362" s="488" t="s">
        <v>684</v>
      </c>
      <c r="F362" s="489" t="s">
        <v>685</v>
      </c>
      <c r="G362" s="488" t="s">
        <v>686</v>
      </c>
      <c r="H362" s="489"/>
      <c r="I362" s="489"/>
      <c r="J362" s="489" t="s">
        <v>756</v>
      </c>
      <c r="K362" s="491"/>
      <c r="L362" s="488"/>
      <c r="M362" s="488"/>
      <c r="N362" s="489"/>
      <c r="O362" s="489"/>
      <c r="P362" s="489"/>
      <c r="Q362" s="489"/>
      <c r="R362" s="490"/>
      <c r="S362" s="489"/>
      <c r="T362" s="488" t="s">
        <v>268</v>
      </c>
    </row>
    <row r="363" ht="34.5">
      <c r="A363" s="488" t="s">
        <v>260</v>
      </c>
      <c r="B363" s="488" t="s">
        <v>261</v>
      </c>
      <c r="C363" s="488" t="s">
        <v>754</v>
      </c>
      <c r="D363" s="488" t="s">
        <v>263</v>
      </c>
      <c r="E363" s="488" t="s">
        <v>684</v>
      </c>
      <c r="F363" s="489" t="s">
        <v>685</v>
      </c>
      <c r="G363" s="488" t="s">
        <v>686</v>
      </c>
      <c r="H363" s="489"/>
      <c r="I363" s="489"/>
      <c r="J363" s="489" t="s">
        <v>757</v>
      </c>
      <c r="K363" s="491"/>
      <c r="L363" s="488"/>
      <c r="M363" s="488"/>
      <c r="N363" s="489"/>
      <c r="O363" s="489"/>
      <c r="P363" s="489"/>
      <c r="Q363" s="489"/>
      <c r="R363" s="490"/>
      <c r="S363" s="489"/>
      <c r="T363" s="488" t="s">
        <v>268</v>
      </c>
    </row>
    <row r="364" ht="34.5">
      <c r="A364" s="488" t="s">
        <v>260</v>
      </c>
      <c r="B364" s="488" t="s">
        <v>261</v>
      </c>
      <c r="C364" s="488" t="s">
        <v>758</v>
      </c>
      <c r="D364" s="488" t="s">
        <v>263</v>
      </c>
      <c r="E364" s="488" t="s">
        <v>684</v>
      </c>
      <c r="F364" s="489" t="s">
        <v>685</v>
      </c>
      <c r="G364" s="488" t="s">
        <v>686</v>
      </c>
      <c r="H364" s="489"/>
      <c r="I364" s="489"/>
      <c r="J364" s="489" t="s">
        <v>759</v>
      </c>
      <c r="K364" s="491"/>
      <c r="L364" s="488"/>
      <c r="M364" s="488"/>
      <c r="N364" s="489"/>
      <c r="O364" s="489"/>
      <c r="P364" s="489"/>
      <c r="Q364" s="489"/>
      <c r="R364" s="490"/>
      <c r="S364" s="489"/>
      <c r="T364" s="488" t="s">
        <v>268</v>
      </c>
    </row>
    <row r="365" ht="34.5">
      <c r="A365" s="488" t="s">
        <v>260</v>
      </c>
      <c r="B365" s="488" t="s">
        <v>261</v>
      </c>
      <c r="C365" s="488" t="s">
        <v>758</v>
      </c>
      <c r="D365" s="488" t="s">
        <v>263</v>
      </c>
      <c r="E365" s="488" t="s">
        <v>684</v>
      </c>
      <c r="F365" s="489" t="s">
        <v>685</v>
      </c>
      <c r="G365" s="488" t="s">
        <v>686</v>
      </c>
      <c r="H365" s="489"/>
      <c r="I365" s="489"/>
      <c r="J365" s="489" t="s">
        <v>760</v>
      </c>
      <c r="K365" s="491">
        <v>130226</v>
      </c>
      <c r="L365" s="488" t="s">
        <v>429</v>
      </c>
      <c r="M365" s="488"/>
      <c r="N365" s="489"/>
      <c r="O365" s="489"/>
      <c r="P365" s="489"/>
      <c r="Q365" s="489"/>
      <c r="R365" s="490"/>
      <c r="S365" s="489"/>
      <c r="T365" s="488" t="s">
        <v>268</v>
      </c>
    </row>
    <row r="366" ht="34.5">
      <c r="A366" s="488" t="s">
        <v>260</v>
      </c>
      <c r="B366" s="488" t="s">
        <v>261</v>
      </c>
      <c r="C366" s="488" t="s">
        <v>761</v>
      </c>
      <c r="D366" s="488" t="s">
        <v>263</v>
      </c>
      <c r="E366" s="488" t="s">
        <v>684</v>
      </c>
      <c r="F366" s="489" t="s">
        <v>685</v>
      </c>
      <c r="G366" s="488" t="s">
        <v>686</v>
      </c>
      <c r="H366" s="489"/>
      <c r="I366" s="489"/>
      <c r="J366" s="489" t="s">
        <v>762</v>
      </c>
      <c r="K366" s="491"/>
      <c r="L366" s="488"/>
      <c r="M366" s="488"/>
      <c r="N366" s="489"/>
      <c r="O366" s="489"/>
      <c r="P366" s="489"/>
      <c r="Q366" s="489"/>
      <c r="R366" s="490"/>
      <c r="S366" s="489"/>
      <c r="T366" s="488" t="s">
        <v>268</v>
      </c>
    </row>
    <row r="367" ht="34.5">
      <c r="A367" s="488" t="s">
        <v>260</v>
      </c>
      <c r="B367" s="488" t="s">
        <v>261</v>
      </c>
      <c r="C367" s="488" t="s">
        <v>761</v>
      </c>
      <c r="D367" s="488" t="s">
        <v>263</v>
      </c>
      <c r="E367" s="488" t="s">
        <v>684</v>
      </c>
      <c r="F367" s="489" t="s">
        <v>685</v>
      </c>
      <c r="G367" s="488" t="s">
        <v>686</v>
      </c>
      <c r="H367" s="489"/>
      <c r="I367" s="489"/>
      <c r="J367" s="489" t="s">
        <v>763</v>
      </c>
      <c r="K367" s="491">
        <v>42794</v>
      </c>
      <c r="L367" s="488" t="s">
        <v>429</v>
      </c>
      <c r="M367" s="488"/>
      <c r="N367" s="489"/>
      <c r="O367" s="489"/>
      <c r="P367" s="489"/>
      <c r="Q367" s="489"/>
      <c r="R367" s="490"/>
      <c r="S367" s="489"/>
      <c r="T367" s="488" t="s">
        <v>268</v>
      </c>
    </row>
    <row r="368" ht="34.5">
      <c r="A368" s="488" t="s">
        <v>260</v>
      </c>
      <c r="B368" s="488" t="s">
        <v>261</v>
      </c>
      <c r="C368" s="488" t="s">
        <v>764</v>
      </c>
      <c r="D368" s="488" t="s">
        <v>263</v>
      </c>
      <c r="E368" s="488" t="s">
        <v>684</v>
      </c>
      <c r="F368" s="489" t="s">
        <v>685</v>
      </c>
      <c r="G368" s="488" t="s">
        <v>686</v>
      </c>
      <c r="H368" s="489"/>
      <c r="I368" s="489"/>
      <c r="J368" s="489" t="s">
        <v>765</v>
      </c>
      <c r="K368" s="491"/>
      <c r="L368" s="488"/>
      <c r="M368" s="488"/>
      <c r="N368" s="489"/>
      <c r="O368" s="489"/>
      <c r="P368" s="489"/>
      <c r="Q368" s="489"/>
      <c r="R368" s="490"/>
      <c r="S368" s="489"/>
      <c r="T368" s="488" t="s">
        <v>268</v>
      </c>
    </row>
    <row r="369" ht="34.5">
      <c r="A369" s="488" t="s">
        <v>260</v>
      </c>
      <c r="B369" s="488" t="s">
        <v>261</v>
      </c>
      <c r="C369" s="488" t="s">
        <v>766</v>
      </c>
      <c r="D369" s="488" t="s">
        <v>263</v>
      </c>
      <c r="E369" s="488" t="s">
        <v>684</v>
      </c>
      <c r="F369" s="489" t="s">
        <v>685</v>
      </c>
      <c r="G369" s="488" t="s">
        <v>686</v>
      </c>
      <c r="H369" s="489"/>
      <c r="I369" s="489"/>
      <c r="J369" s="489" t="s">
        <v>767</v>
      </c>
      <c r="K369" s="491"/>
      <c r="L369" s="488"/>
      <c r="M369" s="488"/>
      <c r="N369" s="489"/>
      <c r="O369" s="489"/>
      <c r="P369" s="489"/>
      <c r="Q369" s="489"/>
      <c r="R369" s="490"/>
      <c r="S369" s="489"/>
      <c r="T369" s="488" t="s">
        <v>268</v>
      </c>
    </row>
    <row r="370" ht="34.5">
      <c r="A370" s="488" t="s">
        <v>260</v>
      </c>
      <c r="B370" s="488" t="s">
        <v>261</v>
      </c>
      <c r="C370" s="488" t="s">
        <v>766</v>
      </c>
      <c r="D370" s="488" t="s">
        <v>263</v>
      </c>
      <c r="E370" s="488" t="s">
        <v>684</v>
      </c>
      <c r="F370" s="489" t="s">
        <v>685</v>
      </c>
      <c r="G370" s="488" t="s">
        <v>686</v>
      </c>
      <c r="H370" s="489"/>
      <c r="I370" s="489"/>
      <c r="J370" s="489" t="s">
        <v>768</v>
      </c>
      <c r="K370" s="491"/>
      <c r="L370" s="488"/>
      <c r="M370" s="488"/>
      <c r="N370" s="489"/>
      <c r="O370" s="489"/>
      <c r="P370" s="489"/>
      <c r="Q370" s="489"/>
      <c r="R370" s="490"/>
      <c r="S370" s="489"/>
      <c r="T370" s="488" t="s">
        <v>268</v>
      </c>
    </row>
    <row r="371" ht="34.5">
      <c r="A371" s="488" t="s">
        <v>260</v>
      </c>
      <c r="B371" s="488" t="s">
        <v>261</v>
      </c>
      <c r="C371" s="488" t="s">
        <v>766</v>
      </c>
      <c r="D371" s="488" t="s">
        <v>263</v>
      </c>
      <c r="E371" s="488" t="s">
        <v>684</v>
      </c>
      <c r="F371" s="489" t="s">
        <v>685</v>
      </c>
      <c r="G371" s="488" t="s">
        <v>686</v>
      </c>
      <c r="H371" s="489"/>
      <c r="I371" s="489"/>
      <c r="J371" s="489" t="s">
        <v>769</v>
      </c>
      <c r="K371" s="491"/>
      <c r="L371" s="488"/>
      <c r="M371" s="488"/>
      <c r="N371" s="489"/>
      <c r="O371" s="489"/>
      <c r="P371" s="489"/>
      <c r="Q371" s="489"/>
      <c r="R371" s="490"/>
      <c r="S371" s="489"/>
      <c r="T371" s="488" t="s">
        <v>268</v>
      </c>
    </row>
    <row r="372" ht="34.5">
      <c r="A372" s="488" t="s">
        <v>260</v>
      </c>
      <c r="B372" s="488" t="s">
        <v>261</v>
      </c>
      <c r="C372" s="488" t="s">
        <v>766</v>
      </c>
      <c r="D372" s="488" t="s">
        <v>263</v>
      </c>
      <c r="E372" s="488" t="s">
        <v>684</v>
      </c>
      <c r="F372" s="489" t="s">
        <v>685</v>
      </c>
      <c r="G372" s="488" t="s">
        <v>686</v>
      </c>
      <c r="H372" s="489"/>
      <c r="I372" s="489"/>
      <c r="J372" s="489" t="s">
        <v>770</v>
      </c>
      <c r="K372" s="491"/>
      <c r="L372" s="488"/>
      <c r="M372" s="488"/>
      <c r="N372" s="489"/>
      <c r="O372" s="489"/>
      <c r="P372" s="489"/>
      <c r="Q372" s="489"/>
      <c r="R372" s="490"/>
      <c r="S372" s="489"/>
      <c r="T372" s="488" t="s">
        <v>268</v>
      </c>
    </row>
    <row r="373" ht="34.5">
      <c r="A373" s="488" t="s">
        <v>260</v>
      </c>
      <c r="B373" s="488" t="s">
        <v>261</v>
      </c>
      <c r="C373" s="488" t="s">
        <v>766</v>
      </c>
      <c r="D373" s="488" t="s">
        <v>263</v>
      </c>
      <c r="E373" s="488" t="s">
        <v>684</v>
      </c>
      <c r="F373" s="489" t="s">
        <v>685</v>
      </c>
      <c r="G373" s="488" t="s">
        <v>686</v>
      </c>
      <c r="H373" s="489"/>
      <c r="I373" s="489"/>
      <c r="J373" s="489" t="s">
        <v>771</v>
      </c>
      <c r="K373" s="491"/>
      <c r="L373" s="488"/>
      <c r="M373" s="488"/>
      <c r="N373" s="489"/>
      <c r="O373" s="489"/>
      <c r="P373" s="489"/>
      <c r="Q373" s="489"/>
      <c r="R373" s="490"/>
      <c r="S373" s="489"/>
      <c r="T373" s="488" t="s">
        <v>268</v>
      </c>
    </row>
    <row r="374" ht="34.5">
      <c r="A374" s="488" t="s">
        <v>260</v>
      </c>
      <c r="B374" s="488" t="s">
        <v>261</v>
      </c>
      <c r="C374" s="488" t="s">
        <v>766</v>
      </c>
      <c r="D374" s="488" t="s">
        <v>263</v>
      </c>
      <c r="E374" s="488" t="s">
        <v>684</v>
      </c>
      <c r="F374" s="489" t="s">
        <v>685</v>
      </c>
      <c r="G374" s="488" t="s">
        <v>686</v>
      </c>
      <c r="H374" s="489"/>
      <c r="I374" s="489"/>
      <c r="J374" s="489" t="s">
        <v>772</v>
      </c>
      <c r="K374" s="491"/>
      <c r="L374" s="488"/>
      <c r="M374" s="488"/>
      <c r="N374" s="489"/>
      <c r="O374" s="489"/>
      <c r="P374" s="489"/>
      <c r="Q374" s="489"/>
      <c r="R374" s="490"/>
      <c r="S374" s="489"/>
      <c r="T374" s="488" t="s">
        <v>268</v>
      </c>
    </row>
    <row r="375" ht="34.5">
      <c r="A375" s="488" t="s">
        <v>260</v>
      </c>
      <c r="B375" s="488" t="s">
        <v>261</v>
      </c>
      <c r="C375" s="488" t="s">
        <v>766</v>
      </c>
      <c r="D375" s="488" t="s">
        <v>263</v>
      </c>
      <c r="E375" s="488" t="s">
        <v>684</v>
      </c>
      <c r="F375" s="489" t="s">
        <v>685</v>
      </c>
      <c r="G375" s="488" t="s">
        <v>686</v>
      </c>
      <c r="H375" s="489"/>
      <c r="I375" s="489"/>
      <c r="J375" s="489" t="s">
        <v>773</v>
      </c>
      <c r="K375" s="491"/>
      <c r="L375" s="488"/>
      <c r="M375" s="488"/>
      <c r="N375" s="489"/>
      <c r="O375" s="489"/>
      <c r="P375" s="489"/>
      <c r="Q375" s="489"/>
      <c r="R375" s="490"/>
      <c r="S375" s="489"/>
      <c r="T375" s="488" t="s">
        <v>268</v>
      </c>
    </row>
    <row r="376" ht="34.5">
      <c r="A376" s="488" t="s">
        <v>260</v>
      </c>
      <c r="B376" s="488" t="s">
        <v>261</v>
      </c>
      <c r="C376" s="488" t="s">
        <v>774</v>
      </c>
      <c r="D376" s="488" t="s">
        <v>263</v>
      </c>
      <c r="E376" s="488" t="s">
        <v>684</v>
      </c>
      <c r="F376" s="489" t="s">
        <v>685</v>
      </c>
      <c r="G376" s="488" t="s">
        <v>686</v>
      </c>
      <c r="H376" s="489"/>
      <c r="I376" s="489"/>
      <c r="J376" s="489" t="s">
        <v>775</v>
      </c>
      <c r="K376" s="491"/>
      <c r="L376" s="488"/>
      <c r="M376" s="488"/>
      <c r="N376" s="489"/>
      <c r="O376" s="489"/>
      <c r="P376" s="489"/>
      <c r="Q376" s="489"/>
      <c r="R376" s="490"/>
      <c r="S376" s="489"/>
      <c r="T376" s="488" t="s">
        <v>268</v>
      </c>
    </row>
    <row r="377" ht="34.5">
      <c r="A377" s="488" t="s">
        <v>260</v>
      </c>
      <c r="B377" s="488" t="s">
        <v>261</v>
      </c>
      <c r="C377" s="488" t="s">
        <v>774</v>
      </c>
      <c r="D377" s="488" t="s">
        <v>263</v>
      </c>
      <c r="E377" s="488" t="s">
        <v>684</v>
      </c>
      <c r="F377" s="489" t="s">
        <v>685</v>
      </c>
      <c r="G377" s="488" t="s">
        <v>686</v>
      </c>
      <c r="H377" s="489"/>
      <c r="I377" s="489"/>
      <c r="J377" s="489" t="s">
        <v>776</v>
      </c>
      <c r="K377" s="491"/>
      <c r="L377" s="488"/>
      <c r="M377" s="488"/>
      <c r="N377" s="489"/>
      <c r="O377" s="489"/>
      <c r="P377" s="489"/>
      <c r="Q377" s="489"/>
      <c r="R377" s="490"/>
      <c r="S377" s="489"/>
      <c r="T377" s="488" t="s">
        <v>268</v>
      </c>
    </row>
    <row r="378" ht="34.5">
      <c r="A378" s="488" t="s">
        <v>260</v>
      </c>
      <c r="B378" s="488" t="s">
        <v>261</v>
      </c>
      <c r="C378" s="488" t="s">
        <v>774</v>
      </c>
      <c r="D378" s="488" t="s">
        <v>263</v>
      </c>
      <c r="E378" s="488" t="s">
        <v>684</v>
      </c>
      <c r="F378" s="489" t="s">
        <v>685</v>
      </c>
      <c r="G378" s="488" t="s">
        <v>686</v>
      </c>
      <c r="H378" s="489"/>
      <c r="I378" s="489"/>
      <c r="J378" s="489" t="s">
        <v>777</v>
      </c>
      <c r="K378" s="491"/>
      <c r="L378" s="488"/>
      <c r="M378" s="488"/>
      <c r="N378" s="489"/>
      <c r="O378" s="489"/>
      <c r="P378" s="489"/>
      <c r="Q378" s="489"/>
      <c r="R378" s="490"/>
      <c r="S378" s="489"/>
      <c r="T378" s="488" t="s">
        <v>268</v>
      </c>
    </row>
    <row r="379" ht="34.5">
      <c r="A379" s="488" t="s">
        <v>778</v>
      </c>
      <c r="B379" s="488" t="s">
        <v>779</v>
      </c>
      <c r="C379" s="488" t="s">
        <v>262</v>
      </c>
      <c r="D379" s="488" t="s">
        <v>263</v>
      </c>
      <c r="E379" s="488" t="s">
        <v>264</v>
      </c>
      <c r="F379" s="489" t="s">
        <v>265</v>
      </c>
      <c r="G379" s="488" t="s">
        <v>266</v>
      </c>
      <c r="H379" s="489"/>
      <c r="I379" s="489"/>
      <c r="J379" s="489" t="s">
        <v>780</v>
      </c>
      <c r="K379" s="491"/>
      <c r="L379" s="488"/>
      <c r="M379" s="488"/>
      <c r="N379" s="489"/>
      <c r="O379" s="489"/>
      <c r="P379" s="489"/>
      <c r="Q379" s="489"/>
      <c r="R379" s="490"/>
      <c r="S379" s="489"/>
      <c r="T379" s="488" t="s">
        <v>268</v>
      </c>
    </row>
    <row r="380" ht="34.5">
      <c r="A380" s="488" t="s">
        <v>778</v>
      </c>
      <c r="B380" s="488" t="s">
        <v>779</v>
      </c>
      <c r="C380" s="488" t="s">
        <v>262</v>
      </c>
      <c r="D380" s="488" t="s">
        <v>263</v>
      </c>
      <c r="E380" s="488" t="s">
        <v>264</v>
      </c>
      <c r="F380" s="489" t="s">
        <v>265</v>
      </c>
      <c r="G380" s="488" t="s">
        <v>266</v>
      </c>
      <c r="H380" s="489"/>
      <c r="I380" s="489"/>
      <c r="J380" s="489" t="s">
        <v>781</v>
      </c>
      <c r="K380" s="491"/>
      <c r="L380" s="488"/>
      <c r="M380" s="488"/>
      <c r="N380" s="489"/>
      <c r="O380" s="489"/>
      <c r="P380" s="489"/>
      <c r="Q380" s="489"/>
      <c r="R380" s="490"/>
      <c r="S380" s="489"/>
      <c r="T380" s="488" t="s">
        <v>268</v>
      </c>
    </row>
    <row r="381" ht="34.5">
      <c r="A381" s="488" t="s">
        <v>778</v>
      </c>
      <c r="B381" s="488" t="s">
        <v>779</v>
      </c>
      <c r="C381" s="488" t="s">
        <v>262</v>
      </c>
      <c r="D381" s="488" t="s">
        <v>263</v>
      </c>
      <c r="E381" s="488" t="s">
        <v>264</v>
      </c>
      <c r="F381" s="489" t="s">
        <v>265</v>
      </c>
      <c r="G381" s="488" t="s">
        <v>266</v>
      </c>
      <c r="H381" s="489"/>
      <c r="I381" s="489"/>
      <c r="J381" s="489" t="s">
        <v>270</v>
      </c>
      <c r="K381" s="491"/>
      <c r="L381" s="488"/>
      <c r="M381" s="488"/>
      <c r="N381" s="489"/>
      <c r="O381" s="489"/>
      <c r="P381" s="489"/>
      <c r="Q381" s="489"/>
      <c r="R381" s="490"/>
      <c r="S381" s="489"/>
      <c r="T381" s="488" t="s">
        <v>268</v>
      </c>
    </row>
    <row r="382" ht="34.5">
      <c r="A382" s="488" t="s">
        <v>778</v>
      </c>
      <c r="B382" s="488" t="s">
        <v>779</v>
      </c>
      <c r="C382" s="488" t="s">
        <v>262</v>
      </c>
      <c r="D382" s="488" t="s">
        <v>263</v>
      </c>
      <c r="E382" s="488" t="s">
        <v>264</v>
      </c>
      <c r="F382" s="489" t="s">
        <v>265</v>
      </c>
      <c r="G382" s="488" t="s">
        <v>266</v>
      </c>
      <c r="H382" s="489"/>
      <c r="I382" s="489"/>
      <c r="J382" s="489" t="s">
        <v>271</v>
      </c>
      <c r="K382" s="491"/>
      <c r="L382" s="488"/>
      <c r="M382" s="488"/>
      <c r="N382" s="489"/>
      <c r="O382" s="489"/>
      <c r="P382" s="489"/>
      <c r="Q382" s="489"/>
      <c r="R382" s="490"/>
      <c r="S382" s="489"/>
      <c r="T382" s="488" t="s">
        <v>268</v>
      </c>
    </row>
    <row r="383" ht="34.5">
      <c r="A383" s="488" t="s">
        <v>778</v>
      </c>
      <c r="B383" s="488" t="s">
        <v>779</v>
      </c>
      <c r="C383" s="488" t="s">
        <v>262</v>
      </c>
      <c r="D383" s="488" t="s">
        <v>263</v>
      </c>
      <c r="E383" s="488" t="s">
        <v>264</v>
      </c>
      <c r="F383" s="489" t="s">
        <v>265</v>
      </c>
      <c r="G383" s="488" t="s">
        <v>266</v>
      </c>
      <c r="H383" s="489"/>
      <c r="I383" s="489"/>
      <c r="J383" s="489" t="s">
        <v>782</v>
      </c>
      <c r="K383" s="491"/>
      <c r="L383" s="488"/>
      <c r="M383" s="488"/>
      <c r="N383" s="489"/>
      <c r="O383" s="489"/>
      <c r="P383" s="489"/>
      <c r="Q383" s="489"/>
      <c r="R383" s="490"/>
      <c r="S383" s="489"/>
      <c r="T383" s="488" t="s">
        <v>268</v>
      </c>
    </row>
    <row r="384" ht="34.5">
      <c r="A384" s="488" t="s">
        <v>778</v>
      </c>
      <c r="B384" s="488" t="s">
        <v>779</v>
      </c>
      <c r="C384" s="488" t="s">
        <v>262</v>
      </c>
      <c r="D384" s="488" t="s">
        <v>263</v>
      </c>
      <c r="E384" s="488" t="s">
        <v>264</v>
      </c>
      <c r="F384" s="489" t="s">
        <v>265</v>
      </c>
      <c r="G384" s="488" t="s">
        <v>266</v>
      </c>
      <c r="H384" s="489"/>
      <c r="I384" s="489"/>
      <c r="J384" s="489" t="s">
        <v>783</v>
      </c>
      <c r="K384" s="491"/>
      <c r="L384" s="488"/>
      <c r="M384" s="488"/>
      <c r="N384" s="489"/>
      <c r="O384" s="489"/>
      <c r="P384" s="489"/>
      <c r="Q384" s="489"/>
      <c r="R384" s="490"/>
      <c r="S384" s="489"/>
      <c r="T384" s="488" t="s">
        <v>268</v>
      </c>
    </row>
    <row r="385" ht="34.5">
      <c r="A385" s="488" t="s">
        <v>778</v>
      </c>
      <c r="B385" s="488" t="s">
        <v>779</v>
      </c>
      <c r="C385" s="488" t="s">
        <v>276</v>
      </c>
      <c r="D385" s="488" t="s">
        <v>263</v>
      </c>
      <c r="E385" s="488" t="s">
        <v>264</v>
      </c>
      <c r="F385" s="489" t="s">
        <v>265</v>
      </c>
      <c r="G385" s="488" t="s">
        <v>266</v>
      </c>
      <c r="H385" s="489"/>
      <c r="I385" s="489"/>
      <c r="J385" s="489" t="s">
        <v>277</v>
      </c>
      <c r="K385" s="491"/>
      <c r="L385" s="488"/>
      <c r="M385" s="488"/>
      <c r="N385" s="489"/>
      <c r="O385" s="489"/>
      <c r="P385" s="489"/>
      <c r="Q385" s="489"/>
      <c r="R385" s="490"/>
      <c r="S385" s="489"/>
      <c r="T385" s="488" t="s">
        <v>268</v>
      </c>
    </row>
    <row r="386" ht="34.5">
      <c r="A386" s="488" t="s">
        <v>778</v>
      </c>
      <c r="B386" s="488" t="s">
        <v>779</v>
      </c>
      <c r="C386" s="488" t="s">
        <v>276</v>
      </c>
      <c r="D386" s="488" t="s">
        <v>263</v>
      </c>
      <c r="E386" s="488" t="s">
        <v>264</v>
      </c>
      <c r="F386" s="489" t="s">
        <v>265</v>
      </c>
      <c r="G386" s="488" t="s">
        <v>266</v>
      </c>
      <c r="H386" s="489"/>
      <c r="I386" s="489"/>
      <c r="J386" s="489" t="s">
        <v>784</v>
      </c>
      <c r="K386" s="491">
        <v>-1</v>
      </c>
      <c r="L386" s="488" t="s">
        <v>429</v>
      </c>
      <c r="M386" s="488"/>
      <c r="N386" s="489"/>
      <c r="O386" s="489"/>
      <c r="P386" s="489"/>
      <c r="Q386" s="489"/>
      <c r="R386" s="490"/>
      <c r="S386" s="489"/>
      <c r="T386" s="488" t="s">
        <v>268</v>
      </c>
    </row>
    <row r="387" ht="34.5">
      <c r="A387" s="488" t="s">
        <v>778</v>
      </c>
      <c r="B387" s="488" t="s">
        <v>779</v>
      </c>
      <c r="C387" s="488" t="s">
        <v>276</v>
      </c>
      <c r="D387" s="488" t="s">
        <v>263</v>
      </c>
      <c r="E387" s="488" t="s">
        <v>264</v>
      </c>
      <c r="F387" s="489" t="s">
        <v>265</v>
      </c>
      <c r="G387" s="488" t="s">
        <v>266</v>
      </c>
      <c r="H387" s="489"/>
      <c r="I387" s="489"/>
      <c r="J387" s="489" t="s">
        <v>785</v>
      </c>
      <c r="K387" s="491"/>
      <c r="L387" s="488"/>
      <c r="M387" s="488"/>
      <c r="N387" s="489"/>
      <c r="O387" s="489"/>
      <c r="P387" s="489"/>
      <c r="Q387" s="489"/>
      <c r="R387" s="490"/>
      <c r="S387" s="489"/>
      <c r="T387" s="488" t="s">
        <v>268</v>
      </c>
    </row>
    <row r="388" ht="34.5">
      <c r="A388" s="488" t="s">
        <v>778</v>
      </c>
      <c r="B388" s="488" t="s">
        <v>779</v>
      </c>
      <c r="C388" s="488" t="s">
        <v>276</v>
      </c>
      <c r="D388" s="488" t="s">
        <v>263</v>
      </c>
      <c r="E388" s="488" t="s">
        <v>264</v>
      </c>
      <c r="F388" s="489" t="s">
        <v>265</v>
      </c>
      <c r="G388" s="488" t="s">
        <v>266</v>
      </c>
      <c r="H388" s="489"/>
      <c r="I388" s="489"/>
      <c r="J388" s="489" t="s">
        <v>786</v>
      </c>
      <c r="K388" s="491"/>
      <c r="L388" s="488"/>
      <c r="M388" s="488"/>
      <c r="N388" s="489"/>
      <c r="O388" s="489"/>
      <c r="P388" s="489"/>
      <c r="Q388" s="489"/>
      <c r="R388" s="490"/>
      <c r="S388" s="489"/>
      <c r="T388" s="488" t="s">
        <v>268</v>
      </c>
    </row>
    <row r="389" ht="34.5">
      <c r="A389" s="488" t="s">
        <v>778</v>
      </c>
      <c r="B389" s="488" t="s">
        <v>779</v>
      </c>
      <c r="C389" s="488" t="s">
        <v>276</v>
      </c>
      <c r="D389" s="488" t="s">
        <v>263</v>
      </c>
      <c r="E389" s="488" t="s">
        <v>264</v>
      </c>
      <c r="F389" s="489" t="s">
        <v>265</v>
      </c>
      <c r="G389" s="488" t="s">
        <v>266</v>
      </c>
      <c r="H389" s="489"/>
      <c r="I389" s="489"/>
      <c r="J389" s="489" t="s">
        <v>787</v>
      </c>
      <c r="K389" s="491"/>
      <c r="L389" s="488"/>
      <c r="M389" s="488"/>
      <c r="N389" s="489"/>
      <c r="O389" s="489"/>
      <c r="P389" s="489"/>
      <c r="Q389" s="489"/>
      <c r="R389" s="490"/>
      <c r="S389" s="489"/>
      <c r="T389" s="488" t="s">
        <v>268</v>
      </c>
    </row>
    <row r="390" ht="34.5">
      <c r="A390" s="488" t="s">
        <v>778</v>
      </c>
      <c r="B390" s="488" t="s">
        <v>779</v>
      </c>
      <c r="C390" s="488" t="s">
        <v>276</v>
      </c>
      <c r="D390" s="488" t="s">
        <v>263</v>
      </c>
      <c r="E390" s="488" t="s">
        <v>264</v>
      </c>
      <c r="F390" s="489" t="s">
        <v>265</v>
      </c>
      <c r="G390" s="488" t="s">
        <v>266</v>
      </c>
      <c r="H390" s="489"/>
      <c r="I390" s="489"/>
      <c r="J390" s="489" t="s">
        <v>788</v>
      </c>
      <c r="K390" s="491"/>
      <c r="L390" s="488"/>
      <c r="M390" s="488"/>
      <c r="N390" s="489"/>
      <c r="O390" s="489"/>
      <c r="P390" s="489"/>
      <c r="Q390" s="489"/>
      <c r="R390" s="490"/>
      <c r="S390" s="489"/>
      <c r="T390" s="488" t="s">
        <v>268</v>
      </c>
    </row>
    <row r="391" ht="34.5">
      <c r="A391" s="488" t="s">
        <v>778</v>
      </c>
      <c r="B391" s="488" t="s">
        <v>779</v>
      </c>
      <c r="C391" s="488" t="s">
        <v>276</v>
      </c>
      <c r="D391" s="488" t="s">
        <v>263</v>
      </c>
      <c r="E391" s="488" t="s">
        <v>264</v>
      </c>
      <c r="F391" s="489" t="s">
        <v>265</v>
      </c>
      <c r="G391" s="488" t="s">
        <v>266</v>
      </c>
      <c r="H391" s="489"/>
      <c r="I391" s="489"/>
      <c r="J391" s="489" t="s">
        <v>290</v>
      </c>
      <c r="K391" s="491"/>
      <c r="L391" s="488"/>
      <c r="M391" s="488"/>
      <c r="N391" s="489"/>
      <c r="O391" s="489"/>
      <c r="P391" s="489"/>
      <c r="Q391" s="489"/>
      <c r="R391" s="490"/>
      <c r="S391" s="489"/>
      <c r="T391" s="488" t="s">
        <v>268</v>
      </c>
    </row>
    <row r="392" ht="34.5">
      <c r="A392" s="488" t="s">
        <v>778</v>
      </c>
      <c r="B392" s="488" t="s">
        <v>779</v>
      </c>
      <c r="C392" s="488" t="s">
        <v>276</v>
      </c>
      <c r="D392" s="488" t="s">
        <v>263</v>
      </c>
      <c r="E392" s="488" t="s">
        <v>264</v>
      </c>
      <c r="F392" s="489" t="s">
        <v>265</v>
      </c>
      <c r="G392" s="488" t="s">
        <v>266</v>
      </c>
      <c r="H392" s="489"/>
      <c r="I392" s="489"/>
      <c r="J392" s="489" t="s">
        <v>789</v>
      </c>
      <c r="K392" s="491"/>
      <c r="L392" s="488"/>
      <c r="M392" s="488"/>
      <c r="N392" s="489"/>
      <c r="O392" s="489"/>
      <c r="P392" s="489"/>
      <c r="Q392" s="489"/>
      <c r="R392" s="490"/>
      <c r="S392" s="489"/>
      <c r="T392" s="488" t="s">
        <v>268</v>
      </c>
    </row>
    <row r="393" ht="34.5">
      <c r="A393" s="488" t="s">
        <v>778</v>
      </c>
      <c r="B393" s="488" t="s">
        <v>779</v>
      </c>
      <c r="C393" s="488" t="s">
        <v>287</v>
      </c>
      <c r="D393" s="488" t="s">
        <v>263</v>
      </c>
      <c r="E393" s="488" t="s">
        <v>282</v>
      </c>
      <c r="F393" s="489" t="s">
        <v>790</v>
      </c>
      <c r="G393" s="488" t="s">
        <v>284</v>
      </c>
      <c r="H393" s="489"/>
      <c r="I393" s="489"/>
      <c r="J393" s="489" t="s">
        <v>299</v>
      </c>
      <c r="K393" s="491"/>
      <c r="L393" s="488"/>
      <c r="M393" s="488"/>
      <c r="N393" s="489"/>
      <c r="O393" s="489"/>
      <c r="P393" s="489"/>
      <c r="Q393" s="489"/>
      <c r="R393" s="490"/>
      <c r="S393" s="489"/>
      <c r="T393" s="488" t="s">
        <v>268</v>
      </c>
    </row>
    <row r="394" ht="34.5">
      <c r="A394" s="488" t="s">
        <v>778</v>
      </c>
      <c r="B394" s="488" t="s">
        <v>779</v>
      </c>
      <c r="C394" s="488" t="s">
        <v>287</v>
      </c>
      <c r="D394" s="488" t="s">
        <v>263</v>
      </c>
      <c r="E394" s="488" t="s">
        <v>282</v>
      </c>
      <c r="F394" s="489" t="s">
        <v>790</v>
      </c>
      <c r="G394" s="488" t="s">
        <v>284</v>
      </c>
      <c r="H394" s="489"/>
      <c r="I394" s="489"/>
      <c r="J394" s="489" t="s">
        <v>791</v>
      </c>
      <c r="K394" s="491"/>
      <c r="L394" s="488"/>
      <c r="M394" s="488"/>
      <c r="N394" s="489"/>
      <c r="O394" s="489"/>
      <c r="P394" s="489"/>
      <c r="Q394" s="489"/>
      <c r="R394" s="490"/>
      <c r="S394" s="489"/>
      <c r="T394" s="488" t="s">
        <v>268</v>
      </c>
    </row>
    <row r="395" ht="34.5">
      <c r="A395" s="488" t="s">
        <v>778</v>
      </c>
      <c r="B395" s="488" t="s">
        <v>779</v>
      </c>
      <c r="C395" s="488" t="s">
        <v>287</v>
      </c>
      <c r="D395" s="488" t="s">
        <v>263</v>
      </c>
      <c r="E395" s="488" t="s">
        <v>282</v>
      </c>
      <c r="F395" s="489" t="s">
        <v>790</v>
      </c>
      <c r="G395" s="488" t="s">
        <v>284</v>
      </c>
      <c r="H395" s="489"/>
      <c r="I395" s="489"/>
      <c r="J395" s="489" t="s">
        <v>792</v>
      </c>
      <c r="K395" s="491"/>
      <c r="L395" s="488"/>
      <c r="M395" s="488"/>
      <c r="N395" s="489"/>
      <c r="O395" s="489"/>
      <c r="P395" s="489"/>
      <c r="Q395" s="489"/>
      <c r="R395" s="490"/>
      <c r="S395" s="489"/>
      <c r="T395" s="488" t="s">
        <v>268</v>
      </c>
    </row>
    <row r="396" ht="34.5">
      <c r="A396" s="488" t="s">
        <v>778</v>
      </c>
      <c r="B396" s="488" t="s">
        <v>779</v>
      </c>
      <c r="C396" s="488" t="s">
        <v>287</v>
      </c>
      <c r="D396" s="488" t="s">
        <v>263</v>
      </c>
      <c r="E396" s="488" t="s">
        <v>282</v>
      </c>
      <c r="F396" s="489" t="s">
        <v>790</v>
      </c>
      <c r="G396" s="488" t="s">
        <v>284</v>
      </c>
      <c r="H396" s="489"/>
      <c r="I396" s="489"/>
      <c r="J396" s="489" t="s">
        <v>793</v>
      </c>
      <c r="K396" s="491"/>
      <c r="L396" s="488"/>
      <c r="M396" s="488"/>
      <c r="N396" s="489"/>
      <c r="O396" s="489"/>
      <c r="P396" s="489"/>
      <c r="Q396" s="489"/>
      <c r="R396" s="490"/>
      <c r="S396" s="489"/>
      <c r="T396" s="488" t="s">
        <v>268</v>
      </c>
    </row>
    <row r="397" ht="34.5">
      <c r="A397" s="488" t="s">
        <v>778</v>
      </c>
      <c r="B397" s="488" t="s">
        <v>779</v>
      </c>
      <c r="C397" s="488" t="s">
        <v>287</v>
      </c>
      <c r="D397" s="488" t="s">
        <v>263</v>
      </c>
      <c r="E397" s="488" t="s">
        <v>282</v>
      </c>
      <c r="F397" s="489" t="s">
        <v>790</v>
      </c>
      <c r="G397" s="488" t="s">
        <v>284</v>
      </c>
      <c r="H397" s="489"/>
      <c r="I397" s="489"/>
      <c r="J397" s="489" t="s">
        <v>794</v>
      </c>
      <c r="K397" s="491"/>
      <c r="L397" s="488"/>
      <c r="M397" s="488"/>
      <c r="N397" s="489"/>
      <c r="O397" s="489"/>
      <c r="P397" s="489"/>
      <c r="Q397" s="489"/>
      <c r="R397" s="490"/>
      <c r="S397" s="489"/>
      <c r="T397" s="488" t="s">
        <v>268</v>
      </c>
    </row>
    <row r="398" ht="34.5">
      <c r="A398" s="488" t="s">
        <v>778</v>
      </c>
      <c r="B398" s="488" t="s">
        <v>779</v>
      </c>
      <c r="C398" s="488" t="s">
        <v>287</v>
      </c>
      <c r="D398" s="488" t="s">
        <v>263</v>
      </c>
      <c r="E398" s="488" t="s">
        <v>282</v>
      </c>
      <c r="F398" s="489" t="s">
        <v>790</v>
      </c>
      <c r="G398" s="488" t="s">
        <v>284</v>
      </c>
      <c r="H398" s="489"/>
      <c r="I398" s="489"/>
      <c r="J398" s="489" t="s">
        <v>296</v>
      </c>
      <c r="K398" s="491"/>
      <c r="L398" s="488"/>
      <c r="M398" s="488"/>
      <c r="N398" s="489"/>
      <c r="O398" s="489"/>
      <c r="P398" s="489"/>
      <c r="Q398" s="489"/>
      <c r="R398" s="490"/>
      <c r="S398" s="489"/>
      <c r="T398" s="488" t="s">
        <v>268</v>
      </c>
    </row>
    <row r="399" ht="34.5">
      <c r="A399" s="488" t="s">
        <v>778</v>
      </c>
      <c r="B399" s="488" t="s">
        <v>779</v>
      </c>
      <c r="C399" s="488" t="s">
        <v>287</v>
      </c>
      <c r="D399" s="488" t="s">
        <v>263</v>
      </c>
      <c r="E399" s="488" t="s">
        <v>282</v>
      </c>
      <c r="F399" s="489" t="s">
        <v>790</v>
      </c>
      <c r="G399" s="488" t="s">
        <v>284</v>
      </c>
      <c r="H399" s="489"/>
      <c r="I399" s="489"/>
      <c r="J399" s="489" t="s">
        <v>795</v>
      </c>
      <c r="K399" s="491"/>
      <c r="L399" s="488"/>
      <c r="M399" s="488"/>
      <c r="N399" s="489"/>
      <c r="O399" s="489"/>
      <c r="P399" s="489"/>
      <c r="Q399" s="489"/>
      <c r="R399" s="490"/>
      <c r="S399" s="489"/>
      <c r="T399" s="488" t="s">
        <v>268</v>
      </c>
    </row>
    <row r="400" ht="34.5">
      <c r="A400" s="488" t="s">
        <v>778</v>
      </c>
      <c r="B400" s="488" t="s">
        <v>779</v>
      </c>
      <c r="C400" s="488" t="s">
        <v>287</v>
      </c>
      <c r="D400" s="488" t="s">
        <v>263</v>
      </c>
      <c r="E400" s="488" t="s">
        <v>282</v>
      </c>
      <c r="F400" s="489" t="s">
        <v>790</v>
      </c>
      <c r="G400" s="488" t="s">
        <v>284</v>
      </c>
      <c r="H400" s="489"/>
      <c r="I400" s="489"/>
      <c r="J400" s="489" t="s">
        <v>300</v>
      </c>
      <c r="K400" s="491"/>
      <c r="L400" s="488"/>
      <c r="M400" s="488"/>
      <c r="N400" s="489"/>
      <c r="O400" s="489"/>
      <c r="P400" s="489"/>
      <c r="Q400" s="489"/>
      <c r="R400" s="490"/>
      <c r="S400" s="489"/>
      <c r="T400" s="488" t="s">
        <v>268</v>
      </c>
    </row>
    <row r="401" ht="34.5">
      <c r="A401" s="488" t="s">
        <v>778</v>
      </c>
      <c r="B401" s="488" t="s">
        <v>779</v>
      </c>
      <c r="C401" s="488" t="s">
        <v>287</v>
      </c>
      <c r="D401" s="488" t="s">
        <v>263</v>
      </c>
      <c r="E401" s="488" t="s">
        <v>282</v>
      </c>
      <c r="F401" s="489" t="s">
        <v>790</v>
      </c>
      <c r="G401" s="488" t="s">
        <v>284</v>
      </c>
      <c r="H401" s="489"/>
      <c r="I401" s="489"/>
      <c r="J401" s="489" t="s">
        <v>796</v>
      </c>
      <c r="K401" s="491"/>
      <c r="L401" s="488"/>
      <c r="M401" s="488"/>
      <c r="N401" s="489"/>
      <c r="O401" s="489"/>
      <c r="P401" s="489"/>
      <c r="Q401" s="489"/>
      <c r="R401" s="490"/>
      <c r="S401" s="489"/>
      <c r="T401" s="488" t="s">
        <v>268</v>
      </c>
    </row>
    <row r="402" ht="34.5">
      <c r="A402" s="488" t="s">
        <v>778</v>
      </c>
      <c r="B402" s="488" t="s">
        <v>779</v>
      </c>
      <c r="C402" s="488" t="s">
        <v>298</v>
      </c>
      <c r="D402" s="488" t="s">
        <v>263</v>
      </c>
      <c r="E402" s="488" t="s">
        <v>282</v>
      </c>
      <c r="F402" s="489" t="s">
        <v>790</v>
      </c>
      <c r="G402" s="488" t="s">
        <v>284</v>
      </c>
      <c r="H402" s="489"/>
      <c r="I402" s="489"/>
      <c r="J402" s="489" t="s">
        <v>289</v>
      </c>
      <c r="K402" s="491"/>
      <c r="L402" s="488"/>
      <c r="M402" s="488"/>
      <c r="N402" s="489"/>
      <c r="O402" s="489"/>
      <c r="P402" s="489"/>
      <c r="Q402" s="489"/>
      <c r="R402" s="490"/>
      <c r="S402" s="489"/>
      <c r="T402" s="488" t="s">
        <v>268</v>
      </c>
    </row>
    <row r="403" ht="34.5">
      <c r="A403" s="488" t="s">
        <v>778</v>
      </c>
      <c r="B403" s="488" t="s">
        <v>779</v>
      </c>
      <c r="C403" s="488" t="s">
        <v>298</v>
      </c>
      <c r="D403" s="488" t="s">
        <v>263</v>
      </c>
      <c r="E403" s="488" t="s">
        <v>282</v>
      </c>
      <c r="F403" s="489" t="s">
        <v>790</v>
      </c>
      <c r="G403" s="488" t="s">
        <v>284</v>
      </c>
      <c r="H403" s="489"/>
      <c r="I403" s="489"/>
      <c r="J403" s="489" t="s">
        <v>797</v>
      </c>
      <c r="K403" s="491"/>
      <c r="L403" s="488"/>
      <c r="M403" s="488"/>
      <c r="N403" s="489"/>
      <c r="O403" s="489"/>
      <c r="P403" s="489"/>
      <c r="Q403" s="489"/>
      <c r="R403" s="490"/>
      <c r="S403" s="489"/>
      <c r="T403" s="488" t="s">
        <v>268</v>
      </c>
    </row>
    <row r="404" ht="34.5">
      <c r="A404" s="488" t="s">
        <v>778</v>
      </c>
      <c r="B404" s="488" t="s">
        <v>779</v>
      </c>
      <c r="C404" s="488" t="s">
        <v>298</v>
      </c>
      <c r="D404" s="488" t="s">
        <v>263</v>
      </c>
      <c r="E404" s="488" t="s">
        <v>282</v>
      </c>
      <c r="F404" s="489" t="s">
        <v>790</v>
      </c>
      <c r="G404" s="488" t="s">
        <v>284</v>
      </c>
      <c r="H404" s="489"/>
      <c r="I404" s="489"/>
      <c r="J404" s="489" t="s">
        <v>798</v>
      </c>
      <c r="K404" s="491"/>
      <c r="L404" s="488"/>
      <c r="M404" s="488"/>
      <c r="N404" s="489"/>
      <c r="O404" s="489"/>
      <c r="P404" s="489"/>
      <c r="Q404" s="489"/>
      <c r="R404" s="490"/>
      <c r="S404" s="489"/>
      <c r="T404" s="488" t="s">
        <v>268</v>
      </c>
    </row>
    <row r="405" ht="34.5">
      <c r="A405" s="488" t="s">
        <v>778</v>
      </c>
      <c r="B405" s="488" t="s">
        <v>779</v>
      </c>
      <c r="C405" s="488" t="s">
        <v>298</v>
      </c>
      <c r="D405" s="488" t="s">
        <v>263</v>
      </c>
      <c r="E405" s="488" t="s">
        <v>282</v>
      </c>
      <c r="F405" s="489" t="s">
        <v>790</v>
      </c>
      <c r="G405" s="488" t="s">
        <v>284</v>
      </c>
      <c r="H405" s="489"/>
      <c r="I405" s="489"/>
      <c r="J405" s="489" t="s">
        <v>799</v>
      </c>
      <c r="K405" s="491"/>
      <c r="L405" s="488"/>
      <c r="M405" s="488"/>
      <c r="N405" s="489"/>
      <c r="O405" s="489"/>
      <c r="P405" s="489"/>
      <c r="Q405" s="489"/>
      <c r="R405" s="490"/>
      <c r="S405" s="489"/>
      <c r="T405" s="488" t="s">
        <v>268</v>
      </c>
    </row>
    <row r="406" ht="34.5">
      <c r="A406" s="488" t="s">
        <v>778</v>
      </c>
      <c r="B406" s="488" t="s">
        <v>779</v>
      </c>
      <c r="C406" s="488" t="s">
        <v>298</v>
      </c>
      <c r="D406" s="488" t="s">
        <v>263</v>
      </c>
      <c r="E406" s="488" t="s">
        <v>282</v>
      </c>
      <c r="F406" s="489" t="s">
        <v>790</v>
      </c>
      <c r="G406" s="488" t="s">
        <v>284</v>
      </c>
      <c r="H406" s="489"/>
      <c r="I406" s="489"/>
      <c r="J406" s="489" t="s">
        <v>800</v>
      </c>
      <c r="K406" s="491"/>
      <c r="L406" s="488"/>
      <c r="M406" s="488"/>
      <c r="N406" s="489"/>
      <c r="O406" s="489"/>
      <c r="P406" s="489"/>
      <c r="Q406" s="489"/>
      <c r="R406" s="490"/>
      <c r="S406" s="489"/>
      <c r="T406" s="488" t="s">
        <v>268</v>
      </c>
    </row>
    <row r="407" ht="34.5">
      <c r="A407" s="488" t="s">
        <v>778</v>
      </c>
      <c r="B407" s="488" t="s">
        <v>779</v>
      </c>
      <c r="C407" s="488" t="s">
        <v>298</v>
      </c>
      <c r="D407" s="488" t="s">
        <v>263</v>
      </c>
      <c r="E407" s="488" t="s">
        <v>282</v>
      </c>
      <c r="F407" s="489" t="s">
        <v>790</v>
      </c>
      <c r="G407" s="488" t="s">
        <v>284</v>
      </c>
      <c r="H407" s="489"/>
      <c r="I407" s="489"/>
      <c r="J407" s="489" t="s">
        <v>801</v>
      </c>
      <c r="K407" s="491"/>
      <c r="L407" s="488"/>
      <c r="M407" s="488"/>
      <c r="N407" s="489"/>
      <c r="O407" s="489"/>
      <c r="P407" s="489"/>
      <c r="Q407" s="489"/>
      <c r="R407" s="490"/>
      <c r="S407" s="489"/>
      <c r="T407" s="488" t="s">
        <v>268</v>
      </c>
    </row>
    <row r="408" ht="34.5">
      <c r="A408" s="488" t="s">
        <v>778</v>
      </c>
      <c r="B408" s="488" t="s">
        <v>779</v>
      </c>
      <c r="C408" s="488" t="s">
        <v>298</v>
      </c>
      <c r="D408" s="488" t="s">
        <v>263</v>
      </c>
      <c r="E408" s="488" t="s">
        <v>282</v>
      </c>
      <c r="F408" s="489" t="s">
        <v>790</v>
      </c>
      <c r="G408" s="488" t="s">
        <v>284</v>
      </c>
      <c r="H408" s="489"/>
      <c r="I408" s="489"/>
      <c r="J408" s="489" t="s">
        <v>307</v>
      </c>
      <c r="K408" s="491"/>
      <c r="L408" s="488"/>
      <c r="M408" s="488"/>
      <c r="N408" s="489"/>
      <c r="O408" s="489"/>
      <c r="P408" s="489"/>
      <c r="Q408" s="489"/>
      <c r="R408" s="490"/>
      <c r="S408" s="489"/>
      <c r="T408" s="488" t="s">
        <v>268</v>
      </c>
    </row>
    <row r="409" ht="34.5">
      <c r="A409" s="488" t="s">
        <v>778</v>
      </c>
      <c r="B409" s="488" t="s">
        <v>779</v>
      </c>
      <c r="C409" s="488" t="s">
        <v>298</v>
      </c>
      <c r="D409" s="488" t="s">
        <v>263</v>
      </c>
      <c r="E409" s="488" t="s">
        <v>282</v>
      </c>
      <c r="F409" s="489" t="s">
        <v>790</v>
      </c>
      <c r="G409" s="488" t="s">
        <v>284</v>
      </c>
      <c r="H409" s="489"/>
      <c r="I409" s="489"/>
      <c r="J409" s="489" t="s">
        <v>802</v>
      </c>
      <c r="K409" s="491"/>
      <c r="L409" s="488"/>
      <c r="M409" s="488"/>
      <c r="N409" s="489"/>
      <c r="O409" s="489"/>
      <c r="P409" s="489"/>
      <c r="Q409" s="489"/>
      <c r="R409" s="490"/>
      <c r="S409" s="489"/>
      <c r="T409" s="488" t="s">
        <v>268</v>
      </c>
    </row>
    <row r="410" ht="34.5">
      <c r="A410" s="488" t="s">
        <v>778</v>
      </c>
      <c r="B410" s="488" t="s">
        <v>779</v>
      </c>
      <c r="C410" s="488" t="s">
        <v>298</v>
      </c>
      <c r="D410" s="488" t="s">
        <v>263</v>
      </c>
      <c r="E410" s="488" t="s">
        <v>282</v>
      </c>
      <c r="F410" s="489" t="s">
        <v>790</v>
      </c>
      <c r="G410" s="488" t="s">
        <v>284</v>
      </c>
      <c r="H410" s="489"/>
      <c r="I410" s="489"/>
      <c r="J410" s="489" t="s">
        <v>311</v>
      </c>
      <c r="K410" s="491"/>
      <c r="L410" s="488"/>
      <c r="M410" s="488"/>
      <c r="N410" s="489"/>
      <c r="O410" s="489"/>
      <c r="P410" s="489"/>
      <c r="Q410" s="489"/>
      <c r="R410" s="490"/>
      <c r="S410" s="489"/>
      <c r="T410" s="488" t="s">
        <v>268</v>
      </c>
    </row>
    <row r="411" ht="34.5">
      <c r="A411" s="488" t="s">
        <v>778</v>
      </c>
      <c r="B411" s="488" t="s">
        <v>779</v>
      </c>
      <c r="C411" s="488" t="s">
        <v>308</v>
      </c>
      <c r="D411" s="488" t="s">
        <v>263</v>
      </c>
      <c r="E411" s="488" t="s">
        <v>282</v>
      </c>
      <c r="F411" s="489" t="s">
        <v>790</v>
      </c>
      <c r="G411" s="488" t="s">
        <v>284</v>
      </c>
      <c r="H411" s="489"/>
      <c r="I411" s="489"/>
      <c r="J411" s="489" t="s">
        <v>318</v>
      </c>
      <c r="K411" s="491"/>
      <c r="L411" s="488"/>
      <c r="M411" s="488"/>
      <c r="N411" s="489"/>
      <c r="O411" s="489"/>
      <c r="P411" s="489"/>
      <c r="Q411" s="489"/>
      <c r="R411" s="490"/>
      <c r="S411" s="489"/>
      <c r="T411" s="488" t="s">
        <v>268</v>
      </c>
    </row>
    <row r="412" ht="34.5">
      <c r="A412" s="488" t="s">
        <v>778</v>
      </c>
      <c r="B412" s="488" t="s">
        <v>779</v>
      </c>
      <c r="C412" s="488" t="s">
        <v>308</v>
      </c>
      <c r="D412" s="488" t="s">
        <v>263</v>
      </c>
      <c r="E412" s="488" t="s">
        <v>282</v>
      </c>
      <c r="F412" s="489" t="s">
        <v>790</v>
      </c>
      <c r="G412" s="488" t="s">
        <v>284</v>
      </c>
      <c r="H412" s="489"/>
      <c r="I412" s="489"/>
      <c r="J412" s="489" t="s">
        <v>803</v>
      </c>
      <c r="K412" s="491"/>
      <c r="L412" s="488"/>
      <c r="M412" s="488"/>
      <c r="N412" s="489"/>
      <c r="O412" s="489"/>
      <c r="P412" s="489"/>
      <c r="Q412" s="489"/>
      <c r="R412" s="490"/>
      <c r="S412" s="489"/>
      <c r="T412" s="488" t="s">
        <v>268</v>
      </c>
    </row>
    <row r="413" ht="34.5">
      <c r="A413" s="488" t="s">
        <v>778</v>
      </c>
      <c r="B413" s="488" t="s">
        <v>779</v>
      </c>
      <c r="C413" s="488" t="s">
        <v>308</v>
      </c>
      <c r="D413" s="488" t="s">
        <v>263</v>
      </c>
      <c r="E413" s="488" t="s">
        <v>282</v>
      </c>
      <c r="F413" s="489" t="s">
        <v>790</v>
      </c>
      <c r="G413" s="488" t="s">
        <v>284</v>
      </c>
      <c r="H413" s="489"/>
      <c r="I413" s="489"/>
      <c r="J413" s="489" t="s">
        <v>312</v>
      </c>
      <c r="K413" s="491"/>
      <c r="L413" s="488"/>
      <c r="M413" s="488"/>
      <c r="N413" s="489"/>
      <c r="O413" s="489"/>
      <c r="P413" s="489"/>
      <c r="Q413" s="489"/>
      <c r="R413" s="490"/>
      <c r="S413" s="489"/>
      <c r="T413" s="488" t="s">
        <v>268</v>
      </c>
    </row>
    <row r="414" ht="34.5">
      <c r="A414" s="488" t="s">
        <v>778</v>
      </c>
      <c r="B414" s="488" t="s">
        <v>779</v>
      </c>
      <c r="C414" s="488" t="s">
        <v>308</v>
      </c>
      <c r="D414" s="488" t="s">
        <v>263</v>
      </c>
      <c r="E414" s="488" t="s">
        <v>282</v>
      </c>
      <c r="F414" s="489" t="s">
        <v>790</v>
      </c>
      <c r="G414" s="488" t="s">
        <v>284</v>
      </c>
      <c r="H414" s="489"/>
      <c r="I414" s="489"/>
      <c r="J414" s="489" t="s">
        <v>313</v>
      </c>
      <c r="K414" s="491"/>
      <c r="L414" s="488"/>
      <c r="M414" s="488"/>
      <c r="N414" s="489"/>
      <c r="O414" s="489"/>
      <c r="P414" s="489"/>
      <c r="Q414" s="489"/>
      <c r="R414" s="490"/>
      <c r="S414" s="489"/>
      <c r="T414" s="488" t="s">
        <v>268</v>
      </c>
    </row>
    <row r="415" ht="34.5">
      <c r="A415" s="488" t="s">
        <v>778</v>
      </c>
      <c r="B415" s="488" t="s">
        <v>779</v>
      </c>
      <c r="C415" s="488" t="s">
        <v>308</v>
      </c>
      <c r="D415" s="488" t="s">
        <v>263</v>
      </c>
      <c r="E415" s="488" t="s">
        <v>282</v>
      </c>
      <c r="F415" s="489" t="s">
        <v>790</v>
      </c>
      <c r="G415" s="488" t="s">
        <v>284</v>
      </c>
      <c r="H415" s="489"/>
      <c r="I415" s="489"/>
      <c r="J415" s="489" t="s">
        <v>314</v>
      </c>
      <c r="K415" s="491"/>
      <c r="L415" s="488"/>
      <c r="M415" s="488"/>
      <c r="N415" s="489"/>
      <c r="O415" s="489"/>
      <c r="P415" s="489"/>
      <c r="Q415" s="489"/>
      <c r="R415" s="490"/>
      <c r="S415" s="489"/>
      <c r="T415" s="488" t="s">
        <v>268</v>
      </c>
    </row>
    <row r="416" ht="34.5">
      <c r="A416" s="488" t="s">
        <v>778</v>
      </c>
      <c r="B416" s="488" t="s">
        <v>779</v>
      </c>
      <c r="C416" s="488" t="s">
        <v>308</v>
      </c>
      <c r="D416" s="488" t="s">
        <v>263</v>
      </c>
      <c r="E416" s="488" t="s">
        <v>282</v>
      </c>
      <c r="F416" s="489" t="s">
        <v>790</v>
      </c>
      <c r="G416" s="488" t="s">
        <v>284</v>
      </c>
      <c r="H416" s="489"/>
      <c r="I416" s="489"/>
      <c r="J416" s="489" t="s">
        <v>315</v>
      </c>
      <c r="K416" s="491"/>
      <c r="L416" s="488"/>
      <c r="M416" s="488"/>
      <c r="N416" s="489"/>
      <c r="O416" s="489"/>
      <c r="P416" s="489"/>
      <c r="Q416" s="489"/>
      <c r="R416" s="490"/>
      <c r="S416" s="489"/>
      <c r="T416" s="488" t="s">
        <v>268</v>
      </c>
    </row>
    <row r="417" ht="34.5">
      <c r="A417" s="488" t="s">
        <v>778</v>
      </c>
      <c r="B417" s="488" t="s">
        <v>779</v>
      </c>
      <c r="C417" s="488" t="s">
        <v>308</v>
      </c>
      <c r="D417" s="488" t="s">
        <v>263</v>
      </c>
      <c r="E417" s="488" t="s">
        <v>282</v>
      </c>
      <c r="F417" s="489" t="s">
        <v>790</v>
      </c>
      <c r="G417" s="488" t="s">
        <v>284</v>
      </c>
      <c r="H417" s="489"/>
      <c r="I417" s="489"/>
      <c r="J417" s="489" t="s">
        <v>316</v>
      </c>
      <c r="K417" s="491"/>
      <c r="L417" s="488"/>
      <c r="M417" s="488"/>
      <c r="N417" s="489"/>
      <c r="O417" s="489"/>
      <c r="P417" s="489"/>
      <c r="Q417" s="489"/>
      <c r="R417" s="490"/>
      <c r="S417" s="489"/>
      <c r="T417" s="488" t="s">
        <v>268</v>
      </c>
    </row>
    <row r="418" ht="34.5">
      <c r="A418" s="488" t="s">
        <v>778</v>
      </c>
      <c r="B418" s="488" t="s">
        <v>779</v>
      </c>
      <c r="C418" s="488" t="s">
        <v>308</v>
      </c>
      <c r="D418" s="488" t="s">
        <v>263</v>
      </c>
      <c r="E418" s="488" t="s">
        <v>282</v>
      </c>
      <c r="F418" s="489" t="s">
        <v>790</v>
      </c>
      <c r="G418" s="488" t="s">
        <v>284</v>
      </c>
      <c r="H418" s="489"/>
      <c r="I418" s="489"/>
      <c r="J418" s="489" t="s">
        <v>319</v>
      </c>
      <c r="K418" s="491"/>
      <c r="L418" s="488"/>
      <c r="M418" s="488"/>
      <c r="N418" s="489"/>
      <c r="O418" s="489"/>
      <c r="P418" s="489"/>
      <c r="Q418" s="489"/>
      <c r="R418" s="490"/>
      <c r="S418" s="489"/>
      <c r="T418" s="488" t="s">
        <v>268</v>
      </c>
    </row>
    <row r="419" ht="34.5">
      <c r="A419" s="488" t="s">
        <v>778</v>
      </c>
      <c r="B419" s="488" t="s">
        <v>779</v>
      </c>
      <c r="C419" s="488" t="s">
        <v>308</v>
      </c>
      <c r="D419" s="488" t="s">
        <v>263</v>
      </c>
      <c r="E419" s="488" t="s">
        <v>282</v>
      </c>
      <c r="F419" s="489" t="s">
        <v>790</v>
      </c>
      <c r="G419" s="488" t="s">
        <v>284</v>
      </c>
      <c r="H419" s="489"/>
      <c r="I419" s="489"/>
      <c r="J419" s="489" t="s">
        <v>320</v>
      </c>
      <c r="K419" s="491"/>
      <c r="L419" s="488"/>
      <c r="M419" s="488"/>
      <c r="N419" s="489"/>
      <c r="O419" s="489"/>
      <c r="P419" s="489"/>
      <c r="Q419" s="489"/>
      <c r="R419" s="490"/>
      <c r="S419" s="489"/>
      <c r="T419" s="488" t="s">
        <v>268</v>
      </c>
    </row>
    <row r="420" ht="34.5">
      <c r="A420" s="488" t="s">
        <v>778</v>
      </c>
      <c r="B420" s="488" t="s">
        <v>779</v>
      </c>
      <c r="C420" s="488" t="s">
        <v>317</v>
      </c>
      <c r="D420" s="488" t="s">
        <v>263</v>
      </c>
      <c r="E420" s="488" t="s">
        <v>282</v>
      </c>
      <c r="F420" s="489" t="s">
        <v>790</v>
      </c>
      <c r="G420" s="488" t="s">
        <v>284</v>
      </c>
      <c r="H420" s="489"/>
      <c r="I420" s="489"/>
      <c r="J420" s="489" t="s">
        <v>321</v>
      </c>
      <c r="K420" s="491"/>
      <c r="L420" s="488"/>
      <c r="M420" s="488"/>
      <c r="N420" s="489"/>
      <c r="O420" s="489"/>
      <c r="P420" s="489"/>
      <c r="Q420" s="489"/>
      <c r="R420" s="490"/>
      <c r="S420" s="489"/>
      <c r="T420" s="488" t="s">
        <v>268</v>
      </c>
    </row>
    <row r="421" ht="34.5">
      <c r="A421" s="488" t="s">
        <v>778</v>
      </c>
      <c r="B421" s="488" t="s">
        <v>779</v>
      </c>
      <c r="C421" s="488" t="s">
        <v>317</v>
      </c>
      <c r="D421" s="488" t="s">
        <v>263</v>
      </c>
      <c r="E421" s="488" t="s">
        <v>282</v>
      </c>
      <c r="F421" s="489" t="s">
        <v>790</v>
      </c>
      <c r="G421" s="488" t="s">
        <v>284</v>
      </c>
      <c r="H421" s="489"/>
      <c r="I421" s="489"/>
      <c r="J421" s="489" t="s">
        <v>322</v>
      </c>
      <c r="K421" s="491"/>
      <c r="L421" s="488"/>
      <c r="M421" s="488"/>
      <c r="N421" s="489"/>
      <c r="O421" s="489"/>
      <c r="P421" s="489"/>
      <c r="Q421" s="489"/>
      <c r="R421" s="490"/>
      <c r="S421" s="489"/>
      <c r="T421" s="488" t="s">
        <v>268</v>
      </c>
    </row>
    <row r="422" ht="34.5">
      <c r="A422" s="488" t="s">
        <v>778</v>
      </c>
      <c r="B422" s="488" t="s">
        <v>779</v>
      </c>
      <c r="C422" s="488" t="s">
        <v>317</v>
      </c>
      <c r="D422" s="488" t="s">
        <v>263</v>
      </c>
      <c r="E422" s="488" t="s">
        <v>282</v>
      </c>
      <c r="F422" s="489" t="s">
        <v>790</v>
      </c>
      <c r="G422" s="488" t="s">
        <v>284</v>
      </c>
      <c r="H422" s="489"/>
      <c r="I422" s="489"/>
      <c r="J422" s="489" t="s">
        <v>804</v>
      </c>
      <c r="K422" s="491"/>
      <c r="L422" s="488"/>
      <c r="M422" s="488"/>
      <c r="N422" s="489"/>
      <c r="O422" s="489"/>
      <c r="P422" s="489"/>
      <c r="Q422" s="489"/>
      <c r="R422" s="490"/>
      <c r="S422" s="489"/>
      <c r="T422" s="488" t="s">
        <v>268</v>
      </c>
    </row>
    <row r="423" ht="34.5">
      <c r="A423" s="488" t="s">
        <v>778</v>
      </c>
      <c r="B423" s="488" t="s">
        <v>779</v>
      </c>
      <c r="C423" s="488" t="s">
        <v>317</v>
      </c>
      <c r="D423" s="488" t="s">
        <v>263</v>
      </c>
      <c r="E423" s="488" t="s">
        <v>282</v>
      </c>
      <c r="F423" s="489" t="s">
        <v>790</v>
      </c>
      <c r="G423" s="488" t="s">
        <v>284</v>
      </c>
      <c r="H423" s="489"/>
      <c r="I423" s="489"/>
      <c r="J423" s="489" t="s">
        <v>805</v>
      </c>
      <c r="K423" s="491"/>
      <c r="L423" s="488"/>
      <c r="M423" s="488"/>
      <c r="N423" s="489"/>
      <c r="O423" s="489"/>
      <c r="P423" s="489"/>
      <c r="Q423" s="489"/>
      <c r="R423" s="490"/>
      <c r="S423" s="489"/>
      <c r="T423" s="488" t="s">
        <v>268</v>
      </c>
    </row>
    <row r="424" ht="34.5">
      <c r="A424" s="488" t="s">
        <v>778</v>
      </c>
      <c r="B424" s="488" t="s">
        <v>779</v>
      </c>
      <c r="C424" s="488" t="s">
        <v>317</v>
      </c>
      <c r="D424" s="488" t="s">
        <v>263</v>
      </c>
      <c r="E424" s="488" t="s">
        <v>282</v>
      </c>
      <c r="F424" s="489" t="s">
        <v>790</v>
      </c>
      <c r="G424" s="488" t="s">
        <v>284</v>
      </c>
      <c r="H424" s="489"/>
      <c r="I424" s="489"/>
      <c r="J424" s="489" t="s">
        <v>806</v>
      </c>
      <c r="K424" s="491"/>
      <c r="L424" s="488"/>
      <c r="M424" s="488"/>
      <c r="N424" s="489"/>
      <c r="O424" s="489"/>
      <c r="P424" s="489"/>
      <c r="Q424" s="489"/>
      <c r="R424" s="490"/>
      <c r="S424" s="489"/>
      <c r="T424" s="488" t="s">
        <v>268</v>
      </c>
    </row>
    <row r="425" ht="34.5">
      <c r="A425" s="488" t="s">
        <v>778</v>
      </c>
      <c r="B425" s="488" t="s">
        <v>779</v>
      </c>
      <c r="C425" s="488" t="s">
        <v>317</v>
      </c>
      <c r="D425" s="488" t="s">
        <v>263</v>
      </c>
      <c r="E425" s="488" t="s">
        <v>282</v>
      </c>
      <c r="F425" s="489" t="s">
        <v>790</v>
      </c>
      <c r="G425" s="488" t="s">
        <v>284</v>
      </c>
      <c r="H425" s="489"/>
      <c r="I425" s="489"/>
      <c r="J425" s="489" t="s">
        <v>807</v>
      </c>
      <c r="K425" s="491"/>
      <c r="L425" s="488"/>
      <c r="M425" s="488"/>
      <c r="N425" s="489"/>
      <c r="O425" s="489"/>
      <c r="P425" s="489"/>
      <c r="Q425" s="489"/>
      <c r="R425" s="490"/>
      <c r="S425" s="489"/>
      <c r="T425" s="488" t="s">
        <v>268</v>
      </c>
    </row>
    <row r="426" ht="34.5">
      <c r="A426" s="488" t="s">
        <v>778</v>
      </c>
      <c r="B426" s="488" t="s">
        <v>779</v>
      </c>
      <c r="C426" s="488" t="s">
        <v>317</v>
      </c>
      <c r="D426" s="488" t="s">
        <v>263</v>
      </c>
      <c r="E426" s="488" t="s">
        <v>282</v>
      </c>
      <c r="F426" s="489" t="s">
        <v>790</v>
      </c>
      <c r="G426" s="488" t="s">
        <v>284</v>
      </c>
      <c r="H426" s="489"/>
      <c r="I426" s="489"/>
      <c r="J426" s="489" t="s">
        <v>808</v>
      </c>
      <c r="K426" s="491"/>
      <c r="L426" s="488"/>
      <c r="M426" s="488"/>
      <c r="N426" s="489"/>
      <c r="O426" s="489"/>
      <c r="P426" s="489"/>
      <c r="Q426" s="489"/>
      <c r="R426" s="490"/>
      <c r="S426" s="489"/>
      <c r="T426" s="488" t="s">
        <v>268</v>
      </c>
    </row>
    <row r="427" ht="34.5">
      <c r="A427" s="488" t="s">
        <v>778</v>
      </c>
      <c r="B427" s="488" t="s">
        <v>779</v>
      </c>
      <c r="C427" s="488" t="s">
        <v>317</v>
      </c>
      <c r="D427" s="488" t="s">
        <v>263</v>
      </c>
      <c r="E427" s="488" t="s">
        <v>282</v>
      </c>
      <c r="F427" s="489" t="s">
        <v>790</v>
      </c>
      <c r="G427" s="488" t="s">
        <v>284</v>
      </c>
      <c r="H427" s="489"/>
      <c r="I427" s="489"/>
      <c r="J427" s="489" t="s">
        <v>809</v>
      </c>
      <c r="K427" s="491"/>
      <c r="L427" s="488"/>
      <c r="M427" s="488"/>
      <c r="N427" s="489"/>
      <c r="O427" s="489"/>
      <c r="P427" s="489"/>
      <c r="Q427" s="489"/>
      <c r="R427" s="490"/>
      <c r="S427" s="489"/>
      <c r="T427" s="488" t="s">
        <v>268</v>
      </c>
    </row>
    <row r="428" ht="34.5">
      <c r="A428" s="488" t="s">
        <v>778</v>
      </c>
      <c r="B428" s="488" t="s">
        <v>779</v>
      </c>
      <c r="C428" s="488" t="s">
        <v>328</v>
      </c>
      <c r="D428" s="488" t="s">
        <v>263</v>
      </c>
      <c r="E428" s="488" t="s">
        <v>282</v>
      </c>
      <c r="F428" s="489" t="s">
        <v>790</v>
      </c>
      <c r="G428" s="488" t="s">
        <v>284</v>
      </c>
      <c r="H428" s="489"/>
      <c r="I428" s="489"/>
      <c r="J428" s="489" t="s">
        <v>329</v>
      </c>
      <c r="K428" s="491"/>
      <c r="L428" s="488"/>
      <c r="M428" s="488"/>
      <c r="N428" s="489"/>
      <c r="O428" s="489"/>
      <c r="P428" s="489"/>
      <c r="Q428" s="489"/>
      <c r="R428" s="490"/>
      <c r="S428" s="489"/>
      <c r="T428" s="488" t="s">
        <v>268</v>
      </c>
    </row>
    <row r="429" ht="34.5">
      <c r="A429" s="488" t="s">
        <v>778</v>
      </c>
      <c r="B429" s="488" t="s">
        <v>779</v>
      </c>
      <c r="C429" s="488" t="s">
        <v>328</v>
      </c>
      <c r="D429" s="488" t="s">
        <v>263</v>
      </c>
      <c r="E429" s="488" t="s">
        <v>282</v>
      </c>
      <c r="F429" s="489" t="s">
        <v>790</v>
      </c>
      <c r="G429" s="488" t="s">
        <v>284</v>
      </c>
      <c r="H429" s="489"/>
      <c r="I429" s="489"/>
      <c r="J429" s="489" t="s">
        <v>810</v>
      </c>
      <c r="K429" s="491"/>
      <c r="L429" s="488"/>
      <c r="M429" s="488"/>
      <c r="N429" s="489"/>
      <c r="O429" s="489"/>
      <c r="P429" s="489"/>
      <c r="Q429" s="489"/>
      <c r="R429" s="490"/>
      <c r="S429" s="489"/>
      <c r="T429" s="488" t="s">
        <v>268</v>
      </c>
    </row>
    <row r="430" ht="34.5">
      <c r="A430" s="488" t="s">
        <v>778</v>
      </c>
      <c r="B430" s="488" t="s">
        <v>779</v>
      </c>
      <c r="C430" s="488" t="s">
        <v>328</v>
      </c>
      <c r="D430" s="488" t="s">
        <v>263</v>
      </c>
      <c r="E430" s="488" t="s">
        <v>282</v>
      </c>
      <c r="F430" s="489" t="s">
        <v>790</v>
      </c>
      <c r="G430" s="488" t="s">
        <v>284</v>
      </c>
      <c r="H430" s="489"/>
      <c r="I430" s="489"/>
      <c r="J430" s="489" t="s">
        <v>811</v>
      </c>
      <c r="K430" s="491"/>
      <c r="L430" s="488"/>
      <c r="M430" s="488"/>
      <c r="N430" s="489"/>
      <c r="O430" s="489"/>
      <c r="P430" s="489"/>
      <c r="Q430" s="489"/>
      <c r="R430" s="490"/>
      <c r="S430" s="489"/>
      <c r="T430" s="488" t="s">
        <v>268</v>
      </c>
    </row>
    <row r="431" ht="34.5">
      <c r="A431" s="488" t="s">
        <v>778</v>
      </c>
      <c r="B431" s="488" t="s">
        <v>779</v>
      </c>
      <c r="C431" s="488" t="s">
        <v>328</v>
      </c>
      <c r="D431" s="488" t="s">
        <v>263</v>
      </c>
      <c r="E431" s="488" t="s">
        <v>282</v>
      </c>
      <c r="F431" s="489" t="s">
        <v>790</v>
      </c>
      <c r="G431" s="488" t="s">
        <v>284</v>
      </c>
      <c r="H431" s="489"/>
      <c r="I431" s="489"/>
      <c r="J431" s="489" t="s">
        <v>812</v>
      </c>
      <c r="K431" s="491"/>
      <c r="L431" s="488"/>
      <c r="M431" s="488"/>
      <c r="N431" s="489"/>
      <c r="O431" s="489"/>
      <c r="P431" s="489"/>
      <c r="Q431" s="489"/>
      <c r="R431" s="490"/>
      <c r="S431" s="489"/>
      <c r="T431" s="488" t="s">
        <v>268</v>
      </c>
    </row>
    <row r="432" ht="34.5">
      <c r="A432" s="488" t="s">
        <v>778</v>
      </c>
      <c r="B432" s="488" t="s">
        <v>779</v>
      </c>
      <c r="C432" s="488" t="s">
        <v>328</v>
      </c>
      <c r="D432" s="488" t="s">
        <v>263</v>
      </c>
      <c r="E432" s="488" t="s">
        <v>282</v>
      </c>
      <c r="F432" s="489" t="s">
        <v>790</v>
      </c>
      <c r="G432" s="488" t="s">
        <v>284</v>
      </c>
      <c r="H432" s="489"/>
      <c r="I432" s="489"/>
      <c r="J432" s="489" t="s">
        <v>813</v>
      </c>
      <c r="K432" s="491"/>
      <c r="L432" s="488"/>
      <c r="M432" s="488"/>
      <c r="N432" s="489"/>
      <c r="O432" s="489"/>
      <c r="P432" s="489"/>
      <c r="Q432" s="489"/>
      <c r="R432" s="490"/>
      <c r="S432" s="489"/>
      <c r="T432" s="488" t="s">
        <v>268</v>
      </c>
    </row>
    <row r="433" ht="34.5">
      <c r="A433" s="488" t="s">
        <v>778</v>
      </c>
      <c r="B433" s="488" t="s">
        <v>779</v>
      </c>
      <c r="C433" s="488" t="s">
        <v>328</v>
      </c>
      <c r="D433" s="488" t="s">
        <v>263</v>
      </c>
      <c r="E433" s="488" t="s">
        <v>282</v>
      </c>
      <c r="F433" s="489" t="s">
        <v>790</v>
      </c>
      <c r="G433" s="488" t="s">
        <v>284</v>
      </c>
      <c r="H433" s="489"/>
      <c r="I433" s="489"/>
      <c r="J433" s="489" t="s">
        <v>323</v>
      </c>
      <c r="K433" s="491"/>
      <c r="L433" s="488"/>
      <c r="M433" s="488"/>
      <c r="N433" s="489"/>
      <c r="O433" s="489"/>
      <c r="P433" s="489"/>
      <c r="Q433" s="489"/>
      <c r="R433" s="490"/>
      <c r="S433" s="489"/>
      <c r="T433" s="488" t="s">
        <v>268</v>
      </c>
    </row>
    <row r="434" ht="34.5">
      <c r="A434" s="488" t="s">
        <v>778</v>
      </c>
      <c r="B434" s="488" t="s">
        <v>779</v>
      </c>
      <c r="C434" s="488" t="s">
        <v>328</v>
      </c>
      <c r="D434" s="488" t="s">
        <v>263</v>
      </c>
      <c r="E434" s="488" t="s">
        <v>282</v>
      </c>
      <c r="F434" s="489" t="s">
        <v>790</v>
      </c>
      <c r="G434" s="488" t="s">
        <v>284</v>
      </c>
      <c r="H434" s="489"/>
      <c r="I434" s="489"/>
      <c r="J434" s="489" t="s">
        <v>814</v>
      </c>
      <c r="K434" s="491"/>
      <c r="L434" s="488"/>
      <c r="M434" s="488"/>
      <c r="N434" s="489"/>
      <c r="O434" s="489"/>
      <c r="P434" s="489"/>
      <c r="Q434" s="489"/>
      <c r="R434" s="490"/>
      <c r="S434" s="489"/>
      <c r="T434" s="488" t="s">
        <v>268</v>
      </c>
    </row>
    <row r="435" ht="34.5">
      <c r="A435" s="488" t="s">
        <v>778</v>
      </c>
      <c r="B435" s="488" t="s">
        <v>779</v>
      </c>
      <c r="C435" s="488" t="s">
        <v>328</v>
      </c>
      <c r="D435" s="488" t="s">
        <v>263</v>
      </c>
      <c r="E435" s="488" t="s">
        <v>282</v>
      </c>
      <c r="F435" s="489" t="s">
        <v>790</v>
      </c>
      <c r="G435" s="488" t="s">
        <v>284</v>
      </c>
      <c r="H435" s="489"/>
      <c r="I435" s="489"/>
      <c r="J435" s="489" t="s">
        <v>815</v>
      </c>
      <c r="K435" s="491"/>
      <c r="L435" s="488"/>
      <c r="M435" s="488"/>
      <c r="N435" s="489"/>
      <c r="O435" s="489"/>
      <c r="P435" s="489"/>
      <c r="Q435" s="489"/>
      <c r="R435" s="490"/>
      <c r="S435" s="489"/>
      <c r="T435" s="488" t="s">
        <v>268</v>
      </c>
    </row>
    <row r="436" ht="34.5">
      <c r="A436" s="488" t="s">
        <v>778</v>
      </c>
      <c r="B436" s="488" t="s">
        <v>779</v>
      </c>
      <c r="C436" s="488" t="s">
        <v>328</v>
      </c>
      <c r="D436" s="488" t="s">
        <v>263</v>
      </c>
      <c r="E436" s="488" t="s">
        <v>282</v>
      </c>
      <c r="F436" s="489" t="s">
        <v>790</v>
      </c>
      <c r="G436" s="488" t="s">
        <v>284</v>
      </c>
      <c r="H436" s="489"/>
      <c r="I436" s="489"/>
      <c r="J436" s="489" t="s">
        <v>325</v>
      </c>
      <c r="K436" s="491"/>
      <c r="L436" s="488"/>
      <c r="M436" s="488"/>
      <c r="N436" s="489"/>
      <c r="O436" s="489"/>
      <c r="P436" s="489"/>
      <c r="Q436" s="489"/>
      <c r="R436" s="490"/>
      <c r="S436" s="489"/>
      <c r="T436" s="488" t="s">
        <v>268</v>
      </c>
    </row>
    <row r="437" ht="34.5">
      <c r="A437" s="488" t="s">
        <v>778</v>
      </c>
      <c r="B437" s="488" t="s">
        <v>779</v>
      </c>
      <c r="C437" s="488" t="s">
        <v>328</v>
      </c>
      <c r="D437" s="488" t="s">
        <v>263</v>
      </c>
      <c r="E437" s="488" t="s">
        <v>282</v>
      </c>
      <c r="F437" s="489" t="s">
        <v>790</v>
      </c>
      <c r="G437" s="488" t="s">
        <v>284</v>
      </c>
      <c r="H437" s="489"/>
      <c r="I437" s="489"/>
      <c r="J437" s="489" t="s">
        <v>326</v>
      </c>
      <c r="K437" s="491"/>
      <c r="L437" s="488"/>
      <c r="M437" s="488"/>
      <c r="N437" s="489"/>
      <c r="O437" s="489"/>
      <c r="P437" s="489"/>
      <c r="Q437" s="489"/>
      <c r="R437" s="490"/>
      <c r="S437" s="489"/>
      <c r="T437" s="488" t="s">
        <v>268</v>
      </c>
    </row>
    <row r="438" ht="34.5">
      <c r="A438" s="488" t="s">
        <v>778</v>
      </c>
      <c r="B438" s="488" t="s">
        <v>779</v>
      </c>
      <c r="C438" s="488" t="s">
        <v>328</v>
      </c>
      <c r="D438" s="488" t="s">
        <v>263</v>
      </c>
      <c r="E438" s="488" t="s">
        <v>282</v>
      </c>
      <c r="F438" s="489" t="s">
        <v>790</v>
      </c>
      <c r="G438" s="488" t="s">
        <v>284</v>
      </c>
      <c r="H438" s="489"/>
      <c r="I438" s="489"/>
      <c r="J438" s="489" t="s">
        <v>327</v>
      </c>
      <c r="K438" s="491"/>
      <c r="L438" s="488"/>
      <c r="M438" s="488"/>
      <c r="N438" s="489"/>
      <c r="O438" s="489"/>
      <c r="P438" s="489"/>
      <c r="Q438" s="489"/>
      <c r="R438" s="490"/>
      <c r="S438" s="489"/>
      <c r="T438" s="488" t="s">
        <v>268</v>
      </c>
    </row>
    <row r="439" ht="34.5">
      <c r="A439" s="488" t="s">
        <v>778</v>
      </c>
      <c r="B439" s="488" t="s">
        <v>779</v>
      </c>
      <c r="C439" s="488" t="s">
        <v>335</v>
      </c>
      <c r="D439" s="488" t="s">
        <v>263</v>
      </c>
      <c r="E439" s="488" t="s">
        <v>282</v>
      </c>
      <c r="F439" s="489" t="s">
        <v>790</v>
      </c>
      <c r="G439" s="488" t="s">
        <v>284</v>
      </c>
      <c r="H439" s="489"/>
      <c r="I439" s="489"/>
      <c r="J439" s="489" t="s">
        <v>330</v>
      </c>
      <c r="K439" s="491"/>
      <c r="L439" s="488"/>
      <c r="M439" s="488"/>
      <c r="N439" s="489"/>
      <c r="O439" s="489"/>
      <c r="P439" s="489"/>
      <c r="Q439" s="489"/>
      <c r="R439" s="490"/>
      <c r="S439" s="489"/>
      <c r="T439" s="488" t="s">
        <v>268</v>
      </c>
    </row>
    <row r="440" ht="34.5">
      <c r="A440" s="488" t="s">
        <v>778</v>
      </c>
      <c r="B440" s="488" t="s">
        <v>779</v>
      </c>
      <c r="C440" s="488" t="s">
        <v>335</v>
      </c>
      <c r="D440" s="488" t="s">
        <v>263</v>
      </c>
      <c r="E440" s="488" t="s">
        <v>282</v>
      </c>
      <c r="F440" s="489" t="s">
        <v>790</v>
      </c>
      <c r="G440" s="488" t="s">
        <v>284</v>
      </c>
      <c r="H440" s="489"/>
      <c r="I440" s="489"/>
      <c r="J440" s="489" t="s">
        <v>331</v>
      </c>
      <c r="K440" s="491"/>
      <c r="L440" s="488"/>
      <c r="M440" s="488"/>
      <c r="N440" s="489"/>
      <c r="O440" s="489"/>
      <c r="P440" s="489"/>
      <c r="Q440" s="489"/>
      <c r="R440" s="490"/>
      <c r="S440" s="489"/>
      <c r="T440" s="488" t="s">
        <v>268</v>
      </c>
    </row>
    <row r="441" ht="34.5">
      <c r="A441" s="488" t="s">
        <v>778</v>
      </c>
      <c r="B441" s="488" t="s">
        <v>779</v>
      </c>
      <c r="C441" s="488" t="s">
        <v>335</v>
      </c>
      <c r="D441" s="488" t="s">
        <v>263</v>
      </c>
      <c r="E441" s="488" t="s">
        <v>282</v>
      </c>
      <c r="F441" s="489" t="s">
        <v>790</v>
      </c>
      <c r="G441" s="488" t="s">
        <v>284</v>
      </c>
      <c r="H441" s="489"/>
      <c r="I441" s="489"/>
      <c r="J441" s="489" t="s">
        <v>332</v>
      </c>
      <c r="K441" s="491"/>
      <c r="L441" s="488"/>
      <c r="M441" s="488"/>
      <c r="N441" s="489"/>
      <c r="O441" s="489"/>
      <c r="P441" s="489"/>
      <c r="Q441" s="489"/>
      <c r="R441" s="490"/>
      <c r="S441" s="489"/>
      <c r="T441" s="488" t="s">
        <v>268</v>
      </c>
    </row>
    <row r="442" ht="34.5">
      <c r="A442" s="488" t="s">
        <v>778</v>
      </c>
      <c r="B442" s="488" t="s">
        <v>779</v>
      </c>
      <c r="C442" s="488" t="s">
        <v>335</v>
      </c>
      <c r="D442" s="488" t="s">
        <v>263</v>
      </c>
      <c r="E442" s="488" t="s">
        <v>282</v>
      </c>
      <c r="F442" s="489" t="s">
        <v>790</v>
      </c>
      <c r="G442" s="488" t="s">
        <v>284</v>
      </c>
      <c r="H442" s="489"/>
      <c r="I442" s="489"/>
      <c r="J442" s="489" t="s">
        <v>333</v>
      </c>
      <c r="K442" s="491"/>
      <c r="L442" s="488"/>
      <c r="M442" s="488"/>
      <c r="N442" s="489"/>
      <c r="O442" s="489"/>
      <c r="P442" s="489"/>
      <c r="Q442" s="489"/>
      <c r="R442" s="490"/>
      <c r="S442" s="489"/>
      <c r="T442" s="488" t="s">
        <v>268</v>
      </c>
    </row>
    <row r="443" ht="34.5">
      <c r="A443" s="488" t="s">
        <v>778</v>
      </c>
      <c r="B443" s="488" t="s">
        <v>779</v>
      </c>
      <c r="C443" s="488" t="s">
        <v>335</v>
      </c>
      <c r="D443" s="488" t="s">
        <v>263</v>
      </c>
      <c r="E443" s="488" t="s">
        <v>282</v>
      </c>
      <c r="F443" s="489" t="s">
        <v>790</v>
      </c>
      <c r="G443" s="488" t="s">
        <v>284</v>
      </c>
      <c r="H443" s="489"/>
      <c r="I443" s="489"/>
      <c r="J443" s="489" t="s">
        <v>334</v>
      </c>
      <c r="K443" s="491"/>
      <c r="L443" s="488"/>
      <c r="M443" s="488"/>
      <c r="N443" s="489"/>
      <c r="O443" s="489"/>
      <c r="P443" s="489"/>
      <c r="Q443" s="489"/>
      <c r="R443" s="490"/>
      <c r="S443" s="489"/>
      <c r="T443" s="488" t="s">
        <v>268</v>
      </c>
    </row>
    <row r="444" ht="34.5">
      <c r="A444" s="488" t="s">
        <v>778</v>
      </c>
      <c r="B444" s="488" t="s">
        <v>779</v>
      </c>
      <c r="C444" s="488" t="s">
        <v>335</v>
      </c>
      <c r="D444" s="488" t="s">
        <v>263</v>
      </c>
      <c r="E444" s="488" t="s">
        <v>282</v>
      </c>
      <c r="F444" s="489" t="s">
        <v>790</v>
      </c>
      <c r="G444" s="488" t="s">
        <v>284</v>
      </c>
      <c r="H444" s="489"/>
      <c r="I444" s="489"/>
      <c r="J444" s="489" t="s">
        <v>337</v>
      </c>
      <c r="K444" s="491"/>
      <c r="L444" s="488"/>
      <c r="M444" s="488"/>
      <c r="N444" s="489"/>
      <c r="O444" s="489"/>
      <c r="P444" s="489"/>
      <c r="Q444" s="489"/>
      <c r="R444" s="490"/>
      <c r="S444" s="489"/>
      <c r="T444" s="488" t="s">
        <v>268</v>
      </c>
    </row>
    <row r="445" ht="34.5">
      <c r="A445" s="488" t="s">
        <v>778</v>
      </c>
      <c r="B445" s="488" t="s">
        <v>779</v>
      </c>
      <c r="C445" s="488" t="s">
        <v>346</v>
      </c>
      <c r="D445" s="488" t="s">
        <v>263</v>
      </c>
      <c r="E445" s="488" t="s">
        <v>282</v>
      </c>
      <c r="F445" s="489" t="s">
        <v>790</v>
      </c>
      <c r="G445" s="488" t="s">
        <v>284</v>
      </c>
      <c r="H445" s="489"/>
      <c r="I445" s="489"/>
      <c r="J445" s="489" t="s">
        <v>338</v>
      </c>
      <c r="K445" s="491"/>
      <c r="L445" s="488"/>
      <c r="M445" s="488"/>
      <c r="N445" s="489"/>
      <c r="O445" s="489"/>
      <c r="P445" s="489"/>
      <c r="Q445" s="489"/>
      <c r="R445" s="490"/>
      <c r="S445" s="489"/>
      <c r="T445" s="488" t="s">
        <v>268</v>
      </c>
    </row>
    <row r="446" ht="34.5">
      <c r="A446" s="488" t="s">
        <v>778</v>
      </c>
      <c r="B446" s="488" t="s">
        <v>779</v>
      </c>
      <c r="C446" s="488" t="s">
        <v>346</v>
      </c>
      <c r="D446" s="488" t="s">
        <v>263</v>
      </c>
      <c r="E446" s="488" t="s">
        <v>282</v>
      </c>
      <c r="F446" s="489" t="s">
        <v>790</v>
      </c>
      <c r="G446" s="488" t="s">
        <v>284</v>
      </c>
      <c r="H446" s="489"/>
      <c r="I446" s="489"/>
      <c r="J446" s="489" t="s">
        <v>816</v>
      </c>
      <c r="K446" s="491"/>
      <c r="L446" s="488"/>
      <c r="M446" s="488"/>
      <c r="N446" s="489"/>
      <c r="O446" s="489"/>
      <c r="P446" s="489"/>
      <c r="Q446" s="489"/>
      <c r="R446" s="490"/>
      <c r="S446" s="489"/>
      <c r="T446" s="488" t="s">
        <v>268</v>
      </c>
    </row>
    <row r="447" ht="34.5">
      <c r="A447" s="488" t="s">
        <v>778</v>
      </c>
      <c r="B447" s="488" t="s">
        <v>779</v>
      </c>
      <c r="C447" s="488" t="s">
        <v>346</v>
      </c>
      <c r="D447" s="488" t="s">
        <v>263</v>
      </c>
      <c r="E447" s="488" t="s">
        <v>282</v>
      </c>
      <c r="F447" s="489" t="s">
        <v>790</v>
      </c>
      <c r="G447" s="488" t="s">
        <v>284</v>
      </c>
      <c r="H447" s="489"/>
      <c r="I447" s="489"/>
      <c r="J447" s="489" t="s">
        <v>340</v>
      </c>
      <c r="K447" s="491"/>
      <c r="L447" s="488"/>
      <c r="M447" s="488"/>
      <c r="N447" s="489"/>
      <c r="O447" s="489"/>
      <c r="P447" s="489"/>
      <c r="Q447" s="489"/>
      <c r="R447" s="490"/>
      <c r="S447" s="489"/>
      <c r="T447" s="488" t="s">
        <v>268</v>
      </c>
    </row>
    <row r="448" ht="34.5">
      <c r="A448" s="488" t="s">
        <v>778</v>
      </c>
      <c r="B448" s="488" t="s">
        <v>779</v>
      </c>
      <c r="C448" s="488" t="s">
        <v>346</v>
      </c>
      <c r="D448" s="488" t="s">
        <v>263</v>
      </c>
      <c r="E448" s="488" t="s">
        <v>282</v>
      </c>
      <c r="F448" s="489" t="s">
        <v>790</v>
      </c>
      <c r="G448" s="488" t="s">
        <v>284</v>
      </c>
      <c r="H448" s="489"/>
      <c r="I448" s="489"/>
      <c r="J448" s="489" t="s">
        <v>341</v>
      </c>
      <c r="K448" s="491"/>
      <c r="L448" s="488"/>
      <c r="M448" s="488"/>
      <c r="N448" s="489"/>
      <c r="O448" s="489"/>
      <c r="P448" s="489"/>
      <c r="Q448" s="489"/>
      <c r="R448" s="490"/>
      <c r="S448" s="489"/>
      <c r="T448" s="488" t="s">
        <v>268</v>
      </c>
    </row>
    <row r="449" ht="34.5">
      <c r="A449" s="488" t="s">
        <v>778</v>
      </c>
      <c r="B449" s="488" t="s">
        <v>779</v>
      </c>
      <c r="C449" s="488" t="s">
        <v>346</v>
      </c>
      <c r="D449" s="488" t="s">
        <v>263</v>
      </c>
      <c r="E449" s="488" t="s">
        <v>282</v>
      </c>
      <c r="F449" s="489" t="s">
        <v>790</v>
      </c>
      <c r="G449" s="488" t="s">
        <v>284</v>
      </c>
      <c r="H449" s="489"/>
      <c r="I449" s="489"/>
      <c r="J449" s="489" t="s">
        <v>342</v>
      </c>
      <c r="K449" s="491"/>
      <c r="L449" s="488"/>
      <c r="M449" s="488"/>
      <c r="N449" s="489"/>
      <c r="O449" s="489"/>
      <c r="P449" s="489"/>
      <c r="Q449" s="489"/>
      <c r="R449" s="490"/>
      <c r="S449" s="489"/>
      <c r="T449" s="488" t="s">
        <v>268</v>
      </c>
    </row>
    <row r="450" ht="34.5">
      <c r="A450" s="488" t="s">
        <v>778</v>
      </c>
      <c r="B450" s="488" t="s">
        <v>779</v>
      </c>
      <c r="C450" s="488" t="s">
        <v>346</v>
      </c>
      <c r="D450" s="488" t="s">
        <v>263</v>
      </c>
      <c r="E450" s="488" t="s">
        <v>282</v>
      </c>
      <c r="F450" s="489" t="s">
        <v>790</v>
      </c>
      <c r="G450" s="488" t="s">
        <v>284</v>
      </c>
      <c r="H450" s="489"/>
      <c r="I450" s="489"/>
      <c r="J450" s="489" t="s">
        <v>343</v>
      </c>
      <c r="K450" s="491"/>
      <c r="L450" s="488"/>
      <c r="M450" s="488"/>
      <c r="N450" s="489"/>
      <c r="O450" s="489"/>
      <c r="P450" s="489"/>
      <c r="Q450" s="489"/>
      <c r="R450" s="490"/>
      <c r="S450" s="489"/>
      <c r="T450" s="488" t="s">
        <v>268</v>
      </c>
    </row>
    <row r="451" ht="34.5">
      <c r="A451" s="488" t="s">
        <v>778</v>
      </c>
      <c r="B451" s="488" t="s">
        <v>779</v>
      </c>
      <c r="C451" s="488" t="s">
        <v>346</v>
      </c>
      <c r="D451" s="488" t="s">
        <v>263</v>
      </c>
      <c r="E451" s="488" t="s">
        <v>282</v>
      </c>
      <c r="F451" s="489" t="s">
        <v>790</v>
      </c>
      <c r="G451" s="488" t="s">
        <v>284</v>
      </c>
      <c r="H451" s="489"/>
      <c r="I451" s="489"/>
      <c r="J451" s="489" t="s">
        <v>344</v>
      </c>
      <c r="K451" s="491"/>
      <c r="L451" s="488"/>
      <c r="M451" s="488"/>
      <c r="N451" s="489"/>
      <c r="O451" s="489"/>
      <c r="P451" s="489"/>
      <c r="Q451" s="489"/>
      <c r="R451" s="490"/>
      <c r="S451" s="489"/>
      <c r="T451" s="488" t="s">
        <v>268</v>
      </c>
    </row>
    <row r="452" ht="34.5">
      <c r="A452" s="488" t="s">
        <v>778</v>
      </c>
      <c r="B452" s="488" t="s">
        <v>779</v>
      </c>
      <c r="C452" s="488" t="s">
        <v>346</v>
      </c>
      <c r="D452" s="488" t="s">
        <v>263</v>
      </c>
      <c r="E452" s="488" t="s">
        <v>282</v>
      </c>
      <c r="F452" s="489" t="s">
        <v>790</v>
      </c>
      <c r="G452" s="488" t="s">
        <v>284</v>
      </c>
      <c r="H452" s="489"/>
      <c r="I452" s="489"/>
      <c r="J452" s="489" t="s">
        <v>345</v>
      </c>
      <c r="K452" s="491"/>
      <c r="L452" s="488"/>
      <c r="M452" s="488"/>
      <c r="N452" s="489"/>
      <c r="O452" s="489"/>
      <c r="P452" s="489"/>
      <c r="Q452" s="489"/>
      <c r="R452" s="490"/>
      <c r="S452" s="489"/>
      <c r="T452" s="488" t="s">
        <v>268</v>
      </c>
    </row>
    <row r="453" ht="34.5">
      <c r="A453" s="488" t="s">
        <v>778</v>
      </c>
      <c r="B453" s="488" t="s">
        <v>779</v>
      </c>
      <c r="C453" s="488" t="s">
        <v>346</v>
      </c>
      <c r="D453" s="488" t="s">
        <v>263</v>
      </c>
      <c r="E453" s="488" t="s">
        <v>282</v>
      </c>
      <c r="F453" s="489" t="s">
        <v>790</v>
      </c>
      <c r="G453" s="488" t="s">
        <v>284</v>
      </c>
      <c r="H453" s="489"/>
      <c r="I453" s="489"/>
      <c r="J453" s="489" t="s">
        <v>348</v>
      </c>
      <c r="K453" s="491"/>
      <c r="L453" s="488"/>
      <c r="M453" s="488"/>
      <c r="N453" s="489"/>
      <c r="O453" s="489"/>
      <c r="P453" s="489"/>
      <c r="Q453" s="489"/>
      <c r="R453" s="490"/>
      <c r="S453" s="489"/>
      <c r="T453" s="488" t="s">
        <v>268</v>
      </c>
    </row>
    <row r="454" ht="34.5">
      <c r="A454" s="488" t="s">
        <v>778</v>
      </c>
      <c r="B454" s="488" t="s">
        <v>779</v>
      </c>
      <c r="C454" s="488" t="s">
        <v>356</v>
      </c>
      <c r="D454" s="488" t="s">
        <v>263</v>
      </c>
      <c r="E454" s="488" t="s">
        <v>282</v>
      </c>
      <c r="F454" s="489" t="s">
        <v>790</v>
      </c>
      <c r="G454" s="488" t="s">
        <v>284</v>
      </c>
      <c r="H454" s="489"/>
      <c r="I454" s="489"/>
      <c r="J454" s="489" t="s">
        <v>349</v>
      </c>
      <c r="K454" s="491"/>
      <c r="L454" s="488"/>
      <c r="M454" s="488"/>
      <c r="N454" s="489"/>
      <c r="O454" s="489"/>
      <c r="P454" s="489"/>
      <c r="Q454" s="489"/>
      <c r="R454" s="490"/>
      <c r="S454" s="489"/>
      <c r="T454" s="488" t="s">
        <v>268</v>
      </c>
    </row>
    <row r="455" ht="34.5">
      <c r="A455" s="488" t="s">
        <v>778</v>
      </c>
      <c r="B455" s="488" t="s">
        <v>779</v>
      </c>
      <c r="C455" s="488" t="s">
        <v>356</v>
      </c>
      <c r="D455" s="488" t="s">
        <v>263</v>
      </c>
      <c r="E455" s="488" t="s">
        <v>282</v>
      </c>
      <c r="F455" s="489" t="s">
        <v>790</v>
      </c>
      <c r="G455" s="488" t="s">
        <v>284</v>
      </c>
      <c r="H455" s="489"/>
      <c r="I455" s="489"/>
      <c r="J455" s="489" t="s">
        <v>350</v>
      </c>
      <c r="K455" s="491"/>
      <c r="L455" s="488"/>
      <c r="M455" s="488"/>
      <c r="N455" s="489"/>
      <c r="O455" s="489"/>
      <c r="P455" s="489"/>
      <c r="Q455" s="489"/>
      <c r="R455" s="490"/>
      <c r="S455" s="489"/>
      <c r="T455" s="488" t="s">
        <v>268</v>
      </c>
    </row>
    <row r="456" ht="34.5">
      <c r="A456" s="488" t="s">
        <v>778</v>
      </c>
      <c r="B456" s="488" t="s">
        <v>779</v>
      </c>
      <c r="C456" s="488" t="s">
        <v>356</v>
      </c>
      <c r="D456" s="488" t="s">
        <v>263</v>
      </c>
      <c r="E456" s="488" t="s">
        <v>282</v>
      </c>
      <c r="F456" s="489" t="s">
        <v>790</v>
      </c>
      <c r="G456" s="488" t="s">
        <v>284</v>
      </c>
      <c r="H456" s="489"/>
      <c r="I456" s="489"/>
      <c r="J456" s="489" t="s">
        <v>817</v>
      </c>
      <c r="K456" s="491"/>
      <c r="L456" s="488"/>
      <c r="M456" s="488"/>
      <c r="N456" s="489"/>
      <c r="O456" s="489"/>
      <c r="P456" s="489"/>
      <c r="Q456" s="489"/>
      <c r="R456" s="490"/>
      <c r="S456" s="489"/>
      <c r="T456" s="488" t="s">
        <v>268</v>
      </c>
    </row>
    <row r="457" ht="34.5">
      <c r="A457" s="488" t="s">
        <v>778</v>
      </c>
      <c r="B457" s="488" t="s">
        <v>779</v>
      </c>
      <c r="C457" s="488" t="s">
        <v>356</v>
      </c>
      <c r="D457" s="488" t="s">
        <v>263</v>
      </c>
      <c r="E457" s="488" t="s">
        <v>282</v>
      </c>
      <c r="F457" s="489" t="s">
        <v>790</v>
      </c>
      <c r="G457" s="488" t="s">
        <v>284</v>
      </c>
      <c r="H457" s="489"/>
      <c r="I457" s="489"/>
      <c r="J457" s="489" t="s">
        <v>352</v>
      </c>
      <c r="K457" s="491"/>
      <c r="L457" s="488"/>
      <c r="M457" s="488"/>
      <c r="N457" s="489"/>
      <c r="O457" s="489"/>
      <c r="P457" s="489"/>
      <c r="Q457" s="489"/>
      <c r="R457" s="490"/>
      <c r="S457" s="489"/>
      <c r="T457" s="488" t="s">
        <v>268</v>
      </c>
    </row>
    <row r="458" ht="34.5">
      <c r="A458" s="488" t="s">
        <v>778</v>
      </c>
      <c r="B458" s="488" t="s">
        <v>779</v>
      </c>
      <c r="C458" s="488" t="s">
        <v>356</v>
      </c>
      <c r="D458" s="488" t="s">
        <v>263</v>
      </c>
      <c r="E458" s="488" t="s">
        <v>282</v>
      </c>
      <c r="F458" s="489" t="s">
        <v>790</v>
      </c>
      <c r="G458" s="488" t="s">
        <v>284</v>
      </c>
      <c r="H458" s="489"/>
      <c r="I458" s="489"/>
      <c r="J458" s="489" t="s">
        <v>353</v>
      </c>
      <c r="K458" s="491"/>
      <c r="L458" s="488"/>
      <c r="M458" s="488"/>
      <c r="N458" s="489"/>
      <c r="O458" s="489"/>
      <c r="P458" s="489"/>
      <c r="Q458" s="489"/>
      <c r="R458" s="490"/>
      <c r="S458" s="489"/>
      <c r="T458" s="488" t="s">
        <v>268</v>
      </c>
    </row>
    <row r="459" ht="34.5">
      <c r="A459" s="488" t="s">
        <v>778</v>
      </c>
      <c r="B459" s="488" t="s">
        <v>779</v>
      </c>
      <c r="C459" s="488" t="s">
        <v>356</v>
      </c>
      <c r="D459" s="488" t="s">
        <v>263</v>
      </c>
      <c r="E459" s="488" t="s">
        <v>282</v>
      </c>
      <c r="F459" s="489" t="s">
        <v>790</v>
      </c>
      <c r="G459" s="488" t="s">
        <v>284</v>
      </c>
      <c r="H459" s="489"/>
      <c r="I459" s="489"/>
      <c r="J459" s="489" t="s">
        <v>354</v>
      </c>
      <c r="K459" s="491"/>
      <c r="L459" s="488"/>
      <c r="M459" s="488"/>
      <c r="N459" s="489"/>
      <c r="O459" s="489"/>
      <c r="P459" s="489"/>
      <c r="Q459" s="489"/>
      <c r="R459" s="490"/>
      <c r="S459" s="489"/>
      <c r="T459" s="488" t="s">
        <v>268</v>
      </c>
    </row>
    <row r="460" ht="34.5">
      <c r="A460" s="488" t="s">
        <v>778</v>
      </c>
      <c r="B460" s="488" t="s">
        <v>779</v>
      </c>
      <c r="C460" s="488" t="s">
        <v>356</v>
      </c>
      <c r="D460" s="488" t="s">
        <v>263</v>
      </c>
      <c r="E460" s="488" t="s">
        <v>282</v>
      </c>
      <c r="F460" s="489" t="s">
        <v>790</v>
      </c>
      <c r="G460" s="488" t="s">
        <v>284</v>
      </c>
      <c r="H460" s="489"/>
      <c r="I460" s="489"/>
      <c r="J460" s="489" t="s">
        <v>355</v>
      </c>
      <c r="K460" s="491"/>
      <c r="L460" s="488"/>
      <c r="M460" s="488"/>
      <c r="N460" s="489"/>
      <c r="O460" s="489"/>
      <c r="P460" s="489"/>
      <c r="Q460" s="489"/>
      <c r="R460" s="490"/>
      <c r="S460" s="489"/>
      <c r="T460" s="488" t="s">
        <v>268</v>
      </c>
    </row>
    <row r="461" ht="34.5">
      <c r="A461" s="488" t="s">
        <v>778</v>
      </c>
      <c r="B461" s="488" t="s">
        <v>779</v>
      </c>
      <c r="C461" s="488" t="s">
        <v>356</v>
      </c>
      <c r="D461" s="488" t="s">
        <v>263</v>
      </c>
      <c r="E461" s="488" t="s">
        <v>282</v>
      </c>
      <c r="F461" s="489" t="s">
        <v>790</v>
      </c>
      <c r="G461" s="488" t="s">
        <v>284</v>
      </c>
      <c r="H461" s="489"/>
      <c r="I461" s="489"/>
      <c r="J461" s="489" t="s">
        <v>358</v>
      </c>
      <c r="K461" s="491"/>
      <c r="L461" s="488"/>
      <c r="M461" s="488"/>
      <c r="N461" s="489"/>
      <c r="O461" s="489"/>
      <c r="P461" s="489"/>
      <c r="Q461" s="489"/>
      <c r="R461" s="490"/>
      <c r="S461" s="489"/>
      <c r="T461" s="488" t="s">
        <v>268</v>
      </c>
    </row>
    <row r="462" ht="34.5">
      <c r="A462" s="488" t="s">
        <v>778</v>
      </c>
      <c r="B462" s="488" t="s">
        <v>779</v>
      </c>
      <c r="C462" s="488" t="s">
        <v>356</v>
      </c>
      <c r="D462" s="488" t="s">
        <v>263</v>
      </c>
      <c r="E462" s="488" t="s">
        <v>282</v>
      </c>
      <c r="F462" s="489" t="s">
        <v>790</v>
      </c>
      <c r="G462" s="488" t="s">
        <v>284</v>
      </c>
      <c r="H462" s="489"/>
      <c r="I462" s="489"/>
      <c r="J462" s="489" t="s">
        <v>359</v>
      </c>
      <c r="K462" s="491"/>
      <c r="L462" s="488"/>
      <c r="M462" s="488"/>
      <c r="N462" s="489"/>
      <c r="O462" s="489"/>
      <c r="P462" s="489"/>
      <c r="Q462" s="489"/>
      <c r="R462" s="490"/>
      <c r="S462" s="489"/>
      <c r="T462" s="488" t="s">
        <v>268</v>
      </c>
    </row>
    <row r="463" ht="34.5">
      <c r="A463" s="488" t="s">
        <v>778</v>
      </c>
      <c r="B463" s="488" t="s">
        <v>779</v>
      </c>
      <c r="C463" s="488" t="s">
        <v>365</v>
      </c>
      <c r="D463" s="488" t="s">
        <v>263</v>
      </c>
      <c r="E463" s="488" t="s">
        <v>282</v>
      </c>
      <c r="F463" s="489" t="s">
        <v>790</v>
      </c>
      <c r="G463" s="488" t="s">
        <v>284</v>
      </c>
      <c r="H463" s="489"/>
      <c r="I463" s="489"/>
      <c r="J463" s="489" t="s">
        <v>360</v>
      </c>
      <c r="K463" s="491"/>
      <c r="L463" s="488"/>
      <c r="M463" s="488"/>
      <c r="N463" s="489"/>
      <c r="O463" s="489"/>
      <c r="P463" s="489"/>
      <c r="Q463" s="489"/>
      <c r="R463" s="490"/>
      <c r="S463" s="489"/>
      <c r="T463" s="488" t="s">
        <v>268</v>
      </c>
    </row>
    <row r="464" ht="34.5">
      <c r="A464" s="488" t="s">
        <v>778</v>
      </c>
      <c r="B464" s="488" t="s">
        <v>779</v>
      </c>
      <c r="C464" s="488" t="s">
        <v>365</v>
      </c>
      <c r="D464" s="488" t="s">
        <v>263</v>
      </c>
      <c r="E464" s="488" t="s">
        <v>282</v>
      </c>
      <c r="F464" s="489" t="s">
        <v>790</v>
      </c>
      <c r="G464" s="488" t="s">
        <v>284</v>
      </c>
      <c r="H464" s="489"/>
      <c r="I464" s="489"/>
      <c r="J464" s="489" t="s">
        <v>361</v>
      </c>
      <c r="K464" s="491"/>
      <c r="L464" s="488"/>
      <c r="M464" s="488"/>
      <c r="N464" s="489"/>
      <c r="O464" s="489"/>
      <c r="P464" s="489"/>
      <c r="Q464" s="489"/>
      <c r="R464" s="490"/>
      <c r="S464" s="489"/>
      <c r="T464" s="488" t="s">
        <v>268</v>
      </c>
    </row>
    <row r="465" ht="34.5">
      <c r="A465" s="488" t="s">
        <v>778</v>
      </c>
      <c r="B465" s="488" t="s">
        <v>779</v>
      </c>
      <c r="C465" s="488" t="s">
        <v>365</v>
      </c>
      <c r="D465" s="488" t="s">
        <v>263</v>
      </c>
      <c r="E465" s="488" t="s">
        <v>282</v>
      </c>
      <c r="F465" s="489" t="s">
        <v>790</v>
      </c>
      <c r="G465" s="488" t="s">
        <v>284</v>
      </c>
      <c r="H465" s="489"/>
      <c r="I465" s="489"/>
      <c r="J465" s="489" t="s">
        <v>362</v>
      </c>
      <c r="K465" s="491"/>
      <c r="L465" s="488"/>
      <c r="M465" s="488"/>
      <c r="N465" s="489"/>
      <c r="O465" s="489"/>
      <c r="P465" s="489"/>
      <c r="Q465" s="489"/>
      <c r="R465" s="490"/>
      <c r="S465" s="489"/>
      <c r="T465" s="488" t="s">
        <v>268</v>
      </c>
    </row>
    <row r="466" ht="34.5">
      <c r="A466" s="488" t="s">
        <v>778</v>
      </c>
      <c r="B466" s="488" t="s">
        <v>779</v>
      </c>
      <c r="C466" s="488" t="s">
        <v>365</v>
      </c>
      <c r="D466" s="488" t="s">
        <v>263</v>
      </c>
      <c r="E466" s="488" t="s">
        <v>282</v>
      </c>
      <c r="F466" s="489" t="s">
        <v>790</v>
      </c>
      <c r="G466" s="488" t="s">
        <v>284</v>
      </c>
      <c r="H466" s="489"/>
      <c r="I466" s="489"/>
      <c r="J466" s="489" t="s">
        <v>363</v>
      </c>
      <c r="K466" s="491"/>
      <c r="L466" s="488"/>
      <c r="M466" s="488"/>
      <c r="N466" s="489"/>
      <c r="O466" s="489"/>
      <c r="P466" s="489"/>
      <c r="Q466" s="489"/>
      <c r="R466" s="490"/>
      <c r="S466" s="489"/>
      <c r="T466" s="488" t="s">
        <v>268</v>
      </c>
    </row>
    <row r="467" ht="34.5">
      <c r="A467" s="488" t="s">
        <v>778</v>
      </c>
      <c r="B467" s="488" t="s">
        <v>779</v>
      </c>
      <c r="C467" s="488" t="s">
        <v>365</v>
      </c>
      <c r="D467" s="488" t="s">
        <v>263</v>
      </c>
      <c r="E467" s="488" t="s">
        <v>282</v>
      </c>
      <c r="F467" s="489" t="s">
        <v>790</v>
      </c>
      <c r="G467" s="488" t="s">
        <v>284</v>
      </c>
      <c r="H467" s="489"/>
      <c r="I467" s="489"/>
      <c r="J467" s="489" t="s">
        <v>364</v>
      </c>
      <c r="K467" s="491"/>
      <c r="L467" s="488"/>
      <c r="M467" s="488"/>
      <c r="N467" s="489"/>
      <c r="O467" s="489"/>
      <c r="P467" s="489"/>
      <c r="Q467" s="489"/>
      <c r="R467" s="490"/>
      <c r="S467" s="489"/>
      <c r="T467" s="488" t="s">
        <v>268</v>
      </c>
    </row>
    <row r="468" ht="34.5">
      <c r="A468" s="488" t="s">
        <v>778</v>
      </c>
      <c r="B468" s="488" t="s">
        <v>779</v>
      </c>
      <c r="C468" s="488" t="s">
        <v>365</v>
      </c>
      <c r="D468" s="488" t="s">
        <v>263</v>
      </c>
      <c r="E468" s="488" t="s">
        <v>282</v>
      </c>
      <c r="F468" s="489" t="s">
        <v>790</v>
      </c>
      <c r="G468" s="488" t="s">
        <v>284</v>
      </c>
      <c r="H468" s="489"/>
      <c r="I468" s="489"/>
      <c r="J468" s="489" t="s">
        <v>366</v>
      </c>
      <c r="K468" s="491"/>
      <c r="L468" s="488"/>
      <c r="M468" s="488"/>
      <c r="N468" s="489"/>
      <c r="O468" s="489"/>
      <c r="P468" s="489"/>
      <c r="Q468" s="489"/>
      <c r="R468" s="490"/>
      <c r="S468" s="489"/>
      <c r="T468" s="488" t="s">
        <v>268</v>
      </c>
    </row>
    <row r="469" ht="34.5">
      <c r="A469" s="488" t="s">
        <v>778</v>
      </c>
      <c r="B469" s="488" t="s">
        <v>779</v>
      </c>
      <c r="C469" s="488" t="s">
        <v>365</v>
      </c>
      <c r="D469" s="488" t="s">
        <v>263</v>
      </c>
      <c r="E469" s="488" t="s">
        <v>282</v>
      </c>
      <c r="F469" s="489" t="s">
        <v>790</v>
      </c>
      <c r="G469" s="488" t="s">
        <v>284</v>
      </c>
      <c r="H469" s="489"/>
      <c r="I469" s="489"/>
      <c r="J469" s="489" t="s">
        <v>367</v>
      </c>
      <c r="K469" s="491"/>
      <c r="L469" s="488"/>
      <c r="M469" s="488"/>
      <c r="N469" s="489"/>
      <c r="O469" s="489"/>
      <c r="P469" s="489"/>
      <c r="Q469" s="489"/>
      <c r="R469" s="490"/>
      <c r="S469" s="489"/>
      <c r="T469" s="488" t="s">
        <v>268</v>
      </c>
    </row>
    <row r="470" ht="34.5">
      <c r="A470" s="488" t="s">
        <v>778</v>
      </c>
      <c r="B470" s="488" t="s">
        <v>779</v>
      </c>
      <c r="C470" s="488" t="s">
        <v>365</v>
      </c>
      <c r="D470" s="488" t="s">
        <v>263</v>
      </c>
      <c r="E470" s="488" t="s">
        <v>282</v>
      </c>
      <c r="F470" s="489" t="s">
        <v>790</v>
      </c>
      <c r="G470" s="488" t="s">
        <v>284</v>
      </c>
      <c r="H470" s="489"/>
      <c r="I470" s="489"/>
      <c r="J470" s="489" t="s">
        <v>818</v>
      </c>
      <c r="K470" s="491"/>
      <c r="L470" s="488"/>
      <c r="M470" s="488"/>
      <c r="N470" s="489"/>
      <c r="O470" s="489"/>
      <c r="P470" s="489"/>
      <c r="Q470" s="489"/>
      <c r="R470" s="490"/>
      <c r="S470" s="489"/>
      <c r="T470" s="488" t="s">
        <v>268</v>
      </c>
    </row>
    <row r="471" ht="34.5">
      <c r="A471" s="488" t="s">
        <v>778</v>
      </c>
      <c r="B471" s="488" t="s">
        <v>779</v>
      </c>
      <c r="C471" s="488" t="s">
        <v>372</v>
      </c>
      <c r="D471" s="488" t="s">
        <v>263</v>
      </c>
      <c r="E471" s="488" t="s">
        <v>282</v>
      </c>
      <c r="F471" s="489" t="s">
        <v>790</v>
      </c>
      <c r="G471" s="488" t="s">
        <v>284</v>
      </c>
      <c r="H471" s="489"/>
      <c r="I471" s="489"/>
      <c r="J471" s="489" t="s">
        <v>368</v>
      </c>
      <c r="K471" s="491"/>
      <c r="L471" s="488"/>
      <c r="M471" s="488"/>
      <c r="N471" s="489"/>
      <c r="O471" s="489"/>
      <c r="P471" s="489"/>
      <c r="Q471" s="489"/>
      <c r="R471" s="490"/>
      <c r="S471" s="489"/>
      <c r="T471" s="488" t="s">
        <v>268</v>
      </c>
    </row>
    <row r="472" ht="34.5">
      <c r="A472" s="488" t="s">
        <v>778</v>
      </c>
      <c r="B472" s="488" t="s">
        <v>779</v>
      </c>
      <c r="C472" s="488" t="s">
        <v>372</v>
      </c>
      <c r="D472" s="488" t="s">
        <v>263</v>
      </c>
      <c r="E472" s="488" t="s">
        <v>282</v>
      </c>
      <c r="F472" s="489" t="s">
        <v>790</v>
      </c>
      <c r="G472" s="488" t="s">
        <v>284</v>
      </c>
      <c r="H472" s="489"/>
      <c r="I472" s="489"/>
      <c r="J472" s="489" t="s">
        <v>369</v>
      </c>
      <c r="K472" s="491"/>
      <c r="L472" s="488"/>
      <c r="M472" s="488"/>
      <c r="N472" s="489"/>
      <c r="O472" s="489"/>
      <c r="P472" s="489"/>
      <c r="Q472" s="489"/>
      <c r="R472" s="490"/>
      <c r="S472" s="489"/>
      <c r="T472" s="488" t="s">
        <v>268</v>
      </c>
    </row>
    <row r="473" ht="34.5">
      <c r="A473" s="488" t="s">
        <v>778</v>
      </c>
      <c r="B473" s="488" t="s">
        <v>779</v>
      </c>
      <c r="C473" s="488" t="s">
        <v>372</v>
      </c>
      <c r="D473" s="488" t="s">
        <v>263</v>
      </c>
      <c r="E473" s="488" t="s">
        <v>282</v>
      </c>
      <c r="F473" s="489" t="s">
        <v>790</v>
      </c>
      <c r="G473" s="488" t="s">
        <v>284</v>
      </c>
      <c r="H473" s="489"/>
      <c r="I473" s="489"/>
      <c r="J473" s="489" t="s">
        <v>370</v>
      </c>
      <c r="K473" s="491"/>
      <c r="L473" s="488"/>
      <c r="M473" s="488"/>
      <c r="N473" s="489"/>
      <c r="O473" s="489"/>
      <c r="P473" s="489"/>
      <c r="Q473" s="489"/>
      <c r="R473" s="490"/>
      <c r="S473" s="489"/>
      <c r="T473" s="488" t="s">
        <v>268</v>
      </c>
    </row>
    <row r="474" ht="34.5">
      <c r="A474" s="488" t="s">
        <v>778</v>
      </c>
      <c r="B474" s="488" t="s">
        <v>779</v>
      </c>
      <c r="C474" s="488" t="s">
        <v>372</v>
      </c>
      <c r="D474" s="488" t="s">
        <v>263</v>
      </c>
      <c r="E474" s="488" t="s">
        <v>282</v>
      </c>
      <c r="F474" s="489" t="s">
        <v>790</v>
      </c>
      <c r="G474" s="488" t="s">
        <v>284</v>
      </c>
      <c r="H474" s="489"/>
      <c r="I474" s="489"/>
      <c r="J474" s="489" t="s">
        <v>371</v>
      </c>
      <c r="K474" s="491"/>
      <c r="L474" s="488"/>
      <c r="M474" s="488"/>
      <c r="N474" s="489"/>
      <c r="O474" s="489"/>
      <c r="P474" s="489"/>
      <c r="Q474" s="489"/>
      <c r="R474" s="490"/>
      <c r="S474" s="489"/>
      <c r="T474" s="488" t="s">
        <v>268</v>
      </c>
    </row>
    <row r="475" ht="34.5">
      <c r="A475" s="488" t="s">
        <v>778</v>
      </c>
      <c r="B475" s="488" t="s">
        <v>779</v>
      </c>
      <c r="C475" s="488" t="s">
        <v>372</v>
      </c>
      <c r="D475" s="488" t="s">
        <v>263</v>
      </c>
      <c r="E475" s="488" t="s">
        <v>282</v>
      </c>
      <c r="F475" s="489" t="s">
        <v>790</v>
      </c>
      <c r="G475" s="488" t="s">
        <v>284</v>
      </c>
      <c r="H475" s="489"/>
      <c r="I475" s="489"/>
      <c r="J475" s="489" t="s">
        <v>373</v>
      </c>
      <c r="K475" s="491"/>
      <c r="L475" s="488"/>
      <c r="M475" s="488"/>
      <c r="N475" s="489"/>
      <c r="O475" s="489"/>
      <c r="P475" s="489"/>
      <c r="Q475" s="489"/>
      <c r="R475" s="490"/>
      <c r="S475" s="489"/>
      <c r="T475" s="488" t="s">
        <v>268</v>
      </c>
    </row>
    <row r="476" ht="34.5">
      <c r="A476" s="488" t="s">
        <v>778</v>
      </c>
      <c r="B476" s="488" t="s">
        <v>779</v>
      </c>
      <c r="C476" s="488" t="s">
        <v>372</v>
      </c>
      <c r="D476" s="488" t="s">
        <v>263</v>
      </c>
      <c r="E476" s="488" t="s">
        <v>282</v>
      </c>
      <c r="F476" s="489" t="s">
        <v>790</v>
      </c>
      <c r="G476" s="488" t="s">
        <v>284</v>
      </c>
      <c r="H476" s="489"/>
      <c r="I476" s="489"/>
      <c r="J476" s="489" t="s">
        <v>374</v>
      </c>
      <c r="K476" s="491"/>
      <c r="L476" s="488"/>
      <c r="M476" s="488"/>
      <c r="N476" s="489"/>
      <c r="O476" s="489"/>
      <c r="P476" s="489"/>
      <c r="Q476" s="489"/>
      <c r="R476" s="490"/>
      <c r="S476" s="489"/>
      <c r="T476" s="488" t="s">
        <v>268</v>
      </c>
    </row>
    <row r="477" ht="34.5">
      <c r="A477" s="488" t="s">
        <v>778</v>
      </c>
      <c r="B477" s="488" t="s">
        <v>779</v>
      </c>
      <c r="C477" s="488" t="s">
        <v>372</v>
      </c>
      <c r="D477" s="488" t="s">
        <v>263</v>
      </c>
      <c r="E477" s="488" t="s">
        <v>282</v>
      </c>
      <c r="F477" s="489" t="s">
        <v>790</v>
      </c>
      <c r="G477" s="488" t="s">
        <v>284</v>
      </c>
      <c r="H477" s="489"/>
      <c r="I477" s="489"/>
      <c r="J477" s="489" t="s">
        <v>819</v>
      </c>
      <c r="K477" s="491"/>
      <c r="L477" s="488"/>
      <c r="M477" s="488"/>
      <c r="N477" s="489"/>
      <c r="O477" s="489"/>
      <c r="P477" s="489"/>
      <c r="Q477" s="489"/>
      <c r="R477" s="490"/>
      <c r="S477" s="489"/>
      <c r="T477" s="488" t="s">
        <v>268</v>
      </c>
    </row>
    <row r="478" ht="34.5">
      <c r="A478" s="488" t="s">
        <v>778</v>
      </c>
      <c r="B478" s="488" t="s">
        <v>779</v>
      </c>
      <c r="C478" s="488" t="s">
        <v>372</v>
      </c>
      <c r="D478" s="488" t="s">
        <v>263</v>
      </c>
      <c r="E478" s="488" t="s">
        <v>282</v>
      </c>
      <c r="F478" s="489" t="s">
        <v>790</v>
      </c>
      <c r="G478" s="488" t="s">
        <v>284</v>
      </c>
      <c r="H478" s="489"/>
      <c r="I478" s="489"/>
      <c r="J478" s="489" t="s">
        <v>820</v>
      </c>
      <c r="K478" s="491"/>
      <c r="L478" s="488"/>
      <c r="M478" s="488"/>
      <c r="N478" s="489"/>
      <c r="O478" s="489"/>
      <c r="P478" s="489"/>
      <c r="Q478" s="489"/>
      <c r="R478" s="490"/>
      <c r="S478" s="489"/>
      <c r="T478" s="488" t="s">
        <v>268</v>
      </c>
    </row>
    <row r="479" ht="34.5">
      <c r="A479" s="488" t="s">
        <v>778</v>
      </c>
      <c r="B479" s="488" t="s">
        <v>779</v>
      </c>
      <c r="C479" s="488" t="s">
        <v>381</v>
      </c>
      <c r="D479" s="488" t="s">
        <v>263</v>
      </c>
      <c r="E479" s="488" t="s">
        <v>282</v>
      </c>
      <c r="F479" s="489" t="s">
        <v>790</v>
      </c>
      <c r="G479" s="488" t="s">
        <v>284</v>
      </c>
      <c r="H479" s="489"/>
      <c r="I479" s="489"/>
      <c r="J479" s="489" t="s">
        <v>376</v>
      </c>
      <c r="K479" s="491"/>
      <c r="L479" s="488"/>
      <c r="M479" s="488"/>
      <c r="N479" s="489"/>
      <c r="O479" s="489"/>
      <c r="P479" s="489"/>
      <c r="Q479" s="489"/>
      <c r="R479" s="490"/>
      <c r="S479" s="489"/>
      <c r="T479" s="488" t="s">
        <v>268</v>
      </c>
    </row>
    <row r="480" ht="34.5">
      <c r="A480" s="488" t="s">
        <v>778</v>
      </c>
      <c r="B480" s="488" t="s">
        <v>779</v>
      </c>
      <c r="C480" s="488" t="s">
        <v>381</v>
      </c>
      <c r="D480" s="488" t="s">
        <v>263</v>
      </c>
      <c r="E480" s="488" t="s">
        <v>282</v>
      </c>
      <c r="F480" s="489" t="s">
        <v>790</v>
      </c>
      <c r="G480" s="488" t="s">
        <v>284</v>
      </c>
      <c r="H480" s="489"/>
      <c r="I480" s="489"/>
      <c r="J480" s="489" t="s">
        <v>377</v>
      </c>
      <c r="K480" s="491"/>
      <c r="L480" s="488"/>
      <c r="M480" s="488"/>
      <c r="N480" s="489"/>
      <c r="O480" s="489"/>
      <c r="P480" s="489"/>
      <c r="Q480" s="489"/>
      <c r="R480" s="490"/>
      <c r="S480" s="489"/>
      <c r="T480" s="488" t="s">
        <v>268</v>
      </c>
    </row>
    <row r="481" ht="34.5">
      <c r="A481" s="488" t="s">
        <v>778</v>
      </c>
      <c r="B481" s="488" t="s">
        <v>779</v>
      </c>
      <c r="C481" s="488" t="s">
        <v>381</v>
      </c>
      <c r="D481" s="488" t="s">
        <v>263</v>
      </c>
      <c r="E481" s="488" t="s">
        <v>282</v>
      </c>
      <c r="F481" s="489" t="s">
        <v>790</v>
      </c>
      <c r="G481" s="488" t="s">
        <v>284</v>
      </c>
      <c r="H481" s="489"/>
      <c r="I481" s="489"/>
      <c r="J481" s="489" t="s">
        <v>378</v>
      </c>
      <c r="K481" s="491"/>
      <c r="L481" s="488"/>
      <c r="M481" s="488"/>
      <c r="N481" s="489"/>
      <c r="O481" s="489"/>
      <c r="P481" s="489"/>
      <c r="Q481" s="489"/>
      <c r="R481" s="490"/>
      <c r="S481" s="489"/>
      <c r="T481" s="488" t="s">
        <v>268</v>
      </c>
    </row>
    <row r="482" ht="34.5">
      <c r="A482" s="488" t="s">
        <v>778</v>
      </c>
      <c r="B482" s="488" t="s">
        <v>779</v>
      </c>
      <c r="C482" s="488" t="s">
        <v>381</v>
      </c>
      <c r="D482" s="488" t="s">
        <v>263</v>
      </c>
      <c r="E482" s="488" t="s">
        <v>282</v>
      </c>
      <c r="F482" s="489" t="s">
        <v>790</v>
      </c>
      <c r="G482" s="488" t="s">
        <v>284</v>
      </c>
      <c r="H482" s="489"/>
      <c r="I482" s="489"/>
      <c r="J482" s="489" t="s">
        <v>379</v>
      </c>
      <c r="K482" s="491"/>
      <c r="L482" s="488"/>
      <c r="M482" s="488"/>
      <c r="N482" s="489"/>
      <c r="O482" s="489"/>
      <c r="P482" s="489"/>
      <c r="Q482" s="489"/>
      <c r="R482" s="490"/>
      <c r="S482" s="489"/>
      <c r="T482" s="488" t="s">
        <v>268</v>
      </c>
    </row>
    <row r="483" ht="34.5">
      <c r="A483" s="488" t="s">
        <v>778</v>
      </c>
      <c r="B483" s="488" t="s">
        <v>779</v>
      </c>
      <c r="C483" s="488" t="s">
        <v>381</v>
      </c>
      <c r="D483" s="488" t="s">
        <v>263</v>
      </c>
      <c r="E483" s="488" t="s">
        <v>282</v>
      </c>
      <c r="F483" s="489" t="s">
        <v>790</v>
      </c>
      <c r="G483" s="488" t="s">
        <v>284</v>
      </c>
      <c r="H483" s="489"/>
      <c r="I483" s="489"/>
      <c r="J483" s="489" t="s">
        <v>380</v>
      </c>
      <c r="K483" s="491"/>
      <c r="L483" s="488"/>
      <c r="M483" s="488"/>
      <c r="N483" s="489"/>
      <c r="O483" s="489"/>
      <c r="P483" s="489"/>
      <c r="Q483" s="489"/>
      <c r="R483" s="490"/>
      <c r="S483" s="489"/>
      <c r="T483" s="488" t="s">
        <v>268</v>
      </c>
    </row>
    <row r="484" ht="34.5">
      <c r="A484" s="488" t="s">
        <v>778</v>
      </c>
      <c r="B484" s="488" t="s">
        <v>779</v>
      </c>
      <c r="C484" s="488" t="s">
        <v>381</v>
      </c>
      <c r="D484" s="488" t="s">
        <v>263</v>
      </c>
      <c r="E484" s="488" t="s">
        <v>282</v>
      </c>
      <c r="F484" s="489" t="s">
        <v>790</v>
      </c>
      <c r="G484" s="488" t="s">
        <v>284</v>
      </c>
      <c r="H484" s="489"/>
      <c r="I484" s="489"/>
      <c r="J484" s="489" t="s">
        <v>382</v>
      </c>
      <c r="K484" s="491"/>
      <c r="L484" s="488"/>
      <c r="M484" s="488"/>
      <c r="N484" s="489"/>
      <c r="O484" s="489"/>
      <c r="P484" s="489"/>
      <c r="Q484" s="489"/>
      <c r="R484" s="490"/>
      <c r="S484" s="489"/>
      <c r="T484" s="488" t="s">
        <v>268</v>
      </c>
    </row>
    <row r="485" ht="34.5">
      <c r="A485" s="488" t="s">
        <v>778</v>
      </c>
      <c r="B485" s="488" t="s">
        <v>779</v>
      </c>
      <c r="C485" s="488" t="s">
        <v>381</v>
      </c>
      <c r="D485" s="488" t="s">
        <v>263</v>
      </c>
      <c r="E485" s="488" t="s">
        <v>282</v>
      </c>
      <c r="F485" s="489" t="s">
        <v>790</v>
      </c>
      <c r="G485" s="488" t="s">
        <v>284</v>
      </c>
      <c r="H485" s="489"/>
      <c r="I485" s="489"/>
      <c r="J485" s="489" t="s">
        <v>383</v>
      </c>
      <c r="K485" s="491"/>
      <c r="L485" s="488"/>
      <c r="M485" s="488"/>
      <c r="N485" s="489"/>
      <c r="O485" s="489"/>
      <c r="P485" s="489"/>
      <c r="Q485" s="489"/>
      <c r="R485" s="490"/>
      <c r="S485" s="489"/>
      <c r="T485" s="488" t="s">
        <v>268</v>
      </c>
    </row>
    <row r="486" ht="34.5">
      <c r="A486" s="488" t="s">
        <v>778</v>
      </c>
      <c r="B486" s="488" t="s">
        <v>779</v>
      </c>
      <c r="C486" s="488" t="s">
        <v>381</v>
      </c>
      <c r="D486" s="488" t="s">
        <v>263</v>
      </c>
      <c r="E486" s="488" t="s">
        <v>282</v>
      </c>
      <c r="F486" s="489" t="s">
        <v>790</v>
      </c>
      <c r="G486" s="488" t="s">
        <v>284</v>
      </c>
      <c r="H486" s="489"/>
      <c r="I486" s="489"/>
      <c r="J486" s="489" t="s">
        <v>384</v>
      </c>
      <c r="K486" s="491"/>
      <c r="L486" s="488"/>
      <c r="M486" s="488"/>
      <c r="N486" s="489"/>
      <c r="O486" s="489"/>
      <c r="P486" s="489"/>
      <c r="Q486" s="489"/>
      <c r="R486" s="490"/>
      <c r="S486" s="489"/>
      <c r="T486" s="488" t="s">
        <v>268</v>
      </c>
    </row>
    <row r="487" ht="34.5">
      <c r="A487" s="488" t="s">
        <v>778</v>
      </c>
      <c r="B487" s="488" t="s">
        <v>779</v>
      </c>
      <c r="C487" s="488" t="s">
        <v>381</v>
      </c>
      <c r="D487" s="488" t="s">
        <v>263</v>
      </c>
      <c r="E487" s="488" t="s">
        <v>282</v>
      </c>
      <c r="F487" s="489" t="s">
        <v>790</v>
      </c>
      <c r="G487" s="488" t="s">
        <v>284</v>
      </c>
      <c r="H487" s="489"/>
      <c r="I487" s="489"/>
      <c r="J487" s="489" t="s">
        <v>385</v>
      </c>
      <c r="K487" s="491"/>
      <c r="L487" s="488"/>
      <c r="M487" s="488"/>
      <c r="N487" s="489"/>
      <c r="O487" s="489"/>
      <c r="P487" s="489"/>
      <c r="Q487" s="489"/>
      <c r="R487" s="490"/>
      <c r="S487" s="489"/>
      <c r="T487" s="488" t="s">
        <v>268</v>
      </c>
    </row>
    <row r="488" ht="34.5">
      <c r="A488" s="488" t="s">
        <v>778</v>
      </c>
      <c r="B488" s="488" t="s">
        <v>779</v>
      </c>
      <c r="C488" s="488" t="s">
        <v>381</v>
      </c>
      <c r="D488" s="488" t="s">
        <v>263</v>
      </c>
      <c r="E488" s="488" t="s">
        <v>282</v>
      </c>
      <c r="F488" s="489" t="s">
        <v>790</v>
      </c>
      <c r="G488" s="488" t="s">
        <v>284</v>
      </c>
      <c r="H488" s="489"/>
      <c r="I488" s="489"/>
      <c r="J488" s="489" t="s">
        <v>821</v>
      </c>
      <c r="K488" s="491"/>
      <c r="L488" s="488"/>
      <c r="M488" s="488"/>
      <c r="N488" s="489"/>
      <c r="O488" s="489"/>
      <c r="P488" s="489"/>
      <c r="Q488" s="489"/>
      <c r="R488" s="490"/>
      <c r="S488" s="489"/>
      <c r="T488" s="488" t="s">
        <v>268</v>
      </c>
    </row>
    <row r="489" ht="34.5">
      <c r="A489" s="488" t="s">
        <v>778</v>
      </c>
      <c r="B489" s="488" t="s">
        <v>779</v>
      </c>
      <c r="C489" s="488" t="s">
        <v>389</v>
      </c>
      <c r="D489" s="488" t="s">
        <v>263</v>
      </c>
      <c r="E489" s="488" t="s">
        <v>282</v>
      </c>
      <c r="F489" s="489" t="s">
        <v>790</v>
      </c>
      <c r="G489" s="488" t="s">
        <v>284</v>
      </c>
      <c r="H489" s="489"/>
      <c r="I489" s="489"/>
      <c r="J489" s="489" t="s">
        <v>822</v>
      </c>
      <c r="K489" s="491"/>
      <c r="L489" s="488"/>
      <c r="M489" s="488"/>
      <c r="N489" s="489"/>
      <c r="O489" s="489"/>
      <c r="P489" s="489"/>
      <c r="Q489" s="489"/>
      <c r="R489" s="490"/>
      <c r="S489" s="489"/>
      <c r="T489" s="488" t="s">
        <v>268</v>
      </c>
    </row>
    <row r="490" ht="34.5">
      <c r="A490" s="488" t="s">
        <v>778</v>
      </c>
      <c r="B490" s="488" t="s">
        <v>779</v>
      </c>
      <c r="C490" s="488" t="s">
        <v>389</v>
      </c>
      <c r="D490" s="488" t="s">
        <v>263</v>
      </c>
      <c r="E490" s="488" t="s">
        <v>282</v>
      </c>
      <c r="F490" s="489" t="s">
        <v>790</v>
      </c>
      <c r="G490" s="488" t="s">
        <v>284</v>
      </c>
      <c r="H490" s="489"/>
      <c r="I490" s="489"/>
      <c r="J490" s="489" t="s">
        <v>386</v>
      </c>
      <c r="K490" s="491"/>
      <c r="L490" s="488"/>
      <c r="M490" s="488"/>
      <c r="N490" s="489"/>
      <c r="O490" s="489"/>
      <c r="P490" s="489"/>
      <c r="Q490" s="489"/>
      <c r="R490" s="490"/>
      <c r="S490" s="489"/>
      <c r="T490" s="488" t="s">
        <v>268</v>
      </c>
    </row>
    <row r="491" ht="34.5">
      <c r="A491" s="488" t="s">
        <v>778</v>
      </c>
      <c r="B491" s="488" t="s">
        <v>779</v>
      </c>
      <c r="C491" s="488" t="s">
        <v>389</v>
      </c>
      <c r="D491" s="488" t="s">
        <v>263</v>
      </c>
      <c r="E491" s="488" t="s">
        <v>282</v>
      </c>
      <c r="F491" s="489" t="s">
        <v>790</v>
      </c>
      <c r="G491" s="488" t="s">
        <v>284</v>
      </c>
      <c r="H491" s="489"/>
      <c r="I491" s="489"/>
      <c r="J491" s="489" t="s">
        <v>387</v>
      </c>
      <c r="K491" s="491"/>
      <c r="L491" s="488"/>
      <c r="M491" s="488"/>
      <c r="N491" s="489"/>
      <c r="O491" s="489"/>
      <c r="P491" s="489"/>
      <c r="Q491" s="489"/>
      <c r="R491" s="490"/>
      <c r="S491" s="489"/>
      <c r="T491" s="488" t="s">
        <v>268</v>
      </c>
    </row>
    <row r="492" ht="34.5">
      <c r="A492" s="488" t="s">
        <v>778</v>
      </c>
      <c r="B492" s="488" t="s">
        <v>779</v>
      </c>
      <c r="C492" s="488" t="s">
        <v>389</v>
      </c>
      <c r="D492" s="488" t="s">
        <v>263</v>
      </c>
      <c r="E492" s="488" t="s">
        <v>282</v>
      </c>
      <c r="F492" s="489" t="s">
        <v>790</v>
      </c>
      <c r="G492" s="488" t="s">
        <v>284</v>
      </c>
      <c r="H492" s="489"/>
      <c r="I492" s="489"/>
      <c r="J492" s="489" t="s">
        <v>388</v>
      </c>
      <c r="K492" s="491"/>
      <c r="L492" s="488"/>
      <c r="M492" s="488"/>
      <c r="N492" s="489"/>
      <c r="O492" s="489"/>
      <c r="P492" s="489"/>
      <c r="Q492" s="489"/>
      <c r="R492" s="490"/>
      <c r="S492" s="489"/>
      <c r="T492" s="488" t="s">
        <v>268</v>
      </c>
    </row>
    <row r="493" ht="34.5">
      <c r="A493" s="488" t="s">
        <v>778</v>
      </c>
      <c r="B493" s="488" t="s">
        <v>779</v>
      </c>
      <c r="C493" s="488" t="s">
        <v>389</v>
      </c>
      <c r="D493" s="488" t="s">
        <v>263</v>
      </c>
      <c r="E493" s="488" t="s">
        <v>282</v>
      </c>
      <c r="F493" s="489" t="s">
        <v>790</v>
      </c>
      <c r="G493" s="488" t="s">
        <v>284</v>
      </c>
      <c r="H493" s="489"/>
      <c r="I493" s="489"/>
      <c r="J493" s="489" t="s">
        <v>390</v>
      </c>
      <c r="K493" s="491"/>
      <c r="L493" s="488"/>
      <c r="M493" s="488"/>
      <c r="N493" s="489"/>
      <c r="O493" s="489"/>
      <c r="P493" s="489"/>
      <c r="Q493" s="489"/>
      <c r="R493" s="490"/>
      <c r="S493" s="489"/>
      <c r="T493" s="488" t="s">
        <v>268</v>
      </c>
    </row>
    <row r="494" ht="34.5">
      <c r="A494" s="488" t="s">
        <v>778</v>
      </c>
      <c r="B494" s="488" t="s">
        <v>779</v>
      </c>
      <c r="C494" s="488" t="s">
        <v>389</v>
      </c>
      <c r="D494" s="488" t="s">
        <v>263</v>
      </c>
      <c r="E494" s="488" t="s">
        <v>282</v>
      </c>
      <c r="F494" s="489" t="s">
        <v>790</v>
      </c>
      <c r="G494" s="488" t="s">
        <v>284</v>
      </c>
      <c r="H494" s="489"/>
      <c r="I494" s="489"/>
      <c r="J494" s="489" t="s">
        <v>391</v>
      </c>
      <c r="K494" s="491"/>
      <c r="L494" s="488"/>
      <c r="M494" s="488"/>
      <c r="N494" s="489"/>
      <c r="O494" s="489"/>
      <c r="P494" s="489"/>
      <c r="Q494" s="489"/>
      <c r="R494" s="490"/>
      <c r="S494" s="489"/>
      <c r="T494" s="488" t="s">
        <v>268</v>
      </c>
    </row>
    <row r="495" ht="34.5">
      <c r="A495" s="488" t="s">
        <v>778</v>
      </c>
      <c r="B495" s="488" t="s">
        <v>779</v>
      </c>
      <c r="C495" s="488" t="s">
        <v>389</v>
      </c>
      <c r="D495" s="488" t="s">
        <v>263</v>
      </c>
      <c r="E495" s="488" t="s">
        <v>282</v>
      </c>
      <c r="F495" s="489" t="s">
        <v>790</v>
      </c>
      <c r="G495" s="488" t="s">
        <v>284</v>
      </c>
      <c r="H495" s="489"/>
      <c r="I495" s="489"/>
      <c r="J495" s="489" t="s">
        <v>392</v>
      </c>
      <c r="K495" s="491"/>
      <c r="L495" s="488"/>
      <c r="M495" s="488"/>
      <c r="N495" s="489"/>
      <c r="O495" s="489"/>
      <c r="P495" s="489"/>
      <c r="Q495" s="489"/>
      <c r="R495" s="490"/>
      <c r="S495" s="489"/>
      <c r="T495" s="488" t="s">
        <v>268</v>
      </c>
    </row>
    <row r="496" ht="34.5">
      <c r="A496" s="488" t="s">
        <v>778</v>
      </c>
      <c r="B496" s="488" t="s">
        <v>779</v>
      </c>
      <c r="C496" s="488" t="s">
        <v>389</v>
      </c>
      <c r="D496" s="488" t="s">
        <v>263</v>
      </c>
      <c r="E496" s="488" t="s">
        <v>282</v>
      </c>
      <c r="F496" s="489" t="s">
        <v>790</v>
      </c>
      <c r="G496" s="488" t="s">
        <v>284</v>
      </c>
      <c r="H496" s="489"/>
      <c r="I496" s="489"/>
      <c r="J496" s="489" t="s">
        <v>393</v>
      </c>
      <c r="K496" s="491"/>
      <c r="L496" s="488"/>
      <c r="M496" s="488"/>
      <c r="N496" s="489"/>
      <c r="O496" s="489"/>
      <c r="P496" s="489"/>
      <c r="Q496" s="489"/>
      <c r="R496" s="490"/>
      <c r="S496" s="489"/>
      <c r="T496" s="488" t="s">
        <v>268</v>
      </c>
    </row>
    <row r="497" ht="34.5">
      <c r="A497" s="488" t="s">
        <v>778</v>
      </c>
      <c r="B497" s="488" t="s">
        <v>779</v>
      </c>
      <c r="C497" s="488" t="s">
        <v>402</v>
      </c>
      <c r="D497" s="488" t="s">
        <v>263</v>
      </c>
      <c r="E497" s="488" t="s">
        <v>394</v>
      </c>
      <c r="F497" s="489" t="s">
        <v>395</v>
      </c>
      <c r="G497" s="488" t="s">
        <v>284</v>
      </c>
      <c r="H497" s="489"/>
      <c r="I497" s="489"/>
      <c r="J497" s="489" t="s">
        <v>396</v>
      </c>
      <c r="K497" s="491"/>
      <c r="L497" s="488"/>
      <c r="M497" s="488"/>
      <c r="N497" s="489"/>
      <c r="O497" s="489"/>
      <c r="P497" s="489"/>
      <c r="Q497" s="489"/>
      <c r="R497" s="490"/>
      <c r="S497" s="489"/>
      <c r="T497" s="488" t="s">
        <v>268</v>
      </c>
    </row>
    <row r="498" ht="34.5">
      <c r="A498" s="488" t="s">
        <v>778</v>
      </c>
      <c r="B498" s="488" t="s">
        <v>779</v>
      </c>
      <c r="C498" s="488" t="s">
        <v>402</v>
      </c>
      <c r="D498" s="488" t="s">
        <v>263</v>
      </c>
      <c r="E498" s="488" t="s">
        <v>394</v>
      </c>
      <c r="F498" s="489" t="s">
        <v>395</v>
      </c>
      <c r="G498" s="488" t="s">
        <v>284</v>
      </c>
      <c r="H498" s="489"/>
      <c r="I498" s="489"/>
      <c r="J498" s="489" t="s">
        <v>823</v>
      </c>
      <c r="K498" s="491"/>
      <c r="L498" s="488"/>
      <c r="M498" s="488"/>
      <c r="N498" s="489"/>
      <c r="O498" s="489"/>
      <c r="P498" s="489"/>
      <c r="Q498" s="489"/>
      <c r="R498" s="490"/>
      <c r="S498" s="489"/>
      <c r="T498" s="488" t="s">
        <v>268</v>
      </c>
    </row>
    <row r="499" ht="34.5">
      <c r="A499" s="488" t="s">
        <v>778</v>
      </c>
      <c r="B499" s="488" t="s">
        <v>779</v>
      </c>
      <c r="C499" s="488" t="s">
        <v>402</v>
      </c>
      <c r="D499" s="488" t="s">
        <v>263</v>
      </c>
      <c r="E499" s="488" t="s">
        <v>394</v>
      </c>
      <c r="F499" s="489" t="s">
        <v>395</v>
      </c>
      <c r="G499" s="488" t="s">
        <v>284</v>
      </c>
      <c r="H499" s="489"/>
      <c r="I499" s="489"/>
      <c r="J499" s="489" t="s">
        <v>398</v>
      </c>
      <c r="K499" s="491"/>
      <c r="L499" s="488"/>
      <c r="M499" s="488"/>
      <c r="N499" s="489"/>
      <c r="O499" s="489"/>
      <c r="P499" s="489"/>
      <c r="Q499" s="489"/>
      <c r="R499" s="490"/>
      <c r="S499" s="489"/>
      <c r="T499" s="488" t="s">
        <v>268</v>
      </c>
    </row>
    <row r="500" ht="34.5">
      <c r="A500" s="488" t="s">
        <v>778</v>
      </c>
      <c r="B500" s="488" t="s">
        <v>779</v>
      </c>
      <c r="C500" s="488" t="s">
        <v>402</v>
      </c>
      <c r="D500" s="488" t="s">
        <v>263</v>
      </c>
      <c r="E500" s="488" t="s">
        <v>394</v>
      </c>
      <c r="F500" s="489" t="s">
        <v>395</v>
      </c>
      <c r="G500" s="488" t="s">
        <v>284</v>
      </c>
      <c r="H500" s="489"/>
      <c r="I500" s="489"/>
      <c r="J500" s="489" t="s">
        <v>824</v>
      </c>
      <c r="K500" s="491"/>
      <c r="L500" s="488"/>
      <c r="M500" s="488"/>
      <c r="N500" s="489"/>
      <c r="O500" s="489"/>
      <c r="P500" s="489"/>
      <c r="Q500" s="489"/>
      <c r="R500" s="490"/>
      <c r="S500" s="489"/>
      <c r="T500" s="488" t="s">
        <v>268</v>
      </c>
    </row>
    <row r="501" ht="34.5">
      <c r="A501" s="488" t="s">
        <v>778</v>
      </c>
      <c r="B501" s="488" t="s">
        <v>779</v>
      </c>
      <c r="C501" s="488" t="s">
        <v>402</v>
      </c>
      <c r="D501" s="488" t="s">
        <v>263</v>
      </c>
      <c r="E501" s="488" t="s">
        <v>394</v>
      </c>
      <c r="F501" s="489" t="s">
        <v>395</v>
      </c>
      <c r="G501" s="488" t="s">
        <v>284</v>
      </c>
      <c r="H501" s="489"/>
      <c r="I501" s="489"/>
      <c r="J501" s="489" t="s">
        <v>400</v>
      </c>
      <c r="K501" s="491"/>
      <c r="L501" s="488"/>
      <c r="M501" s="488"/>
      <c r="N501" s="489"/>
      <c r="O501" s="489"/>
      <c r="P501" s="489"/>
      <c r="Q501" s="489"/>
      <c r="R501" s="490"/>
      <c r="S501" s="489"/>
      <c r="T501" s="488" t="s">
        <v>268</v>
      </c>
    </row>
    <row r="502" ht="34.5">
      <c r="A502" s="488" t="s">
        <v>778</v>
      </c>
      <c r="B502" s="488" t="s">
        <v>779</v>
      </c>
      <c r="C502" s="488" t="s">
        <v>402</v>
      </c>
      <c r="D502" s="488" t="s">
        <v>263</v>
      </c>
      <c r="E502" s="488" t="s">
        <v>394</v>
      </c>
      <c r="F502" s="489" t="s">
        <v>395</v>
      </c>
      <c r="G502" s="488" t="s">
        <v>284</v>
      </c>
      <c r="H502" s="489"/>
      <c r="I502" s="489"/>
      <c r="J502" s="489" t="s">
        <v>825</v>
      </c>
      <c r="K502" s="491"/>
      <c r="L502" s="488"/>
      <c r="M502" s="488"/>
      <c r="N502" s="489"/>
      <c r="O502" s="489"/>
      <c r="P502" s="489"/>
      <c r="Q502" s="489"/>
      <c r="R502" s="490"/>
      <c r="S502" s="489"/>
      <c r="T502" s="488" t="s">
        <v>268</v>
      </c>
    </row>
    <row r="503" ht="34.5">
      <c r="A503" s="488" t="s">
        <v>778</v>
      </c>
      <c r="B503" s="488" t="s">
        <v>779</v>
      </c>
      <c r="C503" s="488" t="s">
        <v>402</v>
      </c>
      <c r="D503" s="488" t="s">
        <v>263</v>
      </c>
      <c r="E503" s="488" t="s">
        <v>394</v>
      </c>
      <c r="F503" s="489" t="s">
        <v>395</v>
      </c>
      <c r="G503" s="488" t="s">
        <v>284</v>
      </c>
      <c r="H503" s="489"/>
      <c r="I503" s="489"/>
      <c r="J503" s="489" t="s">
        <v>404</v>
      </c>
      <c r="K503" s="491"/>
      <c r="L503" s="488"/>
      <c r="M503" s="488"/>
      <c r="N503" s="489"/>
      <c r="O503" s="489"/>
      <c r="P503" s="489"/>
      <c r="Q503" s="489"/>
      <c r="R503" s="490"/>
      <c r="S503" s="489"/>
      <c r="T503" s="488" t="s">
        <v>268</v>
      </c>
    </row>
    <row r="504" ht="34.5">
      <c r="A504" s="488" t="s">
        <v>778</v>
      </c>
      <c r="B504" s="488" t="s">
        <v>779</v>
      </c>
      <c r="C504" s="488" t="s">
        <v>402</v>
      </c>
      <c r="D504" s="488" t="s">
        <v>263</v>
      </c>
      <c r="E504" s="488" t="s">
        <v>394</v>
      </c>
      <c r="F504" s="489" t="s">
        <v>395</v>
      </c>
      <c r="G504" s="488" t="s">
        <v>284</v>
      </c>
      <c r="H504" s="489"/>
      <c r="I504" s="489"/>
      <c r="J504" s="489" t="s">
        <v>826</v>
      </c>
      <c r="K504" s="491"/>
      <c r="L504" s="488"/>
      <c r="M504" s="488"/>
      <c r="N504" s="489"/>
      <c r="O504" s="489"/>
      <c r="P504" s="489"/>
      <c r="Q504" s="489"/>
      <c r="R504" s="490"/>
      <c r="S504" s="489"/>
      <c r="T504" s="488" t="s">
        <v>268</v>
      </c>
    </row>
    <row r="505" ht="34.5">
      <c r="A505" s="488" t="s">
        <v>778</v>
      </c>
      <c r="B505" s="488" t="s">
        <v>779</v>
      </c>
      <c r="C505" s="488" t="s">
        <v>402</v>
      </c>
      <c r="D505" s="488" t="s">
        <v>263</v>
      </c>
      <c r="E505" s="488" t="s">
        <v>394</v>
      </c>
      <c r="F505" s="489" t="s">
        <v>395</v>
      </c>
      <c r="G505" s="488" t="s">
        <v>284</v>
      </c>
      <c r="H505" s="489"/>
      <c r="I505" s="489"/>
      <c r="J505" s="489" t="s">
        <v>406</v>
      </c>
      <c r="K505" s="491"/>
      <c r="L505" s="488"/>
      <c r="M505" s="488"/>
      <c r="N505" s="489"/>
      <c r="O505" s="489"/>
      <c r="P505" s="489"/>
      <c r="Q505" s="489"/>
      <c r="R505" s="490"/>
      <c r="S505" s="489"/>
      <c r="T505" s="488" t="s">
        <v>268</v>
      </c>
    </row>
    <row r="506" ht="34.5">
      <c r="A506" s="488" t="s">
        <v>778</v>
      </c>
      <c r="B506" s="488" t="s">
        <v>779</v>
      </c>
      <c r="C506" s="488" t="s">
        <v>415</v>
      </c>
      <c r="D506" s="488" t="s">
        <v>263</v>
      </c>
      <c r="E506" s="488" t="s">
        <v>407</v>
      </c>
      <c r="F506" s="489" t="s">
        <v>408</v>
      </c>
      <c r="G506" s="488" t="s">
        <v>409</v>
      </c>
      <c r="H506" s="489"/>
      <c r="I506" s="489"/>
      <c r="J506" s="489" t="s">
        <v>827</v>
      </c>
      <c r="K506" s="491"/>
      <c r="L506" s="488"/>
      <c r="M506" s="488"/>
      <c r="N506" s="489"/>
      <c r="O506" s="489"/>
      <c r="P506" s="489"/>
      <c r="Q506" s="489"/>
      <c r="R506" s="490"/>
      <c r="S506" s="489"/>
      <c r="T506" s="488" t="s">
        <v>268</v>
      </c>
    </row>
    <row r="507" ht="34.5">
      <c r="A507" s="488" t="s">
        <v>778</v>
      </c>
      <c r="B507" s="488" t="s">
        <v>779</v>
      </c>
      <c r="C507" s="488" t="s">
        <v>415</v>
      </c>
      <c r="D507" s="488" t="s">
        <v>263</v>
      </c>
      <c r="E507" s="488" t="s">
        <v>407</v>
      </c>
      <c r="F507" s="489" t="s">
        <v>408</v>
      </c>
      <c r="G507" s="488" t="s">
        <v>409</v>
      </c>
      <c r="H507" s="489"/>
      <c r="I507" s="489"/>
      <c r="J507" s="489" t="s">
        <v>411</v>
      </c>
      <c r="K507" s="491"/>
      <c r="L507" s="488"/>
      <c r="M507" s="488"/>
      <c r="N507" s="489"/>
      <c r="O507" s="489"/>
      <c r="P507" s="489"/>
      <c r="Q507" s="489"/>
      <c r="R507" s="490"/>
      <c r="S507" s="489"/>
      <c r="T507" s="488" t="s">
        <v>268</v>
      </c>
    </row>
    <row r="508" ht="34.5">
      <c r="A508" s="488" t="s">
        <v>778</v>
      </c>
      <c r="B508" s="488" t="s">
        <v>779</v>
      </c>
      <c r="C508" s="488" t="s">
        <v>415</v>
      </c>
      <c r="D508" s="488" t="s">
        <v>263</v>
      </c>
      <c r="E508" s="488" t="s">
        <v>407</v>
      </c>
      <c r="F508" s="489" t="s">
        <v>408</v>
      </c>
      <c r="G508" s="488" t="s">
        <v>409</v>
      </c>
      <c r="H508" s="489"/>
      <c r="I508" s="489"/>
      <c r="J508" s="489" t="s">
        <v>412</v>
      </c>
      <c r="K508" s="491"/>
      <c r="L508" s="488"/>
      <c r="M508" s="488"/>
      <c r="N508" s="489"/>
      <c r="O508" s="489"/>
      <c r="P508" s="489"/>
      <c r="Q508" s="489"/>
      <c r="R508" s="490"/>
      <c r="S508" s="489"/>
      <c r="T508" s="488" t="s">
        <v>268</v>
      </c>
    </row>
    <row r="509" ht="34.5">
      <c r="A509" s="488" t="s">
        <v>778</v>
      </c>
      <c r="B509" s="488" t="s">
        <v>779</v>
      </c>
      <c r="C509" s="488" t="s">
        <v>415</v>
      </c>
      <c r="D509" s="488" t="s">
        <v>263</v>
      </c>
      <c r="E509" s="488" t="s">
        <v>407</v>
      </c>
      <c r="F509" s="489" t="s">
        <v>408</v>
      </c>
      <c r="G509" s="488" t="s">
        <v>409</v>
      </c>
      <c r="H509" s="489"/>
      <c r="I509" s="489"/>
      <c r="J509" s="489" t="s">
        <v>413</v>
      </c>
      <c r="K509" s="491"/>
      <c r="L509" s="488"/>
      <c r="M509" s="488"/>
      <c r="N509" s="489"/>
      <c r="O509" s="489"/>
      <c r="P509" s="489"/>
      <c r="Q509" s="489"/>
      <c r="R509" s="490"/>
      <c r="S509" s="489"/>
      <c r="T509" s="488" t="s">
        <v>268</v>
      </c>
    </row>
    <row r="510" ht="34.5">
      <c r="A510" s="488" t="s">
        <v>778</v>
      </c>
      <c r="B510" s="488" t="s">
        <v>779</v>
      </c>
      <c r="C510" s="488" t="s">
        <v>415</v>
      </c>
      <c r="D510" s="488" t="s">
        <v>263</v>
      </c>
      <c r="E510" s="488" t="s">
        <v>407</v>
      </c>
      <c r="F510" s="489" t="s">
        <v>408</v>
      </c>
      <c r="G510" s="488" t="s">
        <v>409</v>
      </c>
      <c r="H510" s="489"/>
      <c r="I510" s="489"/>
      <c r="J510" s="489" t="s">
        <v>414</v>
      </c>
      <c r="K510" s="491"/>
      <c r="L510" s="488"/>
      <c r="M510" s="488"/>
      <c r="N510" s="489"/>
      <c r="O510" s="489"/>
      <c r="P510" s="489"/>
      <c r="Q510" s="489"/>
      <c r="R510" s="490"/>
      <c r="S510" s="489"/>
      <c r="T510" s="488" t="s">
        <v>268</v>
      </c>
    </row>
    <row r="511" ht="34.5">
      <c r="A511" s="488" t="s">
        <v>778</v>
      </c>
      <c r="B511" s="488" t="s">
        <v>779</v>
      </c>
      <c r="C511" s="488" t="s">
        <v>415</v>
      </c>
      <c r="D511" s="488" t="s">
        <v>263</v>
      </c>
      <c r="E511" s="488" t="s">
        <v>407</v>
      </c>
      <c r="F511" s="489" t="s">
        <v>408</v>
      </c>
      <c r="G511" s="488" t="s">
        <v>409</v>
      </c>
      <c r="H511" s="489"/>
      <c r="I511" s="489"/>
      <c r="J511" s="489" t="s">
        <v>828</v>
      </c>
      <c r="K511" s="491"/>
      <c r="L511" s="488"/>
      <c r="M511" s="488"/>
      <c r="N511" s="489"/>
      <c r="O511" s="489"/>
      <c r="P511" s="489"/>
      <c r="Q511" s="489"/>
      <c r="R511" s="490"/>
      <c r="S511" s="489"/>
      <c r="T511" s="488" t="s">
        <v>268</v>
      </c>
    </row>
    <row r="512" ht="34.5">
      <c r="A512" s="488" t="s">
        <v>778</v>
      </c>
      <c r="B512" s="488" t="s">
        <v>779</v>
      </c>
      <c r="C512" s="488" t="s">
        <v>415</v>
      </c>
      <c r="D512" s="488" t="s">
        <v>263</v>
      </c>
      <c r="E512" s="488" t="s">
        <v>407</v>
      </c>
      <c r="F512" s="489" t="s">
        <v>408</v>
      </c>
      <c r="G512" s="488" t="s">
        <v>409</v>
      </c>
      <c r="H512" s="489"/>
      <c r="I512" s="489"/>
      <c r="J512" s="489" t="s">
        <v>419</v>
      </c>
      <c r="K512" s="491"/>
      <c r="L512" s="488"/>
      <c r="M512" s="488"/>
      <c r="N512" s="489"/>
      <c r="O512" s="489"/>
      <c r="P512" s="489"/>
      <c r="Q512" s="489"/>
      <c r="R512" s="490"/>
      <c r="S512" s="489"/>
      <c r="T512" s="488" t="s">
        <v>268</v>
      </c>
    </row>
    <row r="513" ht="34.5">
      <c r="A513" s="488" t="s">
        <v>778</v>
      </c>
      <c r="B513" s="488" t="s">
        <v>779</v>
      </c>
      <c r="C513" s="488" t="s">
        <v>415</v>
      </c>
      <c r="D513" s="488" t="s">
        <v>263</v>
      </c>
      <c r="E513" s="488" t="s">
        <v>407</v>
      </c>
      <c r="F513" s="489" t="s">
        <v>408</v>
      </c>
      <c r="G513" s="488" t="s">
        <v>409</v>
      </c>
      <c r="H513" s="489"/>
      <c r="I513" s="489"/>
      <c r="J513" s="489" t="s">
        <v>420</v>
      </c>
      <c r="K513" s="491"/>
      <c r="L513" s="488"/>
      <c r="M513" s="488"/>
      <c r="N513" s="489"/>
      <c r="O513" s="489"/>
      <c r="P513" s="489"/>
      <c r="Q513" s="489"/>
      <c r="R513" s="490"/>
      <c r="S513" s="489"/>
      <c r="T513" s="488" t="s">
        <v>268</v>
      </c>
    </row>
    <row r="514" ht="34.5">
      <c r="A514" s="488" t="s">
        <v>778</v>
      </c>
      <c r="B514" s="488" t="s">
        <v>779</v>
      </c>
      <c r="C514" s="488" t="s">
        <v>415</v>
      </c>
      <c r="D514" s="488" t="s">
        <v>263</v>
      </c>
      <c r="E514" s="488" t="s">
        <v>407</v>
      </c>
      <c r="F514" s="489" t="s">
        <v>408</v>
      </c>
      <c r="G514" s="488" t="s">
        <v>409</v>
      </c>
      <c r="H514" s="489"/>
      <c r="I514" s="489"/>
      <c r="J514" s="489" t="s">
        <v>421</v>
      </c>
      <c r="K514" s="491"/>
      <c r="L514" s="488"/>
      <c r="M514" s="488"/>
      <c r="N514" s="489"/>
      <c r="O514" s="489"/>
      <c r="P514" s="489"/>
      <c r="Q514" s="489"/>
      <c r="R514" s="490"/>
      <c r="S514" s="489"/>
      <c r="T514" s="488" t="s">
        <v>268</v>
      </c>
    </row>
    <row r="515" ht="34.5">
      <c r="A515" s="488" t="s">
        <v>778</v>
      </c>
      <c r="B515" s="488" t="s">
        <v>779</v>
      </c>
      <c r="C515" s="488" t="s">
        <v>424</v>
      </c>
      <c r="D515" s="488" t="s">
        <v>263</v>
      </c>
      <c r="E515" s="488" t="s">
        <v>407</v>
      </c>
      <c r="F515" s="489" t="s">
        <v>416</v>
      </c>
      <c r="G515" s="488" t="s">
        <v>409</v>
      </c>
      <c r="H515" s="489"/>
      <c r="I515" s="489"/>
      <c r="J515" s="489" t="s">
        <v>425</v>
      </c>
      <c r="K515" s="491"/>
      <c r="L515" s="488"/>
      <c r="M515" s="488"/>
      <c r="N515" s="489"/>
      <c r="O515" s="489"/>
      <c r="P515" s="489"/>
      <c r="Q515" s="489"/>
      <c r="R515" s="490"/>
      <c r="S515" s="489"/>
      <c r="T515" s="488" t="s">
        <v>268</v>
      </c>
    </row>
    <row r="516" ht="34.5">
      <c r="A516" s="488" t="s">
        <v>778</v>
      </c>
      <c r="B516" s="488" t="s">
        <v>779</v>
      </c>
      <c r="C516" s="488" t="s">
        <v>424</v>
      </c>
      <c r="D516" s="488" t="s">
        <v>263</v>
      </c>
      <c r="E516" s="488" t="s">
        <v>407</v>
      </c>
      <c r="F516" s="489" t="s">
        <v>416</v>
      </c>
      <c r="G516" s="488" t="s">
        <v>409</v>
      </c>
      <c r="H516" s="489"/>
      <c r="I516" s="489"/>
      <c r="J516" s="489" t="s">
        <v>422</v>
      </c>
      <c r="K516" s="491"/>
      <c r="L516" s="488"/>
      <c r="M516" s="488"/>
      <c r="N516" s="489"/>
      <c r="O516" s="489"/>
      <c r="P516" s="489"/>
      <c r="Q516" s="489"/>
      <c r="R516" s="490"/>
      <c r="S516" s="489"/>
      <c r="T516" s="488" t="s">
        <v>268</v>
      </c>
    </row>
    <row r="517" ht="34.5">
      <c r="A517" s="488" t="s">
        <v>778</v>
      </c>
      <c r="B517" s="488" t="s">
        <v>779</v>
      </c>
      <c r="C517" s="488" t="s">
        <v>424</v>
      </c>
      <c r="D517" s="488" t="s">
        <v>263</v>
      </c>
      <c r="E517" s="488" t="s">
        <v>407</v>
      </c>
      <c r="F517" s="489" t="s">
        <v>416</v>
      </c>
      <c r="G517" s="488" t="s">
        <v>409</v>
      </c>
      <c r="H517" s="489"/>
      <c r="I517" s="489"/>
      <c r="J517" s="489" t="s">
        <v>423</v>
      </c>
      <c r="K517" s="491"/>
      <c r="L517" s="488"/>
      <c r="M517" s="488"/>
      <c r="N517" s="489"/>
      <c r="O517" s="489"/>
      <c r="P517" s="489"/>
      <c r="Q517" s="489"/>
      <c r="R517" s="490"/>
      <c r="S517" s="489"/>
      <c r="T517" s="488" t="s">
        <v>268</v>
      </c>
    </row>
    <row r="518" ht="34.5">
      <c r="A518" s="488" t="s">
        <v>778</v>
      </c>
      <c r="B518" s="488" t="s">
        <v>779</v>
      </c>
      <c r="C518" s="488" t="s">
        <v>424</v>
      </c>
      <c r="D518" s="488" t="s">
        <v>263</v>
      </c>
      <c r="E518" s="488" t="s">
        <v>407</v>
      </c>
      <c r="F518" s="489" t="s">
        <v>416</v>
      </c>
      <c r="G518" s="488" t="s">
        <v>409</v>
      </c>
      <c r="H518" s="489"/>
      <c r="I518" s="489"/>
      <c r="J518" s="489" t="s">
        <v>829</v>
      </c>
      <c r="K518" s="491"/>
      <c r="L518" s="488"/>
      <c r="M518" s="488"/>
      <c r="N518" s="489"/>
      <c r="O518" s="489"/>
      <c r="P518" s="489"/>
      <c r="Q518" s="489"/>
      <c r="R518" s="490"/>
      <c r="S518" s="489"/>
      <c r="T518" s="488" t="s">
        <v>268</v>
      </c>
    </row>
    <row r="519" ht="34.5">
      <c r="A519" s="488" t="s">
        <v>778</v>
      </c>
      <c r="B519" s="488" t="s">
        <v>779</v>
      </c>
      <c r="C519" s="488" t="s">
        <v>424</v>
      </c>
      <c r="D519" s="488" t="s">
        <v>263</v>
      </c>
      <c r="E519" s="488" t="s">
        <v>407</v>
      </c>
      <c r="F519" s="489" t="s">
        <v>416</v>
      </c>
      <c r="G519" s="488" t="s">
        <v>409</v>
      </c>
      <c r="H519" s="489"/>
      <c r="I519" s="489"/>
      <c r="J519" s="489" t="s">
        <v>830</v>
      </c>
      <c r="K519" s="491">
        <v>3503256</v>
      </c>
      <c r="L519" s="488" t="s">
        <v>429</v>
      </c>
      <c r="M519" s="488"/>
      <c r="N519" s="489"/>
      <c r="O519" s="489"/>
      <c r="P519" s="489"/>
      <c r="Q519" s="489"/>
      <c r="R519" s="490"/>
      <c r="S519" s="489"/>
      <c r="T519" s="488" t="s">
        <v>268</v>
      </c>
    </row>
    <row r="520" ht="34.5">
      <c r="A520" s="488" t="s">
        <v>778</v>
      </c>
      <c r="B520" s="488" t="s">
        <v>779</v>
      </c>
      <c r="C520" s="488" t="s">
        <v>424</v>
      </c>
      <c r="D520" s="488" t="s">
        <v>263</v>
      </c>
      <c r="E520" s="488" t="s">
        <v>407</v>
      </c>
      <c r="F520" s="489" t="s">
        <v>416</v>
      </c>
      <c r="G520" s="488" t="s">
        <v>409</v>
      </c>
      <c r="H520" s="489"/>
      <c r="I520" s="489"/>
      <c r="J520" s="489" t="s">
        <v>431</v>
      </c>
      <c r="K520" s="491"/>
      <c r="L520" s="488"/>
      <c r="M520" s="488"/>
      <c r="N520" s="489"/>
      <c r="O520" s="489"/>
      <c r="P520" s="489"/>
      <c r="Q520" s="489"/>
      <c r="R520" s="490"/>
      <c r="S520" s="489"/>
      <c r="T520" s="488" t="s">
        <v>268</v>
      </c>
    </row>
    <row r="521" ht="34.5">
      <c r="A521" s="488" t="s">
        <v>778</v>
      </c>
      <c r="B521" s="488" t="s">
        <v>779</v>
      </c>
      <c r="C521" s="488" t="s">
        <v>424</v>
      </c>
      <c r="D521" s="488" t="s">
        <v>263</v>
      </c>
      <c r="E521" s="488" t="s">
        <v>407</v>
      </c>
      <c r="F521" s="489" t="s">
        <v>416</v>
      </c>
      <c r="G521" s="488" t="s">
        <v>409</v>
      </c>
      <c r="H521" s="489"/>
      <c r="I521" s="489"/>
      <c r="J521" s="489" t="s">
        <v>432</v>
      </c>
      <c r="K521" s="491"/>
      <c r="L521" s="488"/>
      <c r="M521" s="488"/>
      <c r="N521" s="489"/>
      <c r="O521" s="489"/>
      <c r="P521" s="489"/>
      <c r="Q521" s="489"/>
      <c r="R521" s="490"/>
      <c r="S521" s="489"/>
      <c r="T521" s="488" t="s">
        <v>268</v>
      </c>
    </row>
    <row r="522" ht="34.5">
      <c r="A522" s="488" t="s">
        <v>778</v>
      </c>
      <c r="B522" s="488" t="s">
        <v>779</v>
      </c>
      <c r="C522" s="488" t="s">
        <v>424</v>
      </c>
      <c r="D522" s="488" t="s">
        <v>263</v>
      </c>
      <c r="E522" s="488" t="s">
        <v>407</v>
      </c>
      <c r="F522" s="489" t="s">
        <v>416</v>
      </c>
      <c r="G522" s="488" t="s">
        <v>409</v>
      </c>
      <c r="H522" s="489"/>
      <c r="I522" s="489"/>
      <c r="J522" s="489" t="s">
        <v>433</v>
      </c>
      <c r="K522" s="491"/>
      <c r="L522" s="488"/>
      <c r="M522" s="488"/>
      <c r="N522" s="489"/>
      <c r="O522" s="489"/>
      <c r="P522" s="489"/>
      <c r="Q522" s="489"/>
      <c r="R522" s="490"/>
      <c r="S522" s="489"/>
      <c r="T522" s="488" t="s">
        <v>268</v>
      </c>
    </row>
    <row r="523" ht="34.5">
      <c r="A523" s="488" t="s">
        <v>778</v>
      </c>
      <c r="B523" s="488" t="s">
        <v>779</v>
      </c>
      <c r="C523" s="488" t="s">
        <v>434</v>
      </c>
      <c r="D523" s="488" t="s">
        <v>263</v>
      </c>
      <c r="E523" s="488" t="s">
        <v>407</v>
      </c>
      <c r="F523" s="489" t="s">
        <v>416</v>
      </c>
      <c r="G523" s="488" t="s">
        <v>409</v>
      </c>
      <c r="H523" s="489"/>
      <c r="I523" s="489"/>
      <c r="J523" s="489" t="s">
        <v>435</v>
      </c>
      <c r="K523" s="491"/>
      <c r="L523" s="488"/>
      <c r="M523" s="488"/>
      <c r="N523" s="489"/>
      <c r="O523" s="489"/>
      <c r="P523" s="489"/>
      <c r="Q523" s="489"/>
      <c r="R523" s="490"/>
      <c r="S523" s="489"/>
      <c r="T523" s="488" t="s">
        <v>268</v>
      </c>
    </row>
    <row r="524" ht="34.5">
      <c r="A524" s="488" t="s">
        <v>778</v>
      </c>
      <c r="B524" s="488" t="s">
        <v>779</v>
      </c>
      <c r="C524" s="488" t="s">
        <v>434</v>
      </c>
      <c r="D524" s="488" t="s">
        <v>263</v>
      </c>
      <c r="E524" s="488" t="s">
        <v>407</v>
      </c>
      <c r="F524" s="489" t="s">
        <v>416</v>
      </c>
      <c r="G524" s="488" t="s">
        <v>409</v>
      </c>
      <c r="H524" s="489"/>
      <c r="I524" s="489"/>
      <c r="J524" s="489" t="s">
        <v>831</v>
      </c>
      <c r="K524" s="491"/>
      <c r="L524" s="488"/>
      <c r="M524" s="488"/>
      <c r="N524" s="489"/>
      <c r="O524" s="489"/>
      <c r="P524" s="489"/>
      <c r="Q524" s="489"/>
      <c r="R524" s="490"/>
      <c r="S524" s="489"/>
      <c r="T524" s="488" t="s">
        <v>268</v>
      </c>
    </row>
    <row r="525" ht="34.5">
      <c r="A525" s="488" t="s">
        <v>778</v>
      </c>
      <c r="B525" s="488" t="s">
        <v>779</v>
      </c>
      <c r="C525" s="488" t="s">
        <v>434</v>
      </c>
      <c r="D525" s="488" t="s">
        <v>263</v>
      </c>
      <c r="E525" s="488" t="s">
        <v>407</v>
      </c>
      <c r="F525" s="489" t="s">
        <v>416</v>
      </c>
      <c r="G525" s="488" t="s">
        <v>409</v>
      </c>
      <c r="H525" s="489"/>
      <c r="I525" s="489"/>
      <c r="J525" s="489" t="s">
        <v>832</v>
      </c>
      <c r="K525" s="491">
        <v>159008413</v>
      </c>
      <c r="L525" s="488" t="s">
        <v>429</v>
      </c>
      <c r="M525" s="488"/>
      <c r="N525" s="489"/>
      <c r="O525" s="489"/>
      <c r="P525" s="489"/>
      <c r="Q525" s="489"/>
      <c r="R525" s="490"/>
      <c r="S525" s="489"/>
      <c r="T525" s="488" t="s">
        <v>268</v>
      </c>
    </row>
    <row r="526" ht="34.5">
      <c r="A526" s="488" t="s">
        <v>778</v>
      </c>
      <c r="B526" s="488" t="s">
        <v>779</v>
      </c>
      <c r="C526" s="488" t="s">
        <v>434</v>
      </c>
      <c r="D526" s="488" t="s">
        <v>263</v>
      </c>
      <c r="E526" s="488" t="s">
        <v>407</v>
      </c>
      <c r="F526" s="489" t="s">
        <v>416</v>
      </c>
      <c r="G526" s="488" t="s">
        <v>409</v>
      </c>
      <c r="H526" s="489"/>
      <c r="I526" s="489"/>
      <c r="J526" s="489" t="s">
        <v>438</v>
      </c>
      <c r="K526" s="491"/>
      <c r="L526" s="488"/>
      <c r="M526" s="488"/>
      <c r="N526" s="489"/>
      <c r="O526" s="489"/>
      <c r="P526" s="489"/>
      <c r="Q526" s="489"/>
      <c r="R526" s="490"/>
      <c r="S526" s="489"/>
      <c r="T526" s="488" t="s">
        <v>268</v>
      </c>
    </row>
    <row r="527" ht="34.5">
      <c r="A527" s="488" t="s">
        <v>778</v>
      </c>
      <c r="B527" s="488" t="s">
        <v>779</v>
      </c>
      <c r="C527" s="488" t="s">
        <v>434</v>
      </c>
      <c r="D527" s="488" t="s">
        <v>263</v>
      </c>
      <c r="E527" s="488" t="s">
        <v>407</v>
      </c>
      <c r="F527" s="489" t="s">
        <v>416</v>
      </c>
      <c r="G527" s="488" t="s">
        <v>409</v>
      </c>
      <c r="H527" s="489"/>
      <c r="I527" s="489"/>
      <c r="J527" s="489" t="s">
        <v>439</v>
      </c>
      <c r="K527" s="491"/>
      <c r="L527" s="488"/>
      <c r="M527" s="488"/>
      <c r="N527" s="489"/>
      <c r="O527" s="489"/>
      <c r="P527" s="489"/>
      <c r="Q527" s="489"/>
      <c r="R527" s="490"/>
      <c r="S527" s="489"/>
      <c r="T527" s="488" t="s">
        <v>268</v>
      </c>
    </row>
    <row r="528" ht="34.5">
      <c r="A528" s="488" t="s">
        <v>778</v>
      </c>
      <c r="B528" s="488" t="s">
        <v>779</v>
      </c>
      <c r="C528" s="488" t="s">
        <v>434</v>
      </c>
      <c r="D528" s="488" t="s">
        <v>263</v>
      </c>
      <c r="E528" s="488" t="s">
        <v>407</v>
      </c>
      <c r="F528" s="489" t="s">
        <v>416</v>
      </c>
      <c r="G528" s="488" t="s">
        <v>409</v>
      </c>
      <c r="H528" s="489"/>
      <c r="I528" s="489"/>
      <c r="J528" s="489" t="s">
        <v>440</v>
      </c>
      <c r="K528" s="491"/>
      <c r="L528" s="488"/>
      <c r="M528" s="488"/>
      <c r="N528" s="489"/>
      <c r="O528" s="489"/>
      <c r="P528" s="489"/>
      <c r="Q528" s="489"/>
      <c r="R528" s="490"/>
      <c r="S528" s="489"/>
      <c r="T528" s="488" t="s">
        <v>268</v>
      </c>
    </row>
    <row r="529" ht="34.5">
      <c r="A529" s="488" t="s">
        <v>778</v>
      </c>
      <c r="B529" s="488" t="s">
        <v>779</v>
      </c>
      <c r="C529" s="488" t="s">
        <v>441</v>
      </c>
      <c r="D529" s="488" t="s">
        <v>263</v>
      </c>
      <c r="E529" s="488" t="s">
        <v>442</v>
      </c>
      <c r="F529" s="489" t="s">
        <v>443</v>
      </c>
      <c r="G529" s="488" t="s">
        <v>444</v>
      </c>
      <c r="H529" s="489"/>
      <c r="I529" s="489"/>
      <c r="J529" s="489" t="s">
        <v>445</v>
      </c>
      <c r="K529" s="491"/>
      <c r="L529" s="488"/>
      <c r="M529" s="488"/>
      <c r="N529" s="489"/>
      <c r="O529" s="489"/>
      <c r="P529" s="489"/>
      <c r="Q529" s="489"/>
      <c r="R529" s="490"/>
      <c r="S529" s="489"/>
      <c r="T529" s="488" t="s">
        <v>268</v>
      </c>
    </row>
    <row r="530" ht="34.5">
      <c r="A530" s="488" t="s">
        <v>778</v>
      </c>
      <c r="B530" s="488" t="s">
        <v>779</v>
      </c>
      <c r="C530" s="488" t="s">
        <v>441</v>
      </c>
      <c r="D530" s="488" t="s">
        <v>263</v>
      </c>
      <c r="E530" s="488" t="s">
        <v>442</v>
      </c>
      <c r="F530" s="489" t="s">
        <v>443</v>
      </c>
      <c r="G530" s="488" t="s">
        <v>444</v>
      </c>
      <c r="H530" s="489"/>
      <c r="I530" s="489"/>
      <c r="J530" s="489" t="s">
        <v>833</v>
      </c>
      <c r="K530" s="491">
        <v>1104</v>
      </c>
      <c r="L530" s="488" t="s">
        <v>429</v>
      </c>
      <c r="M530" s="488"/>
      <c r="N530" s="489"/>
      <c r="O530" s="489"/>
      <c r="P530" s="489"/>
      <c r="Q530" s="489"/>
      <c r="R530" s="490"/>
      <c r="S530" s="489"/>
      <c r="T530" s="488" t="s">
        <v>268</v>
      </c>
    </row>
    <row r="531" ht="34.5">
      <c r="A531" s="488" t="s">
        <v>778</v>
      </c>
      <c r="B531" s="488" t="s">
        <v>779</v>
      </c>
      <c r="C531" s="488" t="s">
        <v>441</v>
      </c>
      <c r="D531" s="488" t="s">
        <v>263</v>
      </c>
      <c r="E531" s="488" t="s">
        <v>447</v>
      </c>
      <c r="F531" s="489" t="s">
        <v>448</v>
      </c>
      <c r="G531" s="488" t="s">
        <v>37</v>
      </c>
      <c r="H531" s="489"/>
      <c r="I531" s="489"/>
      <c r="J531" s="489" t="s">
        <v>449</v>
      </c>
      <c r="K531" s="491"/>
      <c r="L531" s="488"/>
      <c r="M531" s="488"/>
      <c r="N531" s="489"/>
      <c r="O531" s="489"/>
      <c r="P531" s="489"/>
      <c r="Q531" s="489"/>
      <c r="R531" s="490"/>
      <c r="S531" s="489"/>
      <c r="T531" s="488" t="s">
        <v>268</v>
      </c>
    </row>
    <row r="532" ht="34.5">
      <c r="A532" s="488" t="s">
        <v>778</v>
      </c>
      <c r="B532" s="488" t="s">
        <v>779</v>
      </c>
      <c r="C532" s="488" t="s">
        <v>441</v>
      </c>
      <c r="D532" s="488" t="s">
        <v>263</v>
      </c>
      <c r="E532" s="488" t="s">
        <v>447</v>
      </c>
      <c r="F532" s="489" t="s">
        <v>448</v>
      </c>
      <c r="G532" s="488" t="s">
        <v>37</v>
      </c>
      <c r="H532" s="489"/>
      <c r="I532" s="489"/>
      <c r="J532" s="489" t="s">
        <v>834</v>
      </c>
      <c r="K532" s="491">
        <v>6315200</v>
      </c>
      <c r="L532" s="488" t="s">
        <v>429</v>
      </c>
      <c r="M532" s="488"/>
      <c r="N532" s="489"/>
      <c r="O532" s="489"/>
      <c r="P532" s="489"/>
      <c r="Q532" s="489"/>
      <c r="R532" s="490"/>
      <c r="S532" s="489"/>
      <c r="T532" s="488" t="s">
        <v>268</v>
      </c>
    </row>
    <row r="533" ht="34.5">
      <c r="A533" s="488" t="s">
        <v>778</v>
      </c>
      <c r="B533" s="488" t="s">
        <v>779</v>
      </c>
      <c r="C533" s="488" t="s">
        <v>441</v>
      </c>
      <c r="D533" s="488" t="s">
        <v>263</v>
      </c>
      <c r="E533" s="488" t="s">
        <v>447</v>
      </c>
      <c r="F533" s="489" t="s">
        <v>448</v>
      </c>
      <c r="G533" s="488" t="s">
        <v>37</v>
      </c>
      <c r="H533" s="489"/>
      <c r="I533" s="489"/>
      <c r="J533" s="489" t="s">
        <v>835</v>
      </c>
      <c r="K533" s="491"/>
      <c r="L533" s="488"/>
      <c r="M533" s="488"/>
      <c r="N533" s="489"/>
      <c r="O533" s="489"/>
      <c r="P533" s="489"/>
      <c r="Q533" s="489"/>
      <c r="R533" s="490"/>
      <c r="S533" s="489"/>
      <c r="T533" s="488" t="s">
        <v>268</v>
      </c>
    </row>
    <row r="534" ht="34.5">
      <c r="A534" s="488" t="s">
        <v>778</v>
      </c>
      <c r="B534" s="488" t="s">
        <v>779</v>
      </c>
      <c r="C534" s="488" t="s">
        <v>441</v>
      </c>
      <c r="D534" s="488" t="s">
        <v>263</v>
      </c>
      <c r="E534" s="488" t="s">
        <v>462</v>
      </c>
      <c r="F534" s="489" t="s">
        <v>463</v>
      </c>
      <c r="G534" s="488" t="s">
        <v>464</v>
      </c>
      <c r="H534" s="489"/>
      <c r="I534" s="489"/>
      <c r="J534" s="489" t="s">
        <v>465</v>
      </c>
      <c r="K534" s="491"/>
      <c r="L534" s="488"/>
      <c r="M534" s="488"/>
      <c r="N534" s="489"/>
      <c r="O534" s="489"/>
      <c r="P534" s="489"/>
      <c r="Q534" s="489"/>
      <c r="R534" s="490"/>
      <c r="S534" s="489"/>
      <c r="T534" s="488" t="s">
        <v>268</v>
      </c>
    </row>
    <row r="535" ht="34.5">
      <c r="A535" s="488" t="s">
        <v>778</v>
      </c>
      <c r="B535" s="488" t="s">
        <v>779</v>
      </c>
      <c r="C535" s="488" t="s">
        <v>441</v>
      </c>
      <c r="D535" s="488" t="s">
        <v>263</v>
      </c>
      <c r="E535" s="488" t="s">
        <v>462</v>
      </c>
      <c r="F535" s="489" t="s">
        <v>463</v>
      </c>
      <c r="G535" s="488" t="s">
        <v>464</v>
      </c>
      <c r="H535" s="489"/>
      <c r="I535" s="489"/>
      <c r="J535" s="489" t="s">
        <v>836</v>
      </c>
      <c r="K535" s="491">
        <v>985002</v>
      </c>
      <c r="L535" s="488" t="s">
        <v>429</v>
      </c>
      <c r="M535" s="488"/>
      <c r="N535" s="489"/>
      <c r="O535" s="489"/>
      <c r="P535" s="489"/>
      <c r="Q535" s="489"/>
      <c r="R535" s="490"/>
      <c r="S535" s="489"/>
      <c r="T535" s="488" t="s">
        <v>268</v>
      </c>
    </row>
    <row r="536" ht="34.5">
      <c r="A536" s="488" t="s">
        <v>778</v>
      </c>
      <c r="B536" s="488" t="s">
        <v>779</v>
      </c>
      <c r="C536" s="488" t="s">
        <v>455</v>
      </c>
      <c r="D536" s="488" t="s">
        <v>263</v>
      </c>
      <c r="E536" s="488" t="s">
        <v>468</v>
      </c>
      <c r="F536" s="489" t="s">
        <v>469</v>
      </c>
      <c r="G536" s="488" t="s">
        <v>470</v>
      </c>
      <c r="H536" s="489"/>
      <c r="I536" s="489"/>
      <c r="J536" s="489" t="s">
        <v>471</v>
      </c>
      <c r="K536" s="491"/>
      <c r="L536" s="488"/>
      <c r="M536" s="488"/>
      <c r="N536" s="489"/>
      <c r="O536" s="489"/>
      <c r="P536" s="489"/>
      <c r="Q536" s="489"/>
      <c r="R536" s="490"/>
      <c r="S536" s="489"/>
      <c r="T536" s="488" t="s">
        <v>268</v>
      </c>
    </row>
    <row r="537" ht="34.5">
      <c r="A537" s="488" t="s">
        <v>778</v>
      </c>
      <c r="B537" s="488" t="s">
        <v>779</v>
      </c>
      <c r="C537" s="488" t="s">
        <v>455</v>
      </c>
      <c r="D537" s="488" t="s">
        <v>263</v>
      </c>
      <c r="E537" s="488" t="s">
        <v>468</v>
      </c>
      <c r="F537" s="489" t="s">
        <v>469</v>
      </c>
      <c r="G537" s="488" t="s">
        <v>470</v>
      </c>
      <c r="H537" s="489"/>
      <c r="I537" s="489"/>
      <c r="J537" s="489" t="s">
        <v>837</v>
      </c>
      <c r="K537" s="491">
        <v>13195714</v>
      </c>
      <c r="L537" s="488" t="s">
        <v>429</v>
      </c>
      <c r="M537" s="488"/>
      <c r="N537" s="489"/>
      <c r="O537" s="489"/>
      <c r="P537" s="489"/>
      <c r="Q537" s="489"/>
      <c r="R537" s="490"/>
      <c r="S537" s="489"/>
      <c r="T537" s="488" t="s">
        <v>268</v>
      </c>
    </row>
    <row r="538" ht="34.5">
      <c r="A538" s="488" t="s">
        <v>778</v>
      </c>
      <c r="B538" s="488" t="s">
        <v>779</v>
      </c>
      <c r="C538" s="488" t="s">
        <v>455</v>
      </c>
      <c r="D538" s="488" t="s">
        <v>263</v>
      </c>
      <c r="E538" s="488" t="s">
        <v>468</v>
      </c>
      <c r="F538" s="489" t="s">
        <v>469</v>
      </c>
      <c r="G538" s="488" t="s">
        <v>470</v>
      </c>
      <c r="H538" s="489"/>
      <c r="I538" s="489"/>
      <c r="J538" s="489" t="s">
        <v>838</v>
      </c>
      <c r="K538" s="491"/>
      <c r="L538" s="488"/>
      <c r="M538" s="488"/>
      <c r="N538" s="489"/>
      <c r="O538" s="489"/>
      <c r="P538" s="489"/>
      <c r="Q538" s="489"/>
      <c r="R538" s="490"/>
      <c r="S538" s="489"/>
      <c r="T538" s="488" t="s">
        <v>268</v>
      </c>
    </row>
    <row r="539" ht="34.5">
      <c r="A539" s="488" t="s">
        <v>778</v>
      </c>
      <c r="B539" s="488" t="s">
        <v>779</v>
      </c>
      <c r="C539" s="488" t="s">
        <v>467</v>
      </c>
      <c r="D539" s="488" t="s">
        <v>263</v>
      </c>
      <c r="E539" s="488" t="s">
        <v>468</v>
      </c>
      <c r="F539" s="489" t="s">
        <v>839</v>
      </c>
      <c r="G539" s="488" t="s">
        <v>470</v>
      </c>
      <c r="H539" s="489"/>
      <c r="I539" s="489"/>
      <c r="J539" s="489" t="s">
        <v>840</v>
      </c>
      <c r="K539" s="491">
        <v>3585503</v>
      </c>
      <c r="L539" s="488" t="s">
        <v>429</v>
      </c>
      <c r="M539" s="488"/>
      <c r="N539" s="489"/>
      <c r="O539" s="489"/>
      <c r="P539" s="489"/>
      <c r="Q539" s="489"/>
      <c r="R539" s="490"/>
      <c r="S539" s="489"/>
      <c r="T539" s="488" t="s">
        <v>268</v>
      </c>
    </row>
    <row r="540" ht="34.5">
      <c r="A540" s="488" t="s">
        <v>778</v>
      </c>
      <c r="B540" s="488" t="s">
        <v>779</v>
      </c>
      <c r="C540" s="488" t="s">
        <v>467</v>
      </c>
      <c r="D540" s="488" t="s">
        <v>263</v>
      </c>
      <c r="E540" s="488" t="s">
        <v>475</v>
      </c>
      <c r="F540" s="489" t="s">
        <v>476</v>
      </c>
      <c r="G540" s="488" t="s">
        <v>266</v>
      </c>
      <c r="H540" s="489"/>
      <c r="I540" s="489"/>
      <c r="J540" s="489" t="s">
        <v>477</v>
      </c>
      <c r="K540" s="491"/>
      <c r="L540" s="488"/>
      <c r="M540" s="488"/>
      <c r="N540" s="489"/>
      <c r="O540" s="489"/>
      <c r="P540" s="489"/>
      <c r="Q540" s="489"/>
      <c r="R540" s="490"/>
      <c r="S540" s="489"/>
      <c r="T540" s="488" t="s">
        <v>268</v>
      </c>
    </row>
    <row r="541" ht="34.5">
      <c r="A541" s="488" t="s">
        <v>778</v>
      </c>
      <c r="B541" s="488" t="s">
        <v>779</v>
      </c>
      <c r="C541" s="488" t="s">
        <v>467</v>
      </c>
      <c r="D541" s="488" t="s">
        <v>263</v>
      </c>
      <c r="E541" s="488" t="s">
        <v>475</v>
      </c>
      <c r="F541" s="489" t="s">
        <v>476</v>
      </c>
      <c r="G541" s="488" t="s">
        <v>266</v>
      </c>
      <c r="H541" s="489"/>
      <c r="I541" s="489"/>
      <c r="J541" s="489" t="s">
        <v>841</v>
      </c>
      <c r="K541" s="491">
        <v>255457</v>
      </c>
      <c r="L541" s="488" t="s">
        <v>429</v>
      </c>
      <c r="M541" s="488"/>
      <c r="N541" s="489"/>
      <c r="O541" s="489"/>
      <c r="P541" s="489"/>
      <c r="Q541" s="489"/>
      <c r="R541" s="490"/>
      <c r="S541" s="489"/>
      <c r="T541" s="488" t="s">
        <v>268</v>
      </c>
    </row>
    <row r="542" ht="34.5">
      <c r="A542" s="488" t="s">
        <v>778</v>
      </c>
      <c r="B542" s="488" t="s">
        <v>779</v>
      </c>
      <c r="C542" s="488" t="s">
        <v>467</v>
      </c>
      <c r="D542" s="488" t="s">
        <v>263</v>
      </c>
      <c r="E542" s="488" t="s">
        <v>475</v>
      </c>
      <c r="F542" s="489" t="s">
        <v>476</v>
      </c>
      <c r="G542" s="488" t="s">
        <v>266</v>
      </c>
      <c r="H542" s="489"/>
      <c r="I542" s="489"/>
      <c r="J542" s="489" t="s">
        <v>480</v>
      </c>
      <c r="K542" s="491"/>
      <c r="L542" s="488"/>
      <c r="M542" s="488"/>
      <c r="N542" s="489"/>
      <c r="O542" s="489"/>
      <c r="P542" s="489"/>
      <c r="Q542" s="489"/>
      <c r="R542" s="490"/>
      <c r="S542" s="489"/>
      <c r="T542" s="488" t="s">
        <v>268</v>
      </c>
    </row>
    <row r="543" ht="34.5">
      <c r="A543" s="488" t="s">
        <v>778</v>
      </c>
      <c r="B543" s="488" t="s">
        <v>779</v>
      </c>
      <c r="C543" s="488" t="s">
        <v>467</v>
      </c>
      <c r="D543" s="488" t="s">
        <v>263</v>
      </c>
      <c r="E543" s="488" t="s">
        <v>475</v>
      </c>
      <c r="F543" s="489" t="s">
        <v>476</v>
      </c>
      <c r="G543" s="488" t="s">
        <v>266</v>
      </c>
      <c r="H543" s="489"/>
      <c r="I543" s="489"/>
      <c r="J543" s="489" t="s">
        <v>481</v>
      </c>
      <c r="K543" s="491"/>
      <c r="L543" s="488"/>
      <c r="M543" s="488"/>
      <c r="N543" s="489"/>
      <c r="O543" s="489"/>
      <c r="P543" s="489"/>
      <c r="Q543" s="489"/>
      <c r="R543" s="490"/>
      <c r="S543" s="489"/>
      <c r="T543" s="488" t="s">
        <v>268</v>
      </c>
    </row>
    <row r="544" ht="34.5">
      <c r="A544" s="488" t="s">
        <v>778</v>
      </c>
      <c r="B544" s="488" t="s">
        <v>779</v>
      </c>
      <c r="C544" s="488" t="s">
        <v>474</v>
      </c>
      <c r="D544" s="488" t="s">
        <v>263</v>
      </c>
      <c r="E544" s="488" t="s">
        <v>475</v>
      </c>
      <c r="F544" s="489" t="s">
        <v>485</v>
      </c>
      <c r="G544" s="488" t="s">
        <v>266</v>
      </c>
      <c r="H544" s="489"/>
      <c r="I544" s="489"/>
      <c r="J544" s="489" t="s">
        <v>842</v>
      </c>
      <c r="K544" s="491"/>
      <c r="L544" s="488"/>
      <c r="M544" s="488"/>
      <c r="N544" s="489"/>
      <c r="O544" s="489"/>
      <c r="P544" s="489"/>
      <c r="Q544" s="489"/>
      <c r="R544" s="490"/>
      <c r="S544" s="489"/>
      <c r="T544" s="488" t="s">
        <v>268</v>
      </c>
    </row>
    <row r="545" ht="34.5">
      <c r="A545" s="488" t="s">
        <v>778</v>
      </c>
      <c r="B545" s="488" t="s">
        <v>779</v>
      </c>
      <c r="C545" s="488" t="s">
        <v>474</v>
      </c>
      <c r="D545" s="488" t="s">
        <v>263</v>
      </c>
      <c r="E545" s="488" t="s">
        <v>475</v>
      </c>
      <c r="F545" s="489" t="s">
        <v>485</v>
      </c>
      <c r="G545" s="488" t="s">
        <v>266</v>
      </c>
      <c r="H545" s="489"/>
      <c r="I545" s="489"/>
      <c r="J545" s="489" t="s">
        <v>482</v>
      </c>
      <c r="K545" s="491">
        <v>500000</v>
      </c>
      <c r="L545" s="488" t="s">
        <v>429</v>
      </c>
      <c r="M545" s="488"/>
      <c r="N545" s="489"/>
      <c r="O545" s="489"/>
      <c r="P545" s="489"/>
      <c r="Q545" s="489"/>
      <c r="R545" s="490"/>
      <c r="S545" s="489"/>
      <c r="T545" s="488" t="s">
        <v>268</v>
      </c>
    </row>
    <row r="546" ht="34.5">
      <c r="A546" s="488" t="s">
        <v>778</v>
      </c>
      <c r="B546" s="488" t="s">
        <v>779</v>
      </c>
      <c r="C546" s="488" t="s">
        <v>474</v>
      </c>
      <c r="D546" s="488" t="s">
        <v>263</v>
      </c>
      <c r="E546" s="488" t="s">
        <v>475</v>
      </c>
      <c r="F546" s="489" t="s">
        <v>485</v>
      </c>
      <c r="G546" s="488" t="s">
        <v>266</v>
      </c>
      <c r="H546" s="489"/>
      <c r="I546" s="489"/>
      <c r="J546" s="489" t="s">
        <v>483</v>
      </c>
      <c r="K546" s="491"/>
      <c r="L546" s="488"/>
      <c r="M546" s="488"/>
      <c r="N546" s="489"/>
      <c r="O546" s="489"/>
      <c r="P546" s="489"/>
      <c r="Q546" s="489"/>
      <c r="R546" s="490"/>
      <c r="S546" s="489"/>
      <c r="T546" s="488" t="s">
        <v>268</v>
      </c>
    </row>
    <row r="547" ht="34.5">
      <c r="A547" s="488" t="s">
        <v>778</v>
      </c>
      <c r="B547" s="488" t="s">
        <v>779</v>
      </c>
      <c r="C547" s="488" t="s">
        <v>474</v>
      </c>
      <c r="D547" s="488" t="s">
        <v>263</v>
      </c>
      <c r="E547" s="488" t="s">
        <v>475</v>
      </c>
      <c r="F547" s="489" t="s">
        <v>485</v>
      </c>
      <c r="G547" s="488" t="s">
        <v>266</v>
      </c>
      <c r="H547" s="489"/>
      <c r="I547" s="489"/>
      <c r="J547" s="489" t="s">
        <v>843</v>
      </c>
      <c r="K547" s="491">
        <v>2071177</v>
      </c>
      <c r="L547" s="488" t="s">
        <v>429</v>
      </c>
      <c r="M547" s="488"/>
      <c r="N547" s="489"/>
      <c r="O547" s="489"/>
      <c r="P547" s="489"/>
      <c r="Q547" s="489"/>
      <c r="R547" s="490"/>
      <c r="S547" s="489"/>
      <c r="T547" s="488" t="s">
        <v>268</v>
      </c>
    </row>
    <row r="548" ht="34.5">
      <c r="A548" s="488" t="s">
        <v>778</v>
      </c>
      <c r="B548" s="488" t="s">
        <v>779</v>
      </c>
      <c r="C548" s="488" t="s">
        <v>474</v>
      </c>
      <c r="D548" s="488" t="s">
        <v>263</v>
      </c>
      <c r="E548" s="488" t="s">
        <v>487</v>
      </c>
      <c r="F548" s="489" t="s">
        <v>844</v>
      </c>
      <c r="G548" s="488" t="s">
        <v>266</v>
      </c>
      <c r="H548" s="489"/>
      <c r="I548" s="489"/>
      <c r="J548" s="489" t="s">
        <v>845</v>
      </c>
      <c r="K548" s="491"/>
      <c r="L548" s="488"/>
      <c r="M548" s="488"/>
      <c r="N548" s="489"/>
      <c r="O548" s="489"/>
      <c r="P548" s="489"/>
      <c r="Q548" s="489"/>
      <c r="R548" s="490"/>
      <c r="S548" s="489"/>
      <c r="T548" s="488" t="s">
        <v>268</v>
      </c>
    </row>
    <row r="549" ht="34.5">
      <c r="A549" s="488" t="s">
        <v>778</v>
      </c>
      <c r="B549" s="488" t="s">
        <v>779</v>
      </c>
      <c r="C549" s="488" t="s">
        <v>474</v>
      </c>
      <c r="D549" s="488" t="s">
        <v>263</v>
      </c>
      <c r="E549" s="488" t="s">
        <v>487</v>
      </c>
      <c r="F549" s="489" t="s">
        <v>844</v>
      </c>
      <c r="G549" s="488" t="s">
        <v>266</v>
      </c>
      <c r="H549" s="489"/>
      <c r="I549" s="489"/>
      <c r="J549" s="489" t="s">
        <v>846</v>
      </c>
      <c r="K549" s="491">
        <v>4033700</v>
      </c>
      <c r="L549" s="488" t="s">
        <v>429</v>
      </c>
      <c r="M549" s="488"/>
      <c r="N549" s="489"/>
      <c r="O549" s="489"/>
      <c r="P549" s="489"/>
      <c r="Q549" s="489"/>
      <c r="R549" s="490"/>
      <c r="S549" s="489"/>
      <c r="T549" s="488" t="s">
        <v>268</v>
      </c>
    </row>
    <row r="550" ht="34.5">
      <c r="A550" s="488" t="s">
        <v>778</v>
      </c>
      <c r="B550" s="488" t="s">
        <v>779</v>
      </c>
      <c r="C550" s="488" t="s">
        <v>474</v>
      </c>
      <c r="D550" s="488" t="s">
        <v>263</v>
      </c>
      <c r="E550" s="488" t="s">
        <v>487</v>
      </c>
      <c r="F550" s="489" t="s">
        <v>844</v>
      </c>
      <c r="G550" s="488" t="s">
        <v>266</v>
      </c>
      <c r="H550" s="489"/>
      <c r="I550" s="489"/>
      <c r="J550" s="489" t="s">
        <v>847</v>
      </c>
      <c r="K550" s="491">
        <v>153000000</v>
      </c>
      <c r="L550" s="488" t="s">
        <v>429</v>
      </c>
      <c r="M550" s="488"/>
      <c r="N550" s="489"/>
      <c r="O550" s="489"/>
      <c r="P550" s="489"/>
      <c r="Q550" s="489"/>
      <c r="R550" s="490"/>
      <c r="S550" s="489"/>
      <c r="T550" s="488" t="s">
        <v>268</v>
      </c>
    </row>
    <row r="551" ht="34.5">
      <c r="A551" s="488" t="s">
        <v>778</v>
      </c>
      <c r="B551" s="488" t="s">
        <v>779</v>
      </c>
      <c r="C551" s="488" t="s">
        <v>474</v>
      </c>
      <c r="D551" s="488" t="s">
        <v>263</v>
      </c>
      <c r="E551" s="488" t="s">
        <v>487</v>
      </c>
      <c r="F551" s="489" t="s">
        <v>844</v>
      </c>
      <c r="G551" s="488" t="s">
        <v>266</v>
      </c>
      <c r="H551" s="489"/>
      <c r="I551" s="489"/>
      <c r="J551" s="489" t="s">
        <v>848</v>
      </c>
      <c r="K551" s="491"/>
      <c r="L551" s="488"/>
      <c r="M551" s="488"/>
      <c r="N551" s="489"/>
      <c r="O551" s="489"/>
      <c r="P551" s="489"/>
      <c r="Q551" s="489"/>
      <c r="R551" s="490"/>
      <c r="S551" s="489"/>
      <c r="T551" s="488" t="s">
        <v>268</v>
      </c>
    </row>
    <row r="552" ht="34.5">
      <c r="A552" s="488" t="s">
        <v>778</v>
      </c>
      <c r="B552" s="488" t="s">
        <v>779</v>
      </c>
      <c r="C552" s="488" t="s">
        <v>484</v>
      </c>
      <c r="D552" s="488" t="s">
        <v>263</v>
      </c>
      <c r="E552" s="488" t="s">
        <v>493</v>
      </c>
      <c r="F552" s="489" t="s">
        <v>494</v>
      </c>
      <c r="G552" s="488" t="s">
        <v>495</v>
      </c>
      <c r="H552" s="489"/>
      <c r="I552" s="489"/>
      <c r="J552" s="489" t="s">
        <v>496</v>
      </c>
      <c r="K552" s="491"/>
      <c r="L552" s="488"/>
      <c r="M552" s="488"/>
      <c r="N552" s="489"/>
      <c r="O552" s="489"/>
      <c r="P552" s="489"/>
      <c r="Q552" s="489"/>
      <c r="R552" s="490"/>
      <c r="S552" s="489"/>
      <c r="T552" s="488" t="s">
        <v>268</v>
      </c>
    </row>
    <row r="553" ht="34.5">
      <c r="A553" s="488" t="s">
        <v>778</v>
      </c>
      <c r="B553" s="488" t="s">
        <v>779</v>
      </c>
      <c r="C553" s="488" t="s">
        <v>484</v>
      </c>
      <c r="D553" s="488" t="s">
        <v>263</v>
      </c>
      <c r="E553" s="488" t="s">
        <v>493</v>
      </c>
      <c r="F553" s="489" t="s">
        <v>494</v>
      </c>
      <c r="G553" s="488" t="s">
        <v>495</v>
      </c>
      <c r="H553" s="489"/>
      <c r="I553" s="489"/>
      <c r="J553" s="489" t="s">
        <v>497</v>
      </c>
      <c r="K553" s="491"/>
      <c r="L553" s="488"/>
      <c r="M553" s="488"/>
      <c r="N553" s="489"/>
      <c r="O553" s="489"/>
      <c r="P553" s="489"/>
      <c r="Q553" s="489"/>
      <c r="R553" s="490"/>
      <c r="S553" s="489"/>
      <c r="T553" s="488" t="s">
        <v>268</v>
      </c>
    </row>
    <row r="554" ht="34.5">
      <c r="A554" s="488" t="s">
        <v>778</v>
      </c>
      <c r="B554" s="488" t="s">
        <v>779</v>
      </c>
      <c r="C554" s="488" t="s">
        <v>484</v>
      </c>
      <c r="D554" s="488" t="s">
        <v>263</v>
      </c>
      <c r="E554" s="488" t="s">
        <v>493</v>
      </c>
      <c r="F554" s="489" t="s">
        <v>494</v>
      </c>
      <c r="G554" s="488" t="s">
        <v>495</v>
      </c>
      <c r="H554" s="489"/>
      <c r="I554" s="489"/>
      <c r="J554" s="489" t="s">
        <v>849</v>
      </c>
      <c r="K554" s="491">
        <v>723071</v>
      </c>
      <c r="L554" s="488" t="s">
        <v>429</v>
      </c>
      <c r="M554" s="488"/>
      <c r="N554" s="489"/>
      <c r="O554" s="489"/>
      <c r="P554" s="489"/>
      <c r="Q554" s="489"/>
      <c r="R554" s="490"/>
      <c r="S554" s="489"/>
      <c r="T554" s="488" t="s">
        <v>268</v>
      </c>
    </row>
    <row r="555" ht="34.5">
      <c r="A555" s="488" t="s">
        <v>778</v>
      </c>
      <c r="B555" s="488" t="s">
        <v>779</v>
      </c>
      <c r="C555" s="488" t="s">
        <v>484</v>
      </c>
      <c r="D555" s="488" t="s">
        <v>263</v>
      </c>
      <c r="E555" s="488" t="s">
        <v>493</v>
      </c>
      <c r="F555" s="489" t="s">
        <v>494</v>
      </c>
      <c r="G555" s="488" t="s">
        <v>495</v>
      </c>
      <c r="H555" s="489"/>
      <c r="I555" s="489"/>
      <c r="J555" s="489" t="s">
        <v>499</v>
      </c>
      <c r="K555" s="491"/>
      <c r="L555" s="488"/>
      <c r="M555" s="488"/>
      <c r="N555" s="489"/>
      <c r="O555" s="489"/>
      <c r="P555" s="489"/>
      <c r="Q555" s="489"/>
      <c r="R555" s="490"/>
      <c r="S555" s="489"/>
      <c r="T555" s="488" t="s">
        <v>268</v>
      </c>
    </row>
    <row r="556" ht="34.5">
      <c r="A556" s="488" t="s">
        <v>778</v>
      </c>
      <c r="B556" s="488" t="s">
        <v>779</v>
      </c>
      <c r="C556" s="488" t="s">
        <v>484</v>
      </c>
      <c r="D556" s="488" t="s">
        <v>263</v>
      </c>
      <c r="E556" s="488" t="s">
        <v>493</v>
      </c>
      <c r="F556" s="489" t="s">
        <v>494</v>
      </c>
      <c r="G556" s="488" t="s">
        <v>495</v>
      </c>
      <c r="H556" s="489"/>
      <c r="I556" s="489"/>
      <c r="J556" s="489" t="s">
        <v>502</v>
      </c>
      <c r="K556" s="491"/>
      <c r="L556" s="488"/>
      <c r="M556" s="488"/>
      <c r="N556" s="489"/>
      <c r="O556" s="489"/>
      <c r="P556" s="489"/>
      <c r="Q556" s="489"/>
      <c r="R556" s="490"/>
      <c r="S556" s="489"/>
      <c r="T556" s="488" t="s">
        <v>268</v>
      </c>
    </row>
    <row r="557" ht="34.5">
      <c r="A557" s="488" t="s">
        <v>778</v>
      </c>
      <c r="B557" s="488" t="s">
        <v>779</v>
      </c>
      <c r="C557" s="488" t="s">
        <v>484</v>
      </c>
      <c r="D557" s="488" t="s">
        <v>263</v>
      </c>
      <c r="E557" s="488" t="s">
        <v>493</v>
      </c>
      <c r="F557" s="489" t="s">
        <v>494</v>
      </c>
      <c r="G557" s="488" t="s">
        <v>495</v>
      </c>
      <c r="H557" s="489"/>
      <c r="I557" s="489"/>
      <c r="J557" s="489" t="s">
        <v>850</v>
      </c>
      <c r="K557" s="491"/>
      <c r="L557" s="488"/>
      <c r="M557" s="488"/>
      <c r="N557" s="489"/>
      <c r="O557" s="489"/>
      <c r="P557" s="489"/>
      <c r="Q557" s="489"/>
      <c r="R557" s="490"/>
      <c r="S557" s="489"/>
      <c r="T557" s="488" t="s">
        <v>268</v>
      </c>
    </row>
    <row r="558" ht="34.5">
      <c r="A558" s="488" t="s">
        <v>778</v>
      </c>
      <c r="B558" s="488" t="s">
        <v>779</v>
      </c>
      <c r="C558" s="488" t="s">
        <v>484</v>
      </c>
      <c r="D558" s="488" t="s">
        <v>263</v>
      </c>
      <c r="E558" s="488" t="s">
        <v>493</v>
      </c>
      <c r="F558" s="489" t="s">
        <v>494</v>
      </c>
      <c r="G558" s="488" t="s">
        <v>495</v>
      </c>
      <c r="H558" s="489"/>
      <c r="I558" s="489"/>
      <c r="J558" s="489" t="s">
        <v>851</v>
      </c>
      <c r="K558" s="491"/>
      <c r="L558" s="488"/>
      <c r="M558" s="488"/>
      <c r="N558" s="489"/>
      <c r="O558" s="489"/>
      <c r="P558" s="489"/>
      <c r="Q558" s="489"/>
      <c r="R558" s="490"/>
      <c r="S558" s="489"/>
      <c r="T558" s="488" t="s">
        <v>268</v>
      </c>
    </row>
    <row r="559" ht="34.5">
      <c r="A559" s="488" t="s">
        <v>778</v>
      </c>
      <c r="B559" s="488" t="s">
        <v>779</v>
      </c>
      <c r="C559" s="488" t="s">
        <v>484</v>
      </c>
      <c r="D559" s="488" t="s">
        <v>263</v>
      </c>
      <c r="E559" s="488" t="s">
        <v>493</v>
      </c>
      <c r="F559" s="489" t="s">
        <v>494</v>
      </c>
      <c r="G559" s="488" t="s">
        <v>495</v>
      </c>
      <c r="H559" s="489"/>
      <c r="I559" s="489"/>
      <c r="J559" s="489" t="s">
        <v>505</v>
      </c>
      <c r="K559" s="491"/>
      <c r="L559" s="488"/>
      <c r="M559" s="488"/>
      <c r="N559" s="489"/>
      <c r="O559" s="489"/>
      <c r="P559" s="489"/>
      <c r="Q559" s="489"/>
      <c r="R559" s="490"/>
      <c r="S559" s="489"/>
      <c r="T559" s="488" t="s">
        <v>268</v>
      </c>
    </row>
    <row r="560" ht="34.5">
      <c r="A560" s="488" t="s">
        <v>778</v>
      </c>
      <c r="B560" s="488" t="s">
        <v>779</v>
      </c>
      <c r="C560" s="488" t="s">
        <v>500</v>
      </c>
      <c r="D560" s="488" t="s">
        <v>263</v>
      </c>
      <c r="E560" s="488" t="s">
        <v>506</v>
      </c>
      <c r="F560" s="489" t="s">
        <v>507</v>
      </c>
      <c r="G560" s="488" t="s">
        <v>464</v>
      </c>
      <c r="H560" s="489"/>
      <c r="I560" s="489"/>
      <c r="J560" s="489" t="s">
        <v>508</v>
      </c>
      <c r="K560" s="491"/>
      <c r="L560" s="488"/>
      <c r="M560" s="488"/>
      <c r="N560" s="489"/>
      <c r="O560" s="489"/>
      <c r="P560" s="489"/>
      <c r="Q560" s="489"/>
      <c r="R560" s="490"/>
      <c r="S560" s="489"/>
      <c r="T560" s="488" t="s">
        <v>268</v>
      </c>
    </row>
    <row r="561" ht="34.5">
      <c r="A561" s="488" t="s">
        <v>778</v>
      </c>
      <c r="B561" s="488" t="s">
        <v>779</v>
      </c>
      <c r="C561" s="488" t="s">
        <v>500</v>
      </c>
      <c r="D561" s="488" t="s">
        <v>263</v>
      </c>
      <c r="E561" s="488" t="s">
        <v>506</v>
      </c>
      <c r="F561" s="489" t="s">
        <v>507</v>
      </c>
      <c r="G561" s="488" t="s">
        <v>464</v>
      </c>
      <c r="H561" s="489"/>
      <c r="I561" s="489"/>
      <c r="J561" s="489" t="s">
        <v>852</v>
      </c>
      <c r="K561" s="491">
        <v>20824</v>
      </c>
      <c r="L561" s="488" t="s">
        <v>429</v>
      </c>
      <c r="M561" s="488"/>
      <c r="N561" s="489"/>
      <c r="O561" s="489"/>
      <c r="P561" s="489"/>
      <c r="Q561" s="489"/>
      <c r="R561" s="490"/>
      <c r="S561" s="489"/>
      <c r="T561" s="488" t="s">
        <v>268</v>
      </c>
    </row>
    <row r="562" ht="34.5">
      <c r="A562" s="488" t="s">
        <v>778</v>
      </c>
      <c r="B562" s="488" t="s">
        <v>779</v>
      </c>
      <c r="C562" s="488" t="s">
        <v>500</v>
      </c>
      <c r="D562" s="488" t="s">
        <v>263</v>
      </c>
      <c r="E562" s="488" t="s">
        <v>511</v>
      </c>
      <c r="F562" s="489" t="s">
        <v>512</v>
      </c>
      <c r="G562" s="488" t="s">
        <v>495</v>
      </c>
      <c r="H562" s="489"/>
      <c r="I562" s="489"/>
      <c r="J562" s="489" t="s">
        <v>513</v>
      </c>
      <c r="K562" s="491"/>
      <c r="L562" s="488"/>
      <c r="M562" s="488"/>
      <c r="N562" s="489"/>
      <c r="O562" s="489"/>
      <c r="P562" s="489"/>
      <c r="Q562" s="489"/>
      <c r="R562" s="490"/>
      <c r="S562" s="489"/>
      <c r="T562" s="488" t="s">
        <v>268</v>
      </c>
    </row>
    <row r="563" ht="34.5">
      <c r="A563" s="488" t="s">
        <v>778</v>
      </c>
      <c r="B563" s="488" t="s">
        <v>779</v>
      </c>
      <c r="C563" s="488" t="s">
        <v>500</v>
      </c>
      <c r="D563" s="488" t="s">
        <v>263</v>
      </c>
      <c r="E563" s="488" t="s">
        <v>511</v>
      </c>
      <c r="F563" s="489" t="s">
        <v>512</v>
      </c>
      <c r="G563" s="488" t="s">
        <v>495</v>
      </c>
      <c r="H563" s="489"/>
      <c r="I563" s="489"/>
      <c r="J563" s="489" t="s">
        <v>853</v>
      </c>
      <c r="K563" s="491">
        <v>525826</v>
      </c>
      <c r="L563" s="488" t="s">
        <v>429</v>
      </c>
      <c r="M563" s="488"/>
      <c r="N563" s="489"/>
      <c r="O563" s="489"/>
      <c r="P563" s="489"/>
      <c r="Q563" s="489"/>
      <c r="R563" s="490"/>
      <c r="S563" s="489"/>
      <c r="T563" s="488" t="s">
        <v>268</v>
      </c>
    </row>
    <row r="564" ht="34.5">
      <c r="A564" s="488" t="s">
        <v>778</v>
      </c>
      <c r="B564" s="488" t="s">
        <v>779</v>
      </c>
      <c r="C564" s="488" t="s">
        <v>500</v>
      </c>
      <c r="D564" s="488" t="s">
        <v>263</v>
      </c>
      <c r="E564" s="488" t="s">
        <v>515</v>
      </c>
      <c r="F564" s="489" t="s">
        <v>516</v>
      </c>
      <c r="G564" s="488" t="s">
        <v>266</v>
      </c>
      <c r="H564" s="489"/>
      <c r="I564" s="489"/>
      <c r="J564" s="489" t="s">
        <v>517</v>
      </c>
      <c r="K564" s="491"/>
      <c r="L564" s="488"/>
      <c r="M564" s="488"/>
      <c r="N564" s="489"/>
      <c r="O564" s="489"/>
      <c r="P564" s="489"/>
      <c r="Q564" s="489"/>
      <c r="R564" s="490"/>
      <c r="S564" s="489"/>
      <c r="T564" s="488" t="s">
        <v>268</v>
      </c>
    </row>
    <row r="565" ht="34.5">
      <c r="A565" s="488" t="s">
        <v>778</v>
      </c>
      <c r="B565" s="488" t="s">
        <v>779</v>
      </c>
      <c r="C565" s="488" t="s">
        <v>510</v>
      </c>
      <c r="D565" s="488" t="s">
        <v>263</v>
      </c>
      <c r="E565" s="488" t="s">
        <v>515</v>
      </c>
      <c r="F565" s="489" t="s">
        <v>520</v>
      </c>
      <c r="G565" s="488" t="s">
        <v>266</v>
      </c>
      <c r="H565" s="489"/>
      <c r="I565" s="489"/>
      <c r="J565" s="489" t="s">
        <v>518</v>
      </c>
      <c r="K565" s="491"/>
      <c r="L565" s="488"/>
      <c r="M565" s="488"/>
      <c r="N565" s="489"/>
      <c r="O565" s="489"/>
      <c r="P565" s="489"/>
      <c r="Q565" s="489"/>
      <c r="R565" s="490"/>
      <c r="S565" s="489"/>
      <c r="T565" s="488" t="s">
        <v>268</v>
      </c>
    </row>
    <row r="566" ht="34.5">
      <c r="A566" s="488" t="s">
        <v>778</v>
      </c>
      <c r="B566" s="488" t="s">
        <v>779</v>
      </c>
      <c r="C566" s="488" t="s">
        <v>510</v>
      </c>
      <c r="D566" s="488" t="s">
        <v>263</v>
      </c>
      <c r="E566" s="488" t="s">
        <v>515</v>
      </c>
      <c r="F566" s="489" t="s">
        <v>520</v>
      </c>
      <c r="G566" s="488" t="s">
        <v>266</v>
      </c>
      <c r="H566" s="489"/>
      <c r="I566" s="489"/>
      <c r="J566" s="489" t="s">
        <v>521</v>
      </c>
      <c r="K566" s="491"/>
      <c r="L566" s="488"/>
      <c r="M566" s="488"/>
      <c r="N566" s="489"/>
      <c r="O566" s="489"/>
      <c r="P566" s="489"/>
      <c r="Q566" s="489"/>
      <c r="R566" s="490"/>
      <c r="S566" s="489"/>
      <c r="T566" s="488" t="s">
        <v>268</v>
      </c>
    </row>
    <row r="567" ht="34.5">
      <c r="A567" s="488" t="s">
        <v>778</v>
      </c>
      <c r="B567" s="488" t="s">
        <v>779</v>
      </c>
      <c r="C567" s="488" t="s">
        <v>510</v>
      </c>
      <c r="D567" s="488" t="s">
        <v>263</v>
      </c>
      <c r="E567" s="488" t="s">
        <v>515</v>
      </c>
      <c r="F567" s="489" t="s">
        <v>520</v>
      </c>
      <c r="G567" s="488" t="s">
        <v>266</v>
      </c>
      <c r="H567" s="489"/>
      <c r="I567" s="489"/>
      <c r="J567" s="489" t="s">
        <v>854</v>
      </c>
      <c r="K567" s="491">
        <v>101898</v>
      </c>
      <c r="L567" s="488" t="s">
        <v>429</v>
      </c>
      <c r="M567" s="488"/>
      <c r="N567" s="489"/>
      <c r="O567" s="489"/>
      <c r="P567" s="489"/>
      <c r="Q567" s="489"/>
      <c r="R567" s="490"/>
      <c r="S567" s="489"/>
      <c r="T567" s="488" t="s">
        <v>268</v>
      </c>
    </row>
    <row r="568" ht="34.5">
      <c r="A568" s="488" t="s">
        <v>778</v>
      </c>
      <c r="B568" s="488" t="s">
        <v>779</v>
      </c>
      <c r="C568" s="488" t="s">
        <v>510</v>
      </c>
      <c r="D568" s="488" t="s">
        <v>263</v>
      </c>
      <c r="E568" s="488" t="s">
        <v>515</v>
      </c>
      <c r="F568" s="489" t="s">
        <v>520</v>
      </c>
      <c r="G568" s="488" t="s">
        <v>266</v>
      </c>
      <c r="H568" s="489"/>
      <c r="I568" s="489"/>
      <c r="J568" s="489" t="s">
        <v>855</v>
      </c>
      <c r="K568" s="491"/>
      <c r="L568" s="488"/>
      <c r="M568" s="488"/>
      <c r="N568" s="489"/>
      <c r="O568" s="489"/>
      <c r="P568" s="489"/>
      <c r="Q568" s="489"/>
      <c r="R568" s="490"/>
      <c r="S568" s="489"/>
      <c r="T568" s="488" t="s">
        <v>268</v>
      </c>
    </row>
    <row r="569" ht="34.5">
      <c r="A569" s="488" t="s">
        <v>778</v>
      </c>
      <c r="B569" s="488" t="s">
        <v>779</v>
      </c>
      <c r="C569" s="488" t="s">
        <v>510</v>
      </c>
      <c r="D569" s="488" t="s">
        <v>263</v>
      </c>
      <c r="E569" s="488" t="s">
        <v>515</v>
      </c>
      <c r="F569" s="489" t="s">
        <v>520</v>
      </c>
      <c r="G569" s="488" t="s">
        <v>266</v>
      </c>
      <c r="H569" s="489"/>
      <c r="I569" s="489"/>
      <c r="J569" s="489" t="s">
        <v>856</v>
      </c>
      <c r="K569" s="491">
        <v>314345</v>
      </c>
      <c r="L569" s="488" t="s">
        <v>429</v>
      </c>
      <c r="M569" s="488"/>
      <c r="N569" s="489"/>
      <c r="O569" s="489"/>
      <c r="P569" s="489"/>
      <c r="Q569" s="489"/>
      <c r="R569" s="490"/>
      <c r="S569" s="489"/>
      <c r="T569" s="488" t="s">
        <v>268</v>
      </c>
    </row>
    <row r="570" ht="34.5">
      <c r="A570" s="488" t="s">
        <v>778</v>
      </c>
      <c r="B570" s="488" t="s">
        <v>779</v>
      </c>
      <c r="C570" s="488" t="s">
        <v>519</v>
      </c>
      <c r="D570" s="488" t="s">
        <v>263</v>
      </c>
      <c r="E570" s="488" t="s">
        <v>515</v>
      </c>
      <c r="F570" s="489" t="s">
        <v>520</v>
      </c>
      <c r="G570" s="488" t="s">
        <v>266</v>
      </c>
      <c r="H570" s="489"/>
      <c r="I570" s="489"/>
      <c r="J570" s="489" t="s">
        <v>525</v>
      </c>
      <c r="K570" s="491"/>
      <c r="L570" s="488"/>
      <c r="M570" s="488"/>
      <c r="N570" s="489"/>
      <c r="O570" s="489"/>
      <c r="P570" s="489"/>
      <c r="Q570" s="489"/>
      <c r="R570" s="490"/>
      <c r="S570" s="489"/>
      <c r="T570" s="488" t="s">
        <v>268</v>
      </c>
    </row>
    <row r="571" ht="34.5">
      <c r="A571" s="488" t="s">
        <v>778</v>
      </c>
      <c r="B571" s="488" t="s">
        <v>779</v>
      </c>
      <c r="C571" s="488" t="s">
        <v>519</v>
      </c>
      <c r="D571" s="488" t="s">
        <v>263</v>
      </c>
      <c r="E571" s="488" t="s">
        <v>515</v>
      </c>
      <c r="F571" s="489" t="s">
        <v>520</v>
      </c>
      <c r="G571" s="488" t="s">
        <v>266</v>
      </c>
      <c r="H571" s="489"/>
      <c r="I571" s="489"/>
      <c r="J571" s="489" t="s">
        <v>857</v>
      </c>
      <c r="K571" s="491">
        <v>36000</v>
      </c>
      <c r="L571" s="488" t="s">
        <v>429</v>
      </c>
      <c r="M571" s="488"/>
      <c r="N571" s="489"/>
      <c r="O571" s="489"/>
      <c r="P571" s="489"/>
      <c r="Q571" s="489"/>
      <c r="R571" s="490"/>
      <c r="S571" s="489"/>
      <c r="T571" s="488" t="s">
        <v>268</v>
      </c>
    </row>
    <row r="572" ht="34.5">
      <c r="A572" s="488" t="s">
        <v>778</v>
      </c>
      <c r="B572" s="488" t="s">
        <v>779</v>
      </c>
      <c r="C572" s="488" t="s">
        <v>519</v>
      </c>
      <c r="D572" s="488" t="s">
        <v>263</v>
      </c>
      <c r="E572" s="488" t="s">
        <v>528</v>
      </c>
      <c r="F572" s="489" t="s">
        <v>529</v>
      </c>
      <c r="G572" s="488" t="s">
        <v>55</v>
      </c>
      <c r="H572" s="489"/>
      <c r="I572" s="489"/>
      <c r="J572" s="489" t="s">
        <v>530</v>
      </c>
      <c r="K572" s="491"/>
      <c r="L572" s="488"/>
      <c r="M572" s="488"/>
      <c r="N572" s="489"/>
      <c r="O572" s="489"/>
      <c r="P572" s="489"/>
      <c r="Q572" s="489"/>
      <c r="R572" s="490"/>
      <c r="S572" s="489"/>
      <c r="T572" s="488" t="s">
        <v>268</v>
      </c>
    </row>
    <row r="573" ht="34.5">
      <c r="A573" s="488" t="s">
        <v>778</v>
      </c>
      <c r="B573" s="488" t="s">
        <v>779</v>
      </c>
      <c r="C573" s="488" t="s">
        <v>519</v>
      </c>
      <c r="D573" s="488" t="s">
        <v>263</v>
      </c>
      <c r="E573" s="488" t="s">
        <v>528</v>
      </c>
      <c r="F573" s="489" t="s">
        <v>529</v>
      </c>
      <c r="G573" s="488" t="s">
        <v>55</v>
      </c>
      <c r="H573" s="489"/>
      <c r="I573" s="489"/>
      <c r="J573" s="489" t="s">
        <v>858</v>
      </c>
      <c r="K573" s="491">
        <v>1393648</v>
      </c>
      <c r="L573" s="488" t="s">
        <v>429</v>
      </c>
      <c r="M573" s="488"/>
      <c r="N573" s="489"/>
      <c r="O573" s="489"/>
      <c r="P573" s="489"/>
      <c r="Q573" s="489"/>
      <c r="R573" s="490"/>
      <c r="S573" s="489"/>
      <c r="T573" s="488" t="s">
        <v>268</v>
      </c>
    </row>
    <row r="574" ht="34.5">
      <c r="A574" s="488" t="s">
        <v>778</v>
      </c>
      <c r="B574" s="488" t="s">
        <v>779</v>
      </c>
      <c r="C574" s="488" t="s">
        <v>527</v>
      </c>
      <c r="D574" s="488" t="s">
        <v>263</v>
      </c>
      <c r="E574" s="488" t="s">
        <v>533</v>
      </c>
      <c r="F574" s="489" t="s">
        <v>534</v>
      </c>
      <c r="G574" s="488" t="s">
        <v>535</v>
      </c>
      <c r="H574" s="489"/>
      <c r="I574" s="489"/>
      <c r="J574" s="489" t="s">
        <v>536</v>
      </c>
      <c r="K574" s="491"/>
      <c r="L574" s="488"/>
      <c r="M574" s="488"/>
      <c r="N574" s="489"/>
      <c r="O574" s="489"/>
      <c r="P574" s="489"/>
      <c r="Q574" s="489"/>
      <c r="R574" s="490"/>
      <c r="S574" s="489"/>
      <c r="T574" s="488" t="s">
        <v>268</v>
      </c>
    </row>
    <row r="575" ht="34.5">
      <c r="A575" s="488" t="s">
        <v>778</v>
      </c>
      <c r="B575" s="488" t="s">
        <v>779</v>
      </c>
      <c r="C575" s="488" t="s">
        <v>527</v>
      </c>
      <c r="D575" s="488" t="s">
        <v>263</v>
      </c>
      <c r="E575" s="488" t="s">
        <v>533</v>
      </c>
      <c r="F575" s="489" t="s">
        <v>534</v>
      </c>
      <c r="G575" s="488" t="s">
        <v>535</v>
      </c>
      <c r="H575" s="489"/>
      <c r="I575" s="489"/>
      <c r="J575" s="489" t="s">
        <v>859</v>
      </c>
      <c r="K575" s="491">
        <v>153000000</v>
      </c>
      <c r="L575" s="488" t="s">
        <v>429</v>
      </c>
      <c r="M575" s="488"/>
      <c r="N575" s="489"/>
      <c r="O575" s="489"/>
      <c r="P575" s="489"/>
      <c r="Q575" s="489"/>
      <c r="R575" s="490"/>
      <c r="S575" s="489"/>
      <c r="T575" s="488" t="s">
        <v>268</v>
      </c>
    </row>
    <row r="576" ht="34.5">
      <c r="A576" s="488" t="s">
        <v>778</v>
      </c>
      <c r="B576" s="488" t="s">
        <v>779</v>
      </c>
      <c r="C576" s="488" t="s">
        <v>527</v>
      </c>
      <c r="D576" s="488" t="s">
        <v>263</v>
      </c>
      <c r="E576" s="488" t="s">
        <v>533</v>
      </c>
      <c r="F576" s="489" t="s">
        <v>534</v>
      </c>
      <c r="G576" s="488" t="s">
        <v>535</v>
      </c>
      <c r="H576" s="489"/>
      <c r="I576" s="489"/>
      <c r="J576" s="489" t="s">
        <v>538</v>
      </c>
      <c r="K576" s="491"/>
      <c r="L576" s="488"/>
      <c r="M576" s="488"/>
      <c r="N576" s="489"/>
      <c r="O576" s="489"/>
      <c r="P576" s="489"/>
      <c r="Q576" s="489"/>
      <c r="R576" s="490"/>
      <c r="S576" s="489"/>
      <c r="T576" s="488" t="s">
        <v>268</v>
      </c>
    </row>
    <row r="577" ht="34.5">
      <c r="A577" s="488" t="s">
        <v>778</v>
      </c>
      <c r="B577" s="488" t="s">
        <v>779</v>
      </c>
      <c r="C577" s="488" t="s">
        <v>527</v>
      </c>
      <c r="D577" s="488" t="s">
        <v>263</v>
      </c>
      <c r="E577" s="488" t="s">
        <v>533</v>
      </c>
      <c r="F577" s="489" t="s">
        <v>534</v>
      </c>
      <c r="G577" s="488" t="s">
        <v>535</v>
      </c>
      <c r="H577" s="489"/>
      <c r="I577" s="489"/>
      <c r="J577" s="489" t="s">
        <v>860</v>
      </c>
      <c r="K577" s="491">
        <v>1634285</v>
      </c>
      <c r="L577" s="488" t="s">
        <v>429</v>
      </c>
      <c r="M577" s="488"/>
      <c r="N577" s="489"/>
      <c r="O577" s="489"/>
      <c r="P577" s="489"/>
      <c r="Q577" s="489"/>
      <c r="R577" s="490"/>
      <c r="S577" s="489"/>
      <c r="T577" s="488" t="s">
        <v>268</v>
      </c>
    </row>
    <row r="578" ht="34.5">
      <c r="A578" s="488" t="s">
        <v>778</v>
      </c>
      <c r="B578" s="488" t="s">
        <v>779</v>
      </c>
      <c r="C578" s="488" t="s">
        <v>527</v>
      </c>
      <c r="D578" s="488" t="s">
        <v>263</v>
      </c>
      <c r="E578" s="488" t="s">
        <v>533</v>
      </c>
      <c r="F578" s="489" t="s">
        <v>534</v>
      </c>
      <c r="G578" s="488" t="s">
        <v>535</v>
      </c>
      <c r="H578" s="489"/>
      <c r="I578" s="489"/>
      <c r="J578" s="489" t="s">
        <v>861</v>
      </c>
      <c r="K578" s="491"/>
      <c r="L578" s="488"/>
      <c r="M578" s="488"/>
      <c r="N578" s="489"/>
      <c r="O578" s="489"/>
      <c r="P578" s="489"/>
      <c r="Q578" s="489"/>
      <c r="R578" s="490"/>
      <c r="S578" s="489"/>
      <c r="T578" s="488" t="s">
        <v>268</v>
      </c>
    </row>
    <row r="579" ht="34.5">
      <c r="A579" s="488" t="s">
        <v>778</v>
      </c>
      <c r="B579" s="488" t="s">
        <v>779</v>
      </c>
      <c r="C579" s="488" t="s">
        <v>527</v>
      </c>
      <c r="D579" s="488" t="s">
        <v>263</v>
      </c>
      <c r="E579" s="488" t="s">
        <v>533</v>
      </c>
      <c r="F579" s="489" t="s">
        <v>534</v>
      </c>
      <c r="G579" s="488" t="s">
        <v>535</v>
      </c>
      <c r="H579" s="489"/>
      <c r="I579" s="489"/>
      <c r="J579" s="489" t="s">
        <v>862</v>
      </c>
      <c r="K579" s="491">
        <v>26611</v>
      </c>
      <c r="L579" s="488" t="s">
        <v>429</v>
      </c>
      <c r="M579" s="488"/>
      <c r="N579" s="489"/>
      <c r="O579" s="489"/>
      <c r="P579" s="489"/>
      <c r="Q579" s="489"/>
      <c r="R579" s="490"/>
      <c r="S579" s="489"/>
      <c r="T579" s="488" t="s">
        <v>268</v>
      </c>
    </row>
    <row r="580" ht="34.5">
      <c r="A580" s="488" t="s">
        <v>778</v>
      </c>
      <c r="B580" s="488" t="s">
        <v>779</v>
      </c>
      <c r="C580" s="488" t="s">
        <v>527</v>
      </c>
      <c r="D580" s="488" t="s">
        <v>263</v>
      </c>
      <c r="E580" s="488" t="s">
        <v>533</v>
      </c>
      <c r="F580" s="489" t="s">
        <v>534</v>
      </c>
      <c r="G580" s="488" t="s">
        <v>535</v>
      </c>
      <c r="H580" s="489"/>
      <c r="I580" s="489"/>
      <c r="J580" s="489" t="s">
        <v>542</v>
      </c>
      <c r="K580" s="491"/>
      <c r="L580" s="488"/>
      <c r="M580" s="488"/>
      <c r="N580" s="489"/>
      <c r="O580" s="489"/>
      <c r="P580" s="489"/>
      <c r="Q580" s="489"/>
      <c r="R580" s="490"/>
      <c r="S580" s="489"/>
      <c r="T580" s="488" t="s">
        <v>268</v>
      </c>
    </row>
    <row r="581" ht="34.5">
      <c r="A581" s="488" t="s">
        <v>778</v>
      </c>
      <c r="B581" s="488" t="s">
        <v>779</v>
      </c>
      <c r="C581" s="488" t="s">
        <v>527</v>
      </c>
      <c r="D581" s="488" t="s">
        <v>263</v>
      </c>
      <c r="E581" s="488" t="s">
        <v>533</v>
      </c>
      <c r="F581" s="489" t="s">
        <v>534</v>
      </c>
      <c r="G581" s="488" t="s">
        <v>535</v>
      </c>
      <c r="H581" s="489"/>
      <c r="I581" s="489"/>
      <c r="J581" s="489" t="s">
        <v>863</v>
      </c>
      <c r="K581" s="491">
        <v>12750000</v>
      </c>
      <c r="L581" s="488" t="s">
        <v>429</v>
      </c>
      <c r="M581" s="488"/>
      <c r="N581" s="489"/>
      <c r="O581" s="489"/>
      <c r="P581" s="489"/>
      <c r="Q581" s="489"/>
      <c r="R581" s="490"/>
      <c r="S581" s="489"/>
      <c r="T581" s="488" t="s">
        <v>268</v>
      </c>
    </row>
    <row r="582" ht="34.5">
      <c r="A582" s="488" t="s">
        <v>778</v>
      </c>
      <c r="B582" s="488" t="s">
        <v>779</v>
      </c>
      <c r="C582" s="488" t="s">
        <v>540</v>
      </c>
      <c r="D582" s="488" t="s">
        <v>263</v>
      </c>
      <c r="E582" s="488" t="s">
        <v>533</v>
      </c>
      <c r="F582" s="489" t="s">
        <v>541</v>
      </c>
      <c r="G582" s="488" t="s">
        <v>535</v>
      </c>
      <c r="H582" s="489"/>
      <c r="I582" s="489"/>
      <c r="J582" s="489" t="s">
        <v>544</v>
      </c>
      <c r="K582" s="491"/>
      <c r="L582" s="488"/>
      <c r="M582" s="488"/>
      <c r="N582" s="489"/>
      <c r="O582" s="489"/>
      <c r="P582" s="489"/>
      <c r="Q582" s="489"/>
      <c r="R582" s="490"/>
      <c r="S582" s="489"/>
      <c r="T582" s="488" t="s">
        <v>268</v>
      </c>
    </row>
    <row r="583" ht="34.5">
      <c r="A583" s="488" t="s">
        <v>778</v>
      </c>
      <c r="B583" s="488" t="s">
        <v>779</v>
      </c>
      <c r="C583" s="488" t="s">
        <v>540</v>
      </c>
      <c r="D583" s="488" t="s">
        <v>263</v>
      </c>
      <c r="E583" s="488" t="s">
        <v>533</v>
      </c>
      <c r="F583" s="489" t="s">
        <v>541</v>
      </c>
      <c r="G583" s="488" t="s">
        <v>535</v>
      </c>
      <c r="H583" s="489"/>
      <c r="I583" s="489"/>
      <c r="J583" s="489" t="s">
        <v>545</v>
      </c>
      <c r="K583" s="491"/>
      <c r="L583" s="488"/>
      <c r="M583" s="488"/>
      <c r="N583" s="489"/>
      <c r="O583" s="489"/>
      <c r="P583" s="489"/>
      <c r="Q583" s="489"/>
      <c r="R583" s="490"/>
      <c r="S583" s="489"/>
      <c r="T583" s="488" t="s">
        <v>268</v>
      </c>
    </row>
    <row r="584" ht="34.5">
      <c r="A584" s="488" t="s">
        <v>778</v>
      </c>
      <c r="B584" s="488" t="s">
        <v>779</v>
      </c>
      <c r="C584" s="488" t="s">
        <v>540</v>
      </c>
      <c r="D584" s="488" t="s">
        <v>263</v>
      </c>
      <c r="E584" s="488" t="s">
        <v>533</v>
      </c>
      <c r="F584" s="489" t="s">
        <v>541</v>
      </c>
      <c r="G584" s="488" t="s">
        <v>535</v>
      </c>
      <c r="H584" s="489"/>
      <c r="I584" s="489"/>
      <c r="J584" s="489" t="s">
        <v>546</v>
      </c>
      <c r="K584" s="491"/>
      <c r="L584" s="488"/>
      <c r="M584" s="488"/>
      <c r="N584" s="489"/>
      <c r="O584" s="489"/>
      <c r="P584" s="489"/>
      <c r="Q584" s="489"/>
      <c r="R584" s="490"/>
      <c r="S584" s="489"/>
      <c r="T584" s="488" t="s">
        <v>268</v>
      </c>
    </row>
    <row r="585" ht="34.5">
      <c r="A585" s="488" t="s">
        <v>778</v>
      </c>
      <c r="B585" s="488" t="s">
        <v>779</v>
      </c>
      <c r="C585" s="488" t="s">
        <v>540</v>
      </c>
      <c r="D585" s="488" t="s">
        <v>263</v>
      </c>
      <c r="E585" s="488" t="s">
        <v>533</v>
      </c>
      <c r="F585" s="489" t="s">
        <v>541</v>
      </c>
      <c r="G585" s="488" t="s">
        <v>535</v>
      </c>
      <c r="H585" s="489"/>
      <c r="I585" s="489"/>
      <c r="J585" s="489" t="s">
        <v>547</v>
      </c>
      <c r="K585" s="491"/>
      <c r="L585" s="488"/>
      <c r="M585" s="488"/>
      <c r="N585" s="489"/>
      <c r="O585" s="489"/>
      <c r="P585" s="489"/>
      <c r="Q585" s="489"/>
      <c r="R585" s="490"/>
      <c r="S585" s="489"/>
      <c r="T585" s="488" t="s">
        <v>268</v>
      </c>
    </row>
    <row r="586" ht="34.5">
      <c r="A586" s="488" t="s">
        <v>778</v>
      </c>
      <c r="B586" s="488" t="s">
        <v>779</v>
      </c>
      <c r="C586" s="488" t="s">
        <v>540</v>
      </c>
      <c r="D586" s="488" t="s">
        <v>263</v>
      </c>
      <c r="E586" s="488" t="s">
        <v>533</v>
      </c>
      <c r="F586" s="489" t="s">
        <v>541</v>
      </c>
      <c r="G586" s="488" t="s">
        <v>535</v>
      </c>
      <c r="H586" s="489"/>
      <c r="I586" s="489"/>
      <c r="J586" s="489" t="s">
        <v>548</v>
      </c>
      <c r="K586" s="491">
        <v>1750000</v>
      </c>
      <c r="L586" s="488" t="s">
        <v>429</v>
      </c>
      <c r="M586" s="488"/>
      <c r="N586" s="489"/>
      <c r="O586" s="489"/>
      <c r="P586" s="489"/>
      <c r="Q586" s="489"/>
      <c r="R586" s="490"/>
      <c r="S586" s="489"/>
      <c r="T586" s="488" t="s">
        <v>268</v>
      </c>
    </row>
    <row r="587" ht="34.5">
      <c r="A587" s="488" t="s">
        <v>778</v>
      </c>
      <c r="B587" s="488" t="s">
        <v>779</v>
      </c>
      <c r="C587" s="488" t="s">
        <v>540</v>
      </c>
      <c r="D587" s="488" t="s">
        <v>263</v>
      </c>
      <c r="E587" s="488" t="s">
        <v>533</v>
      </c>
      <c r="F587" s="489" t="s">
        <v>541</v>
      </c>
      <c r="G587" s="488" t="s">
        <v>535</v>
      </c>
      <c r="H587" s="489"/>
      <c r="I587" s="489"/>
      <c r="J587" s="489" t="s">
        <v>864</v>
      </c>
      <c r="K587" s="491"/>
      <c r="L587" s="488"/>
      <c r="M587" s="488"/>
      <c r="N587" s="489"/>
      <c r="O587" s="489"/>
      <c r="P587" s="489"/>
      <c r="Q587" s="489"/>
      <c r="R587" s="490"/>
      <c r="S587" s="489"/>
      <c r="T587" s="488" t="s">
        <v>268</v>
      </c>
    </row>
    <row r="588" ht="34.5">
      <c r="A588" s="488" t="s">
        <v>778</v>
      </c>
      <c r="B588" s="488" t="s">
        <v>779</v>
      </c>
      <c r="C588" s="488" t="s">
        <v>540</v>
      </c>
      <c r="D588" s="488" t="s">
        <v>263</v>
      </c>
      <c r="E588" s="488" t="s">
        <v>533</v>
      </c>
      <c r="F588" s="489" t="s">
        <v>541</v>
      </c>
      <c r="G588" s="488" t="s">
        <v>535</v>
      </c>
      <c r="H588" s="489"/>
      <c r="I588" s="489"/>
      <c r="J588" s="489" t="s">
        <v>865</v>
      </c>
      <c r="K588" s="491"/>
      <c r="L588" s="488"/>
      <c r="M588" s="488"/>
      <c r="N588" s="489"/>
      <c r="O588" s="489"/>
      <c r="P588" s="489"/>
      <c r="Q588" s="489"/>
      <c r="R588" s="490"/>
      <c r="S588" s="489"/>
      <c r="T588" s="488" t="s">
        <v>268</v>
      </c>
    </row>
    <row r="589" ht="34.5">
      <c r="A589" s="488" t="s">
        <v>778</v>
      </c>
      <c r="B589" s="488" t="s">
        <v>779</v>
      </c>
      <c r="C589" s="488" t="s">
        <v>549</v>
      </c>
      <c r="D589" s="488" t="s">
        <v>263</v>
      </c>
      <c r="E589" s="488" t="s">
        <v>533</v>
      </c>
      <c r="F589" s="489" t="s">
        <v>541</v>
      </c>
      <c r="G589" s="488" t="s">
        <v>535</v>
      </c>
      <c r="H589" s="489"/>
      <c r="I589" s="489"/>
      <c r="J589" s="489" t="s">
        <v>550</v>
      </c>
      <c r="K589" s="491"/>
      <c r="L589" s="488"/>
      <c r="M589" s="488"/>
      <c r="N589" s="489"/>
      <c r="O589" s="489"/>
      <c r="P589" s="489"/>
      <c r="Q589" s="489"/>
      <c r="R589" s="490"/>
      <c r="S589" s="489"/>
      <c r="T589" s="488" t="s">
        <v>268</v>
      </c>
    </row>
    <row r="590" ht="34.5">
      <c r="A590" s="488" t="s">
        <v>778</v>
      </c>
      <c r="B590" s="488" t="s">
        <v>779</v>
      </c>
      <c r="C590" s="488" t="s">
        <v>549</v>
      </c>
      <c r="D590" s="488" t="s">
        <v>263</v>
      </c>
      <c r="E590" s="488" t="s">
        <v>533</v>
      </c>
      <c r="F590" s="489" t="s">
        <v>541</v>
      </c>
      <c r="G590" s="488" t="s">
        <v>535</v>
      </c>
      <c r="H590" s="489"/>
      <c r="I590" s="489"/>
      <c r="J590" s="489" t="s">
        <v>553</v>
      </c>
      <c r="K590" s="491"/>
      <c r="L590" s="488"/>
      <c r="M590" s="488"/>
      <c r="N590" s="489"/>
      <c r="O590" s="489"/>
      <c r="P590" s="489"/>
      <c r="Q590" s="489"/>
      <c r="R590" s="490"/>
      <c r="S590" s="489"/>
      <c r="T590" s="488" t="s">
        <v>268</v>
      </c>
    </row>
    <row r="591" ht="34.5">
      <c r="A591" s="488" t="s">
        <v>778</v>
      </c>
      <c r="B591" s="488" t="s">
        <v>779</v>
      </c>
      <c r="C591" s="488" t="s">
        <v>549</v>
      </c>
      <c r="D591" s="488" t="s">
        <v>263</v>
      </c>
      <c r="E591" s="488" t="s">
        <v>533</v>
      </c>
      <c r="F591" s="489" t="s">
        <v>541</v>
      </c>
      <c r="G591" s="488" t="s">
        <v>535</v>
      </c>
      <c r="H591" s="489"/>
      <c r="I591" s="489"/>
      <c r="J591" s="489" t="s">
        <v>866</v>
      </c>
      <c r="K591" s="491">
        <v>119596160</v>
      </c>
      <c r="L591" s="488" t="s">
        <v>429</v>
      </c>
      <c r="M591" s="488"/>
      <c r="N591" s="489"/>
      <c r="O591" s="489"/>
      <c r="P591" s="489"/>
      <c r="Q591" s="489"/>
      <c r="R591" s="490"/>
      <c r="S591" s="489"/>
      <c r="T591" s="488" t="s">
        <v>268</v>
      </c>
    </row>
    <row r="592" ht="34.5">
      <c r="A592" s="488" t="s">
        <v>778</v>
      </c>
      <c r="B592" s="488" t="s">
        <v>779</v>
      </c>
      <c r="C592" s="488" t="s">
        <v>549</v>
      </c>
      <c r="D592" s="488" t="s">
        <v>263</v>
      </c>
      <c r="E592" s="488" t="s">
        <v>555</v>
      </c>
      <c r="F592" s="489" t="s">
        <v>867</v>
      </c>
      <c r="G592" s="488" t="s">
        <v>535</v>
      </c>
      <c r="H592" s="489"/>
      <c r="I592" s="489"/>
      <c r="J592" s="489" t="s">
        <v>868</v>
      </c>
      <c r="K592" s="491"/>
      <c r="L592" s="488"/>
      <c r="M592" s="488"/>
      <c r="N592" s="489"/>
      <c r="O592" s="489"/>
      <c r="P592" s="489"/>
      <c r="Q592" s="489"/>
      <c r="R592" s="490"/>
      <c r="S592" s="489"/>
      <c r="T592" s="488" t="s">
        <v>268</v>
      </c>
    </row>
    <row r="593" ht="34.5">
      <c r="A593" s="488" t="s">
        <v>778</v>
      </c>
      <c r="B593" s="488" t="s">
        <v>779</v>
      </c>
      <c r="C593" s="488" t="s">
        <v>549</v>
      </c>
      <c r="D593" s="488" t="s">
        <v>263</v>
      </c>
      <c r="E593" s="488" t="s">
        <v>555</v>
      </c>
      <c r="F593" s="489" t="s">
        <v>867</v>
      </c>
      <c r="G593" s="488" t="s">
        <v>535</v>
      </c>
      <c r="H593" s="489"/>
      <c r="I593" s="489"/>
      <c r="J593" s="489" t="s">
        <v>869</v>
      </c>
      <c r="K593" s="491">
        <v>3186578</v>
      </c>
      <c r="L593" s="488" t="s">
        <v>429</v>
      </c>
      <c r="M593" s="488"/>
      <c r="N593" s="489"/>
      <c r="O593" s="489"/>
      <c r="P593" s="489"/>
      <c r="Q593" s="489"/>
      <c r="R593" s="490"/>
      <c r="S593" s="489"/>
      <c r="T593" s="488" t="s">
        <v>268</v>
      </c>
    </row>
    <row r="594" ht="34.5">
      <c r="A594" s="488" t="s">
        <v>778</v>
      </c>
      <c r="B594" s="488" t="s">
        <v>779</v>
      </c>
      <c r="C594" s="488" t="s">
        <v>549</v>
      </c>
      <c r="D594" s="488" t="s">
        <v>263</v>
      </c>
      <c r="E594" s="488" t="s">
        <v>555</v>
      </c>
      <c r="F594" s="489" t="s">
        <v>867</v>
      </c>
      <c r="G594" s="488" t="s">
        <v>535</v>
      </c>
      <c r="H594" s="489"/>
      <c r="I594" s="489"/>
      <c r="J594" s="489" t="s">
        <v>870</v>
      </c>
      <c r="K594" s="491"/>
      <c r="L594" s="488"/>
      <c r="M594" s="488"/>
      <c r="N594" s="489"/>
      <c r="O594" s="489"/>
      <c r="P594" s="489"/>
      <c r="Q594" s="489"/>
      <c r="R594" s="490"/>
      <c r="S594" s="489"/>
      <c r="T594" s="488" t="s">
        <v>268</v>
      </c>
    </row>
    <row r="595" ht="34.5">
      <c r="A595" s="488" t="s">
        <v>778</v>
      </c>
      <c r="B595" s="488" t="s">
        <v>779</v>
      </c>
      <c r="C595" s="488" t="s">
        <v>549</v>
      </c>
      <c r="D595" s="488" t="s">
        <v>263</v>
      </c>
      <c r="E595" s="488" t="s">
        <v>555</v>
      </c>
      <c r="F595" s="489" t="s">
        <v>867</v>
      </c>
      <c r="G595" s="488" t="s">
        <v>535</v>
      </c>
      <c r="H595" s="489"/>
      <c r="I595" s="489"/>
      <c r="J595" s="489" t="s">
        <v>871</v>
      </c>
      <c r="K595" s="491">
        <v>418472</v>
      </c>
      <c r="L595" s="488" t="s">
        <v>429</v>
      </c>
      <c r="M595" s="488"/>
      <c r="N595" s="489"/>
      <c r="O595" s="489"/>
      <c r="P595" s="489"/>
      <c r="Q595" s="489"/>
      <c r="R595" s="490"/>
      <c r="S595" s="489"/>
      <c r="T595" s="488" t="s">
        <v>268</v>
      </c>
    </row>
    <row r="596" ht="34.5">
      <c r="A596" s="488" t="s">
        <v>778</v>
      </c>
      <c r="B596" s="488" t="s">
        <v>779</v>
      </c>
      <c r="C596" s="488" t="s">
        <v>549</v>
      </c>
      <c r="D596" s="488" t="s">
        <v>263</v>
      </c>
      <c r="E596" s="488" t="s">
        <v>555</v>
      </c>
      <c r="F596" s="489" t="s">
        <v>867</v>
      </c>
      <c r="G596" s="488" t="s">
        <v>535</v>
      </c>
      <c r="H596" s="489"/>
      <c r="I596" s="489"/>
      <c r="J596" s="489" t="s">
        <v>872</v>
      </c>
      <c r="K596" s="491"/>
      <c r="L596" s="488"/>
      <c r="M596" s="488"/>
      <c r="N596" s="489"/>
      <c r="O596" s="489"/>
      <c r="P596" s="489"/>
      <c r="Q596" s="489"/>
      <c r="R596" s="490"/>
      <c r="S596" s="489"/>
      <c r="T596" s="488" t="s">
        <v>268</v>
      </c>
    </row>
    <row r="597" ht="34.5">
      <c r="A597" s="488" t="s">
        <v>778</v>
      </c>
      <c r="B597" s="488" t="s">
        <v>779</v>
      </c>
      <c r="C597" s="488" t="s">
        <v>561</v>
      </c>
      <c r="D597" s="488" t="s">
        <v>263</v>
      </c>
      <c r="E597" s="488" t="s">
        <v>555</v>
      </c>
      <c r="F597" s="489" t="s">
        <v>873</v>
      </c>
      <c r="G597" s="488" t="s">
        <v>535</v>
      </c>
      <c r="H597" s="489"/>
      <c r="I597" s="489"/>
      <c r="J597" s="489" t="s">
        <v>874</v>
      </c>
      <c r="K597" s="491"/>
      <c r="L597" s="488"/>
      <c r="M597" s="488"/>
      <c r="N597" s="489"/>
      <c r="O597" s="489"/>
      <c r="P597" s="489"/>
      <c r="Q597" s="489"/>
      <c r="R597" s="490"/>
      <c r="S597" s="489"/>
      <c r="T597" s="488" t="s">
        <v>268</v>
      </c>
    </row>
    <row r="598" ht="34.5">
      <c r="A598" s="488" t="s">
        <v>778</v>
      </c>
      <c r="B598" s="488" t="s">
        <v>779</v>
      </c>
      <c r="C598" s="488" t="s">
        <v>561</v>
      </c>
      <c r="D598" s="488" t="s">
        <v>263</v>
      </c>
      <c r="E598" s="488" t="s">
        <v>555</v>
      </c>
      <c r="F598" s="489" t="s">
        <v>873</v>
      </c>
      <c r="G598" s="488" t="s">
        <v>535</v>
      </c>
      <c r="H598" s="489"/>
      <c r="I598" s="489"/>
      <c r="J598" s="489" t="s">
        <v>875</v>
      </c>
      <c r="K598" s="491"/>
      <c r="L598" s="488"/>
      <c r="M598" s="488"/>
      <c r="N598" s="489"/>
      <c r="O598" s="489"/>
      <c r="P598" s="489"/>
      <c r="Q598" s="489"/>
      <c r="R598" s="490"/>
      <c r="S598" s="489"/>
      <c r="T598" s="488" t="s">
        <v>268</v>
      </c>
    </row>
    <row r="599" ht="34.5">
      <c r="A599" s="488" t="s">
        <v>778</v>
      </c>
      <c r="B599" s="488" t="s">
        <v>779</v>
      </c>
      <c r="C599" s="488" t="s">
        <v>561</v>
      </c>
      <c r="D599" s="488" t="s">
        <v>263</v>
      </c>
      <c r="E599" s="488" t="s">
        <v>555</v>
      </c>
      <c r="F599" s="489" t="s">
        <v>873</v>
      </c>
      <c r="G599" s="488" t="s">
        <v>535</v>
      </c>
      <c r="H599" s="489"/>
      <c r="I599" s="489"/>
      <c r="J599" s="489" t="s">
        <v>876</v>
      </c>
      <c r="K599" s="491"/>
      <c r="L599" s="488"/>
      <c r="M599" s="488"/>
      <c r="N599" s="489"/>
      <c r="O599" s="489"/>
      <c r="P599" s="489"/>
      <c r="Q599" s="489"/>
      <c r="R599" s="490"/>
      <c r="S599" s="489"/>
      <c r="T599" s="488" t="s">
        <v>268</v>
      </c>
    </row>
    <row r="600" ht="34.5">
      <c r="A600" s="488" t="s">
        <v>778</v>
      </c>
      <c r="B600" s="488" t="s">
        <v>779</v>
      </c>
      <c r="C600" s="488" t="s">
        <v>561</v>
      </c>
      <c r="D600" s="488" t="s">
        <v>263</v>
      </c>
      <c r="E600" s="488" t="s">
        <v>555</v>
      </c>
      <c r="F600" s="489" t="s">
        <v>873</v>
      </c>
      <c r="G600" s="488" t="s">
        <v>535</v>
      </c>
      <c r="H600" s="489"/>
      <c r="I600" s="489"/>
      <c r="J600" s="489" t="s">
        <v>877</v>
      </c>
      <c r="K600" s="491">
        <v>6000000</v>
      </c>
      <c r="L600" s="488" t="s">
        <v>429</v>
      </c>
      <c r="M600" s="488"/>
      <c r="N600" s="489"/>
      <c r="O600" s="489"/>
      <c r="P600" s="489"/>
      <c r="Q600" s="489"/>
      <c r="R600" s="490"/>
      <c r="S600" s="489"/>
      <c r="T600" s="488" t="s">
        <v>268</v>
      </c>
    </row>
    <row r="601" ht="34.5">
      <c r="A601" s="488" t="s">
        <v>778</v>
      </c>
      <c r="B601" s="488" t="s">
        <v>779</v>
      </c>
      <c r="C601" s="488" t="s">
        <v>561</v>
      </c>
      <c r="D601" s="488" t="s">
        <v>263</v>
      </c>
      <c r="E601" s="488" t="s">
        <v>562</v>
      </c>
      <c r="F601" s="489" t="s">
        <v>563</v>
      </c>
      <c r="G601" s="488" t="s">
        <v>266</v>
      </c>
      <c r="H601" s="489"/>
      <c r="I601" s="489"/>
      <c r="J601" s="489" t="s">
        <v>564</v>
      </c>
      <c r="K601" s="491"/>
      <c r="L601" s="488"/>
      <c r="M601" s="488"/>
      <c r="N601" s="489"/>
      <c r="O601" s="489"/>
      <c r="P601" s="489"/>
      <c r="Q601" s="489"/>
      <c r="R601" s="490"/>
      <c r="S601" s="489"/>
      <c r="T601" s="488" t="s">
        <v>268</v>
      </c>
    </row>
    <row r="602" ht="34.5">
      <c r="A602" s="488" t="s">
        <v>778</v>
      </c>
      <c r="B602" s="488" t="s">
        <v>779</v>
      </c>
      <c r="C602" s="488" t="s">
        <v>561</v>
      </c>
      <c r="D602" s="488" t="s">
        <v>263</v>
      </c>
      <c r="E602" s="488" t="s">
        <v>562</v>
      </c>
      <c r="F602" s="489" t="s">
        <v>563</v>
      </c>
      <c r="G602" s="488" t="s">
        <v>266</v>
      </c>
      <c r="H602" s="489"/>
      <c r="I602" s="489"/>
      <c r="J602" s="489" t="s">
        <v>878</v>
      </c>
      <c r="K602" s="491">
        <v>447487</v>
      </c>
      <c r="L602" s="488" t="s">
        <v>429</v>
      </c>
      <c r="M602" s="488"/>
      <c r="N602" s="489"/>
      <c r="O602" s="489"/>
      <c r="P602" s="489"/>
      <c r="Q602" s="489"/>
      <c r="R602" s="490"/>
      <c r="S602" s="489"/>
      <c r="T602" s="488" t="s">
        <v>268</v>
      </c>
    </row>
    <row r="603" ht="34.5">
      <c r="A603" s="488" t="s">
        <v>778</v>
      </c>
      <c r="B603" s="488" t="s">
        <v>779</v>
      </c>
      <c r="C603" s="488" t="s">
        <v>574</v>
      </c>
      <c r="D603" s="488" t="s">
        <v>263</v>
      </c>
      <c r="E603" s="488" t="s">
        <v>566</v>
      </c>
      <c r="F603" s="489" t="s">
        <v>567</v>
      </c>
      <c r="G603" s="488" t="s">
        <v>568</v>
      </c>
      <c r="H603" s="489"/>
      <c r="I603" s="489"/>
      <c r="J603" s="489" t="s">
        <v>569</v>
      </c>
      <c r="K603" s="491"/>
      <c r="L603" s="488"/>
      <c r="M603" s="488"/>
      <c r="N603" s="489"/>
      <c r="O603" s="489"/>
      <c r="P603" s="489"/>
      <c r="Q603" s="489"/>
      <c r="R603" s="490"/>
      <c r="S603" s="489"/>
      <c r="T603" s="488" t="s">
        <v>268</v>
      </c>
    </row>
    <row r="604" ht="34.5">
      <c r="A604" s="488" t="s">
        <v>778</v>
      </c>
      <c r="B604" s="488" t="s">
        <v>779</v>
      </c>
      <c r="C604" s="488" t="s">
        <v>574</v>
      </c>
      <c r="D604" s="488" t="s">
        <v>263</v>
      </c>
      <c r="E604" s="488" t="s">
        <v>566</v>
      </c>
      <c r="F604" s="489" t="s">
        <v>567</v>
      </c>
      <c r="G604" s="488" t="s">
        <v>568</v>
      </c>
      <c r="H604" s="489"/>
      <c r="I604" s="489"/>
      <c r="J604" s="489" t="s">
        <v>570</v>
      </c>
      <c r="K604" s="491">
        <v>22500000</v>
      </c>
      <c r="L604" s="488" t="s">
        <v>429</v>
      </c>
      <c r="M604" s="488"/>
      <c r="N604" s="489"/>
      <c r="O604" s="489"/>
      <c r="P604" s="489"/>
      <c r="Q604" s="489"/>
      <c r="R604" s="490"/>
      <c r="S604" s="489"/>
      <c r="T604" s="488" t="s">
        <v>268</v>
      </c>
    </row>
    <row r="605" ht="34.5">
      <c r="A605" s="488" t="s">
        <v>778</v>
      </c>
      <c r="B605" s="488" t="s">
        <v>779</v>
      </c>
      <c r="C605" s="488" t="s">
        <v>574</v>
      </c>
      <c r="D605" s="488" t="s">
        <v>263</v>
      </c>
      <c r="E605" s="488" t="s">
        <v>566</v>
      </c>
      <c r="F605" s="489" t="s">
        <v>567</v>
      </c>
      <c r="G605" s="488" t="s">
        <v>568</v>
      </c>
      <c r="H605" s="489"/>
      <c r="I605" s="489"/>
      <c r="J605" s="489" t="s">
        <v>571</v>
      </c>
      <c r="K605" s="491"/>
      <c r="L605" s="488"/>
      <c r="M605" s="488"/>
      <c r="N605" s="489"/>
      <c r="O605" s="489"/>
      <c r="P605" s="489"/>
      <c r="Q605" s="489"/>
      <c r="R605" s="490"/>
      <c r="S605" s="489"/>
      <c r="T605" s="488" t="s">
        <v>268</v>
      </c>
    </row>
    <row r="606" ht="34.5">
      <c r="A606" s="488" t="s">
        <v>778</v>
      </c>
      <c r="B606" s="488" t="s">
        <v>779</v>
      </c>
      <c r="C606" s="488" t="s">
        <v>574</v>
      </c>
      <c r="D606" s="488" t="s">
        <v>263</v>
      </c>
      <c r="E606" s="488" t="s">
        <v>566</v>
      </c>
      <c r="F606" s="489" t="s">
        <v>567</v>
      </c>
      <c r="G606" s="488" t="s">
        <v>568</v>
      </c>
      <c r="H606" s="489"/>
      <c r="I606" s="489"/>
      <c r="J606" s="489" t="s">
        <v>879</v>
      </c>
      <c r="K606" s="491">
        <v>26250000</v>
      </c>
      <c r="L606" s="488" t="s">
        <v>429</v>
      </c>
      <c r="M606" s="488"/>
      <c r="N606" s="489"/>
      <c r="O606" s="489"/>
      <c r="P606" s="489"/>
      <c r="Q606" s="489"/>
      <c r="R606" s="490"/>
      <c r="S606" s="489"/>
      <c r="T606" s="488" t="s">
        <v>268</v>
      </c>
    </row>
    <row r="607" ht="34.5">
      <c r="A607" s="488" t="s">
        <v>778</v>
      </c>
      <c r="B607" s="488" t="s">
        <v>779</v>
      </c>
      <c r="C607" s="488" t="s">
        <v>574</v>
      </c>
      <c r="D607" s="488" t="s">
        <v>263</v>
      </c>
      <c r="E607" s="488" t="s">
        <v>566</v>
      </c>
      <c r="F607" s="489" t="s">
        <v>567</v>
      </c>
      <c r="G607" s="488" t="s">
        <v>568</v>
      </c>
      <c r="H607" s="489"/>
      <c r="I607" s="489"/>
      <c r="J607" s="489" t="s">
        <v>573</v>
      </c>
      <c r="K607" s="491"/>
      <c r="L607" s="488"/>
      <c r="M607" s="488"/>
      <c r="N607" s="489"/>
      <c r="O607" s="489"/>
      <c r="P607" s="489"/>
      <c r="Q607" s="489"/>
      <c r="R607" s="490"/>
      <c r="S607" s="489"/>
      <c r="T607" s="488" t="s">
        <v>268</v>
      </c>
    </row>
    <row r="608" ht="34.5">
      <c r="A608" s="488" t="s">
        <v>778</v>
      </c>
      <c r="B608" s="488" t="s">
        <v>779</v>
      </c>
      <c r="C608" s="488" t="s">
        <v>574</v>
      </c>
      <c r="D608" s="488" t="s">
        <v>263</v>
      </c>
      <c r="E608" s="488" t="s">
        <v>566</v>
      </c>
      <c r="F608" s="489" t="s">
        <v>567</v>
      </c>
      <c r="G608" s="488" t="s">
        <v>568</v>
      </c>
      <c r="H608" s="489"/>
      <c r="I608" s="489"/>
      <c r="J608" s="489" t="s">
        <v>577</v>
      </c>
      <c r="K608" s="491"/>
      <c r="L608" s="488"/>
      <c r="M608" s="488"/>
      <c r="N608" s="489"/>
      <c r="O608" s="489"/>
      <c r="P608" s="489"/>
      <c r="Q608" s="489"/>
      <c r="R608" s="490"/>
      <c r="S608" s="489"/>
      <c r="T608" s="488" t="s">
        <v>268</v>
      </c>
    </row>
    <row r="609" ht="34.5">
      <c r="A609" s="488" t="s">
        <v>778</v>
      </c>
      <c r="B609" s="488" t="s">
        <v>779</v>
      </c>
      <c r="C609" s="488" t="s">
        <v>574</v>
      </c>
      <c r="D609" s="488" t="s">
        <v>263</v>
      </c>
      <c r="E609" s="488" t="s">
        <v>566</v>
      </c>
      <c r="F609" s="489" t="s">
        <v>567</v>
      </c>
      <c r="G609" s="488" t="s">
        <v>568</v>
      </c>
      <c r="H609" s="489"/>
      <c r="I609" s="489"/>
      <c r="J609" s="489" t="s">
        <v>578</v>
      </c>
      <c r="K609" s="491"/>
      <c r="L609" s="488"/>
      <c r="M609" s="488"/>
      <c r="N609" s="489"/>
      <c r="O609" s="489"/>
      <c r="P609" s="489"/>
      <c r="Q609" s="489"/>
      <c r="R609" s="490"/>
      <c r="S609" s="489"/>
      <c r="T609" s="488" t="s">
        <v>268</v>
      </c>
    </row>
    <row r="610" ht="34.5">
      <c r="A610" s="488" t="s">
        <v>778</v>
      </c>
      <c r="B610" s="488" t="s">
        <v>779</v>
      </c>
      <c r="C610" s="488" t="s">
        <v>574</v>
      </c>
      <c r="D610" s="488" t="s">
        <v>263</v>
      </c>
      <c r="E610" s="488" t="s">
        <v>566</v>
      </c>
      <c r="F610" s="489" t="s">
        <v>567</v>
      </c>
      <c r="G610" s="488" t="s">
        <v>568</v>
      </c>
      <c r="H610" s="489"/>
      <c r="I610" s="489"/>
      <c r="J610" s="489" t="s">
        <v>880</v>
      </c>
      <c r="K610" s="491"/>
      <c r="L610" s="488"/>
      <c r="M610" s="488"/>
      <c r="N610" s="489"/>
      <c r="O610" s="489"/>
      <c r="P610" s="489"/>
      <c r="Q610" s="489"/>
      <c r="R610" s="490"/>
      <c r="S610" s="489"/>
      <c r="T610" s="488" t="s">
        <v>268</v>
      </c>
    </row>
    <row r="611" ht="34.5">
      <c r="A611" s="488" t="s">
        <v>778</v>
      </c>
      <c r="B611" s="488" t="s">
        <v>779</v>
      </c>
      <c r="C611" s="488" t="s">
        <v>574</v>
      </c>
      <c r="D611" s="488" t="s">
        <v>263</v>
      </c>
      <c r="E611" s="488" t="s">
        <v>566</v>
      </c>
      <c r="F611" s="489" t="s">
        <v>567</v>
      </c>
      <c r="G611" s="488" t="s">
        <v>568</v>
      </c>
      <c r="H611" s="489"/>
      <c r="I611" s="489"/>
      <c r="J611" s="489" t="s">
        <v>580</v>
      </c>
      <c r="K611" s="491"/>
      <c r="L611" s="488"/>
      <c r="M611" s="488"/>
      <c r="N611" s="489"/>
      <c r="O611" s="489"/>
      <c r="P611" s="489"/>
      <c r="Q611" s="489"/>
      <c r="R611" s="490"/>
      <c r="S611" s="489"/>
      <c r="T611" s="488" t="s">
        <v>268</v>
      </c>
    </row>
    <row r="612" ht="34.5">
      <c r="A612" s="488" t="s">
        <v>778</v>
      </c>
      <c r="B612" s="488" t="s">
        <v>779</v>
      </c>
      <c r="C612" s="488" t="s">
        <v>586</v>
      </c>
      <c r="D612" s="488" t="s">
        <v>263</v>
      </c>
      <c r="E612" s="488" t="s">
        <v>566</v>
      </c>
      <c r="F612" s="489" t="s">
        <v>575</v>
      </c>
      <c r="G612" s="488" t="s">
        <v>568</v>
      </c>
      <c r="H612" s="489"/>
      <c r="I612" s="489"/>
      <c r="J612" s="489" t="s">
        <v>881</v>
      </c>
      <c r="K612" s="491"/>
      <c r="L612" s="488"/>
      <c r="M612" s="488"/>
      <c r="N612" s="489"/>
      <c r="O612" s="489"/>
      <c r="P612" s="489"/>
      <c r="Q612" s="489"/>
      <c r="R612" s="490"/>
      <c r="S612" s="489"/>
      <c r="T612" s="488" t="s">
        <v>268</v>
      </c>
    </row>
    <row r="613" ht="34.5">
      <c r="A613" s="488" t="s">
        <v>778</v>
      </c>
      <c r="B613" s="488" t="s">
        <v>779</v>
      </c>
      <c r="C613" s="488" t="s">
        <v>586</v>
      </c>
      <c r="D613" s="488" t="s">
        <v>263</v>
      </c>
      <c r="E613" s="488" t="s">
        <v>566</v>
      </c>
      <c r="F613" s="489" t="s">
        <v>575</v>
      </c>
      <c r="G613" s="488" t="s">
        <v>568</v>
      </c>
      <c r="H613" s="489"/>
      <c r="I613" s="489"/>
      <c r="J613" s="489" t="s">
        <v>581</v>
      </c>
      <c r="K613" s="491"/>
      <c r="L613" s="488"/>
      <c r="M613" s="488"/>
      <c r="N613" s="489"/>
      <c r="O613" s="489"/>
      <c r="P613" s="489"/>
      <c r="Q613" s="489"/>
      <c r="R613" s="490"/>
      <c r="S613" s="489"/>
      <c r="T613" s="488" t="s">
        <v>268</v>
      </c>
    </row>
    <row r="614" ht="34.5">
      <c r="A614" s="488" t="s">
        <v>778</v>
      </c>
      <c r="B614" s="488" t="s">
        <v>779</v>
      </c>
      <c r="C614" s="488" t="s">
        <v>586</v>
      </c>
      <c r="D614" s="488" t="s">
        <v>263</v>
      </c>
      <c r="E614" s="488" t="s">
        <v>566</v>
      </c>
      <c r="F614" s="489" t="s">
        <v>575</v>
      </c>
      <c r="G614" s="488" t="s">
        <v>568</v>
      </c>
      <c r="H614" s="489"/>
      <c r="I614" s="489"/>
      <c r="J614" s="489" t="s">
        <v>882</v>
      </c>
      <c r="K614" s="491">
        <v>150223952</v>
      </c>
      <c r="L614" s="488" t="s">
        <v>429</v>
      </c>
      <c r="M614" s="488"/>
      <c r="N614" s="489"/>
      <c r="O614" s="489"/>
      <c r="P614" s="489"/>
      <c r="Q614" s="489"/>
      <c r="R614" s="490"/>
      <c r="S614" s="489"/>
      <c r="T614" s="488" t="s">
        <v>268</v>
      </c>
    </row>
    <row r="615" ht="34.5">
      <c r="A615" s="488" t="s">
        <v>778</v>
      </c>
      <c r="B615" s="488" t="s">
        <v>779</v>
      </c>
      <c r="C615" s="488" t="s">
        <v>586</v>
      </c>
      <c r="D615" s="488" t="s">
        <v>263</v>
      </c>
      <c r="E615" s="488" t="s">
        <v>566</v>
      </c>
      <c r="F615" s="489" t="s">
        <v>575</v>
      </c>
      <c r="G615" s="488" t="s">
        <v>568</v>
      </c>
      <c r="H615" s="489"/>
      <c r="I615" s="489"/>
      <c r="J615" s="489" t="s">
        <v>883</v>
      </c>
      <c r="K615" s="491">
        <v>7458755</v>
      </c>
      <c r="L615" s="488" t="s">
        <v>429</v>
      </c>
      <c r="M615" s="488"/>
      <c r="N615" s="489"/>
      <c r="O615" s="489"/>
      <c r="P615" s="489"/>
      <c r="Q615" s="489"/>
      <c r="R615" s="490"/>
      <c r="S615" s="489"/>
      <c r="T615" s="488" t="s">
        <v>268</v>
      </c>
    </row>
    <row r="616" ht="34.5">
      <c r="A616" s="488" t="s">
        <v>778</v>
      </c>
      <c r="B616" s="488" t="s">
        <v>779</v>
      </c>
      <c r="C616" s="488" t="s">
        <v>586</v>
      </c>
      <c r="D616" s="488" t="s">
        <v>263</v>
      </c>
      <c r="E616" s="488" t="s">
        <v>566</v>
      </c>
      <c r="F616" s="489" t="s">
        <v>575</v>
      </c>
      <c r="G616" s="488" t="s">
        <v>568</v>
      </c>
      <c r="H616" s="489"/>
      <c r="I616" s="489"/>
      <c r="J616" s="489" t="s">
        <v>884</v>
      </c>
      <c r="K616" s="491">
        <v>3750000</v>
      </c>
      <c r="L616" s="488" t="s">
        <v>429</v>
      </c>
      <c r="M616" s="488"/>
      <c r="N616" s="489"/>
      <c r="O616" s="489"/>
      <c r="P616" s="489"/>
      <c r="Q616" s="489"/>
      <c r="R616" s="490"/>
      <c r="S616" s="489"/>
      <c r="T616" s="488" t="s">
        <v>268</v>
      </c>
    </row>
    <row r="617" ht="34.5">
      <c r="A617" s="488" t="s">
        <v>778</v>
      </c>
      <c r="B617" s="488" t="s">
        <v>779</v>
      </c>
      <c r="C617" s="488" t="s">
        <v>586</v>
      </c>
      <c r="D617" s="488" t="s">
        <v>263</v>
      </c>
      <c r="E617" s="488" t="s">
        <v>566</v>
      </c>
      <c r="F617" s="489" t="s">
        <v>575</v>
      </c>
      <c r="G617" s="488" t="s">
        <v>568</v>
      </c>
      <c r="H617" s="489"/>
      <c r="I617" s="489"/>
      <c r="J617" s="489" t="s">
        <v>588</v>
      </c>
      <c r="K617" s="491"/>
      <c r="L617" s="488"/>
      <c r="M617" s="488"/>
      <c r="N617" s="489"/>
      <c r="O617" s="489"/>
      <c r="P617" s="489"/>
      <c r="Q617" s="489"/>
      <c r="R617" s="490"/>
      <c r="S617" s="489"/>
      <c r="T617" s="488" t="s">
        <v>268</v>
      </c>
    </row>
    <row r="618" ht="34.5">
      <c r="A618" s="488" t="s">
        <v>778</v>
      </c>
      <c r="B618" s="488" t="s">
        <v>779</v>
      </c>
      <c r="C618" s="488" t="s">
        <v>586</v>
      </c>
      <c r="D618" s="488" t="s">
        <v>263</v>
      </c>
      <c r="E618" s="488" t="s">
        <v>566</v>
      </c>
      <c r="F618" s="489" t="s">
        <v>575</v>
      </c>
      <c r="G618" s="488" t="s">
        <v>568</v>
      </c>
      <c r="H618" s="489"/>
      <c r="I618" s="489"/>
      <c r="J618" s="489" t="s">
        <v>589</v>
      </c>
      <c r="K618" s="491"/>
      <c r="L618" s="488"/>
      <c r="M618" s="488"/>
      <c r="N618" s="489"/>
      <c r="O618" s="489"/>
      <c r="P618" s="489"/>
      <c r="Q618" s="489"/>
      <c r="R618" s="490"/>
      <c r="S618" s="489"/>
      <c r="T618" s="488" t="s">
        <v>268</v>
      </c>
    </row>
    <row r="619" ht="34.5">
      <c r="A619" s="488" t="s">
        <v>778</v>
      </c>
      <c r="B619" s="488" t="s">
        <v>779</v>
      </c>
      <c r="C619" s="488" t="s">
        <v>597</v>
      </c>
      <c r="D619" s="488" t="s">
        <v>263</v>
      </c>
      <c r="E619" s="488" t="s">
        <v>566</v>
      </c>
      <c r="F619" s="489" t="s">
        <v>575</v>
      </c>
      <c r="G619" s="488" t="s">
        <v>568</v>
      </c>
      <c r="H619" s="489"/>
      <c r="I619" s="489"/>
      <c r="J619" s="489" t="s">
        <v>587</v>
      </c>
      <c r="K619" s="491"/>
      <c r="L619" s="488"/>
      <c r="M619" s="488"/>
      <c r="N619" s="489"/>
      <c r="O619" s="489"/>
      <c r="P619" s="489"/>
      <c r="Q619" s="489"/>
      <c r="R619" s="490"/>
      <c r="S619" s="489"/>
      <c r="T619" s="488" t="s">
        <v>268</v>
      </c>
    </row>
    <row r="620" ht="34.5">
      <c r="A620" s="488" t="s">
        <v>778</v>
      </c>
      <c r="B620" s="488" t="s">
        <v>779</v>
      </c>
      <c r="C620" s="488" t="s">
        <v>597</v>
      </c>
      <c r="D620" s="488" t="s">
        <v>263</v>
      </c>
      <c r="E620" s="488" t="s">
        <v>566</v>
      </c>
      <c r="F620" s="489" t="s">
        <v>575</v>
      </c>
      <c r="G620" s="488" t="s">
        <v>568</v>
      </c>
      <c r="H620" s="489"/>
      <c r="I620" s="489"/>
      <c r="J620" s="489" t="s">
        <v>590</v>
      </c>
      <c r="K620" s="491"/>
      <c r="L620" s="488"/>
      <c r="M620" s="488"/>
      <c r="N620" s="489"/>
      <c r="O620" s="489"/>
      <c r="P620" s="489"/>
      <c r="Q620" s="489"/>
      <c r="R620" s="490"/>
      <c r="S620" s="489"/>
      <c r="T620" s="488" t="s">
        <v>268</v>
      </c>
    </row>
    <row r="621" ht="34.5">
      <c r="A621" s="488" t="s">
        <v>778</v>
      </c>
      <c r="B621" s="488" t="s">
        <v>779</v>
      </c>
      <c r="C621" s="488" t="s">
        <v>597</v>
      </c>
      <c r="D621" s="488" t="s">
        <v>263</v>
      </c>
      <c r="E621" s="488" t="s">
        <v>591</v>
      </c>
      <c r="F621" s="489" t="s">
        <v>592</v>
      </c>
      <c r="G621" s="488" t="s">
        <v>593</v>
      </c>
      <c r="H621" s="489"/>
      <c r="I621" s="489"/>
      <c r="J621" s="489" t="s">
        <v>594</v>
      </c>
      <c r="K621" s="491"/>
      <c r="L621" s="488"/>
      <c r="M621" s="488"/>
      <c r="N621" s="489"/>
      <c r="O621" s="489"/>
      <c r="P621" s="489"/>
      <c r="Q621" s="489"/>
      <c r="R621" s="490"/>
      <c r="S621" s="489"/>
      <c r="T621" s="488" t="s">
        <v>268</v>
      </c>
    </row>
    <row r="622" ht="34.5">
      <c r="A622" s="488" t="s">
        <v>778</v>
      </c>
      <c r="B622" s="488" t="s">
        <v>779</v>
      </c>
      <c r="C622" s="488" t="s">
        <v>597</v>
      </c>
      <c r="D622" s="488" t="s">
        <v>263</v>
      </c>
      <c r="E622" s="488" t="s">
        <v>591</v>
      </c>
      <c r="F622" s="489" t="s">
        <v>592</v>
      </c>
      <c r="G622" s="488" t="s">
        <v>593</v>
      </c>
      <c r="H622" s="489"/>
      <c r="I622" s="489"/>
      <c r="J622" s="489" t="s">
        <v>595</v>
      </c>
      <c r="K622" s="491"/>
      <c r="L622" s="488"/>
      <c r="M622" s="488"/>
      <c r="N622" s="489"/>
      <c r="O622" s="489"/>
      <c r="P622" s="489"/>
      <c r="Q622" s="489"/>
      <c r="R622" s="490"/>
      <c r="S622" s="489"/>
      <c r="T622" s="488" t="s">
        <v>268</v>
      </c>
    </row>
    <row r="623" ht="34.5">
      <c r="A623" s="488" t="s">
        <v>778</v>
      </c>
      <c r="B623" s="488" t="s">
        <v>779</v>
      </c>
      <c r="C623" s="488" t="s">
        <v>597</v>
      </c>
      <c r="D623" s="488" t="s">
        <v>263</v>
      </c>
      <c r="E623" s="488" t="s">
        <v>591</v>
      </c>
      <c r="F623" s="489" t="s">
        <v>592</v>
      </c>
      <c r="G623" s="488" t="s">
        <v>593</v>
      </c>
      <c r="H623" s="489"/>
      <c r="I623" s="489"/>
      <c r="J623" s="489" t="s">
        <v>885</v>
      </c>
      <c r="K623" s="491">
        <v>26401729</v>
      </c>
      <c r="L623" s="488" t="s">
        <v>429</v>
      </c>
      <c r="M623" s="488"/>
      <c r="N623" s="489"/>
      <c r="O623" s="489"/>
      <c r="P623" s="489"/>
      <c r="Q623" s="489"/>
      <c r="R623" s="490"/>
      <c r="S623" s="489"/>
      <c r="T623" s="488" t="s">
        <v>268</v>
      </c>
    </row>
    <row r="624" ht="34.5">
      <c r="A624" s="488" t="s">
        <v>778</v>
      </c>
      <c r="B624" s="488" t="s">
        <v>779</v>
      </c>
      <c r="C624" s="488" t="s">
        <v>612</v>
      </c>
      <c r="D624" s="488" t="s">
        <v>263</v>
      </c>
      <c r="E624" s="488" t="s">
        <v>601</v>
      </c>
      <c r="F624" s="489" t="s">
        <v>602</v>
      </c>
      <c r="G624" s="488" t="s">
        <v>603</v>
      </c>
      <c r="H624" s="489"/>
      <c r="I624" s="489"/>
      <c r="J624" s="489" t="s">
        <v>604</v>
      </c>
      <c r="K624" s="491"/>
      <c r="L624" s="488"/>
      <c r="M624" s="488"/>
      <c r="N624" s="489"/>
      <c r="O624" s="489"/>
      <c r="P624" s="489"/>
      <c r="Q624" s="489"/>
      <c r="R624" s="490"/>
      <c r="S624" s="489"/>
      <c r="T624" s="488" t="s">
        <v>268</v>
      </c>
    </row>
    <row r="625" ht="34.5">
      <c r="A625" s="488" t="s">
        <v>778</v>
      </c>
      <c r="B625" s="488" t="s">
        <v>779</v>
      </c>
      <c r="C625" s="488" t="s">
        <v>612</v>
      </c>
      <c r="D625" s="488" t="s">
        <v>263</v>
      </c>
      <c r="E625" s="488" t="s">
        <v>601</v>
      </c>
      <c r="F625" s="489" t="s">
        <v>602</v>
      </c>
      <c r="G625" s="488" t="s">
        <v>603</v>
      </c>
      <c r="H625" s="489"/>
      <c r="I625" s="489"/>
      <c r="J625" s="489" t="s">
        <v>886</v>
      </c>
      <c r="K625" s="491">
        <v>1278900</v>
      </c>
      <c r="L625" s="488" t="s">
        <v>429</v>
      </c>
      <c r="M625" s="488"/>
      <c r="N625" s="489"/>
      <c r="O625" s="489"/>
      <c r="P625" s="489"/>
      <c r="Q625" s="489"/>
      <c r="R625" s="490"/>
      <c r="S625" s="489"/>
      <c r="T625" s="488" t="s">
        <v>268</v>
      </c>
    </row>
    <row r="626" ht="34.5">
      <c r="A626" s="488" t="s">
        <v>778</v>
      </c>
      <c r="B626" s="488" t="s">
        <v>779</v>
      </c>
      <c r="C626" s="488" t="s">
        <v>612</v>
      </c>
      <c r="D626" s="488" t="s">
        <v>263</v>
      </c>
      <c r="E626" s="488" t="s">
        <v>601</v>
      </c>
      <c r="F626" s="489" t="s">
        <v>602</v>
      </c>
      <c r="G626" s="488" t="s">
        <v>603</v>
      </c>
      <c r="H626" s="489"/>
      <c r="I626" s="489"/>
      <c r="J626" s="489" t="s">
        <v>887</v>
      </c>
      <c r="K626" s="491">
        <v>253597</v>
      </c>
      <c r="L626" s="488" t="s">
        <v>429</v>
      </c>
      <c r="M626" s="488"/>
      <c r="N626" s="489"/>
      <c r="O626" s="489"/>
      <c r="P626" s="489"/>
      <c r="Q626" s="489"/>
      <c r="R626" s="490"/>
      <c r="S626" s="489"/>
      <c r="T626" s="488" t="s">
        <v>268</v>
      </c>
    </row>
    <row r="627" ht="34.5">
      <c r="A627" s="488" t="s">
        <v>778</v>
      </c>
      <c r="B627" s="488" t="s">
        <v>779</v>
      </c>
      <c r="C627" s="488" t="s">
        <v>612</v>
      </c>
      <c r="D627" s="488" t="s">
        <v>263</v>
      </c>
      <c r="E627" s="488" t="s">
        <v>607</v>
      </c>
      <c r="F627" s="489" t="s">
        <v>608</v>
      </c>
      <c r="G627" s="488" t="s">
        <v>464</v>
      </c>
      <c r="H627" s="489"/>
      <c r="I627" s="489"/>
      <c r="J627" s="489" t="s">
        <v>609</v>
      </c>
      <c r="K627" s="491"/>
      <c r="L627" s="488"/>
      <c r="M627" s="488"/>
      <c r="N627" s="489"/>
      <c r="O627" s="489"/>
      <c r="P627" s="489"/>
      <c r="Q627" s="489"/>
      <c r="R627" s="490"/>
      <c r="S627" s="489"/>
      <c r="T627" s="488" t="s">
        <v>268</v>
      </c>
    </row>
    <row r="628" ht="34.5">
      <c r="A628" s="488" t="s">
        <v>778</v>
      </c>
      <c r="B628" s="488" t="s">
        <v>779</v>
      </c>
      <c r="C628" s="488" t="s">
        <v>612</v>
      </c>
      <c r="D628" s="488" t="s">
        <v>263</v>
      </c>
      <c r="E628" s="488" t="s">
        <v>607</v>
      </c>
      <c r="F628" s="489" t="s">
        <v>608</v>
      </c>
      <c r="G628" s="488" t="s">
        <v>464</v>
      </c>
      <c r="H628" s="489"/>
      <c r="I628" s="489"/>
      <c r="J628" s="489" t="s">
        <v>888</v>
      </c>
      <c r="K628" s="491">
        <v>11997283</v>
      </c>
      <c r="L628" s="488" t="s">
        <v>429</v>
      </c>
      <c r="M628" s="488"/>
      <c r="N628" s="489"/>
      <c r="O628" s="489"/>
      <c r="P628" s="489"/>
      <c r="Q628" s="489"/>
      <c r="R628" s="490"/>
      <c r="S628" s="489"/>
      <c r="T628" s="488" t="s">
        <v>268</v>
      </c>
    </row>
    <row r="629" ht="34.5">
      <c r="A629" s="488" t="s">
        <v>778</v>
      </c>
      <c r="B629" s="488" t="s">
        <v>779</v>
      </c>
      <c r="C629" s="488" t="s">
        <v>612</v>
      </c>
      <c r="D629" s="488" t="s">
        <v>263</v>
      </c>
      <c r="E629" s="488" t="s">
        <v>607</v>
      </c>
      <c r="F629" s="489" t="s">
        <v>608</v>
      </c>
      <c r="G629" s="488" t="s">
        <v>464</v>
      </c>
      <c r="H629" s="489"/>
      <c r="I629" s="489"/>
      <c r="J629" s="489" t="s">
        <v>889</v>
      </c>
      <c r="K629" s="491"/>
      <c r="L629" s="488"/>
      <c r="M629" s="488"/>
      <c r="N629" s="489"/>
      <c r="O629" s="489"/>
      <c r="P629" s="489"/>
      <c r="Q629" s="489"/>
      <c r="R629" s="490"/>
      <c r="S629" s="489"/>
      <c r="T629" s="488" t="s">
        <v>268</v>
      </c>
    </row>
    <row r="630" ht="34.5">
      <c r="A630" s="488" t="s">
        <v>778</v>
      </c>
      <c r="B630" s="488" t="s">
        <v>779</v>
      </c>
      <c r="C630" s="488" t="s">
        <v>626</v>
      </c>
      <c r="D630" s="488" t="s">
        <v>263</v>
      </c>
      <c r="E630" s="488" t="s">
        <v>613</v>
      </c>
      <c r="F630" s="489" t="s">
        <v>614</v>
      </c>
      <c r="G630" s="488" t="s">
        <v>568</v>
      </c>
      <c r="H630" s="489"/>
      <c r="I630" s="489"/>
      <c r="J630" s="489" t="s">
        <v>615</v>
      </c>
      <c r="K630" s="491"/>
      <c r="L630" s="488"/>
      <c r="M630" s="488"/>
      <c r="N630" s="489"/>
      <c r="O630" s="489"/>
      <c r="P630" s="489"/>
      <c r="Q630" s="489"/>
      <c r="R630" s="490"/>
      <c r="S630" s="489"/>
      <c r="T630" s="488" t="s">
        <v>268</v>
      </c>
    </row>
    <row r="631" ht="34.5">
      <c r="A631" s="488" t="s">
        <v>778</v>
      </c>
      <c r="B631" s="488" t="s">
        <v>779</v>
      </c>
      <c r="C631" s="488" t="s">
        <v>626</v>
      </c>
      <c r="D631" s="488" t="s">
        <v>263</v>
      </c>
      <c r="E631" s="488" t="s">
        <v>613</v>
      </c>
      <c r="F631" s="489" t="s">
        <v>614</v>
      </c>
      <c r="G631" s="488" t="s">
        <v>568</v>
      </c>
      <c r="H631" s="489"/>
      <c r="I631" s="489"/>
      <c r="J631" s="489" t="s">
        <v>616</v>
      </c>
      <c r="K631" s="491"/>
      <c r="L631" s="488"/>
      <c r="M631" s="488"/>
      <c r="N631" s="489"/>
      <c r="O631" s="489"/>
      <c r="P631" s="489"/>
      <c r="Q631" s="489"/>
      <c r="R631" s="490"/>
      <c r="S631" s="489"/>
      <c r="T631" s="488" t="s">
        <v>268</v>
      </c>
    </row>
    <row r="632" ht="34.5">
      <c r="A632" s="488" t="s">
        <v>778</v>
      </c>
      <c r="B632" s="488" t="s">
        <v>779</v>
      </c>
      <c r="C632" s="488" t="s">
        <v>626</v>
      </c>
      <c r="D632" s="488" t="s">
        <v>263</v>
      </c>
      <c r="E632" s="488" t="s">
        <v>613</v>
      </c>
      <c r="F632" s="489" t="s">
        <v>614</v>
      </c>
      <c r="G632" s="488" t="s">
        <v>568</v>
      </c>
      <c r="H632" s="489"/>
      <c r="I632" s="489"/>
      <c r="J632" s="489" t="s">
        <v>890</v>
      </c>
      <c r="K632" s="491">
        <v>7277003</v>
      </c>
      <c r="L632" s="488" t="s">
        <v>429</v>
      </c>
      <c r="M632" s="488"/>
      <c r="N632" s="489"/>
      <c r="O632" s="489"/>
      <c r="P632" s="489"/>
      <c r="Q632" s="489"/>
      <c r="R632" s="490"/>
      <c r="S632" s="489"/>
      <c r="T632" s="488" t="s">
        <v>268</v>
      </c>
    </row>
    <row r="633" ht="34.5">
      <c r="A633" s="488" t="s">
        <v>778</v>
      </c>
      <c r="B633" s="488" t="s">
        <v>779</v>
      </c>
      <c r="C633" s="488" t="s">
        <v>626</v>
      </c>
      <c r="D633" s="488" t="s">
        <v>263</v>
      </c>
      <c r="E633" s="488" t="s">
        <v>618</v>
      </c>
      <c r="F633" s="489" t="s">
        <v>619</v>
      </c>
      <c r="G633" s="488" t="s">
        <v>620</v>
      </c>
      <c r="H633" s="489"/>
      <c r="I633" s="489"/>
      <c r="J633" s="489" t="s">
        <v>891</v>
      </c>
      <c r="K633" s="491">
        <v>13644327</v>
      </c>
      <c r="L633" s="488" t="s">
        <v>429</v>
      </c>
      <c r="M633" s="488"/>
      <c r="N633" s="489"/>
      <c r="O633" s="489"/>
      <c r="P633" s="489"/>
      <c r="Q633" s="489"/>
      <c r="R633" s="490"/>
      <c r="S633" s="489"/>
      <c r="T633" s="488" t="s">
        <v>268</v>
      </c>
    </row>
    <row r="634" ht="34.5">
      <c r="A634" s="488" t="s">
        <v>778</v>
      </c>
      <c r="B634" s="488" t="s">
        <v>779</v>
      </c>
      <c r="C634" s="488" t="s">
        <v>626</v>
      </c>
      <c r="D634" s="488" t="s">
        <v>263</v>
      </c>
      <c r="E634" s="488" t="s">
        <v>618</v>
      </c>
      <c r="F634" s="489" t="s">
        <v>619</v>
      </c>
      <c r="G634" s="488" t="s">
        <v>620</v>
      </c>
      <c r="H634" s="489"/>
      <c r="I634" s="489"/>
      <c r="J634" s="489" t="s">
        <v>622</v>
      </c>
      <c r="K634" s="491"/>
      <c r="L634" s="488"/>
      <c r="M634" s="488"/>
      <c r="N634" s="489"/>
      <c r="O634" s="489"/>
      <c r="P634" s="489"/>
      <c r="Q634" s="489"/>
      <c r="R634" s="490"/>
      <c r="S634" s="489"/>
      <c r="T634" s="488" t="s">
        <v>268</v>
      </c>
    </row>
    <row r="635" ht="34.5">
      <c r="A635" s="488" t="s">
        <v>778</v>
      </c>
      <c r="B635" s="488" t="s">
        <v>779</v>
      </c>
      <c r="C635" s="488" t="s">
        <v>626</v>
      </c>
      <c r="D635" s="488" t="s">
        <v>263</v>
      </c>
      <c r="E635" s="488" t="s">
        <v>618</v>
      </c>
      <c r="F635" s="489" t="s">
        <v>619</v>
      </c>
      <c r="G635" s="488" t="s">
        <v>620</v>
      </c>
      <c r="H635" s="489"/>
      <c r="I635" s="489"/>
      <c r="J635" s="489" t="s">
        <v>623</v>
      </c>
      <c r="K635" s="491"/>
      <c r="L635" s="488"/>
      <c r="M635" s="488"/>
      <c r="N635" s="489"/>
      <c r="O635" s="489"/>
      <c r="P635" s="489"/>
      <c r="Q635" s="489"/>
      <c r="R635" s="490"/>
      <c r="S635" s="489"/>
      <c r="T635" s="488" t="s">
        <v>268</v>
      </c>
    </row>
    <row r="636" ht="34.5">
      <c r="A636" s="488" t="s">
        <v>778</v>
      </c>
      <c r="B636" s="488" t="s">
        <v>779</v>
      </c>
      <c r="C636" s="488" t="s">
        <v>626</v>
      </c>
      <c r="D636" s="488" t="s">
        <v>263</v>
      </c>
      <c r="E636" s="488" t="s">
        <v>618</v>
      </c>
      <c r="F636" s="489" t="s">
        <v>619</v>
      </c>
      <c r="G636" s="488" t="s">
        <v>620</v>
      </c>
      <c r="H636" s="489"/>
      <c r="I636" s="489"/>
      <c r="J636" s="489" t="s">
        <v>624</v>
      </c>
      <c r="K636" s="491"/>
      <c r="L636" s="488"/>
      <c r="M636" s="488"/>
      <c r="N636" s="489"/>
      <c r="O636" s="489"/>
      <c r="P636" s="489"/>
      <c r="Q636" s="489"/>
      <c r="R636" s="490"/>
      <c r="S636" s="489"/>
      <c r="T636" s="488" t="s">
        <v>268</v>
      </c>
    </row>
    <row r="637" ht="34.5">
      <c r="A637" s="488" t="s">
        <v>778</v>
      </c>
      <c r="B637" s="488" t="s">
        <v>779</v>
      </c>
      <c r="C637" s="488" t="s">
        <v>626</v>
      </c>
      <c r="D637" s="488" t="s">
        <v>263</v>
      </c>
      <c r="E637" s="488" t="s">
        <v>618</v>
      </c>
      <c r="F637" s="489" t="s">
        <v>619</v>
      </c>
      <c r="G637" s="488" t="s">
        <v>620</v>
      </c>
      <c r="H637" s="489"/>
      <c r="I637" s="489"/>
      <c r="J637" s="489" t="s">
        <v>892</v>
      </c>
      <c r="K637" s="491"/>
      <c r="L637" s="488"/>
      <c r="M637" s="488"/>
      <c r="N637" s="489"/>
      <c r="O637" s="489"/>
      <c r="P637" s="489"/>
      <c r="Q637" s="489"/>
      <c r="R637" s="490"/>
      <c r="S637" s="489"/>
      <c r="T637" s="488" t="s">
        <v>268</v>
      </c>
    </row>
    <row r="638" ht="34.5">
      <c r="A638" s="488" t="s">
        <v>778</v>
      </c>
      <c r="B638" s="488" t="s">
        <v>779</v>
      </c>
      <c r="C638" s="488" t="s">
        <v>632</v>
      </c>
      <c r="D638" s="488" t="s">
        <v>263</v>
      </c>
      <c r="E638" s="488" t="s">
        <v>618</v>
      </c>
      <c r="F638" s="489" t="s">
        <v>627</v>
      </c>
      <c r="G638" s="488" t="s">
        <v>620</v>
      </c>
      <c r="H638" s="489"/>
      <c r="I638" s="489"/>
      <c r="J638" s="489" t="s">
        <v>628</v>
      </c>
      <c r="K638" s="491"/>
      <c r="L638" s="488"/>
      <c r="M638" s="488"/>
      <c r="N638" s="489"/>
      <c r="O638" s="489"/>
      <c r="P638" s="489"/>
      <c r="Q638" s="489"/>
      <c r="R638" s="490"/>
      <c r="S638" s="489"/>
      <c r="T638" s="488" t="s">
        <v>268</v>
      </c>
    </row>
    <row r="639" ht="34.5">
      <c r="A639" s="488" t="s">
        <v>778</v>
      </c>
      <c r="B639" s="488" t="s">
        <v>779</v>
      </c>
      <c r="C639" s="488" t="s">
        <v>632</v>
      </c>
      <c r="D639" s="488" t="s">
        <v>263</v>
      </c>
      <c r="E639" s="488" t="s">
        <v>618</v>
      </c>
      <c r="F639" s="489" t="s">
        <v>627</v>
      </c>
      <c r="G639" s="488" t="s">
        <v>620</v>
      </c>
      <c r="H639" s="489"/>
      <c r="I639" s="489"/>
      <c r="J639" s="489" t="s">
        <v>893</v>
      </c>
      <c r="K639" s="491"/>
      <c r="L639" s="488"/>
      <c r="M639" s="488"/>
      <c r="N639" s="489"/>
      <c r="O639" s="489"/>
      <c r="P639" s="489"/>
      <c r="Q639" s="489"/>
      <c r="R639" s="490"/>
      <c r="S639" s="489"/>
      <c r="T639" s="488" t="s">
        <v>268</v>
      </c>
    </row>
    <row r="640" ht="34.5">
      <c r="A640" s="488" t="s">
        <v>778</v>
      </c>
      <c r="B640" s="488" t="s">
        <v>779</v>
      </c>
      <c r="C640" s="488" t="s">
        <v>632</v>
      </c>
      <c r="D640" s="488" t="s">
        <v>263</v>
      </c>
      <c r="E640" s="488" t="s">
        <v>618</v>
      </c>
      <c r="F640" s="489" t="s">
        <v>627</v>
      </c>
      <c r="G640" s="488" t="s">
        <v>620</v>
      </c>
      <c r="H640" s="489"/>
      <c r="I640" s="489"/>
      <c r="J640" s="489" t="s">
        <v>630</v>
      </c>
      <c r="K640" s="491"/>
      <c r="L640" s="488"/>
      <c r="M640" s="488"/>
      <c r="N640" s="489"/>
      <c r="O640" s="489"/>
      <c r="P640" s="489"/>
      <c r="Q640" s="489"/>
      <c r="R640" s="490"/>
      <c r="S640" s="489"/>
      <c r="T640" s="488" t="s">
        <v>268</v>
      </c>
    </row>
    <row r="641" ht="34.5">
      <c r="A641" s="488" t="s">
        <v>778</v>
      </c>
      <c r="B641" s="488" t="s">
        <v>779</v>
      </c>
      <c r="C641" s="488" t="s">
        <v>632</v>
      </c>
      <c r="D641" s="488" t="s">
        <v>263</v>
      </c>
      <c r="E641" s="488" t="s">
        <v>618</v>
      </c>
      <c r="F641" s="489" t="s">
        <v>627</v>
      </c>
      <c r="G641" s="488" t="s">
        <v>620</v>
      </c>
      <c r="H641" s="489"/>
      <c r="I641" s="489"/>
      <c r="J641" s="489" t="s">
        <v>894</v>
      </c>
      <c r="K641" s="491">
        <v>125000</v>
      </c>
      <c r="L641" s="488" t="s">
        <v>429</v>
      </c>
      <c r="M641" s="488"/>
      <c r="N641" s="489"/>
      <c r="O641" s="489"/>
      <c r="P641" s="489"/>
      <c r="Q641" s="489"/>
      <c r="R641" s="490"/>
      <c r="S641" s="489"/>
      <c r="T641" s="488" t="s">
        <v>268</v>
      </c>
    </row>
    <row r="642" ht="34.5">
      <c r="A642" s="488" t="s">
        <v>778</v>
      </c>
      <c r="B642" s="488" t="s">
        <v>779</v>
      </c>
      <c r="C642" s="488" t="s">
        <v>632</v>
      </c>
      <c r="D642" s="488" t="s">
        <v>263</v>
      </c>
      <c r="E642" s="488" t="s">
        <v>618</v>
      </c>
      <c r="F642" s="489" t="s">
        <v>627</v>
      </c>
      <c r="G642" s="488" t="s">
        <v>620</v>
      </c>
      <c r="H642" s="489"/>
      <c r="I642" s="489"/>
      <c r="J642" s="489" t="s">
        <v>895</v>
      </c>
      <c r="K642" s="491"/>
      <c r="L642" s="488"/>
      <c r="M642" s="488"/>
      <c r="N642" s="489"/>
      <c r="O642" s="489"/>
      <c r="P642" s="489"/>
      <c r="Q642" s="489"/>
      <c r="R642" s="490"/>
      <c r="S642" s="489"/>
      <c r="T642" s="488" t="s">
        <v>268</v>
      </c>
    </row>
    <row r="643" ht="34.5">
      <c r="A643" s="488" t="s">
        <v>778</v>
      </c>
      <c r="B643" s="488" t="s">
        <v>779</v>
      </c>
      <c r="C643" s="488" t="s">
        <v>638</v>
      </c>
      <c r="D643" s="488" t="s">
        <v>263</v>
      </c>
      <c r="E643" s="488" t="s">
        <v>618</v>
      </c>
      <c r="F643" s="489" t="s">
        <v>627</v>
      </c>
      <c r="G643" s="488" t="s">
        <v>620</v>
      </c>
      <c r="H643" s="489"/>
      <c r="I643" s="489"/>
      <c r="J643" s="489" t="s">
        <v>896</v>
      </c>
      <c r="K643" s="491"/>
      <c r="L643" s="488"/>
      <c r="M643" s="488"/>
      <c r="N643" s="489"/>
      <c r="O643" s="489"/>
      <c r="P643" s="489"/>
      <c r="Q643" s="489"/>
      <c r="R643" s="490"/>
      <c r="S643" s="489"/>
      <c r="T643" s="488" t="s">
        <v>268</v>
      </c>
    </row>
    <row r="644" ht="34.5">
      <c r="A644" s="488" t="s">
        <v>778</v>
      </c>
      <c r="B644" s="488" t="s">
        <v>779</v>
      </c>
      <c r="C644" s="488" t="s">
        <v>638</v>
      </c>
      <c r="D644" s="488" t="s">
        <v>263</v>
      </c>
      <c r="E644" s="488" t="s">
        <v>618</v>
      </c>
      <c r="F644" s="489" t="s">
        <v>627</v>
      </c>
      <c r="G644" s="488" t="s">
        <v>620</v>
      </c>
      <c r="H644" s="489"/>
      <c r="I644" s="489"/>
      <c r="J644" s="489" t="s">
        <v>897</v>
      </c>
      <c r="K644" s="491">
        <v>0.11</v>
      </c>
      <c r="L644" s="488" t="s">
        <v>429</v>
      </c>
      <c r="M644" s="488"/>
      <c r="N644" s="489"/>
      <c r="O644" s="489"/>
      <c r="P644" s="489"/>
      <c r="Q644" s="489"/>
      <c r="R644" s="490"/>
      <c r="S644" s="489"/>
      <c r="T644" s="488" t="s">
        <v>268</v>
      </c>
    </row>
    <row r="645" ht="34.5">
      <c r="A645" s="488" t="s">
        <v>778</v>
      </c>
      <c r="B645" s="488" t="s">
        <v>779</v>
      </c>
      <c r="C645" s="488" t="s">
        <v>638</v>
      </c>
      <c r="D645" s="488" t="s">
        <v>263</v>
      </c>
      <c r="E645" s="488" t="s">
        <v>618</v>
      </c>
      <c r="F645" s="489" t="s">
        <v>627</v>
      </c>
      <c r="G645" s="488" t="s">
        <v>620</v>
      </c>
      <c r="H645" s="489"/>
      <c r="I645" s="489"/>
      <c r="J645" s="489" t="s">
        <v>898</v>
      </c>
      <c r="K645" s="491">
        <v>0.13</v>
      </c>
      <c r="L645" s="488" t="s">
        <v>429</v>
      </c>
      <c r="M645" s="488"/>
      <c r="N645" s="489"/>
      <c r="O645" s="489"/>
      <c r="P645" s="489"/>
      <c r="Q645" s="489"/>
      <c r="R645" s="490"/>
      <c r="S645" s="489"/>
      <c r="T645" s="488" t="s">
        <v>268</v>
      </c>
    </row>
    <row r="646" ht="34.5">
      <c r="A646" s="488" t="s">
        <v>778</v>
      </c>
      <c r="B646" s="488" t="s">
        <v>779</v>
      </c>
      <c r="C646" s="488" t="s">
        <v>638</v>
      </c>
      <c r="D646" s="488" t="s">
        <v>263</v>
      </c>
      <c r="E646" s="488" t="s">
        <v>618</v>
      </c>
      <c r="F646" s="489" t="s">
        <v>627</v>
      </c>
      <c r="G646" s="488" t="s">
        <v>620</v>
      </c>
      <c r="H646" s="489"/>
      <c r="I646" s="489"/>
      <c r="J646" s="489" t="s">
        <v>642</v>
      </c>
      <c r="K646" s="491"/>
      <c r="L646" s="488"/>
      <c r="M646" s="488"/>
      <c r="N646" s="489"/>
      <c r="O646" s="489"/>
      <c r="P646" s="489"/>
      <c r="Q646" s="489"/>
      <c r="R646" s="490"/>
      <c r="S646" s="489"/>
      <c r="T646" s="488" t="s">
        <v>268</v>
      </c>
    </row>
    <row r="647" ht="34.5">
      <c r="A647" s="488" t="s">
        <v>778</v>
      </c>
      <c r="B647" s="488" t="s">
        <v>779</v>
      </c>
      <c r="C647" s="488" t="s">
        <v>638</v>
      </c>
      <c r="D647" s="488" t="s">
        <v>263</v>
      </c>
      <c r="E647" s="488" t="s">
        <v>618</v>
      </c>
      <c r="F647" s="489" t="s">
        <v>627</v>
      </c>
      <c r="G647" s="488" t="s">
        <v>620</v>
      </c>
      <c r="H647" s="489"/>
      <c r="I647" s="489"/>
      <c r="J647" s="489" t="s">
        <v>899</v>
      </c>
      <c r="K647" s="491"/>
      <c r="L647" s="488"/>
      <c r="M647" s="488"/>
      <c r="N647" s="489"/>
      <c r="O647" s="489"/>
      <c r="P647" s="489"/>
      <c r="Q647" s="489"/>
      <c r="R647" s="490"/>
      <c r="S647" s="489"/>
      <c r="T647" s="488" t="s">
        <v>268</v>
      </c>
    </row>
    <row r="648" ht="34.5">
      <c r="A648" s="488" t="s">
        <v>778</v>
      </c>
      <c r="B648" s="488" t="s">
        <v>779</v>
      </c>
      <c r="C648" s="488" t="s">
        <v>643</v>
      </c>
      <c r="D648" s="488" t="s">
        <v>263</v>
      </c>
      <c r="E648" s="488" t="s">
        <v>618</v>
      </c>
      <c r="F648" s="489" t="s">
        <v>627</v>
      </c>
      <c r="G648" s="488" t="s">
        <v>620</v>
      </c>
      <c r="H648" s="489"/>
      <c r="I648" s="489"/>
      <c r="J648" s="489" t="s">
        <v>900</v>
      </c>
      <c r="K648" s="491"/>
      <c r="L648" s="488"/>
      <c r="M648" s="488"/>
      <c r="N648" s="489"/>
      <c r="O648" s="489"/>
      <c r="P648" s="489"/>
      <c r="Q648" s="489"/>
      <c r="R648" s="490"/>
      <c r="S648" s="489"/>
      <c r="T648" s="488" t="s">
        <v>268</v>
      </c>
    </row>
    <row r="649" ht="34.5">
      <c r="A649" s="488" t="s">
        <v>778</v>
      </c>
      <c r="B649" s="488" t="s">
        <v>779</v>
      </c>
      <c r="C649" s="488" t="s">
        <v>643</v>
      </c>
      <c r="D649" s="488" t="s">
        <v>263</v>
      </c>
      <c r="E649" s="488" t="s">
        <v>618</v>
      </c>
      <c r="F649" s="489" t="s">
        <v>627</v>
      </c>
      <c r="G649" s="488" t="s">
        <v>620</v>
      </c>
      <c r="H649" s="489"/>
      <c r="I649" s="489"/>
      <c r="J649" s="489" t="s">
        <v>901</v>
      </c>
      <c r="K649" s="491">
        <v>965788</v>
      </c>
      <c r="L649" s="488" t="s">
        <v>429</v>
      </c>
      <c r="M649" s="488"/>
      <c r="N649" s="489"/>
      <c r="O649" s="489"/>
      <c r="P649" s="489"/>
      <c r="Q649" s="489"/>
      <c r="R649" s="490"/>
      <c r="S649" s="489"/>
      <c r="T649" s="488" t="s">
        <v>268</v>
      </c>
    </row>
    <row r="650" ht="34.5">
      <c r="A650" s="488" t="s">
        <v>778</v>
      </c>
      <c r="B650" s="488" t="s">
        <v>779</v>
      </c>
      <c r="C650" s="488" t="s">
        <v>643</v>
      </c>
      <c r="D650" s="488" t="s">
        <v>263</v>
      </c>
      <c r="E650" s="488" t="s">
        <v>618</v>
      </c>
      <c r="F650" s="489" t="s">
        <v>627</v>
      </c>
      <c r="G650" s="488" t="s">
        <v>620</v>
      </c>
      <c r="H650" s="489"/>
      <c r="I650" s="489"/>
      <c r="J650" s="489" t="s">
        <v>646</v>
      </c>
      <c r="K650" s="491"/>
      <c r="L650" s="488"/>
      <c r="M650" s="488"/>
      <c r="N650" s="489"/>
      <c r="O650" s="489"/>
      <c r="P650" s="489"/>
      <c r="Q650" s="489"/>
      <c r="R650" s="490"/>
      <c r="S650" s="489"/>
      <c r="T650" s="488" t="s">
        <v>268</v>
      </c>
    </row>
    <row r="651" ht="34.5">
      <c r="A651" s="488" t="s">
        <v>778</v>
      </c>
      <c r="B651" s="488" t="s">
        <v>779</v>
      </c>
      <c r="C651" s="488" t="s">
        <v>647</v>
      </c>
      <c r="D651" s="488" t="s">
        <v>263</v>
      </c>
      <c r="E651" s="488" t="s">
        <v>618</v>
      </c>
      <c r="F651" s="489" t="s">
        <v>627</v>
      </c>
      <c r="G651" s="488" t="s">
        <v>620</v>
      </c>
      <c r="H651" s="489"/>
      <c r="I651" s="489"/>
      <c r="J651" s="489" t="s">
        <v>648</v>
      </c>
      <c r="K651" s="491"/>
      <c r="L651" s="488"/>
      <c r="M651" s="488"/>
      <c r="N651" s="489"/>
      <c r="O651" s="489"/>
      <c r="P651" s="489"/>
      <c r="Q651" s="489"/>
      <c r="R651" s="490"/>
      <c r="S651" s="489"/>
      <c r="T651" s="488" t="s">
        <v>268</v>
      </c>
    </row>
    <row r="652" ht="34.5">
      <c r="A652" s="488" t="s">
        <v>778</v>
      </c>
      <c r="B652" s="488" t="s">
        <v>779</v>
      </c>
      <c r="C652" s="488" t="s">
        <v>647</v>
      </c>
      <c r="D652" s="488" t="s">
        <v>263</v>
      </c>
      <c r="E652" s="488" t="s">
        <v>618</v>
      </c>
      <c r="F652" s="489" t="s">
        <v>627</v>
      </c>
      <c r="G652" s="488" t="s">
        <v>620</v>
      </c>
      <c r="H652" s="489"/>
      <c r="I652" s="489"/>
      <c r="J652" s="489" t="s">
        <v>649</v>
      </c>
      <c r="K652" s="491"/>
      <c r="L652" s="488"/>
      <c r="M652" s="488"/>
      <c r="N652" s="489"/>
      <c r="O652" s="489"/>
      <c r="P652" s="489"/>
      <c r="Q652" s="489"/>
      <c r="R652" s="490"/>
      <c r="S652" s="489"/>
      <c r="T652" s="488" t="s">
        <v>268</v>
      </c>
    </row>
    <row r="653" ht="34.5">
      <c r="A653" s="488" t="s">
        <v>778</v>
      </c>
      <c r="B653" s="488" t="s">
        <v>779</v>
      </c>
      <c r="C653" s="488" t="s">
        <v>647</v>
      </c>
      <c r="D653" s="488" t="s">
        <v>263</v>
      </c>
      <c r="E653" s="488" t="s">
        <v>618</v>
      </c>
      <c r="F653" s="489" t="s">
        <v>627</v>
      </c>
      <c r="G653" s="488" t="s">
        <v>620</v>
      </c>
      <c r="H653" s="489"/>
      <c r="I653" s="489"/>
      <c r="J653" s="489" t="s">
        <v>902</v>
      </c>
      <c r="K653" s="491">
        <v>0.08</v>
      </c>
      <c r="L653" s="488" t="s">
        <v>429</v>
      </c>
      <c r="M653" s="488"/>
      <c r="N653" s="489"/>
      <c r="O653" s="489"/>
      <c r="P653" s="489"/>
      <c r="Q653" s="489"/>
      <c r="R653" s="490"/>
      <c r="S653" s="489"/>
      <c r="T653" s="488" t="s">
        <v>268</v>
      </c>
    </row>
    <row r="654" ht="34.5">
      <c r="A654" s="488" t="s">
        <v>778</v>
      </c>
      <c r="B654" s="488" t="s">
        <v>779</v>
      </c>
      <c r="C654" s="488" t="s">
        <v>647</v>
      </c>
      <c r="D654" s="488" t="s">
        <v>263</v>
      </c>
      <c r="E654" s="488" t="s">
        <v>618</v>
      </c>
      <c r="F654" s="489" t="s">
        <v>627</v>
      </c>
      <c r="G654" s="488" t="s">
        <v>620</v>
      </c>
      <c r="H654" s="489"/>
      <c r="I654" s="489"/>
      <c r="J654" s="489" t="s">
        <v>903</v>
      </c>
      <c r="K654" s="491"/>
      <c r="L654" s="488"/>
      <c r="M654" s="488"/>
      <c r="N654" s="489"/>
      <c r="O654" s="489"/>
      <c r="P654" s="489"/>
      <c r="Q654" s="489"/>
      <c r="R654" s="490"/>
      <c r="S654" s="489"/>
      <c r="T654" s="488" t="s">
        <v>268</v>
      </c>
    </row>
    <row r="655" ht="34.5">
      <c r="A655" s="488" t="s">
        <v>778</v>
      </c>
      <c r="B655" s="488" t="s">
        <v>779</v>
      </c>
      <c r="C655" s="488" t="s">
        <v>647</v>
      </c>
      <c r="D655" s="488" t="s">
        <v>263</v>
      </c>
      <c r="E655" s="488" t="s">
        <v>618</v>
      </c>
      <c r="F655" s="489" t="s">
        <v>627</v>
      </c>
      <c r="G655" s="488" t="s">
        <v>620</v>
      </c>
      <c r="H655" s="489"/>
      <c r="I655" s="489"/>
      <c r="J655" s="489" t="s">
        <v>904</v>
      </c>
      <c r="K655" s="491"/>
      <c r="L655" s="488"/>
      <c r="M655" s="488"/>
      <c r="N655" s="489"/>
      <c r="O655" s="489"/>
      <c r="P655" s="489"/>
      <c r="Q655" s="489"/>
      <c r="R655" s="490"/>
      <c r="S655" s="489"/>
      <c r="T655" s="488" t="s">
        <v>268</v>
      </c>
    </row>
    <row r="656" ht="34.5">
      <c r="A656" s="488" t="s">
        <v>778</v>
      </c>
      <c r="B656" s="488" t="s">
        <v>779</v>
      </c>
      <c r="C656" s="488" t="s">
        <v>647</v>
      </c>
      <c r="D656" s="488" t="s">
        <v>263</v>
      </c>
      <c r="E656" s="488" t="s">
        <v>618</v>
      </c>
      <c r="F656" s="489" t="s">
        <v>627</v>
      </c>
      <c r="G656" s="488" t="s">
        <v>620</v>
      </c>
      <c r="H656" s="489"/>
      <c r="I656" s="489"/>
      <c r="J656" s="489" t="s">
        <v>650</v>
      </c>
      <c r="K656" s="491"/>
      <c r="L656" s="488"/>
      <c r="M656" s="488"/>
      <c r="N656" s="489"/>
      <c r="O656" s="489"/>
      <c r="P656" s="489"/>
      <c r="Q656" s="489"/>
      <c r="R656" s="490"/>
      <c r="S656" s="489"/>
      <c r="T656" s="488" t="s">
        <v>268</v>
      </c>
    </row>
    <row r="657" ht="34.5">
      <c r="A657" s="488" t="s">
        <v>778</v>
      </c>
      <c r="B657" s="488" t="s">
        <v>779</v>
      </c>
      <c r="C657" s="488" t="s">
        <v>647</v>
      </c>
      <c r="D657" s="488" t="s">
        <v>263</v>
      </c>
      <c r="E657" s="488" t="s">
        <v>618</v>
      </c>
      <c r="F657" s="489" t="s">
        <v>627</v>
      </c>
      <c r="G657" s="488" t="s">
        <v>620</v>
      </c>
      <c r="H657" s="489"/>
      <c r="I657" s="489"/>
      <c r="J657" s="489" t="s">
        <v>651</v>
      </c>
      <c r="K657" s="491"/>
      <c r="L657" s="488"/>
      <c r="M657" s="488"/>
      <c r="N657" s="489"/>
      <c r="O657" s="489"/>
      <c r="P657" s="489"/>
      <c r="Q657" s="489"/>
      <c r="R657" s="490"/>
      <c r="S657" s="489"/>
      <c r="T657" s="488" t="s">
        <v>268</v>
      </c>
    </row>
    <row r="658" ht="34.5">
      <c r="A658" s="488" t="s">
        <v>778</v>
      </c>
      <c r="B658" s="488" t="s">
        <v>779</v>
      </c>
      <c r="C658" s="488" t="s">
        <v>653</v>
      </c>
      <c r="D658" s="488" t="s">
        <v>263</v>
      </c>
      <c r="E658" s="488" t="s">
        <v>618</v>
      </c>
      <c r="F658" s="489" t="s">
        <v>627</v>
      </c>
      <c r="G658" s="488" t="s">
        <v>620</v>
      </c>
      <c r="H658" s="489"/>
      <c r="I658" s="489"/>
      <c r="J658" s="489" t="s">
        <v>905</v>
      </c>
      <c r="K658" s="491"/>
      <c r="L658" s="488"/>
      <c r="M658" s="488"/>
      <c r="N658" s="489"/>
      <c r="O658" s="489"/>
      <c r="P658" s="489"/>
      <c r="Q658" s="489"/>
      <c r="R658" s="490"/>
      <c r="S658" s="489"/>
      <c r="T658" s="488" t="s">
        <v>268</v>
      </c>
    </row>
    <row r="659" ht="34.5">
      <c r="A659" s="488" t="s">
        <v>778</v>
      </c>
      <c r="B659" s="488" t="s">
        <v>779</v>
      </c>
      <c r="C659" s="488" t="s">
        <v>653</v>
      </c>
      <c r="D659" s="488" t="s">
        <v>263</v>
      </c>
      <c r="E659" s="488" t="s">
        <v>618</v>
      </c>
      <c r="F659" s="489" t="s">
        <v>627</v>
      </c>
      <c r="G659" s="488" t="s">
        <v>620</v>
      </c>
      <c r="H659" s="489"/>
      <c r="I659" s="489"/>
      <c r="J659" s="489" t="s">
        <v>906</v>
      </c>
      <c r="K659" s="491"/>
      <c r="L659" s="488"/>
      <c r="M659" s="488"/>
      <c r="N659" s="489"/>
      <c r="O659" s="489"/>
      <c r="P659" s="489"/>
      <c r="Q659" s="489"/>
      <c r="R659" s="490"/>
      <c r="S659" s="489"/>
      <c r="T659" s="488" t="s">
        <v>268</v>
      </c>
    </row>
    <row r="660" ht="34.5">
      <c r="A660" s="488" t="s">
        <v>778</v>
      </c>
      <c r="B660" s="488" t="s">
        <v>779</v>
      </c>
      <c r="C660" s="488" t="s">
        <v>653</v>
      </c>
      <c r="D660" s="488" t="s">
        <v>263</v>
      </c>
      <c r="E660" s="488" t="s">
        <v>618</v>
      </c>
      <c r="F660" s="489" t="s">
        <v>627</v>
      </c>
      <c r="G660" s="488" t="s">
        <v>620</v>
      </c>
      <c r="H660" s="489"/>
      <c r="I660" s="489"/>
      <c r="J660" s="489" t="s">
        <v>652</v>
      </c>
      <c r="K660" s="491"/>
      <c r="L660" s="488"/>
      <c r="M660" s="488"/>
      <c r="N660" s="489"/>
      <c r="O660" s="489"/>
      <c r="P660" s="489"/>
      <c r="Q660" s="489"/>
      <c r="R660" s="490"/>
      <c r="S660" s="489"/>
      <c r="T660" s="488" t="s">
        <v>268</v>
      </c>
    </row>
    <row r="661" ht="34.5">
      <c r="A661" s="488" t="s">
        <v>778</v>
      </c>
      <c r="B661" s="488" t="s">
        <v>779</v>
      </c>
      <c r="C661" s="488" t="s">
        <v>653</v>
      </c>
      <c r="D661" s="488" t="s">
        <v>263</v>
      </c>
      <c r="E661" s="488" t="s">
        <v>654</v>
      </c>
      <c r="F661" s="489" t="s">
        <v>655</v>
      </c>
      <c r="G661" s="488" t="s">
        <v>656</v>
      </c>
      <c r="H661" s="489"/>
      <c r="I661" s="489"/>
      <c r="J661" s="489" t="s">
        <v>657</v>
      </c>
      <c r="K661" s="491"/>
      <c r="L661" s="488"/>
      <c r="M661" s="488"/>
      <c r="N661" s="489"/>
      <c r="O661" s="489"/>
      <c r="P661" s="489"/>
      <c r="Q661" s="489"/>
      <c r="R661" s="490"/>
      <c r="S661" s="489"/>
      <c r="T661" s="488" t="s">
        <v>268</v>
      </c>
    </row>
    <row r="662" ht="34.5">
      <c r="A662" s="488" t="s">
        <v>778</v>
      </c>
      <c r="B662" s="488" t="s">
        <v>779</v>
      </c>
      <c r="C662" s="488" t="s">
        <v>653</v>
      </c>
      <c r="D662" s="488" t="s">
        <v>263</v>
      </c>
      <c r="E662" s="488" t="s">
        <v>654</v>
      </c>
      <c r="F662" s="489" t="s">
        <v>655</v>
      </c>
      <c r="G662" s="488" t="s">
        <v>656</v>
      </c>
      <c r="H662" s="489"/>
      <c r="I662" s="489"/>
      <c r="J662" s="489" t="s">
        <v>658</v>
      </c>
      <c r="K662" s="491"/>
      <c r="L662" s="488"/>
      <c r="M662" s="488"/>
      <c r="N662" s="489"/>
      <c r="O662" s="489"/>
      <c r="P662" s="489"/>
      <c r="Q662" s="489"/>
      <c r="R662" s="490"/>
      <c r="S662" s="489"/>
      <c r="T662" s="488" t="s">
        <v>268</v>
      </c>
    </row>
    <row r="663" ht="34.5">
      <c r="A663" s="488" t="s">
        <v>778</v>
      </c>
      <c r="B663" s="488" t="s">
        <v>779</v>
      </c>
      <c r="C663" s="488" t="s">
        <v>653</v>
      </c>
      <c r="D663" s="488" t="s">
        <v>263</v>
      </c>
      <c r="E663" s="488" t="s">
        <v>654</v>
      </c>
      <c r="F663" s="489" t="s">
        <v>655</v>
      </c>
      <c r="G663" s="488" t="s">
        <v>656</v>
      </c>
      <c r="H663" s="489"/>
      <c r="I663" s="489"/>
      <c r="J663" s="489" t="s">
        <v>907</v>
      </c>
      <c r="K663" s="491"/>
      <c r="L663" s="488"/>
      <c r="M663" s="488"/>
      <c r="N663" s="489"/>
      <c r="O663" s="489"/>
      <c r="P663" s="489"/>
      <c r="Q663" s="489"/>
      <c r="R663" s="490"/>
      <c r="S663" s="489"/>
      <c r="T663" s="488" t="s">
        <v>268</v>
      </c>
    </row>
    <row r="664" ht="34.5">
      <c r="A664" s="488" t="s">
        <v>778</v>
      </c>
      <c r="B664" s="488" t="s">
        <v>779</v>
      </c>
      <c r="C664" s="488" t="s">
        <v>653</v>
      </c>
      <c r="D664" s="488" t="s">
        <v>263</v>
      </c>
      <c r="E664" s="488" t="s">
        <v>654</v>
      </c>
      <c r="F664" s="489" t="s">
        <v>655</v>
      </c>
      <c r="G664" s="488" t="s">
        <v>656</v>
      </c>
      <c r="H664" s="489"/>
      <c r="I664" s="489"/>
      <c r="J664" s="489" t="s">
        <v>908</v>
      </c>
      <c r="K664" s="491"/>
      <c r="L664" s="488"/>
      <c r="M664" s="488"/>
      <c r="N664" s="489"/>
      <c r="O664" s="489"/>
      <c r="P664" s="489"/>
      <c r="Q664" s="489"/>
      <c r="R664" s="490"/>
      <c r="S664" s="489"/>
      <c r="T664" s="488" t="s">
        <v>268</v>
      </c>
    </row>
    <row r="665" ht="34.5">
      <c r="A665" s="488" t="s">
        <v>778</v>
      </c>
      <c r="B665" s="488" t="s">
        <v>779</v>
      </c>
      <c r="C665" s="488" t="s">
        <v>653</v>
      </c>
      <c r="D665" s="488" t="s">
        <v>263</v>
      </c>
      <c r="E665" s="488" t="s">
        <v>654</v>
      </c>
      <c r="F665" s="489" t="s">
        <v>655</v>
      </c>
      <c r="G665" s="488" t="s">
        <v>656</v>
      </c>
      <c r="H665" s="489"/>
      <c r="I665" s="489"/>
      <c r="J665" s="489" t="s">
        <v>660</v>
      </c>
      <c r="K665" s="491"/>
      <c r="L665" s="488"/>
      <c r="M665" s="488"/>
      <c r="N665" s="489"/>
      <c r="O665" s="489"/>
      <c r="P665" s="489"/>
      <c r="Q665" s="489"/>
      <c r="R665" s="490"/>
      <c r="S665" s="489"/>
      <c r="T665" s="488" t="s">
        <v>268</v>
      </c>
    </row>
    <row r="666" ht="34.5">
      <c r="A666" s="488" t="s">
        <v>778</v>
      </c>
      <c r="B666" s="488" t="s">
        <v>779</v>
      </c>
      <c r="C666" s="488" t="s">
        <v>653</v>
      </c>
      <c r="D666" s="488" t="s">
        <v>263</v>
      </c>
      <c r="E666" s="488" t="s">
        <v>654</v>
      </c>
      <c r="F666" s="489" t="s">
        <v>655</v>
      </c>
      <c r="G666" s="488" t="s">
        <v>656</v>
      </c>
      <c r="H666" s="489"/>
      <c r="I666" s="489"/>
      <c r="J666" s="489" t="s">
        <v>909</v>
      </c>
      <c r="K666" s="491"/>
      <c r="L666" s="488"/>
      <c r="M666" s="488"/>
      <c r="N666" s="489"/>
      <c r="O666" s="489"/>
      <c r="P666" s="489"/>
      <c r="Q666" s="489"/>
      <c r="R666" s="490"/>
      <c r="S666" s="489"/>
      <c r="T666" s="488" t="s">
        <v>268</v>
      </c>
    </row>
    <row r="667" ht="34.5">
      <c r="A667" s="488" t="s">
        <v>778</v>
      </c>
      <c r="B667" s="488" t="s">
        <v>779</v>
      </c>
      <c r="C667" s="488" t="s">
        <v>653</v>
      </c>
      <c r="D667" s="488" t="s">
        <v>263</v>
      </c>
      <c r="E667" s="488" t="s">
        <v>654</v>
      </c>
      <c r="F667" s="489" t="s">
        <v>655</v>
      </c>
      <c r="G667" s="488" t="s">
        <v>656</v>
      </c>
      <c r="H667" s="489"/>
      <c r="I667" s="489"/>
      <c r="J667" s="489" t="s">
        <v>910</v>
      </c>
      <c r="K667" s="491"/>
      <c r="L667" s="488"/>
      <c r="M667" s="488"/>
      <c r="N667" s="489"/>
      <c r="O667" s="489"/>
      <c r="P667" s="489"/>
      <c r="Q667" s="489"/>
      <c r="R667" s="490"/>
      <c r="S667" s="489"/>
      <c r="T667" s="488" t="s">
        <v>268</v>
      </c>
    </row>
    <row r="668" ht="34.5">
      <c r="A668" s="488" t="s">
        <v>778</v>
      </c>
      <c r="B668" s="488" t="s">
        <v>779</v>
      </c>
      <c r="C668" s="488" t="s">
        <v>663</v>
      </c>
      <c r="D668" s="488" t="s">
        <v>263</v>
      </c>
      <c r="E668" s="488" t="s">
        <v>654</v>
      </c>
      <c r="F668" s="489" t="s">
        <v>664</v>
      </c>
      <c r="G668" s="488" t="s">
        <v>656</v>
      </c>
      <c r="H668" s="489"/>
      <c r="I668" s="489"/>
      <c r="J668" s="489" t="s">
        <v>665</v>
      </c>
      <c r="K668" s="491"/>
      <c r="L668" s="488"/>
      <c r="M668" s="488"/>
      <c r="N668" s="489"/>
      <c r="O668" s="489"/>
      <c r="P668" s="489"/>
      <c r="Q668" s="489"/>
      <c r="R668" s="490"/>
      <c r="S668" s="489"/>
      <c r="T668" s="488" t="s">
        <v>268</v>
      </c>
    </row>
    <row r="669" ht="34.5">
      <c r="A669" s="488" t="s">
        <v>778</v>
      </c>
      <c r="B669" s="488" t="s">
        <v>779</v>
      </c>
      <c r="C669" s="488" t="s">
        <v>663</v>
      </c>
      <c r="D669" s="488" t="s">
        <v>263</v>
      </c>
      <c r="E669" s="488" t="s">
        <v>654</v>
      </c>
      <c r="F669" s="489" t="s">
        <v>664</v>
      </c>
      <c r="G669" s="488" t="s">
        <v>656</v>
      </c>
      <c r="H669" s="489"/>
      <c r="I669" s="489"/>
      <c r="J669" s="489" t="s">
        <v>911</v>
      </c>
      <c r="K669" s="491">
        <v>11177428</v>
      </c>
      <c r="L669" s="488" t="s">
        <v>429</v>
      </c>
      <c r="M669" s="488"/>
      <c r="N669" s="489"/>
      <c r="O669" s="489"/>
      <c r="P669" s="489"/>
      <c r="Q669" s="489"/>
      <c r="R669" s="490"/>
      <c r="S669" s="489"/>
      <c r="T669" s="488" t="s">
        <v>268</v>
      </c>
    </row>
    <row r="670" ht="34.5">
      <c r="A670" s="488" t="s">
        <v>778</v>
      </c>
      <c r="B670" s="488" t="s">
        <v>779</v>
      </c>
      <c r="C670" s="488" t="s">
        <v>663</v>
      </c>
      <c r="D670" s="488" t="s">
        <v>263</v>
      </c>
      <c r="E670" s="488" t="s">
        <v>654</v>
      </c>
      <c r="F670" s="489" t="s">
        <v>664</v>
      </c>
      <c r="G670" s="488" t="s">
        <v>656</v>
      </c>
      <c r="H670" s="489"/>
      <c r="I670" s="489"/>
      <c r="J670" s="489" t="s">
        <v>912</v>
      </c>
      <c r="K670" s="491"/>
      <c r="L670" s="488"/>
      <c r="M670" s="488"/>
      <c r="N670" s="489"/>
      <c r="O670" s="489"/>
      <c r="P670" s="489"/>
      <c r="Q670" s="489"/>
      <c r="R670" s="490"/>
      <c r="S670" s="489"/>
      <c r="T670" s="488" t="s">
        <v>268</v>
      </c>
    </row>
    <row r="671" ht="34.5">
      <c r="A671" s="488" t="s">
        <v>778</v>
      </c>
      <c r="B671" s="488" t="s">
        <v>779</v>
      </c>
      <c r="C671" s="488" t="s">
        <v>669</v>
      </c>
      <c r="D671" s="488" t="s">
        <v>263</v>
      </c>
      <c r="E671" s="488" t="s">
        <v>654</v>
      </c>
      <c r="F671" s="489" t="s">
        <v>664</v>
      </c>
      <c r="G671" s="488" t="s">
        <v>656</v>
      </c>
      <c r="H671" s="489"/>
      <c r="I671" s="489"/>
      <c r="J671" s="489" t="s">
        <v>913</v>
      </c>
      <c r="K671" s="491"/>
      <c r="L671" s="488"/>
      <c r="M671" s="488"/>
      <c r="N671" s="489"/>
      <c r="O671" s="489"/>
      <c r="P671" s="489"/>
      <c r="Q671" s="489"/>
      <c r="R671" s="490"/>
      <c r="S671" s="489"/>
      <c r="T671" s="488" t="s">
        <v>268</v>
      </c>
    </row>
    <row r="672" ht="34.5">
      <c r="A672" s="488" t="s">
        <v>778</v>
      </c>
      <c r="B672" s="488" t="s">
        <v>779</v>
      </c>
      <c r="C672" s="488" t="s">
        <v>669</v>
      </c>
      <c r="D672" s="488" t="s">
        <v>263</v>
      </c>
      <c r="E672" s="488" t="s">
        <v>654</v>
      </c>
      <c r="F672" s="489" t="s">
        <v>664</v>
      </c>
      <c r="G672" s="488" t="s">
        <v>656</v>
      </c>
      <c r="H672" s="489"/>
      <c r="I672" s="489"/>
      <c r="J672" s="489" t="s">
        <v>914</v>
      </c>
      <c r="K672" s="491">
        <v>140101</v>
      </c>
      <c r="L672" s="488" t="s">
        <v>429</v>
      </c>
      <c r="M672" s="488"/>
      <c r="N672" s="489"/>
      <c r="O672" s="489"/>
      <c r="P672" s="489"/>
      <c r="Q672" s="489"/>
      <c r="R672" s="490"/>
      <c r="S672" s="489"/>
      <c r="T672" s="488" t="s">
        <v>268</v>
      </c>
    </row>
    <row r="673" ht="34.5">
      <c r="A673" s="488" t="s">
        <v>778</v>
      </c>
      <c r="B673" s="488" t="s">
        <v>779</v>
      </c>
      <c r="C673" s="488" t="s">
        <v>669</v>
      </c>
      <c r="D673" s="488" t="s">
        <v>263</v>
      </c>
      <c r="E673" s="488" t="s">
        <v>654</v>
      </c>
      <c r="F673" s="489" t="s">
        <v>664</v>
      </c>
      <c r="G673" s="488" t="s">
        <v>656</v>
      </c>
      <c r="H673" s="489"/>
      <c r="I673" s="489"/>
      <c r="J673" s="489" t="s">
        <v>915</v>
      </c>
      <c r="K673" s="491"/>
      <c r="L673" s="488"/>
      <c r="M673" s="488"/>
      <c r="N673" s="489"/>
      <c r="O673" s="489"/>
      <c r="P673" s="489"/>
      <c r="Q673" s="489"/>
      <c r="R673" s="490"/>
      <c r="S673" s="489"/>
      <c r="T673" s="488" t="s">
        <v>268</v>
      </c>
    </row>
    <row r="674" ht="34.5">
      <c r="A674" s="488" t="s">
        <v>778</v>
      </c>
      <c r="B674" s="488" t="s">
        <v>779</v>
      </c>
      <c r="C674" s="488" t="s">
        <v>669</v>
      </c>
      <c r="D674" s="488" t="s">
        <v>263</v>
      </c>
      <c r="E674" s="488" t="s">
        <v>654</v>
      </c>
      <c r="F674" s="489" t="s">
        <v>664</v>
      </c>
      <c r="G674" s="488" t="s">
        <v>656</v>
      </c>
      <c r="H674" s="489"/>
      <c r="I674" s="489"/>
      <c r="J674" s="489" t="s">
        <v>671</v>
      </c>
      <c r="K674" s="491"/>
      <c r="L674" s="488"/>
      <c r="M674" s="488"/>
      <c r="N674" s="489"/>
      <c r="O674" s="489"/>
      <c r="P674" s="489"/>
      <c r="Q674" s="489"/>
      <c r="R674" s="490"/>
      <c r="S674" s="489"/>
      <c r="T674" s="488" t="s">
        <v>268</v>
      </c>
    </row>
    <row r="675" ht="34.5">
      <c r="A675" s="488" t="s">
        <v>778</v>
      </c>
      <c r="B675" s="488" t="s">
        <v>779</v>
      </c>
      <c r="C675" s="488" t="s">
        <v>669</v>
      </c>
      <c r="D675" s="488" t="s">
        <v>263</v>
      </c>
      <c r="E675" s="488" t="s">
        <v>654</v>
      </c>
      <c r="F675" s="489" t="s">
        <v>664</v>
      </c>
      <c r="G675" s="488" t="s">
        <v>656</v>
      </c>
      <c r="H675" s="489"/>
      <c r="I675" s="489"/>
      <c r="J675" s="489" t="s">
        <v>672</v>
      </c>
      <c r="K675" s="491"/>
      <c r="L675" s="488"/>
      <c r="M675" s="488"/>
      <c r="N675" s="489"/>
      <c r="O675" s="489"/>
      <c r="P675" s="489"/>
      <c r="Q675" s="489"/>
      <c r="R675" s="490"/>
      <c r="S675" s="489"/>
      <c r="T675" s="488" t="s">
        <v>268</v>
      </c>
    </row>
    <row r="676" ht="34.5">
      <c r="A676" s="488" t="s">
        <v>778</v>
      </c>
      <c r="B676" s="488" t="s">
        <v>779</v>
      </c>
      <c r="C676" s="488" t="s">
        <v>669</v>
      </c>
      <c r="D676" s="488" t="s">
        <v>263</v>
      </c>
      <c r="E676" s="488" t="s">
        <v>654</v>
      </c>
      <c r="F676" s="489" t="s">
        <v>664</v>
      </c>
      <c r="G676" s="488" t="s">
        <v>656</v>
      </c>
      <c r="H676" s="489"/>
      <c r="I676" s="489"/>
      <c r="J676" s="489" t="s">
        <v>673</v>
      </c>
      <c r="K676" s="491"/>
      <c r="L676" s="488"/>
      <c r="M676" s="488"/>
      <c r="N676" s="489"/>
      <c r="O676" s="489"/>
      <c r="P676" s="489"/>
      <c r="Q676" s="489"/>
      <c r="R676" s="490"/>
      <c r="S676" s="489"/>
      <c r="T676" s="488" t="s">
        <v>268</v>
      </c>
    </row>
    <row r="677" ht="34.5">
      <c r="A677" s="488" t="s">
        <v>778</v>
      </c>
      <c r="B677" s="488" t="s">
        <v>779</v>
      </c>
      <c r="C677" s="488" t="s">
        <v>669</v>
      </c>
      <c r="D677" s="488" t="s">
        <v>263</v>
      </c>
      <c r="E677" s="488" t="s">
        <v>654</v>
      </c>
      <c r="F677" s="489" t="s">
        <v>664</v>
      </c>
      <c r="G677" s="488" t="s">
        <v>656</v>
      </c>
      <c r="H677" s="489"/>
      <c r="I677" s="489"/>
      <c r="J677" s="489" t="s">
        <v>916</v>
      </c>
      <c r="K677" s="491">
        <v>1630512</v>
      </c>
      <c r="L677" s="488" t="s">
        <v>429</v>
      </c>
      <c r="M677" s="488"/>
      <c r="N677" s="489"/>
      <c r="O677" s="489"/>
      <c r="P677" s="489"/>
      <c r="Q677" s="489"/>
      <c r="R677" s="490"/>
      <c r="S677" s="489"/>
      <c r="T677" s="488" t="s">
        <v>268</v>
      </c>
    </row>
    <row r="678" ht="34.5">
      <c r="A678" s="488" t="s">
        <v>778</v>
      </c>
      <c r="B678" s="488" t="s">
        <v>779</v>
      </c>
      <c r="C678" s="488" t="s">
        <v>676</v>
      </c>
      <c r="D678" s="488" t="s">
        <v>263</v>
      </c>
      <c r="E678" s="488" t="s">
        <v>654</v>
      </c>
      <c r="F678" s="489" t="s">
        <v>664</v>
      </c>
      <c r="G678" s="488" t="s">
        <v>656</v>
      </c>
      <c r="H678" s="489"/>
      <c r="I678" s="489"/>
      <c r="J678" s="489" t="s">
        <v>677</v>
      </c>
      <c r="K678" s="491"/>
      <c r="L678" s="488"/>
      <c r="M678" s="488"/>
      <c r="N678" s="489"/>
      <c r="O678" s="489"/>
      <c r="P678" s="489"/>
      <c r="Q678" s="489"/>
      <c r="R678" s="490"/>
      <c r="S678" s="489"/>
      <c r="T678" s="488" t="s">
        <v>268</v>
      </c>
    </row>
    <row r="679" ht="34.5">
      <c r="A679" s="488" t="s">
        <v>778</v>
      </c>
      <c r="B679" s="488" t="s">
        <v>779</v>
      </c>
      <c r="C679" s="488" t="s">
        <v>676</v>
      </c>
      <c r="D679" s="488" t="s">
        <v>263</v>
      </c>
      <c r="E679" s="488" t="s">
        <v>654</v>
      </c>
      <c r="F679" s="489" t="s">
        <v>664</v>
      </c>
      <c r="G679" s="488" t="s">
        <v>656</v>
      </c>
      <c r="H679" s="489"/>
      <c r="I679" s="489"/>
      <c r="J679" s="489" t="s">
        <v>679</v>
      </c>
      <c r="K679" s="491">
        <v>11644308</v>
      </c>
      <c r="L679" s="488" t="s">
        <v>429</v>
      </c>
      <c r="M679" s="488"/>
      <c r="N679" s="489"/>
      <c r="O679" s="489"/>
      <c r="P679" s="489"/>
      <c r="Q679" s="489"/>
      <c r="R679" s="490"/>
      <c r="S679" s="489"/>
      <c r="T679" s="488" t="s">
        <v>268</v>
      </c>
    </row>
    <row r="680" ht="34.5">
      <c r="A680" s="488" t="s">
        <v>778</v>
      </c>
      <c r="B680" s="488" t="s">
        <v>779</v>
      </c>
      <c r="C680" s="488" t="s">
        <v>676</v>
      </c>
      <c r="D680" s="488" t="s">
        <v>263</v>
      </c>
      <c r="E680" s="488" t="s">
        <v>654</v>
      </c>
      <c r="F680" s="489" t="s">
        <v>664</v>
      </c>
      <c r="G680" s="488" t="s">
        <v>656</v>
      </c>
      <c r="H680" s="489"/>
      <c r="I680" s="489"/>
      <c r="J680" s="489" t="s">
        <v>680</v>
      </c>
      <c r="K680" s="491">
        <v>45000000</v>
      </c>
      <c r="L680" s="488" t="s">
        <v>429</v>
      </c>
      <c r="M680" s="488"/>
      <c r="N680" s="489"/>
      <c r="O680" s="489"/>
      <c r="P680" s="489"/>
      <c r="Q680" s="489"/>
      <c r="R680" s="490"/>
      <c r="S680" s="489"/>
      <c r="T680" s="488" t="s">
        <v>268</v>
      </c>
    </row>
    <row r="681" ht="34.5">
      <c r="A681" s="488" t="s">
        <v>778</v>
      </c>
      <c r="B681" s="488" t="s">
        <v>779</v>
      </c>
      <c r="C681" s="488" t="s">
        <v>676</v>
      </c>
      <c r="D681" s="488" t="s">
        <v>263</v>
      </c>
      <c r="E681" s="488" t="s">
        <v>654</v>
      </c>
      <c r="F681" s="489" t="s">
        <v>664</v>
      </c>
      <c r="G681" s="488" t="s">
        <v>656</v>
      </c>
      <c r="H681" s="489"/>
      <c r="I681" s="489"/>
      <c r="J681" s="489" t="s">
        <v>917</v>
      </c>
      <c r="K681" s="491"/>
      <c r="L681" s="488"/>
      <c r="M681" s="488"/>
      <c r="N681" s="489"/>
      <c r="O681" s="489"/>
      <c r="P681" s="489"/>
      <c r="Q681" s="489"/>
      <c r="R681" s="490"/>
      <c r="S681" s="489"/>
      <c r="T681" s="488" t="s">
        <v>268</v>
      </c>
    </row>
    <row r="682" ht="34.5">
      <c r="A682" s="488" t="s">
        <v>778</v>
      </c>
      <c r="B682" s="488" t="s">
        <v>779</v>
      </c>
      <c r="C682" s="488" t="s">
        <v>676</v>
      </c>
      <c r="D682" s="488" t="s">
        <v>263</v>
      </c>
      <c r="E682" s="488" t="s">
        <v>654</v>
      </c>
      <c r="F682" s="489" t="s">
        <v>664</v>
      </c>
      <c r="G682" s="488" t="s">
        <v>656</v>
      </c>
      <c r="H682" s="489"/>
      <c r="I682" s="489"/>
      <c r="J682" s="489" t="s">
        <v>918</v>
      </c>
      <c r="K682" s="491"/>
      <c r="L682" s="488"/>
      <c r="M682" s="488"/>
      <c r="N682" s="489"/>
      <c r="O682" s="489"/>
      <c r="P682" s="489"/>
      <c r="Q682" s="489"/>
      <c r="R682" s="490"/>
      <c r="S682" s="489"/>
      <c r="T682" s="488" t="s">
        <v>268</v>
      </c>
    </row>
    <row r="683" ht="34.5">
      <c r="A683" s="488" t="s">
        <v>778</v>
      </c>
      <c r="B683" s="488" t="s">
        <v>779</v>
      </c>
      <c r="C683" s="488" t="s">
        <v>683</v>
      </c>
      <c r="D683" s="488" t="s">
        <v>263</v>
      </c>
      <c r="E683" s="488" t="s">
        <v>654</v>
      </c>
      <c r="F683" s="489" t="s">
        <v>664</v>
      </c>
      <c r="G683" s="488" t="s">
        <v>656</v>
      </c>
      <c r="H683" s="489"/>
      <c r="I683" s="489"/>
      <c r="J683" s="489" t="s">
        <v>919</v>
      </c>
      <c r="K683" s="491"/>
      <c r="L683" s="488"/>
      <c r="M683" s="488"/>
      <c r="N683" s="489"/>
      <c r="O683" s="489"/>
      <c r="P683" s="489"/>
      <c r="Q683" s="489"/>
      <c r="R683" s="490"/>
      <c r="S683" s="489"/>
      <c r="T683" s="488" t="s">
        <v>268</v>
      </c>
    </row>
    <row r="684" ht="34.5">
      <c r="A684" s="488" t="s">
        <v>778</v>
      </c>
      <c r="B684" s="488" t="s">
        <v>779</v>
      </c>
      <c r="C684" s="488" t="s">
        <v>683</v>
      </c>
      <c r="D684" s="488" t="s">
        <v>263</v>
      </c>
      <c r="E684" s="488" t="s">
        <v>654</v>
      </c>
      <c r="F684" s="489" t="s">
        <v>664</v>
      </c>
      <c r="G684" s="488" t="s">
        <v>656</v>
      </c>
      <c r="H684" s="489"/>
      <c r="I684" s="489"/>
      <c r="J684" s="489" t="s">
        <v>920</v>
      </c>
      <c r="K684" s="491">
        <v>10209859</v>
      </c>
      <c r="L684" s="488" t="s">
        <v>429</v>
      </c>
      <c r="M684" s="488"/>
      <c r="N684" s="489"/>
      <c r="O684" s="489"/>
      <c r="P684" s="489"/>
      <c r="Q684" s="489"/>
      <c r="R684" s="490"/>
      <c r="S684" s="489"/>
      <c r="T684" s="488" t="s">
        <v>268</v>
      </c>
    </row>
    <row r="685" ht="34.5">
      <c r="A685" s="488" t="s">
        <v>778</v>
      </c>
      <c r="B685" s="488" t="s">
        <v>779</v>
      </c>
      <c r="C685" s="488" t="s">
        <v>689</v>
      </c>
      <c r="D685" s="488" t="s">
        <v>263</v>
      </c>
      <c r="E685" s="488" t="s">
        <v>654</v>
      </c>
      <c r="F685" s="489" t="s">
        <v>664</v>
      </c>
      <c r="G685" s="488" t="s">
        <v>656</v>
      </c>
      <c r="H685" s="489"/>
      <c r="I685" s="489"/>
      <c r="J685" s="489" t="s">
        <v>921</v>
      </c>
      <c r="K685" s="491"/>
      <c r="L685" s="488"/>
      <c r="M685" s="488"/>
      <c r="N685" s="489"/>
      <c r="O685" s="489"/>
      <c r="P685" s="489"/>
      <c r="Q685" s="489"/>
      <c r="R685" s="490"/>
      <c r="S685" s="489"/>
      <c r="T685" s="488" t="s">
        <v>268</v>
      </c>
    </row>
    <row r="686" ht="34.5">
      <c r="A686" s="488" t="s">
        <v>778</v>
      </c>
      <c r="B686" s="488" t="s">
        <v>779</v>
      </c>
      <c r="C686" s="488" t="s">
        <v>693</v>
      </c>
      <c r="D686" s="488" t="s">
        <v>263</v>
      </c>
      <c r="E686" s="488" t="s">
        <v>654</v>
      </c>
      <c r="F686" s="489" t="s">
        <v>664</v>
      </c>
      <c r="G686" s="488" t="s">
        <v>656</v>
      </c>
      <c r="H686" s="489"/>
      <c r="I686" s="489"/>
      <c r="J686" s="489" t="s">
        <v>700</v>
      </c>
      <c r="K686" s="491"/>
      <c r="L686" s="488"/>
      <c r="M686" s="488"/>
      <c r="N686" s="489"/>
      <c r="O686" s="489"/>
      <c r="P686" s="489"/>
      <c r="Q686" s="489"/>
      <c r="R686" s="490"/>
      <c r="S686" s="489"/>
      <c r="T686" s="488" t="s">
        <v>268</v>
      </c>
    </row>
    <row r="687" ht="34.5">
      <c r="A687" s="488" t="s">
        <v>778</v>
      </c>
      <c r="B687" s="488" t="s">
        <v>779</v>
      </c>
      <c r="C687" s="488" t="s">
        <v>697</v>
      </c>
      <c r="D687" s="488" t="s">
        <v>263</v>
      </c>
      <c r="E687" s="488" t="s">
        <v>654</v>
      </c>
      <c r="F687" s="489" t="s">
        <v>664</v>
      </c>
      <c r="G687" s="488" t="s">
        <v>656</v>
      </c>
      <c r="H687" s="489"/>
      <c r="I687" s="489"/>
      <c r="J687" s="489" t="s">
        <v>702</v>
      </c>
      <c r="K687" s="491"/>
      <c r="L687" s="488"/>
      <c r="M687" s="488"/>
      <c r="N687" s="489"/>
      <c r="O687" s="489"/>
      <c r="P687" s="489"/>
      <c r="Q687" s="489"/>
      <c r="R687" s="490"/>
      <c r="S687" s="489"/>
      <c r="T687" s="488" t="s">
        <v>268</v>
      </c>
    </row>
    <row r="688" ht="34.5">
      <c r="A688" s="488" t="s">
        <v>778</v>
      </c>
      <c r="B688" s="488" t="s">
        <v>779</v>
      </c>
      <c r="C688" s="488" t="s">
        <v>699</v>
      </c>
      <c r="D688" s="488" t="s">
        <v>263</v>
      </c>
      <c r="E688" s="488" t="s">
        <v>654</v>
      </c>
      <c r="F688" s="489" t="s">
        <v>664</v>
      </c>
      <c r="G688" s="488" t="s">
        <v>656</v>
      </c>
      <c r="H688" s="489"/>
      <c r="I688" s="489"/>
      <c r="J688" s="489" t="s">
        <v>922</v>
      </c>
      <c r="K688" s="491"/>
      <c r="L688" s="488"/>
      <c r="M688" s="488"/>
      <c r="N688" s="489"/>
      <c r="O688" s="489"/>
      <c r="P688" s="489"/>
      <c r="Q688" s="489"/>
      <c r="R688" s="490"/>
      <c r="S688" s="489"/>
      <c r="T688" s="488" t="s">
        <v>268</v>
      </c>
    </row>
    <row r="689" ht="34.5">
      <c r="A689" s="488" t="s">
        <v>778</v>
      </c>
      <c r="B689" s="488" t="s">
        <v>779</v>
      </c>
      <c r="C689" s="488" t="s">
        <v>701</v>
      </c>
      <c r="D689" s="488" t="s">
        <v>263</v>
      </c>
      <c r="E689" s="488" t="s">
        <v>654</v>
      </c>
      <c r="F689" s="489" t="s">
        <v>664</v>
      </c>
      <c r="G689" s="488" t="s">
        <v>656</v>
      </c>
      <c r="H689" s="489"/>
      <c r="I689" s="489"/>
      <c r="J689" s="489" t="s">
        <v>690</v>
      </c>
      <c r="K689" s="491"/>
      <c r="L689" s="488"/>
      <c r="M689" s="488"/>
      <c r="N689" s="489"/>
      <c r="O689" s="489"/>
      <c r="P689" s="489"/>
      <c r="Q689" s="489"/>
      <c r="R689" s="490"/>
      <c r="S689" s="489"/>
      <c r="T689" s="488" t="s">
        <v>268</v>
      </c>
    </row>
    <row r="690" ht="34.5">
      <c r="A690" s="488" t="s">
        <v>778</v>
      </c>
      <c r="B690" s="488" t="s">
        <v>779</v>
      </c>
      <c r="C690" s="488" t="s">
        <v>701</v>
      </c>
      <c r="D690" s="488" t="s">
        <v>263</v>
      </c>
      <c r="E690" s="488" t="s">
        <v>654</v>
      </c>
      <c r="F690" s="489" t="s">
        <v>664</v>
      </c>
      <c r="G690" s="488" t="s">
        <v>656</v>
      </c>
      <c r="H690" s="489"/>
      <c r="I690" s="489"/>
      <c r="J690" s="489" t="s">
        <v>923</v>
      </c>
      <c r="K690" s="491"/>
      <c r="L690" s="488"/>
      <c r="M690" s="488"/>
      <c r="N690" s="489"/>
      <c r="O690" s="489"/>
      <c r="P690" s="489"/>
      <c r="Q690" s="489"/>
      <c r="R690" s="490"/>
      <c r="S690" s="489"/>
      <c r="T690" s="488" t="s">
        <v>268</v>
      </c>
    </row>
    <row r="691" ht="34.5">
      <c r="A691" s="488" t="s">
        <v>778</v>
      </c>
      <c r="B691" s="488" t="s">
        <v>779</v>
      </c>
      <c r="C691" s="488" t="s">
        <v>701</v>
      </c>
      <c r="D691" s="488" t="s">
        <v>263</v>
      </c>
      <c r="E691" s="488" t="s">
        <v>654</v>
      </c>
      <c r="F691" s="489" t="s">
        <v>664</v>
      </c>
      <c r="G691" s="488" t="s">
        <v>656</v>
      </c>
      <c r="H691" s="489"/>
      <c r="I691" s="489"/>
      <c r="J691" s="489" t="s">
        <v>924</v>
      </c>
      <c r="K691" s="491"/>
      <c r="L691" s="488"/>
      <c r="M691" s="488"/>
      <c r="N691" s="489"/>
      <c r="O691" s="489"/>
      <c r="P691" s="489"/>
      <c r="Q691" s="489"/>
      <c r="R691" s="490"/>
      <c r="S691" s="489"/>
      <c r="T691" s="488" t="s">
        <v>268</v>
      </c>
    </row>
    <row r="692" ht="34.5">
      <c r="A692" s="488" t="s">
        <v>778</v>
      </c>
      <c r="B692" s="488" t="s">
        <v>779</v>
      </c>
      <c r="C692" s="488" t="s">
        <v>701</v>
      </c>
      <c r="D692" s="488" t="s">
        <v>263</v>
      </c>
      <c r="E692" s="488" t="s">
        <v>654</v>
      </c>
      <c r="F692" s="489" t="s">
        <v>664</v>
      </c>
      <c r="G692" s="488" t="s">
        <v>656</v>
      </c>
      <c r="H692" s="489"/>
      <c r="I692" s="489"/>
      <c r="J692" s="489" t="s">
        <v>925</v>
      </c>
      <c r="K692" s="491"/>
      <c r="L692" s="488"/>
      <c r="M692" s="488"/>
      <c r="N692" s="489"/>
      <c r="O692" s="489"/>
      <c r="P692" s="489"/>
      <c r="Q692" s="489"/>
      <c r="R692" s="490"/>
      <c r="S692" s="489"/>
      <c r="T692" s="488" t="s">
        <v>268</v>
      </c>
    </row>
    <row r="693" ht="34.5">
      <c r="A693" s="488" t="s">
        <v>778</v>
      </c>
      <c r="B693" s="488" t="s">
        <v>779</v>
      </c>
      <c r="C693" s="488" t="s">
        <v>701</v>
      </c>
      <c r="D693" s="488" t="s">
        <v>263</v>
      </c>
      <c r="E693" s="488" t="s">
        <v>654</v>
      </c>
      <c r="F693" s="489" t="s">
        <v>664</v>
      </c>
      <c r="G693" s="488" t="s">
        <v>656</v>
      </c>
      <c r="H693" s="489"/>
      <c r="I693" s="489"/>
      <c r="J693" s="489" t="s">
        <v>926</v>
      </c>
      <c r="K693" s="491"/>
      <c r="L693" s="488"/>
      <c r="M693" s="488"/>
      <c r="N693" s="489"/>
      <c r="O693" s="489"/>
      <c r="P693" s="489"/>
      <c r="Q693" s="489"/>
      <c r="R693" s="490"/>
      <c r="S693" s="489"/>
      <c r="T693" s="488" t="s">
        <v>268</v>
      </c>
    </row>
    <row r="694" ht="34.5">
      <c r="A694" s="488" t="s">
        <v>778</v>
      </c>
      <c r="B694" s="488" t="s">
        <v>779</v>
      </c>
      <c r="C694" s="488" t="s">
        <v>701</v>
      </c>
      <c r="D694" s="488" t="s">
        <v>263</v>
      </c>
      <c r="E694" s="488" t="s">
        <v>654</v>
      </c>
      <c r="F694" s="489" t="s">
        <v>664</v>
      </c>
      <c r="G694" s="488" t="s">
        <v>656</v>
      </c>
      <c r="H694" s="489"/>
      <c r="I694" s="489"/>
      <c r="J694" s="489" t="s">
        <v>927</v>
      </c>
      <c r="K694" s="491"/>
      <c r="L694" s="488"/>
      <c r="M694" s="488"/>
      <c r="N694" s="489"/>
      <c r="O694" s="489"/>
      <c r="P694" s="489"/>
      <c r="Q694" s="489"/>
      <c r="R694" s="490"/>
      <c r="S694" s="489"/>
      <c r="T694" s="488" t="s">
        <v>268</v>
      </c>
    </row>
    <row r="695" ht="34.5">
      <c r="A695" s="488" t="s">
        <v>778</v>
      </c>
      <c r="B695" s="488" t="s">
        <v>779</v>
      </c>
      <c r="C695" s="488" t="s">
        <v>701</v>
      </c>
      <c r="D695" s="488" t="s">
        <v>263</v>
      </c>
      <c r="E695" s="488" t="s">
        <v>654</v>
      </c>
      <c r="F695" s="489" t="s">
        <v>664</v>
      </c>
      <c r="G695" s="488" t="s">
        <v>656</v>
      </c>
      <c r="H695" s="489"/>
      <c r="I695" s="489"/>
      <c r="J695" s="489" t="s">
        <v>928</v>
      </c>
      <c r="K695" s="491"/>
      <c r="L695" s="488"/>
      <c r="M695" s="488"/>
      <c r="N695" s="489"/>
      <c r="O695" s="489"/>
      <c r="P695" s="489"/>
      <c r="Q695" s="489"/>
      <c r="R695" s="490"/>
      <c r="S695" s="489"/>
      <c r="T695" s="488" t="s">
        <v>268</v>
      </c>
    </row>
    <row r="696" ht="34.5">
      <c r="A696" s="488" t="s">
        <v>778</v>
      </c>
      <c r="B696" s="488" t="s">
        <v>779</v>
      </c>
      <c r="C696" s="488" t="s">
        <v>701</v>
      </c>
      <c r="D696" s="488" t="s">
        <v>263</v>
      </c>
      <c r="E696" s="488" t="s">
        <v>654</v>
      </c>
      <c r="F696" s="489" t="s">
        <v>664</v>
      </c>
      <c r="G696" s="488" t="s">
        <v>656</v>
      </c>
      <c r="H696" s="489"/>
      <c r="I696" s="489"/>
      <c r="J696" s="489" t="s">
        <v>929</v>
      </c>
      <c r="K696" s="491"/>
      <c r="L696" s="488"/>
      <c r="M696" s="488"/>
      <c r="N696" s="489"/>
      <c r="O696" s="489"/>
      <c r="P696" s="489"/>
      <c r="Q696" s="489"/>
      <c r="R696" s="490"/>
      <c r="S696" s="489"/>
      <c r="T696" s="488" t="s">
        <v>268</v>
      </c>
    </row>
    <row r="697" ht="34.5">
      <c r="A697" s="488" t="s">
        <v>778</v>
      </c>
      <c r="B697" s="488" t="s">
        <v>779</v>
      </c>
      <c r="C697" s="488" t="s">
        <v>701</v>
      </c>
      <c r="D697" s="488" t="s">
        <v>263</v>
      </c>
      <c r="E697" s="488" t="s">
        <v>654</v>
      </c>
      <c r="F697" s="489" t="s">
        <v>664</v>
      </c>
      <c r="G697" s="488" t="s">
        <v>656</v>
      </c>
      <c r="H697" s="489"/>
      <c r="I697" s="489"/>
      <c r="J697" s="489" t="s">
        <v>930</v>
      </c>
      <c r="K697" s="491"/>
      <c r="L697" s="488"/>
      <c r="M697" s="488"/>
      <c r="N697" s="489"/>
      <c r="O697" s="489"/>
      <c r="P697" s="489"/>
      <c r="Q697" s="489"/>
      <c r="R697" s="490"/>
      <c r="S697" s="489"/>
      <c r="T697" s="488" t="s">
        <v>268</v>
      </c>
    </row>
    <row r="698" ht="34.5">
      <c r="A698" s="488" t="s">
        <v>778</v>
      </c>
      <c r="B698" s="488" t="s">
        <v>779</v>
      </c>
      <c r="C698" s="488" t="s">
        <v>701</v>
      </c>
      <c r="D698" s="488" t="s">
        <v>263</v>
      </c>
      <c r="E698" s="488" t="s">
        <v>654</v>
      </c>
      <c r="F698" s="489" t="s">
        <v>664</v>
      </c>
      <c r="G698" s="488" t="s">
        <v>656</v>
      </c>
      <c r="H698" s="489"/>
      <c r="I698" s="489"/>
      <c r="J698" s="489" t="s">
        <v>931</v>
      </c>
      <c r="K698" s="491"/>
      <c r="L698" s="488"/>
      <c r="M698" s="488"/>
      <c r="N698" s="489"/>
      <c r="O698" s="489"/>
      <c r="P698" s="489"/>
      <c r="Q698" s="489"/>
      <c r="R698" s="490"/>
      <c r="S698" s="489"/>
      <c r="T698" s="488" t="s">
        <v>268</v>
      </c>
    </row>
    <row r="699" ht="34.5">
      <c r="A699" s="488" t="s">
        <v>778</v>
      </c>
      <c r="B699" s="488" t="s">
        <v>779</v>
      </c>
      <c r="C699" s="488" t="s">
        <v>701</v>
      </c>
      <c r="D699" s="488" t="s">
        <v>263</v>
      </c>
      <c r="E699" s="488" t="s">
        <v>654</v>
      </c>
      <c r="F699" s="489" t="s">
        <v>664</v>
      </c>
      <c r="G699" s="488" t="s">
        <v>656</v>
      </c>
      <c r="H699" s="489"/>
      <c r="I699" s="489"/>
      <c r="J699" s="489" t="s">
        <v>932</v>
      </c>
      <c r="K699" s="491"/>
      <c r="L699" s="488"/>
      <c r="M699" s="488"/>
      <c r="N699" s="489"/>
      <c r="O699" s="489"/>
      <c r="P699" s="489"/>
      <c r="Q699" s="489"/>
      <c r="R699" s="490"/>
      <c r="S699" s="489"/>
      <c r="T699" s="488" t="s">
        <v>268</v>
      </c>
    </row>
    <row r="700" ht="34.5">
      <c r="A700" s="488" t="s">
        <v>778</v>
      </c>
      <c r="B700" s="488" t="s">
        <v>779</v>
      </c>
      <c r="C700" s="488" t="s">
        <v>701</v>
      </c>
      <c r="D700" s="488" t="s">
        <v>263</v>
      </c>
      <c r="E700" s="488" t="s">
        <v>654</v>
      </c>
      <c r="F700" s="489" t="s">
        <v>664</v>
      </c>
      <c r="G700" s="488" t="s">
        <v>656</v>
      </c>
      <c r="H700" s="489"/>
      <c r="I700" s="489"/>
      <c r="J700" s="489" t="s">
        <v>933</v>
      </c>
      <c r="K700" s="491"/>
      <c r="L700" s="488"/>
      <c r="M700" s="488"/>
      <c r="N700" s="489"/>
      <c r="O700" s="489"/>
      <c r="P700" s="489"/>
      <c r="Q700" s="489"/>
      <c r="R700" s="490"/>
      <c r="S700" s="489"/>
      <c r="T700" s="488" t="s">
        <v>268</v>
      </c>
    </row>
    <row r="701" ht="34.5">
      <c r="A701" s="488" t="s">
        <v>778</v>
      </c>
      <c r="B701" s="488" t="s">
        <v>779</v>
      </c>
      <c r="C701" s="488" t="s">
        <v>701</v>
      </c>
      <c r="D701" s="488" t="s">
        <v>263</v>
      </c>
      <c r="E701" s="488" t="s">
        <v>654</v>
      </c>
      <c r="F701" s="489" t="s">
        <v>664</v>
      </c>
      <c r="G701" s="488" t="s">
        <v>656</v>
      </c>
      <c r="H701" s="489"/>
      <c r="I701" s="489"/>
      <c r="J701" s="489" t="s">
        <v>934</v>
      </c>
      <c r="K701" s="491"/>
      <c r="L701" s="488"/>
      <c r="M701" s="488"/>
      <c r="N701" s="489"/>
      <c r="O701" s="489"/>
      <c r="P701" s="489"/>
      <c r="Q701" s="489"/>
      <c r="R701" s="490"/>
      <c r="S701" s="489"/>
      <c r="T701" s="488" t="s">
        <v>268</v>
      </c>
    </row>
    <row r="702" ht="34.5">
      <c r="A702" s="488" t="s">
        <v>778</v>
      </c>
      <c r="B702" s="488" t="s">
        <v>779</v>
      </c>
      <c r="C702" s="488" t="s">
        <v>701</v>
      </c>
      <c r="D702" s="488" t="s">
        <v>263</v>
      </c>
      <c r="E702" s="488" t="s">
        <v>654</v>
      </c>
      <c r="F702" s="489" t="s">
        <v>664</v>
      </c>
      <c r="G702" s="488" t="s">
        <v>656</v>
      </c>
      <c r="H702" s="489"/>
      <c r="I702" s="489"/>
      <c r="J702" s="489" t="s">
        <v>935</v>
      </c>
      <c r="K702" s="491"/>
      <c r="L702" s="488"/>
      <c r="M702" s="488"/>
      <c r="N702" s="489"/>
      <c r="O702" s="489"/>
      <c r="P702" s="489"/>
      <c r="Q702" s="489"/>
      <c r="R702" s="490"/>
      <c r="S702" s="489"/>
      <c r="T702" s="488" t="s">
        <v>268</v>
      </c>
    </row>
    <row r="703" ht="34.5">
      <c r="A703" s="488" t="s">
        <v>778</v>
      </c>
      <c r="B703" s="488" t="s">
        <v>779</v>
      </c>
      <c r="C703" s="488" t="s">
        <v>701</v>
      </c>
      <c r="D703" s="488" t="s">
        <v>263</v>
      </c>
      <c r="E703" s="488" t="s">
        <v>654</v>
      </c>
      <c r="F703" s="489" t="s">
        <v>664</v>
      </c>
      <c r="G703" s="488" t="s">
        <v>656</v>
      </c>
      <c r="H703" s="489"/>
      <c r="I703" s="489"/>
      <c r="J703" s="489" t="s">
        <v>936</v>
      </c>
      <c r="K703" s="491"/>
      <c r="L703" s="488"/>
      <c r="M703" s="488"/>
      <c r="N703" s="489"/>
      <c r="O703" s="489"/>
      <c r="P703" s="489"/>
      <c r="Q703" s="489"/>
      <c r="R703" s="490"/>
      <c r="S703" s="489"/>
      <c r="T703" s="488" t="s">
        <v>268</v>
      </c>
    </row>
    <row r="704" ht="34.5">
      <c r="A704" s="488" t="s">
        <v>778</v>
      </c>
      <c r="B704" s="488" t="s">
        <v>779</v>
      </c>
      <c r="C704" s="488" t="s">
        <v>701</v>
      </c>
      <c r="D704" s="488" t="s">
        <v>263</v>
      </c>
      <c r="E704" s="488" t="s">
        <v>654</v>
      </c>
      <c r="F704" s="489" t="s">
        <v>664</v>
      </c>
      <c r="G704" s="488" t="s">
        <v>656</v>
      </c>
      <c r="H704" s="489"/>
      <c r="I704" s="489"/>
      <c r="J704" s="489" t="s">
        <v>937</v>
      </c>
      <c r="K704" s="491"/>
      <c r="L704" s="488"/>
      <c r="M704" s="488"/>
      <c r="N704" s="489"/>
      <c r="O704" s="489"/>
      <c r="P704" s="489"/>
      <c r="Q704" s="489"/>
      <c r="R704" s="490"/>
      <c r="S704" s="489"/>
      <c r="T704" s="488" t="s">
        <v>268</v>
      </c>
    </row>
    <row r="705" ht="34.5">
      <c r="A705" s="488" t="s">
        <v>778</v>
      </c>
      <c r="B705" s="488" t="s">
        <v>779</v>
      </c>
      <c r="C705" s="488" t="s">
        <v>703</v>
      </c>
      <c r="D705" s="488" t="s">
        <v>263</v>
      </c>
      <c r="E705" s="488" t="s">
        <v>654</v>
      </c>
      <c r="F705" s="489" t="s">
        <v>664</v>
      </c>
      <c r="G705" s="488" t="s">
        <v>656</v>
      </c>
      <c r="H705" s="489"/>
      <c r="I705" s="489"/>
      <c r="J705" s="489" t="s">
        <v>938</v>
      </c>
      <c r="K705" s="491"/>
      <c r="L705" s="488"/>
      <c r="M705" s="488"/>
      <c r="N705" s="489"/>
      <c r="O705" s="489"/>
      <c r="P705" s="489"/>
      <c r="Q705" s="489"/>
      <c r="R705" s="490"/>
      <c r="S705" s="489"/>
      <c r="T705" s="488" t="s">
        <v>268</v>
      </c>
    </row>
    <row r="706" ht="34.5">
      <c r="A706" s="488" t="s">
        <v>778</v>
      </c>
      <c r="B706" s="488" t="s">
        <v>779</v>
      </c>
      <c r="C706" s="488" t="s">
        <v>703</v>
      </c>
      <c r="D706" s="488" t="s">
        <v>263</v>
      </c>
      <c r="E706" s="488" t="s">
        <v>654</v>
      </c>
      <c r="F706" s="489" t="s">
        <v>664</v>
      </c>
      <c r="G706" s="488" t="s">
        <v>656</v>
      </c>
      <c r="H706" s="489"/>
      <c r="I706" s="489"/>
      <c r="J706" s="489" t="s">
        <v>939</v>
      </c>
      <c r="K706" s="491"/>
      <c r="L706" s="488"/>
      <c r="M706" s="488"/>
      <c r="N706" s="489"/>
      <c r="O706" s="489"/>
      <c r="P706" s="489"/>
      <c r="Q706" s="489"/>
      <c r="R706" s="490"/>
      <c r="S706" s="489"/>
      <c r="T706" s="488" t="s">
        <v>268</v>
      </c>
    </row>
    <row r="707" ht="34.5">
      <c r="A707" s="488" t="s">
        <v>778</v>
      </c>
      <c r="B707" s="488" t="s">
        <v>779</v>
      </c>
      <c r="C707" s="488" t="s">
        <v>703</v>
      </c>
      <c r="D707" s="488" t="s">
        <v>263</v>
      </c>
      <c r="E707" s="488" t="s">
        <v>654</v>
      </c>
      <c r="F707" s="489" t="s">
        <v>664</v>
      </c>
      <c r="G707" s="488" t="s">
        <v>656</v>
      </c>
      <c r="H707" s="489"/>
      <c r="I707" s="489"/>
      <c r="J707" s="489" t="s">
        <v>723</v>
      </c>
      <c r="K707" s="491"/>
      <c r="L707" s="488"/>
      <c r="M707" s="488"/>
      <c r="N707" s="489"/>
      <c r="O707" s="489"/>
      <c r="P707" s="489"/>
      <c r="Q707" s="489"/>
      <c r="R707" s="490"/>
      <c r="S707" s="489"/>
      <c r="T707" s="488" t="s">
        <v>268</v>
      </c>
    </row>
    <row r="708" ht="34.5">
      <c r="A708" s="488" t="s">
        <v>778</v>
      </c>
      <c r="B708" s="488" t="s">
        <v>779</v>
      </c>
      <c r="C708" s="488" t="s">
        <v>703</v>
      </c>
      <c r="D708" s="488" t="s">
        <v>263</v>
      </c>
      <c r="E708" s="488" t="s">
        <v>654</v>
      </c>
      <c r="F708" s="489" t="s">
        <v>664</v>
      </c>
      <c r="G708" s="488" t="s">
        <v>656</v>
      </c>
      <c r="H708" s="489"/>
      <c r="I708" s="489"/>
      <c r="J708" s="489" t="s">
        <v>940</v>
      </c>
      <c r="K708" s="491">
        <v>37673</v>
      </c>
      <c r="L708" s="488" t="s">
        <v>429</v>
      </c>
      <c r="M708" s="488"/>
      <c r="N708" s="489"/>
      <c r="O708" s="489"/>
      <c r="P708" s="489"/>
      <c r="Q708" s="489"/>
      <c r="R708" s="490"/>
      <c r="S708" s="489"/>
      <c r="T708" s="488" t="s">
        <v>268</v>
      </c>
    </row>
    <row r="709" ht="34.5">
      <c r="A709" s="488" t="s">
        <v>778</v>
      </c>
      <c r="B709" s="488" t="s">
        <v>779</v>
      </c>
      <c r="C709" s="488" t="s">
        <v>703</v>
      </c>
      <c r="D709" s="488" t="s">
        <v>263</v>
      </c>
      <c r="E709" s="488" t="s">
        <v>654</v>
      </c>
      <c r="F709" s="489" t="s">
        <v>664</v>
      </c>
      <c r="G709" s="488" t="s">
        <v>656</v>
      </c>
      <c r="H709" s="489"/>
      <c r="I709" s="489"/>
      <c r="J709" s="489" t="s">
        <v>941</v>
      </c>
      <c r="K709" s="491"/>
      <c r="L709" s="488"/>
      <c r="M709" s="488"/>
      <c r="N709" s="489"/>
      <c r="O709" s="489"/>
      <c r="P709" s="489"/>
      <c r="Q709" s="489"/>
      <c r="R709" s="490"/>
      <c r="S709" s="489"/>
      <c r="T709" s="488" t="s">
        <v>268</v>
      </c>
    </row>
    <row r="710" ht="34.5">
      <c r="A710" s="488" t="s">
        <v>778</v>
      </c>
      <c r="B710" s="488" t="s">
        <v>779</v>
      </c>
      <c r="C710" s="488" t="s">
        <v>703</v>
      </c>
      <c r="D710" s="488" t="s">
        <v>263</v>
      </c>
      <c r="E710" s="488" t="s">
        <v>654</v>
      </c>
      <c r="F710" s="489" t="s">
        <v>664</v>
      </c>
      <c r="G710" s="488" t="s">
        <v>656</v>
      </c>
      <c r="H710" s="489"/>
      <c r="I710" s="489"/>
      <c r="J710" s="489" t="s">
        <v>726</v>
      </c>
      <c r="K710" s="491"/>
      <c r="L710" s="488"/>
      <c r="M710" s="488"/>
      <c r="N710" s="489"/>
      <c r="O710" s="489"/>
      <c r="P710" s="489"/>
      <c r="Q710" s="489"/>
      <c r="R710" s="490"/>
      <c r="S710" s="489"/>
      <c r="T710" s="488" t="s">
        <v>268</v>
      </c>
    </row>
    <row r="711" ht="34.5">
      <c r="A711" s="488" t="s">
        <v>778</v>
      </c>
      <c r="B711" s="488" t="s">
        <v>779</v>
      </c>
      <c r="C711" s="488" t="s">
        <v>703</v>
      </c>
      <c r="D711" s="488" t="s">
        <v>263</v>
      </c>
      <c r="E711" s="488" t="s">
        <v>654</v>
      </c>
      <c r="F711" s="489" t="s">
        <v>664</v>
      </c>
      <c r="G711" s="488" t="s">
        <v>656</v>
      </c>
      <c r="H711" s="489"/>
      <c r="I711" s="489"/>
      <c r="J711" s="489" t="s">
        <v>942</v>
      </c>
      <c r="K711" s="491"/>
      <c r="L711" s="488"/>
      <c r="M711" s="488"/>
      <c r="N711" s="489"/>
      <c r="O711" s="489"/>
      <c r="P711" s="489"/>
      <c r="Q711" s="489"/>
      <c r="R711" s="490"/>
      <c r="S711" s="489"/>
      <c r="T711" s="488" t="s">
        <v>268</v>
      </c>
    </row>
    <row r="712" ht="34.5">
      <c r="A712" s="488" t="s">
        <v>778</v>
      </c>
      <c r="B712" s="488" t="s">
        <v>779</v>
      </c>
      <c r="C712" s="488" t="s">
        <v>703</v>
      </c>
      <c r="D712" s="488" t="s">
        <v>263</v>
      </c>
      <c r="E712" s="488" t="s">
        <v>654</v>
      </c>
      <c r="F712" s="489" t="s">
        <v>664</v>
      </c>
      <c r="G712" s="488" t="s">
        <v>656</v>
      </c>
      <c r="H712" s="489"/>
      <c r="I712" s="489"/>
      <c r="J712" s="489" t="s">
        <v>943</v>
      </c>
      <c r="K712" s="491"/>
      <c r="L712" s="488"/>
      <c r="M712" s="488"/>
      <c r="N712" s="489"/>
      <c r="O712" s="489"/>
      <c r="P712" s="489"/>
      <c r="Q712" s="489"/>
      <c r="R712" s="490"/>
      <c r="S712" s="489"/>
      <c r="T712" s="488" t="s">
        <v>268</v>
      </c>
    </row>
    <row r="713" ht="34.5">
      <c r="A713" s="488" t="s">
        <v>778</v>
      </c>
      <c r="B713" s="488" t="s">
        <v>779</v>
      </c>
      <c r="C713" s="488" t="s">
        <v>703</v>
      </c>
      <c r="D713" s="488" t="s">
        <v>263</v>
      </c>
      <c r="E713" s="488" t="s">
        <v>654</v>
      </c>
      <c r="F713" s="489" t="s">
        <v>664</v>
      </c>
      <c r="G713" s="488" t="s">
        <v>656</v>
      </c>
      <c r="H713" s="489"/>
      <c r="I713" s="489"/>
      <c r="J713" s="489" t="s">
        <v>944</v>
      </c>
      <c r="K713" s="491"/>
      <c r="L713" s="488"/>
      <c r="M713" s="488"/>
      <c r="N713" s="489"/>
      <c r="O713" s="489"/>
      <c r="P713" s="489"/>
      <c r="Q713" s="489"/>
      <c r="R713" s="490"/>
      <c r="S713" s="489"/>
      <c r="T713" s="488" t="s">
        <v>268</v>
      </c>
    </row>
    <row r="714" ht="34.5">
      <c r="A714" s="488" t="s">
        <v>778</v>
      </c>
      <c r="B714" s="488" t="s">
        <v>779</v>
      </c>
      <c r="C714" s="488" t="s">
        <v>703</v>
      </c>
      <c r="D714" s="488" t="s">
        <v>263</v>
      </c>
      <c r="E714" s="488" t="s">
        <v>654</v>
      </c>
      <c r="F714" s="489" t="s">
        <v>664</v>
      </c>
      <c r="G714" s="488" t="s">
        <v>656</v>
      </c>
      <c r="H714" s="489"/>
      <c r="I714" s="489"/>
      <c r="J714" s="489" t="s">
        <v>945</v>
      </c>
      <c r="K714" s="491"/>
      <c r="L714" s="488"/>
      <c r="M714" s="488"/>
      <c r="N714" s="489"/>
      <c r="O714" s="489"/>
      <c r="P714" s="489"/>
      <c r="Q714" s="489"/>
      <c r="R714" s="490"/>
      <c r="S714" s="489"/>
      <c r="T714" s="488" t="s">
        <v>268</v>
      </c>
    </row>
    <row r="715" ht="34.5">
      <c r="A715" s="488" t="s">
        <v>778</v>
      </c>
      <c r="B715" s="488" t="s">
        <v>779</v>
      </c>
      <c r="C715" s="488" t="s">
        <v>703</v>
      </c>
      <c r="D715" s="488" t="s">
        <v>263</v>
      </c>
      <c r="E715" s="488" t="s">
        <v>654</v>
      </c>
      <c r="F715" s="489" t="s">
        <v>664</v>
      </c>
      <c r="G715" s="488" t="s">
        <v>656</v>
      </c>
      <c r="H715" s="489"/>
      <c r="I715" s="489"/>
      <c r="J715" s="489" t="s">
        <v>733</v>
      </c>
      <c r="K715" s="491"/>
      <c r="L715" s="488"/>
      <c r="M715" s="488"/>
      <c r="N715" s="489"/>
      <c r="O715" s="489"/>
      <c r="P715" s="489"/>
      <c r="Q715" s="489"/>
      <c r="R715" s="490"/>
      <c r="S715" s="489"/>
      <c r="T715" s="488" t="s">
        <v>268</v>
      </c>
    </row>
    <row r="716" ht="34.5">
      <c r="A716" s="488" t="s">
        <v>778</v>
      </c>
      <c r="B716" s="488" t="s">
        <v>779</v>
      </c>
      <c r="C716" s="488" t="s">
        <v>703</v>
      </c>
      <c r="D716" s="488" t="s">
        <v>263</v>
      </c>
      <c r="E716" s="488" t="s">
        <v>654</v>
      </c>
      <c r="F716" s="489" t="s">
        <v>664</v>
      </c>
      <c r="G716" s="488" t="s">
        <v>656</v>
      </c>
      <c r="H716" s="489"/>
      <c r="I716" s="489"/>
      <c r="J716" s="489" t="s">
        <v>946</v>
      </c>
      <c r="K716" s="491"/>
      <c r="L716" s="488"/>
      <c r="M716" s="488"/>
      <c r="N716" s="489"/>
      <c r="O716" s="489"/>
      <c r="P716" s="489"/>
      <c r="Q716" s="489"/>
      <c r="R716" s="490"/>
      <c r="S716" s="489"/>
      <c r="T716" s="488" t="s">
        <v>268</v>
      </c>
    </row>
    <row r="717" ht="34.5">
      <c r="A717" s="488" t="s">
        <v>778</v>
      </c>
      <c r="B717" s="488" t="s">
        <v>779</v>
      </c>
      <c r="C717" s="488" t="s">
        <v>703</v>
      </c>
      <c r="D717" s="488" t="s">
        <v>263</v>
      </c>
      <c r="E717" s="488" t="s">
        <v>654</v>
      </c>
      <c r="F717" s="489" t="s">
        <v>664</v>
      </c>
      <c r="G717" s="488" t="s">
        <v>656</v>
      </c>
      <c r="H717" s="489"/>
      <c r="I717" s="489"/>
      <c r="J717" s="489" t="s">
        <v>947</v>
      </c>
      <c r="K717" s="491"/>
      <c r="L717" s="488"/>
      <c r="M717" s="488"/>
      <c r="N717" s="489"/>
      <c r="O717" s="489"/>
      <c r="P717" s="489"/>
      <c r="Q717" s="489"/>
      <c r="R717" s="490"/>
      <c r="S717" s="489"/>
      <c r="T717" s="488" t="s">
        <v>268</v>
      </c>
    </row>
    <row r="718" ht="34.5">
      <c r="A718" s="488" t="s">
        <v>778</v>
      </c>
      <c r="B718" s="488" t="s">
        <v>779</v>
      </c>
      <c r="C718" s="488" t="s">
        <v>705</v>
      </c>
      <c r="D718" s="488" t="s">
        <v>263</v>
      </c>
      <c r="E718" s="488" t="s">
        <v>654</v>
      </c>
      <c r="F718" s="489" t="s">
        <v>664</v>
      </c>
      <c r="G718" s="488" t="s">
        <v>656</v>
      </c>
      <c r="H718" s="489"/>
      <c r="I718" s="489"/>
      <c r="J718" s="489" t="s">
        <v>948</v>
      </c>
      <c r="K718" s="491"/>
      <c r="L718" s="488"/>
      <c r="M718" s="488"/>
      <c r="N718" s="489"/>
      <c r="O718" s="489"/>
      <c r="P718" s="489"/>
      <c r="Q718" s="489"/>
      <c r="R718" s="490"/>
      <c r="S718" s="489"/>
      <c r="T718" s="488" t="s">
        <v>268</v>
      </c>
    </row>
    <row r="719" ht="34.5">
      <c r="A719" s="488" t="s">
        <v>778</v>
      </c>
      <c r="B719" s="488" t="s">
        <v>779</v>
      </c>
      <c r="C719" s="488" t="s">
        <v>705</v>
      </c>
      <c r="D719" s="488" t="s">
        <v>263</v>
      </c>
      <c r="E719" s="488" t="s">
        <v>654</v>
      </c>
      <c r="F719" s="489" t="s">
        <v>664</v>
      </c>
      <c r="G719" s="488" t="s">
        <v>656</v>
      </c>
      <c r="H719" s="489"/>
      <c r="I719" s="489"/>
      <c r="J719" s="489" t="s">
        <v>949</v>
      </c>
      <c r="K719" s="491"/>
      <c r="L719" s="488"/>
      <c r="M719" s="488"/>
      <c r="N719" s="489"/>
      <c r="O719" s="489"/>
      <c r="P719" s="489"/>
      <c r="Q719" s="489"/>
      <c r="R719" s="490"/>
      <c r="S719" s="489"/>
      <c r="T719" s="488" t="s">
        <v>268</v>
      </c>
    </row>
    <row r="720" ht="34.5">
      <c r="A720" s="488" t="s">
        <v>778</v>
      </c>
      <c r="B720" s="488" t="s">
        <v>779</v>
      </c>
      <c r="C720" s="488" t="s">
        <v>705</v>
      </c>
      <c r="D720" s="488" t="s">
        <v>263</v>
      </c>
      <c r="E720" s="488" t="s">
        <v>654</v>
      </c>
      <c r="F720" s="489" t="s">
        <v>664</v>
      </c>
      <c r="G720" s="488" t="s">
        <v>656</v>
      </c>
      <c r="H720" s="489"/>
      <c r="I720" s="489"/>
      <c r="J720" s="489" t="s">
        <v>736</v>
      </c>
      <c r="K720" s="491"/>
      <c r="L720" s="488"/>
      <c r="M720" s="488"/>
      <c r="N720" s="489"/>
      <c r="O720" s="489"/>
      <c r="P720" s="489"/>
      <c r="Q720" s="489"/>
      <c r="R720" s="490"/>
      <c r="S720" s="489"/>
      <c r="T720" s="488" t="s">
        <v>268</v>
      </c>
    </row>
    <row r="721" ht="34.5">
      <c r="A721" s="488" t="s">
        <v>778</v>
      </c>
      <c r="B721" s="488" t="s">
        <v>779</v>
      </c>
      <c r="C721" s="488" t="s">
        <v>705</v>
      </c>
      <c r="D721" s="488" t="s">
        <v>263</v>
      </c>
      <c r="E721" s="488" t="s">
        <v>654</v>
      </c>
      <c r="F721" s="489" t="s">
        <v>664</v>
      </c>
      <c r="G721" s="488" t="s">
        <v>656</v>
      </c>
      <c r="H721" s="489"/>
      <c r="I721" s="489"/>
      <c r="J721" s="489" t="s">
        <v>950</v>
      </c>
      <c r="K721" s="491"/>
      <c r="L721" s="488"/>
      <c r="M721" s="488"/>
      <c r="N721" s="489"/>
      <c r="O721" s="489"/>
      <c r="P721" s="489"/>
      <c r="Q721" s="489"/>
      <c r="R721" s="490"/>
      <c r="S721" s="489"/>
      <c r="T721" s="488" t="s">
        <v>268</v>
      </c>
    </row>
    <row r="722" ht="34.5">
      <c r="A722" s="488" t="s">
        <v>778</v>
      </c>
      <c r="B722" s="488" t="s">
        <v>779</v>
      </c>
      <c r="C722" s="488" t="s">
        <v>705</v>
      </c>
      <c r="D722" s="488" t="s">
        <v>263</v>
      </c>
      <c r="E722" s="488" t="s">
        <v>654</v>
      </c>
      <c r="F722" s="489" t="s">
        <v>664</v>
      </c>
      <c r="G722" s="488" t="s">
        <v>656</v>
      </c>
      <c r="H722" s="489"/>
      <c r="I722" s="489"/>
      <c r="J722" s="489" t="s">
        <v>951</v>
      </c>
      <c r="K722" s="491"/>
      <c r="L722" s="488"/>
      <c r="M722" s="488"/>
      <c r="N722" s="489"/>
      <c r="O722" s="489"/>
      <c r="P722" s="489"/>
      <c r="Q722" s="489"/>
      <c r="R722" s="490"/>
      <c r="S722" s="489"/>
      <c r="T722" s="488" t="s">
        <v>268</v>
      </c>
    </row>
    <row r="723" ht="34.5">
      <c r="A723" s="488" t="s">
        <v>778</v>
      </c>
      <c r="B723" s="488" t="s">
        <v>779</v>
      </c>
      <c r="C723" s="488" t="s">
        <v>705</v>
      </c>
      <c r="D723" s="488" t="s">
        <v>263</v>
      </c>
      <c r="E723" s="488" t="s">
        <v>654</v>
      </c>
      <c r="F723" s="489" t="s">
        <v>664</v>
      </c>
      <c r="G723" s="488" t="s">
        <v>656</v>
      </c>
      <c r="H723" s="489"/>
      <c r="I723" s="489"/>
      <c r="J723" s="489" t="s">
        <v>952</v>
      </c>
      <c r="K723" s="491"/>
      <c r="L723" s="488"/>
      <c r="M723" s="488"/>
      <c r="N723" s="489"/>
      <c r="O723" s="489"/>
      <c r="P723" s="489"/>
      <c r="Q723" s="489"/>
      <c r="R723" s="490"/>
      <c r="S723" s="489"/>
      <c r="T723" s="488" t="s">
        <v>268</v>
      </c>
    </row>
    <row r="724" ht="34.5">
      <c r="A724" s="488" t="s">
        <v>778</v>
      </c>
      <c r="B724" s="488" t="s">
        <v>779</v>
      </c>
      <c r="C724" s="488" t="s">
        <v>705</v>
      </c>
      <c r="D724" s="488" t="s">
        <v>263</v>
      </c>
      <c r="E724" s="488" t="s">
        <v>654</v>
      </c>
      <c r="F724" s="489" t="s">
        <v>664</v>
      </c>
      <c r="G724" s="488" t="s">
        <v>656</v>
      </c>
      <c r="H724" s="489"/>
      <c r="I724" s="489"/>
      <c r="J724" s="489" t="s">
        <v>953</v>
      </c>
      <c r="K724" s="491">
        <v>10956</v>
      </c>
      <c r="L724" s="488" t="s">
        <v>429</v>
      </c>
      <c r="M724" s="488"/>
      <c r="N724" s="489"/>
      <c r="O724" s="489"/>
      <c r="P724" s="489"/>
      <c r="Q724" s="489"/>
      <c r="R724" s="490"/>
      <c r="S724" s="489"/>
      <c r="T724" s="488" t="s">
        <v>268</v>
      </c>
    </row>
    <row r="725" ht="34.5">
      <c r="A725" s="488" t="s">
        <v>778</v>
      </c>
      <c r="B725" s="488" t="s">
        <v>779</v>
      </c>
      <c r="C725" s="488" t="s">
        <v>720</v>
      </c>
      <c r="D725" s="488" t="s">
        <v>263</v>
      </c>
      <c r="E725" s="488" t="s">
        <v>654</v>
      </c>
      <c r="F725" s="489" t="s">
        <v>664</v>
      </c>
      <c r="G725" s="488" t="s">
        <v>656</v>
      </c>
      <c r="H725" s="489"/>
      <c r="I725" s="489"/>
      <c r="J725" s="489" t="s">
        <v>954</v>
      </c>
      <c r="K725" s="491"/>
      <c r="L725" s="488"/>
      <c r="M725" s="488"/>
      <c r="N725" s="489"/>
      <c r="O725" s="489"/>
      <c r="P725" s="489"/>
      <c r="Q725" s="489"/>
      <c r="R725" s="490"/>
      <c r="S725" s="489"/>
      <c r="T725" s="488" t="s">
        <v>268</v>
      </c>
    </row>
    <row r="726" ht="34.5">
      <c r="A726" s="488" t="s">
        <v>778</v>
      </c>
      <c r="B726" s="488" t="s">
        <v>779</v>
      </c>
      <c r="C726" s="488" t="s">
        <v>720</v>
      </c>
      <c r="D726" s="488" t="s">
        <v>263</v>
      </c>
      <c r="E726" s="488" t="s">
        <v>654</v>
      </c>
      <c r="F726" s="489" t="s">
        <v>664</v>
      </c>
      <c r="G726" s="488" t="s">
        <v>656</v>
      </c>
      <c r="H726" s="489"/>
      <c r="I726" s="489"/>
      <c r="J726" s="489" t="s">
        <v>955</v>
      </c>
      <c r="K726" s="491">
        <v>9000</v>
      </c>
      <c r="L726" s="488" t="s">
        <v>429</v>
      </c>
      <c r="M726" s="488"/>
      <c r="N726" s="489"/>
      <c r="O726" s="489"/>
      <c r="P726" s="489"/>
      <c r="Q726" s="489"/>
      <c r="R726" s="490"/>
      <c r="S726" s="489"/>
      <c r="T726" s="488" t="s">
        <v>268</v>
      </c>
    </row>
    <row r="727" ht="34.5">
      <c r="A727" s="488" t="s">
        <v>778</v>
      </c>
      <c r="B727" s="488" t="s">
        <v>779</v>
      </c>
      <c r="C727" s="488" t="s">
        <v>720</v>
      </c>
      <c r="D727" s="488" t="s">
        <v>263</v>
      </c>
      <c r="E727" s="488" t="s">
        <v>654</v>
      </c>
      <c r="F727" s="489" t="s">
        <v>664</v>
      </c>
      <c r="G727" s="488" t="s">
        <v>656</v>
      </c>
      <c r="H727" s="489"/>
      <c r="I727" s="489"/>
      <c r="J727" s="489" t="s">
        <v>956</v>
      </c>
      <c r="K727" s="491"/>
      <c r="L727" s="488"/>
      <c r="M727" s="488"/>
      <c r="N727" s="489"/>
      <c r="O727" s="489"/>
      <c r="P727" s="489"/>
      <c r="Q727" s="489"/>
      <c r="R727" s="490"/>
      <c r="S727" s="489"/>
      <c r="T727" s="488" t="s">
        <v>268</v>
      </c>
    </row>
    <row r="728" ht="34.5">
      <c r="A728" s="488" t="s">
        <v>778</v>
      </c>
      <c r="B728" s="488" t="s">
        <v>779</v>
      </c>
      <c r="C728" s="488" t="s">
        <v>720</v>
      </c>
      <c r="D728" s="488" t="s">
        <v>263</v>
      </c>
      <c r="E728" s="488" t="s">
        <v>654</v>
      </c>
      <c r="F728" s="489" t="s">
        <v>664</v>
      </c>
      <c r="G728" s="488" t="s">
        <v>656</v>
      </c>
      <c r="H728" s="489"/>
      <c r="I728" s="489"/>
      <c r="J728" s="489" t="s">
        <v>746</v>
      </c>
      <c r="K728" s="491"/>
      <c r="L728" s="488"/>
      <c r="M728" s="488"/>
      <c r="N728" s="489"/>
      <c r="O728" s="489"/>
      <c r="P728" s="489"/>
      <c r="Q728" s="489"/>
      <c r="R728" s="490"/>
      <c r="S728" s="489"/>
      <c r="T728" s="488" t="s">
        <v>268</v>
      </c>
    </row>
    <row r="729" ht="34.5">
      <c r="A729" s="488" t="s">
        <v>778</v>
      </c>
      <c r="B729" s="488" t="s">
        <v>779</v>
      </c>
      <c r="C729" s="488" t="s">
        <v>720</v>
      </c>
      <c r="D729" s="488" t="s">
        <v>263</v>
      </c>
      <c r="E729" s="488" t="s">
        <v>654</v>
      </c>
      <c r="F729" s="489" t="s">
        <v>664</v>
      </c>
      <c r="G729" s="488" t="s">
        <v>656</v>
      </c>
      <c r="H729" s="489"/>
      <c r="I729" s="489"/>
      <c r="J729" s="489" t="s">
        <v>957</v>
      </c>
      <c r="K729" s="491"/>
      <c r="L729" s="488"/>
      <c r="M729" s="488"/>
      <c r="N729" s="489"/>
      <c r="O729" s="489"/>
      <c r="P729" s="489"/>
      <c r="Q729" s="489"/>
      <c r="R729" s="490"/>
      <c r="S729" s="489"/>
      <c r="T729" s="488" t="s">
        <v>268</v>
      </c>
    </row>
    <row r="730" ht="34.5">
      <c r="A730" s="488" t="s">
        <v>778</v>
      </c>
      <c r="B730" s="488" t="s">
        <v>779</v>
      </c>
      <c r="C730" s="488" t="s">
        <v>739</v>
      </c>
      <c r="D730" s="488" t="s">
        <v>263</v>
      </c>
      <c r="E730" s="488" t="s">
        <v>654</v>
      </c>
      <c r="F730" s="489" t="s">
        <v>664</v>
      </c>
      <c r="G730" s="488" t="s">
        <v>656</v>
      </c>
      <c r="H730" s="489"/>
      <c r="I730" s="489"/>
      <c r="J730" s="489" t="s">
        <v>958</v>
      </c>
      <c r="K730" s="491"/>
      <c r="L730" s="488"/>
      <c r="M730" s="488"/>
      <c r="N730" s="489"/>
      <c r="O730" s="489"/>
      <c r="P730" s="489"/>
      <c r="Q730" s="489"/>
      <c r="R730" s="490"/>
      <c r="S730" s="489"/>
      <c r="T730" s="488" t="s">
        <v>268</v>
      </c>
    </row>
    <row r="731" ht="34.5">
      <c r="A731" s="488" t="s">
        <v>778</v>
      </c>
      <c r="B731" s="488" t="s">
        <v>779</v>
      </c>
      <c r="C731" s="488" t="s">
        <v>739</v>
      </c>
      <c r="D731" s="488" t="s">
        <v>263</v>
      </c>
      <c r="E731" s="488" t="s">
        <v>654</v>
      </c>
      <c r="F731" s="489" t="s">
        <v>664</v>
      </c>
      <c r="G731" s="488" t="s">
        <v>656</v>
      </c>
      <c r="H731" s="489"/>
      <c r="I731" s="489"/>
      <c r="J731" s="489" t="s">
        <v>752</v>
      </c>
      <c r="K731" s="491"/>
      <c r="L731" s="488"/>
      <c r="M731" s="488"/>
      <c r="N731" s="489"/>
      <c r="O731" s="489"/>
      <c r="P731" s="489"/>
      <c r="Q731" s="489"/>
      <c r="R731" s="490"/>
      <c r="S731" s="489"/>
      <c r="T731" s="488" t="s">
        <v>268</v>
      </c>
    </row>
    <row r="732" ht="34.5">
      <c r="A732" s="488" t="s">
        <v>778</v>
      </c>
      <c r="B732" s="488" t="s">
        <v>779</v>
      </c>
      <c r="C732" s="488" t="s">
        <v>739</v>
      </c>
      <c r="D732" s="488" t="s">
        <v>263</v>
      </c>
      <c r="E732" s="488" t="s">
        <v>654</v>
      </c>
      <c r="F732" s="489" t="s">
        <v>664</v>
      </c>
      <c r="G732" s="488" t="s">
        <v>656</v>
      </c>
      <c r="H732" s="489"/>
      <c r="I732" s="489"/>
      <c r="J732" s="489" t="s">
        <v>959</v>
      </c>
      <c r="K732" s="491"/>
      <c r="L732" s="488"/>
      <c r="M732" s="488"/>
      <c r="N732" s="489"/>
      <c r="O732" s="489"/>
      <c r="P732" s="489"/>
      <c r="Q732" s="489"/>
      <c r="R732" s="490"/>
      <c r="S732" s="489"/>
      <c r="T732" s="488" t="s">
        <v>268</v>
      </c>
    </row>
    <row r="733" ht="34.5">
      <c r="A733" s="488" t="s">
        <v>778</v>
      </c>
      <c r="B733" s="488" t="s">
        <v>779</v>
      </c>
      <c r="C733" s="488" t="s">
        <v>748</v>
      </c>
      <c r="D733" s="488" t="s">
        <v>263</v>
      </c>
      <c r="E733" s="488" t="s">
        <v>654</v>
      </c>
      <c r="F733" s="489" t="s">
        <v>664</v>
      </c>
      <c r="G733" s="488" t="s">
        <v>656</v>
      </c>
      <c r="H733" s="489"/>
      <c r="I733" s="489"/>
      <c r="J733" s="489" t="s">
        <v>755</v>
      </c>
      <c r="K733" s="491"/>
      <c r="L733" s="488"/>
      <c r="M733" s="488"/>
      <c r="N733" s="489"/>
      <c r="O733" s="489"/>
      <c r="P733" s="489"/>
      <c r="Q733" s="489"/>
      <c r="R733" s="490"/>
      <c r="S733" s="489"/>
      <c r="T733" s="488" t="s">
        <v>268</v>
      </c>
    </row>
    <row r="734" ht="34.5">
      <c r="A734" s="488" t="s">
        <v>778</v>
      </c>
      <c r="B734" s="488" t="s">
        <v>779</v>
      </c>
      <c r="C734" s="488" t="s">
        <v>748</v>
      </c>
      <c r="D734" s="488" t="s">
        <v>263</v>
      </c>
      <c r="E734" s="488" t="s">
        <v>654</v>
      </c>
      <c r="F734" s="489" t="s">
        <v>664</v>
      </c>
      <c r="G734" s="488" t="s">
        <v>656</v>
      </c>
      <c r="H734" s="489"/>
      <c r="I734" s="489"/>
      <c r="J734" s="489" t="s">
        <v>960</v>
      </c>
      <c r="K734" s="491"/>
      <c r="L734" s="488"/>
      <c r="M734" s="488"/>
      <c r="N734" s="489"/>
      <c r="O734" s="489"/>
      <c r="P734" s="489"/>
      <c r="Q734" s="489"/>
      <c r="R734" s="490"/>
      <c r="S734" s="489"/>
      <c r="T734" s="488" t="s">
        <v>268</v>
      </c>
    </row>
    <row r="735" ht="34.5">
      <c r="A735" s="488" t="s">
        <v>778</v>
      </c>
      <c r="B735" s="488" t="s">
        <v>779</v>
      </c>
      <c r="C735" s="488" t="s">
        <v>748</v>
      </c>
      <c r="D735" s="488" t="s">
        <v>263</v>
      </c>
      <c r="E735" s="488" t="s">
        <v>654</v>
      </c>
      <c r="F735" s="489" t="s">
        <v>664</v>
      </c>
      <c r="G735" s="488" t="s">
        <v>656</v>
      </c>
      <c r="H735" s="489"/>
      <c r="I735" s="489"/>
      <c r="J735" s="489" t="s">
        <v>961</v>
      </c>
      <c r="K735" s="491"/>
      <c r="L735" s="488"/>
      <c r="M735" s="488"/>
      <c r="N735" s="489"/>
      <c r="O735" s="489"/>
      <c r="P735" s="489"/>
      <c r="Q735" s="489"/>
      <c r="R735" s="490"/>
      <c r="S735" s="489"/>
      <c r="T735" s="488" t="s">
        <v>268</v>
      </c>
    </row>
    <row r="736" ht="34.5">
      <c r="A736" s="488" t="s">
        <v>778</v>
      </c>
      <c r="B736" s="488" t="s">
        <v>779</v>
      </c>
      <c r="C736" s="488" t="s">
        <v>748</v>
      </c>
      <c r="D736" s="488" t="s">
        <v>263</v>
      </c>
      <c r="E736" s="488" t="s">
        <v>654</v>
      </c>
      <c r="F736" s="489" t="s">
        <v>664</v>
      </c>
      <c r="G736" s="488" t="s">
        <v>656</v>
      </c>
      <c r="H736" s="489"/>
      <c r="I736" s="489"/>
      <c r="J736" s="489" t="s">
        <v>962</v>
      </c>
      <c r="K736" s="491"/>
      <c r="L736" s="488"/>
      <c r="M736" s="488"/>
      <c r="N736" s="489"/>
      <c r="O736" s="489"/>
      <c r="P736" s="489"/>
      <c r="Q736" s="489"/>
      <c r="R736" s="490"/>
      <c r="S736" s="489"/>
      <c r="T736" s="488" t="s">
        <v>268</v>
      </c>
    </row>
    <row r="737" ht="34.5">
      <c r="A737" s="488" t="s">
        <v>778</v>
      </c>
      <c r="B737" s="488" t="s">
        <v>779</v>
      </c>
      <c r="C737" s="488" t="s">
        <v>748</v>
      </c>
      <c r="D737" s="488" t="s">
        <v>263</v>
      </c>
      <c r="E737" s="488" t="s">
        <v>654</v>
      </c>
      <c r="F737" s="489" t="s">
        <v>664</v>
      </c>
      <c r="G737" s="488" t="s">
        <v>656</v>
      </c>
      <c r="H737" s="489"/>
      <c r="I737" s="489"/>
      <c r="J737" s="489" t="s">
        <v>963</v>
      </c>
      <c r="K737" s="491"/>
      <c r="L737" s="488"/>
      <c r="M737" s="488"/>
      <c r="N737" s="489"/>
      <c r="O737" s="489"/>
      <c r="P737" s="489"/>
      <c r="Q737" s="489"/>
      <c r="R737" s="490"/>
      <c r="S737" s="489"/>
      <c r="T737" s="488" t="s">
        <v>268</v>
      </c>
    </row>
    <row r="738" ht="34.5">
      <c r="A738" s="488" t="s">
        <v>778</v>
      </c>
      <c r="B738" s="488" t="s">
        <v>779</v>
      </c>
      <c r="C738" s="488" t="s">
        <v>748</v>
      </c>
      <c r="D738" s="488" t="s">
        <v>263</v>
      </c>
      <c r="E738" s="488" t="s">
        <v>654</v>
      </c>
      <c r="F738" s="489" t="s">
        <v>664</v>
      </c>
      <c r="G738" s="488" t="s">
        <v>656</v>
      </c>
      <c r="H738" s="489"/>
      <c r="I738" s="489"/>
      <c r="J738" s="489" t="s">
        <v>964</v>
      </c>
      <c r="K738" s="491"/>
      <c r="L738" s="488"/>
      <c r="M738" s="488"/>
      <c r="N738" s="489"/>
      <c r="O738" s="489"/>
      <c r="P738" s="489"/>
      <c r="Q738" s="489"/>
      <c r="R738" s="490"/>
      <c r="S738" s="489"/>
      <c r="T738" s="488" t="s">
        <v>268</v>
      </c>
    </row>
    <row r="739" ht="34.5">
      <c r="A739" s="488" t="s">
        <v>778</v>
      </c>
      <c r="B739" s="488" t="s">
        <v>779</v>
      </c>
      <c r="C739" s="488" t="s">
        <v>748</v>
      </c>
      <c r="D739" s="488" t="s">
        <v>263</v>
      </c>
      <c r="E739" s="488" t="s">
        <v>654</v>
      </c>
      <c r="F739" s="489" t="s">
        <v>664</v>
      </c>
      <c r="G739" s="488" t="s">
        <v>656</v>
      </c>
      <c r="H739" s="489"/>
      <c r="I739" s="489"/>
      <c r="J739" s="489" t="s">
        <v>965</v>
      </c>
      <c r="K739" s="491">
        <v>57204</v>
      </c>
      <c r="L739" s="488" t="s">
        <v>429</v>
      </c>
      <c r="M739" s="488"/>
      <c r="N739" s="489"/>
      <c r="O739" s="489"/>
      <c r="P739" s="489"/>
      <c r="Q739" s="489"/>
      <c r="R739" s="490"/>
      <c r="S739" s="489"/>
      <c r="T739" s="488" t="s">
        <v>268</v>
      </c>
    </row>
    <row r="740" ht="34.5">
      <c r="A740" s="488" t="s">
        <v>778</v>
      </c>
      <c r="B740" s="488" t="s">
        <v>779</v>
      </c>
      <c r="C740" s="488" t="s">
        <v>750</v>
      </c>
      <c r="D740" s="488" t="s">
        <v>263</v>
      </c>
      <c r="E740" s="488" t="s">
        <v>654</v>
      </c>
      <c r="F740" s="489" t="s">
        <v>664</v>
      </c>
      <c r="G740" s="488" t="s">
        <v>656</v>
      </c>
      <c r="H740" s="489"/>
      <c r="I740" s="489"/>
      <c r="J740" s="489" t="s">
        <v>966</v>
      </c>
      <c r="K740" s="491"/>
      <c r="L740" s="488"/>
      <c r="M740" s="488"/>
      <c r="N740" s="489"/>
      <c r="O740" s="489"/>
      <c r="P740" s="489"/>
      <c r="Q740" s="489"/>
      <c r="R740" s="490"/>
      <c r="S740" s="489"/>
      <c r="T740" s="488" t="s">
        <v>268</v>
      </c>
    </row>
    <row r="741" ht="34.5">
      <c r="A741" s="488" t="s">
        <v>778</v>
      </c>
      <c r="B741" s="488" t="s">
        <v>779</v>
      </c>
      <c r="C741" s="488" t="s">
        <v>750</v>
      </c>
      <c r="D741" s="488" t="s">
        <v>263</v>
      </c>
      <c r="E741" s="488" t="s">
        <v>654</v>
      </c>
      <c r="F741" s="489" t="s">
        <v>664</v>
      </c>
      <c r="G741" s="488" t="s">
        <v>656</v>
      </c>
      <c r="H741" s="489"/>
      <c r="I741" s="489"/>
      <c r="J741" s="489" t="s">
        <v>967</v>
      </c>
      <c r="K741" s="491"/>
      <c r="L741" s="488"/>
      <c r="M741" s="488"/>
      <c r="N741" s="489"/>
      <c r="O741" s="489"/>
      <c r="P741" s="489"/>
      <c r="Q741" s="489"/>
      <c r="R741" s="490"/>
      <c r="S741" s="489"/>
      <c r="T741" s="488" t="s">
        <v>268</v>
      </c>
    </row>
    <row r="742" ht="34.5">
      <c r="A742" s="488" t="s">
        <v>778</v>
      </c>
      <c r="B742" s="488" t="s">
        <v>779</v>
      </c>
      <c r="C742" s="488" t="s">
        <v>750</v>
      </c>
      <c r="D742" s="488" t="s">
        <v>263</v>
      </c>
      <c r="E742" s="488" t="s">
        <v>654</v>
      </c>
      <c r="F742" s="489" t="s">
        <v>664</v>
      </c>
      <c r="G742" s="488" t="s">
        <v>656</v>
      </c>
      <c r="H742" s="489"/>
      <c r="I742" s="489"/>
      <c r="J742" s="489" t="s">
        <v>968</v>
      </c>
      <c r="K742" s="491"/>
      <c r="L742" s="488"/>
      <c r="M742" s="488"/>
      <c r="N742" s="489"/>
      <c r="O742" s="489"/>
      <c r="P742" s="489"/>
      <c r="Q742" s="489"/>
      <c r="R742" s="490"/>
      <c r="S742" s="489"/>
      <c r="T742" s="488" t="s">
        <v>268</v>
      </c>
    </row>
    <row r="743" ht="34.5">
      <c r="A743" s="488" t="s">
        <v>778</v>
      </c>
      <c r="B743" s="488" t="s">
        <v>779</v>
      </c>
      <c r="C743" s="488" t="s">
        <v>750</v>
      </c>
      <c r="D743" s="488" t="s">
        <v>263</v>
      </c>
      <c r="E743" s="488" t="s">
        <v>654</v>
      </c>
      <c r="F743" s="489" t="s">
        <v>664</v>
      </c>
      <c r="G743" s="488" t="s">
        <v>656</v>
      </c>
      <c r="H743" s="489"/>
      <c r="I743" s="489"/>
      <c r="J743" s="489" t="s">
        <v>969</v>
      </c>
      <c r="K743" s="491">
        <v>57204</v>
      </c>
      <c r="L743" s="488" t="s">
        <v>429</v>
      </c>
      <c r="M743" s="488"/>
      <c r="N743" s="489"/>
      <c r="O743" s="489"/>
      <c r="P743" s="489"/>
      <c r="Q743" s="489"/>
      <c r="R743" s="490"/>
      <c r="S743" s="489"/>
      <c r="T743" s="488" t="s">
        <v>268</v>
      </c>
    </row>
    <row r="744" ht="34.5">
      <c r="A744" s="488" t="s">
        <v>778</v>
      </c>
      <c r="B744" s="488" t="s">
        <v>779</v>
      </c>
      <c r="C744" s="488" t="s">
        <v>758</v>
      </c>
      <c r="D744" s="488" t="s">
        <v>263</v>
      </c>
      <c r="E744" s="488" t="s">
        <v>654</v>
      </c>
      <c r="F744" s="489" t="s">
        <v>664</v>
      </c>
      <c r="G744" s="488" t="s">
        <v>656</v>
      </c>
      <c r="H744" s="489"/>
      <c r="I744" s="489"/>
      <c r="J744" s="489" t="s">
        <v>970</v>
      </c>
      <c r="K744" s="491"/>
      <c r="L744" s="488"/>
      <c r="M744" s="488"/>
      <c r="N744" s="489"/>
      <c r="O744" s="489"/>
      <c r="P744" s="489"/>
      <c r="Q744" s="489"/>
      <c r="R744" s="490"/>
      <c r="S744" s="489"/>
      <c r="T744" s="488" t="s">
        <v>268</v>
      </c>
    </row>
    <row r="745" ht="34.5">
      <c r="A745" s="488" t="s">
        <v>778</v>
      </c>
      <c r="B745" s="488" t="s">
        <v>779</v>
      </c>
      <c r="C745" s="488" t="s">
        <v>758</v>
      </c>
      <c r="D745" s="488" t="s">
        <v>263</v>
      </c>
      <c r="E745" s="488" t="s">
        <v>654</v>
      </c>
      <c r="F745" s="489" t="s">
        <v>664</v>
      </c>
      <c r="G745" s="488" t="s">
        <v>656</v>
      </c>
      <c r="H745" s="489"/>
      <c r="I745" s="489"/>
      <c r="J745" s="489" t="s">
        <v>971</v>
      </c>
      <c r="K745" s="491"/>
      <c r="L745" s="488"/>
      <c r="M745" s="488"/>
      <c r="N745" s="489"/>
      <c r="O745" s="489"/>
      <c r="P745" s="489"/>
      <c r="Q745" s="489"/>
      <c r="R745" s="490"/>
      <c r="S745" s="489"/>
      <c r="T745" s="488" t="s">
        <v>268</v>
      </c>
    </row>
    <row r="746" ht="34.5">
      <c r="A746" s="488" t="s">
        <v>778</v>
      </c>
      <c r="B746" s="488" t="s">
        <v>779</v>
      </c>
      <c r="C746" s="488" t="s">
        <v>758</v>
      </c>
      <c r="D746" s="488" t="s">
        <v>263</v>
      </c>
      <c r="E746" s="488" t="s">
        <v>654</v>
      </c>
      <c r="F746" s="489" t="s">
        <v>664</v>
      </c>
      <c r="G746" s="488" t="s">
        <v>656</v>
      </c>
      <c r="H746" s="489"/>
      <c r="I746" s="489"/>
      <c r="J746" s="489" t="s">
        <v>972</v>
      </c>
      <c r="K746" s="491"/>
      <c r="L746" s="488"/>
      <c r="M746" s="488"/>
      <c r="N746" s="489"/>
      <c r="O746" s="489"/>
      <c r="P746" s="489"/>
      <c r="Q746" s="489"/>
      <c r="R746" s="490"/>
      <c r="S746" s="489"/>
      <c r="T746" s="488" t="s">
        <v>268</v>
      </c>
    </row>
    <row r="747" ht="34.5">
      <c r="A747" s="488" t="s">
        <v>778</v>
      </c>
      <c r="B747" s="488" t="s">
        <v>779</v>
      </c>
      <c r="C747" s="488" t="s">
        <v>758</v>
      </c>
      <c r="D747" s="488" t="s">
        <v>263</v>
      </c>
      <c r="E747" s="488" t="s">
        <v>654</v>
      </c>
      <c r="F747" s="489" t="s">
        <v>664</v>
      </c>
      <c r="G747" s="488" t="s">
        <v>656</v>
      </c>
      <c r="H747" s="489"/>
      <c r="I747" s="489"/>
      <c r="J747" s="489" t="s">
        <v>973</v>
      </c>
      <c r="K747" s="491"/>
      <c r="L747" s="488"/>
      <c r="M747" s="488"/>
      <c r="N747" s="489"/>
      <c r="O747" s="489"/>
      <c r="P747" s="489"/>
      <c r="Q747" s="489"/>
      <c r="R747" s="490"/>
      <c r="S747" s="489"/>
      <c r="T747" s="488" t="s">
        <v>268</v>
      </c>
    </row>
    <row r="748" ht="34.5">
      <c r="A748" s="488" t="s">
        <v>778</v>
      </c>
      <c r="B748" s="488" t="s">
        <v>779</v>
      </c>
      <c r="C748" s="488" t="s">
        <v>758</v>
      </c>
      <c r="D748" s="488" t="s">
        <v>263</v>
      </c>
      <c r="E748" s="488" t="s">
        <v>654</v>
      </c>
      <c r="F748" s="489" t="s">
        <v>664</v>
      </c>
      <c r="G748" s="488" t="s">
        <v>656</v>
      </c>
      <c r="H748" s="489"/>
      <c r="I748" s="489"/>
      <c r="J748" s="489" t="s">
        <v>974</v>
      </c>
      <c r="K748" s="491"/>
      <c r="L748" s="488"/>
      <c r="M748" s="488"/>
      <c r="N748" s="489"/>
      <c r="O748" s="489"/>
      <c r="P748" s="489"/>
      <c r="Q748" s="489"/>
      <c r="R748" s="490"/>
      <c r="S748" s="489"/>
      <c r="T748" s="488" t="s">
        <v>268</v>
      </c>
    </row>
    <row r="749" ht="34.5">
      <c r="A749" s="488" t="s">
        <v>778</v>
      </c>
      <c r="B749" s="488" t="s">
        <v>779</v>
      </c>
      <c r="C749" s="488" t="s">
        <v>758</v>
      </c>
      <c r="D749" s="488" t="s">
        <v>263</v>
      </c>
      <c r="E749" s="488" t="s">
        <v>654</v>
      </c>
      <c r="F749" s="489" t="s">
        <v>664</v>
      </c>
      <c r="G749" s="488" t="s">
        <v>656</v>
      </c>
      <c r="H749" s="489"/>
      <c r="I749" s="489"/>
      <c r="J749" s="489" t="s">
        <v>975</v>
      </c>
      <c r="K749" s="491"/>
      <c r="L749" s="488"/>
      <c r="M749" s="488"/>
      <c r="N749" s="489"/>
      <c r="O749" s="489"/>
      <c r="P749" s="489"/>
      <c r="Q749" s="489"/>
      <c r="R749" s="490"/>
      <c r="S749" s="489"/>
      <c r="T749" s="488" t="s">
        <v>268</v>
      </c>
    </row>
    <row r="750" ht="34.5">
      <c r="A750" s="488" t="s">
        <v>778</v>
      </c>
      <c r="B750" s="488" t="s">
        <v>779</v>
      </c>
      <c r="C750" s="488" t="s">
        <v>758</v>
      </c>
      <c r="D750" s="488" t="s">
        <v>263</v>
      </c>
      <c r="E750" s="488" t="s">
        <v>654</v>
      </c>
      <c r="F750" s="489" t="s">
        <v>664</v>
      </c>
      <c r="G750" s="488" t="s">
        <v>656</v>
      </c>
      <c r="H750" s="489"/>
      <c r="I750" s="489"/>
      <c r="J750" s="489" t="s">
        <v>770</v>
      </c>
      <c r="K750" s="491"/>
      <c r="L750" s="488"/>
      <c r="M750" s="488"/>
      <c r="N750" s="489"/>
      <c r="O750" s="489"/>
      <c r="P750" s="489"/>
      <c r="Q750" s="489"/>
      <c r="R750" s="490"/>
      <c r="S750" s="489"/>
      <c r="T750" s="488" t="s">
        <v>268</v>
      </c>
    </row>
    <row r="751" ht="34.5">
      <c r="A751" s="488" t="s">
        <v>778</v>
      </c>
      <c r="B751" s="488" t="s">
        <v>779</v>
      </c>
      <c r="C751" s="488" t="s">
        <v>758</v>
      </c>
      <c r="D751" s="488" t="s">
        <v>263</v>
      </c>
      <c r="E751" s="488" t="s">
        <v>654</v>
      </c>
      <c r="F751" s="489" t="s">
        <v>664</v>
      </c>
      <c r="G751" s="488" t="s">
        <v>656</v>
      </c>
      <c r="H751" s="489"/>
      <c r="I751" s="489"/>
      <c r="J751" s="489" t="s">
        <v>976</v>
      </c>
      <c r="K751" s="491"/>
      <c r="L751" s="488"/>
      <c r="M751" s="488"/>
      <c r="N751" s="489"/>
      <c r="O751" s="489"/>
      <c r="P751" s="489"/>
      <c r="Q751" s="489"/>
      <c r="R751" s="490"/>
      <c r="S751" s="489"/>
      <c r="T751" s="488" t="s">
        <v>268</v>
      </c>
    </row>
    <row r="752" ht="34.5">
      <c r="A752" s="488" t="s">
        <v>778</v>
      </c>
      <c r="B752" s="488" t="s">
        <v>779</v>
      </c>
      <c r="C752" s="488" t="s">
        <v>758</v>
      </c>
      <c r="D752" s="488" t="s">
        <v>263</v>
      </c>
      <c r="E752" s="488" t="s">
        <v>654</v>
      </c>
      <c r="F752" s="489" t="s">
        <v>664</v>
      </c>
      <c r="G752" s="488" t="s">
        <v>656</v>
      </c>
      <c r="H752" s="489"/>
      <c r="I752" s="489"/>
      <c r="J752" s="489" t="s">
        <v>977</v>
      </c>
      <c r="K752" s="491"/>
      <c r="L752" s="488"/>
      <c r="M752" s="488"/>
      <c r="N752" s="489"/>
      <c r="O752" s="489"/>
      <c r="P752" s="489"/>
      <c r="Q752" s="489"/>
      <c r="R752" s="490"/>
      <c r="S752" s="489"/>
      <c r="T752" s="488" t="s">
        <v>268</v>
      </c>
    </row>
    <row r="753" ht="34.5">
      <c r="A753" s="488" t="s">
        <v>778</v>
      </c>
      <c r="B753" s="488" t="s">
        <v>779</v>
      </c>
      <c r="C753" s="488" t="s">
        <v>758</v>
      </c>
      <c r="D753" s="488" t="s">
        <v>263</v>
      </c>
      <c r="E753" s="488" t="s">
        <v>654</v>
      </c>
      <c r="F753" s="489" t="s">
        <v>664</v>
      </c>
      <c r="G753" s="488" t="s">
        <v>656</v>
      </c>
      <c r="H753" s="489"/>
      <c r="I753" s="489"/>
      <c r="J753" s="489" t="s">
        <v>773</v>
      </c>
      <c r="K753" s="491"/>
      <c r="L753" s="488"/>
      <c r="M753" s="488"/>
      <c r="N753" s="489"/>
      <c r="O753" s="489"/>
      <c r="P753" s="489"/>
      <c r="Q753" s="489"/>
      <c r="R753" s="490"/>
      <c r="S753" s="489"/>
      <c r="T753" s="488" t="s">
        <v>268</v>
      </c>
    </row>
    <row r="754" ht="34.5">
      <c r="A754" s="488" t="s">
        <v>778</v>
      </c>
      <c r="B754" s="488" t="s">
        <v>779</v>
      </c>
      <c r="C754" s="488" t="s">
        <v>764</v>
      </c>
      <c r="D754" s="488" t="s">
        <v>263</v>
      </c>
      <c r="E754" s="488" t="s">
        <v>654</v>
      </c>
      <c r="F754" s="489" t="s">
        <v>664</v>
      </c>
      <c r="G754" s="488" t="s">
        <v>656</v>
      </c>
      <c r="H754" s="489"/>
      <c r="I754" s="489"/>
      <c r="J754" s="489" t="s">
        <v>978</v>
      </c>
      <c r="K754" s="491"/>
      <c r="L754" s="488"/>
      <c r="M754" s="488"/>
      <c r="N754" s="489"/>
      <c r="O754" s="489"/>
      <c r="P754" s="489"/>
      <c r="Q754" s="489"/>
      <c r="R754" s="490"/>
      <c r="S754" s="489"/>
      <c r="T754" s="488" t="s">
        <v>268</v>
      </c>
    </row>
    <row r="755" ht="34.5">
      <c r="A755" s="488" t="s">
        <v>778</v>
      </c>
      <c r="B755" s="488" t="s">
        <v>779</v>
      </c>
      <c r="C755" s="488" t="s">
        <v>764</v>
      </c>
      <c r="D755" s="488" t="s">
        <v>263</v>
      </c>
      <c r="E755" s="488" t="s">
        <v>654</v>
      </c>
      <c r="F755" s="489" t="s">
        <v>664</v>
      </c>
      <c r="G755" s="488" t="s">
        <v>656</v>
      </c>
      <c r="H755" s="489"/>
      <c r="I755" s="489"/>
      <c r="J755" s="489" t="s">
        <v>776</v>
      </c>
      <c r="K755" s="491"/>
      <c r="L755" s="488"/>
      <c r="M755" s="488"/>
      <c r="N755" s="489"/>
      <c r="O755" s="489"/>
      <c r="P755" s="489"/>
      <c r="Q755" s="489"/>
      <c r="R755" s="490"/>
      <c r="S755" s="489"/>
      <c r="T755" s="488" t="s">
        <v>268</v>
      </c>
    </row>
    <row r="756" ht="34.5">
      <c r="A756" s="488" t="s">
        <v>778</v>
      </c>
      <c r="B756" s="488" t="s">
        <v>779</v>
      </c>
      <c r="C756" s="488" t="s">
        <v>764</v>
      </c>
      <c r="D756" s="488" t="s">
        <v>263</v>
      </c>
      <c r="E756" s="488" t="s">
        <v>654</v>
      </c>
      <c r="F756" s="489" t="s">
        <v>664</v>
      </c>
      <c r="G756" s="488" t="s">
        <v>656</v>
      </c>
      <c r="H756" s="489"/>
      <c r="I756" s="489"/>
      <c r="J756" s="489" t="s">
        <v>979</v>
      </c>
      <c r="K756" s="491"/>
      <c r="L756" s="488"/>
      <c r="M756" s="488"/>
      <c r="N756" s="489"/>
      <c r="O756" s="489"/>
      <c r="P756" s="489"/>
      <c r="Q756" s="489"/>
      <c r="R756" s="490"/>
      <c r="S756" s="489"/>
      <c r="T756" s="488" t="s">
        <v>268</v>
      </c>
    </row>
    <row r="757" ht="34.5">
      <c r="A757" s="488" t="s">
        <v>980</v>
      </c>
      <c r="B757" s="488" t="s">
        <v>981</v>
      </c>
      <c r="C757" s="488" t="s">
        <v>982</v>
      </c>
      <c r="D757" s="488" t="s">
        <v>263</v>
      </c>
      <c r="E757" s="488" t="s">
        <v>264</v>
      </c>
      <c r="F757" s="489" t="s">
        <v>265</v>
      </c>
      <c r="G757" s="488" t="s">
        <v>266</v>
      </c>
      <c r="H757" s="489"/>
      <c r="I757" s="489"/>
      <c r="J757" s="489" t="s">
        <v>983</v>
      </c>
      <c r="K757" s="491"/>
      <c r="L757" s="488"/>
      <c r="M757" s="488"/>
      <c r="N757" s="489"/>
      <c r="O757" s="489"/>
      <c r="P757" s="489"/>
      <c r="Q757" s="489"/>
      <c r="R757" s="490"/>
      <c r="S757" s="489"/>
      <c r="T757" s="488" t="s">
        <v>268</v>
      </c>
    </row>
    <row r="758" ht="34.5">
      <c r="A758" s="488" t="s">
        <v>980</v>
      </c>
      <c r="B758" s="488" t="s">
        <v>981</v>
      </c>
      <c r="C758" s="488" t="s">
        <v>982</v>
      </c>
      <c r="D758" s="488" t="s">
        <v>263</v>
      </c>
      <c r="E758" s="488" t="s">
        <v>264</v>
      </c>
      <c r="F758" s="489" t="s">
        <v>265</v>
      </c>
      <c r="G758" s="488" t="s">
        <v>266</v>
      </c>
      <c r="H758" s="489"/>
      <c r="I758" s="489"/>
      <c r="J758" s="489" t="s">
        <v>781</v>
      </c>
      <c r="K758" s="491"/>
      <c r="L758" s="488"/>
      <c r="M758" s="488"/>
      <c r="N758" s="489"/>
      <c r="O758" s="489"/>
      <c r="P758" s="489"/>
      <c r="Q758" s="489"/>
      <c r="R758" s="490"/>
      <c r="S758" s="489"/>
      <c r="T758" s="488" t="s">
        <v>268</v>
      </c>
    </row>
    <row r="759" ht="34.5">
      <c r="A759" s="488" t="s">
        <v>980</v>
      </c>
      <c r="B759" s="488" t="s">
        <v>981</v>
      </c>
      <c r="C759" s="488" t="s">
        <v>982</v>
      </c>
      <c r="D759" s="488" t="s">
        <v>263</v>
      </c>
      <c r="E759" s="488" t="s">
        <v>264</v>
      </c>
      <c r="F759" s="489" t="s">
        <v>265</v>
      </c>
      <c r="G759" s="488" t="s">
        <v>266</v>
      </c>
      <c r="H759" s="489"/>
      <c r="I759" s="489"/>
      <c r="J759" s="489" t="s">
        <v>984</v>
      </c>
      <c r="K759" s="491"/>
      <c r="L759" s="488"/>
      <c r="M759" s="488"/>
      <c r="N759" s="489"/>
      <c r="O759" s="489"/>
      <c r="P759" s="489"/>
      <c r="Q759" s="489"/>
      <c r="R759" s="490"/>
      <c r="S759" s="489"/>
      <c r="T759" s="488" t="s">
        <v>268</v>
      </c>
    </row>
    <row r="760" ht="34.5">
      <c r="A760" s="488" t="s">
        <v>980</v>
      </c>
      <c r="B760" s="488" t="s">
        <v>981</v>
      </c>
      <c r="C760" s="488" t="s">
        <v>982</v>
      </c>
      <c r="D760" s="488" t="s">
        <v>263</v>
      </c>
      <c r="E760" s="488" t="s">
        <v>264</v>
      </c>
      <c r="F760" s="489" t="s">
        <v>265</v>
      </c>
      <c r="G760" s="488" t="s">
        <v>266</v>
      </c>
      <c r="H760" s="489"/>
      <c r="I760" s="489"/>
      <c r="J760" s="489" t="s">
        <v>271</v>
      </c>
      <c r="K760" s="491"/>
      <c r="L760" s="488"/>
      <c r="M760" s="488"/>
      <c r="N760" s="489"/>
      <c r="O760" s="489"/>
      <c r="P760" s="489"/>
      <c r="Q760" s="489"/>
      <c r="R760" s="490"/>
      <c r="S760" s="489"/>
      <c r="T760" s="488" t="s">
        <v>268</v>
      </c>
    </row>
    <row r="761" ht="34.5">
      <c r="A761" s="488" t="s">
        <v>980</v>
      </c>
      <c r="B761" s="488" t="s">
        <v>981</v>
      </c>
      <c r="C761" s="488" t="s">
        <v>982</v>
      </c>
      <c r="D761" s="488" t="s">
        <v>263</v>
      </c>
      <c r="E761" s="488" t="s">
        <v>264</v>
      </c>
      <c r="F761" s="489" t="s">
        <v>265</v>
      </c>
      <c r="G761" s="488" t="s">
        <v>266</v>
      </c>
      <c r="H761" s="489"/>
      <c r="I761" s="489"/>
      <c r="J761" s="489" t="s">
        <v>782</v>
      </c>
      <c r="K761" s="491"/>
      <c r="L761" s="488"/>
      <c r="M761" s="488"/>
      <c r="N761" s="489"/>
      <c r="O761" s="489"/>
      <c r="P761" s="489"/>
      <c r="Q761" s="489"/>
      <c r="R761" s="490"/>
      <c r="S761" s="489"/>
      <c r="T761" s="488" t="s">
        <v>268</v>
      </c>
    </row>
    <row r="762" ht="34.5">
      <c r="A762" s="488" t="s">
        <v>980</v>
      </c>
      <c r="B762" s="488" t="s">
        <v>981</v>
      </c>
      <c r="C762" s="488" t="s">
        <v>982</v>
      </c>
      <c r="D762" s="488" t="s">
        <v>263</v>
      </c>
      <c r="E762" s="488" t="s">
        <v>264</v>
      </c>
      <c r="F762" s="489" t="s">
        <v>265</v>
      </c>
      <c r="G762" s="488" t="s">
        <v>266</v>
      </c>
      <c r="H762" s="489"/>
      <c r="I762" s="489"/>
      <c r="J762" s="489" t="s">
        <v>985</v>
      </c>
      <c r="K762" s="491"/>
      <c r="L762" s="488"/>
      <c r="M762" s="488"/>
      <c r="N762" s="489"/>
      <c r="O762" s="489"/>
      <c r="P762" s="489"/>
      <c r="Q762" s="489"/>
      <c r="R762" s="490"/>
      <c r="S762" s="489"/>
      <c r="T762" s="488" t="s">
        <v>268</v>
      </c>
    </row>
    <row r="763" ht="34.5">
      <c r="A763" s="488" t="s">
        <v>980</v>
      </c>
      <c r="B763" s="488" t="s">
        <v>981</v>
      </c>
      <c r="C763" s="488" t="s">
        <v>262</v>
      </c>
      <c r="D763" s="488" t="s">
        <v>263</v>
      </c>
      <c r="E763" s="488" t="s">
        <v>264</v>
      </c>
      <c r="F763" s="489" t="s">
        <v>277</v>
      </c>
      <c r="G763" s="488" t="s">
        <v>266</v>
      </c>
      <c r="H763" s="489"/>
      <c r="I763" s="489"/>
      <c r="J763" s="489" t="s">
        <v>784</v>
      </c>
      <c r="K763" s="491">
        <v>-1</v>
      </c>
      <c r="L763" s="488" t="s">
        <v>429</v>
      </c>
      <c r="M763" s="488"/>
      <c r="N763" s="489"/>
      <c r="O763" s="489"/>
      <c r="P763" s="489"/>
      <c r="Q763" s="489"/>
      <c r="R763" s="490"/>
      <c r="S763" s="489"/>
      <c r="T763" s="488" t="s">
        <v>268</v>
      </c>
    </row>
    <row r="764" ht="34.5">
      <c r="A764" s="488" t="s">
        <v>980</v>
      </c>
      <c r="B764" s="488" t="s">
        <v>981</v>
      </c>
      <c r="C764" s="488" t="s">
        <v>262</v>
      </c>
      <c r="D764" s="488" t="s">
        <v>263</v>
      </c>
      <c r="E764" s="488" t="s">
        <v>264</v>
      </c>
      <c r="F764" s="489" t="s">
        <v>277</v>
      </c>
      <c r="G764" s="488" t="s">
        <v>266</v>
      </c>
      <c r="H764" s="489"/>
      <c r="I764" s="489"/>
      <c r="J764" s="489" t="s">
        <v>986</v>
      </c>
      <c r="K764" s="491"/>
      <c r="L764" s="488"/>
      <c r="M764" s="488"/>
      <c r="N764" s="489"/>
      <c r="O764" s="489"/>
      <c r="P764" s="489"/>
      <c r="Q764" s="489"/>
      <c r="R764" s="490"/>
      <c r="S764" s="489"/>
      <c r="T764" s="488" t="s">
        <v>268</v>
      </c>
    </row>
    <row r="765" ht="34.5">
      <c r="A765" s="488" t="s">
        <v>980</v>
      </c>
      <c r="B765" s="488" t="s">
        <v>981</v>
      </c>
      <c r="C765" s="488" t="s">
        <v>262</v>
      </c>
      <c r="D765" s="488" t="s">
        <v>263</v>
      </c>
      <c r="E765" s="488" t="s">
        <v>282</v>
      </c>
      <c r="F765" s="489" t="s">
        <v>987</v>
      </c>
      <c r="G765" s="488" t="s">
        <v>284</v>
      </c>
      <c r="H765" s="489"/>
      <c r="I765" s="489"/>
      <c r="J765" s="489" t="s">
        <v>988</v>
      </c>
      <c r="K765" s="491"/>
      <c r="L765" s="488"/>
      <c r="M765" s="488"/>
      <c r="N765" s="489"/>
      <c r="O765" s="489"/>
      <c r="P765" s="489"/>
      <c r="Q765" s="489"/>
      <c r="R765" s="490"/>
      <c r="S765" s="489"/>
      <c r="T765" s="488" t="s">
        <v>268</v>
      </c>
    </row>
    <row r="766" ht="34.5">
      <c r="A766" s="488" t="s">
        <v>980</v>
      </c>
      <c r="B766" s="488" t="s">
        <v>981</v>
      </c>
      <c r="C766" s="488" t="s">
        <v>262</v>
      </c>
      <c r="D766" s="488" t="s">
        <v>263</v>
      </c>
      <c r="E766" s="488" t="s">
        <v>282</v>
      </c>
      <c r="F766" s="489" t="s">
        <v>987</v>
      </c>
      <c r="G766" s="488" t="s">
        <v>284</v>
      </c>
      <c r="H766" s="489"/>
      <c r="I766" s="489"/>
      <c r="J766" s="489" t="s">
        <v>788</v>
      </c>
      <c r="K766" s="491"/>
      <c r="L766" s="488"/>
      <c r="M766" s="488"/>
      <c r="N766" s="489"/>
      <c r="O766" s="489"/>
      <c r="P766" s="489"/>
      <c r="Q766" s="489"/>
      <c r="R766" s="490"/>
      <c r="S766" s="489"/>
      <c r="T766" s="488" t="s">
        <v>268</v>
      </c>
    </row>
    <row r="767" ht="34.5">
      <c r="A767" s="488" t="s">
        <v>980</v>
      </c>
      <c r="B767" s="488" t="s">
        <v>981</v>
      </c>
      <c r="C767" s="488" t="s">
        <v>262</v>
      </c>
      <c r="D767" s="488" t="s">
        <v>263</v>
      </c>
      <c r="E767" s="488" t="s">
        <v>282</v>
      </c>
      <c r="F767" s="489" t="s">
        <v>987</v>
      </c>
      <c r="G767" s="488" t="s">
        <v>284</v>
      </c>
      <c r="H767" s="489"/>
      <c r="I767" s="489"/>
      <c r="J767" s="489" t="s">
        <v>989</v>
      </c>
      <c r="K767" s="491"/>
      <c r="L767" s="488"/>
      <c r="M767" s="488"/>
      <c r="N767" s="489"/>
      <c r="O767" s="489"/>
      <c r="P767" s="489"/>
      <c r="Q767" s="489"/>
      <c r="R767" s="490"/>
      <c r="S767" s="489"/>
      <c r="T767" s="488" t="s">
        <v>268</v>
      </c>
    </row>
    <row r="768" ht="34.5">
      <c r="A768" s="488" t="s">
        <v>980</v>
      </c>
      <c r="B768" s="488" t="s">
        <v>981</v>
      </c>
      <c r="C768" s="488" t="s">
        <v>262</v>
      </c>
      <c r="D768" s="488" t="s">
        <v>263</v>
      </c>
      <c r="E768" s="488" t="s">
        <v>282</v>
      </c>
      <c r="F768" s="489" t="s">
        <v>987</v>
      </c>
      <c r="G768" s="488" t="s">
        <v>284</v>
      </c>
      <c r="H768" s="489"/>
      <c r="I768" s="489"/>
      <c r="J768" s="489" t="s">
        <v>990</v>
      </c>
      <c r="K768" s="491"/>
      <c r="L768" s="488"/>
      <c r="M768" s="488"/>
      <c r="N768" s="489"/>
      <c r="O768" s="489"/>
      <c r="P768" s="489"/>
      <c r="Q768" s="489"/>
      <c r="R768" s="490"/>
      <c r="S768" s="489"/>
      <c r="T768" s="488" t="s">
        <v>268</v>
      </c>
    </row>
    <row r="769" ht="34.5">
      <c r="A769" s="488" t="s">
        <v>980</v>
      </c>
      <c r="B769" s="488" t="s">
        <v>981</v>
      </c>
      <c r="C769" s="488" t="s">
        <v>262</v>
      </c>
      <c r="D769" s="488" t="s">
        <v>263</v>
      </c>
      <c r="E769" s="488" t="s">
        <v>282</v>
      </c>
      <c r="F769" s="489" t="s">
        <v>987</v>
      </c>
      <c r="G769" s="488" t="s">
        <v>284</v>
      </c>
      <c r="H769" s="489"/>
      <c r="I769" s="489"/>
      <c r="J769" s="489" t="s">
        <v>991</v>
      </c>
      <c r="K769" s="491"/>
      <c r="L769" s="488"/>
      <c r="M769" s="488"/>
      <c r="N769" s="489"/>
      <c r="O769" s="489"/>
      <c r="P769" s="489"/>
      <c r="Q769" s="489"/>
      <c r="R769" s="490"/>
      <c r="S769" s="489"/>
      <c r="T769" s="488" t="s">
        <v>268</v>
      </c>
    </row>
    <row r="770" ht="34.5">
      <c r="A770" s="488" t="s">
        <v>980</v>
      </c>
      <c r="B770" s="488" t="s">
        <v>981</v>
      </c>
      <c r="C770" s="488" t="s">
        <v>262</v>
      </c>
      <c r="D770" s="488" t="s">
        <v>263</v>
      </c>
      <c r="E770" s="488" t="s">
        <v>282</v>
      </c>
      <c r="F770" s="489" t="s">
        <v>987</v>
      </c>
      <c r="G770" s="488" t="s">
        <v>284</v>
      </c>
      <c r="H770" s="489"/>
      <c r="I770" s="489"/>
      <c r="J770" s="489" t="s">
        <v>992</v>
      </c>
      <c r="K770" s="491"/>
      <c r="L770" s="488"/>
      <c r="M770" s="488"/>
      <c r="N770" s="489"/>
      <c r="O770" s="489"/>
      <c r="P770" s="489"/>
      <c r="Q770" s="489"/>
      <c r="R770" s="490"/>
      <c r="S770" s="489"/>
      <c r="T770" s="488" t="s">
        <v>268</v>
      </c>
    </row>
    <row r="771" ht="34.5">
      <c r="A771" s="488" t="s">
        <v>980</v>
      </c>
      <c r="B771" s="488" t="s">
        <v>981</v>
      </c>
      <c r="C771" s="488" t="s">
        <v>276</v>
      </c>
      <c r="D771" s="488" t="s">
        <v>263</v>
      </c>
      <c r="E771" s="488" t="s">
        <v>282</v>
      </c>
      <c r="F771" s="489" t="s">
        <v>993</v>
      </c>
      <c r="G771" s="488" t="s">
        <v>284</v>
      </c>
      <c r="H771" s="489"/>
      <c r="I771" s="489"/>
      <c r="J771" s="489" t="s">
        <v>299</v>
      </c>
      <c r="K771" s="491"/>
      <c r="L771" s="488"/>
      <c r="M771" s="488"/>
      <c r="N771" s="489"/>
      <c r="O771" s="489"/>
      <c r="P771" s="489"/>
      <c r="Q771" s="489"/>
      <c r="R771" s="490"/>
      <c r="S771" s="489"/>
      <c r="T771" s="488" t="s">
        <v>268</v>
      </c>
    </row>
    <row r="772" ht="34.5">
      <c r="A772" s="488" t="s">
        <v>980</v>
      </c>
      <c r="B772" s="488" t="s">
        <v>981</v>
      </c>
      <c r="C772" s="488" t="s">
        <v>276</v>
      </c>
      <c r="D772" s="488" t="s">
        <v>263</v>
      </c>
      <c r="E772" s="488" t="s">
        <v>282</v>
      </c>
      <c r="F772" s="489" t="s">
        <v>993</v>
      </c>
      <c r="G772" s="488" t="s">
        <v>284</v>
      </c>
      <c r="H772" s="489"/>
      <c r="I772" s="489"/>
      <c r="J772" s="489" t="s">
        <v>994</v>
      </c>
      <c r="K772" s="491"/>
      <c r="L772" s="488"/>
      <c r="M772" s="488"/>
      <c r="N772" s="489"/>
      <c r="O772" s="489"/>
      <c r="P772" s="489"/>
      <c r="Q772" s="489"/>
      <c r="R772" s="490"/>
      <c r="S772" s="489"/>
      <c r="T772" s="488" t="s">
        <v>268</v>
      </c>
    </row>
    <row r="773" ht="34.5">
      <c r="A773" s="488" t="s">
        <v>980</v>
      </c>
      <c r="B773" s="488" t="s">
        <v>981</v>
      </c>
      <c r="C773" s="488" t="s">
        <v>276</v>
      </c>
      <c r="D773" s="488" t="s">
        <v>263</v>
      </c>
      <c r="E773" s="488" t="s">
        <v>282</v>
      </c>
      <c r="F773" s="489" t="s">
        <v>993</v>
      </c>
      <c r="G773" s="488" t="s">
        <v>284</v>
      </c>
      <c r="H773" s="489"/>
      <c r="I773" s="489"/>
      <c r="J773" s="489" t="s">
        <v>995</v>
      </c>
      <c r="K773" s="491"/>
      <c r="L773" s="488"/>
      <c r="M773" s="488"/>
      <c r="N773" s="489"/>
      <c r="O773" s="489"/>
      <c r="P773" s="489"/>
      <c r="Q773" s="489"/>
      <c r="R773" s="490"/>
      <c r="S773" s="489"/>
      <c r="T773" s="488" t="s">
        <v>268</v>
      </c>
    </row>
    <row r="774" ht="34.5">
      <c r="A774" s="488" t="s">
        <v>980</v>
      </c>
      <c r="B774" s="488" t="s">
        <v>981</v>
      </c>
      <c r="C774" s="488" t="s">
        <v>276</v>
      </c>
      <c r="D774" s="488" t="s">
        <v>263</v>
      </c>
      <c r="E774" s="488" t="s">
        <v>282</v>
      </c>
      <c r="F774" s="489" t="s">
        <v>993</v>
      </c>
      <c r="G774" s="488" t="s">
        <v>284</v>
      </c>
      <c r="H774" s="489"/>
      <c r="I774" s="489"/>
      <c r="J774" s="489" t="s">
        <v>996</v>
      </c>
      <c r="K774" s="491"/>
      <c r="L774" s="488"/>
      <c r="M774" s="488"/>
      <c r="N774" s="489"/>
      <c r="O774" s="489"/>
      <c r="P774" s="489"/>
      <c r="Q774" s="489"/>
      <c r="R774" s="490"/>
      <c r="S774" s="489"/>
      <c r="T774" s="488" t="s">
        <v>268</v>
      </c>
    </row>
    <row r="775" ht="34.5">
      <c r="A775" s="488" t="s">
        <v>980</v>
      </c>
      <c r="B775" s="488" t="s">
        <v>981</v>
      </c>
      <c r="C775" s="488" t="s">
        <v>276</v>
      </c>
      <c r="D775" s="488" t="s">
        <v>263</v>
      </c>
      <c r="E775" s="488" t="s">
        <v>282</v>
      </c>
      <c r="F775" s="489" t="s">
        <v>993</v>
      </c>
      <c r="G775" s="488" t="s">
        <v>284</v>
      </c>
      <c r="H775" s="489"/>
      <c r="I775" s="489"/>
      <c r="J775" s="489" t="s">
        <v>997</v>
      </c>
      <c r="K775" s="491"/>
      <c r="L775" s="488"/>
      <c r="M775" s="488"/>
      <c r="N775" s="489"/>
      <c r="O775" s="489"/>
      <c r="P775" s="489"/>
      <c r="Q775" s="489"/>
      <c r="R775" s="490"/>
      <c r="S775" s="489"/>
      <c r="T775" s="488" t="s">
        <v>268</v>
      </c>
    </row>
    <row r="776" ht="34.5">
      <c r="A776" s="488" t="s">
        <v>980</v>
      </c>
      <c r="B776" s="488" t="s">
        <v>981</v>
      </c>
      <c r="C776" s="488" t="s">
        <v>276</v>
      </c>
      <c r="D776" s="488" t="s">
        <v>263</v>
      </c>
      <c r="E776" s="488" t="s">
        <v>282</v>
      </c>
      <c r="F776" s="489" t="s">
        <v>993</v>
      </c>
      <c r="G776" s="488" t="s">
        <v>284</v>
      </c>
      <c r="H776" s="489"/>
      <c r="I776" s="489"/>
      <c r="J776" s="489" t="s">
        <v>998</v>
      </c>
      <c r="K776" s="491"/>
      <c r="L776" s="488"/>
      <c r="M776" s="488"/>
      <c r="N776" s="489"/>
      <c r="O776" s="489"/>
      <c r="P776" s="489"/>
      <c r="Q776" s="489"/>
      <c r="R776" s="490"/>
      <c r="S776" s="489"/>
      <c r="T776" s="488" t="s">
        <v>268</v>
      </c>
    </row>
    <row r="777" ht="34.5">
      <c r="A777" s="488" t="s">
        <v>980</v>
      </c>
      <c r="B777" s="488" t="s">
        <v>981</v>
      </c>
      <c r="C777" s="488" t="s">
        <v>276</v>
      </c>
      <c r="D777" s="488" t="s">
        <v>263</v>
      </c>
      <c r="E777" s="488" t="s">
        <v>282</v>
      </c>
      <c r="F777" s="489" t="s">
        <v>993</v>
      </c>
      <c r="G777" s="488" t="s">
        <v>284</v>
      </c>
      <c r="H777" s="489"/>
      <c r="I777" s="489"/>
      <c r="J777" s="489" t="s">
        <v>300</v>
      </c>
      <c r="K777" s="491"/>
      <c r="L777" s="488"/>
      <c r="M777" s="488"/>
      <c r="N777" s="489"/>
      <c r="O777" s="489"/>
      <c r="P777" s="489"/>
      <c r="Q777" s="489"/>
      <c r="R777" s="490"/>
      <c r="S777" s="489"/>
      <c r="T777" s="488" t="s">
        <v>268</v>
      </c>
    </row>
    <row r="778" ht="34.5">
      <c r="A778" s="488" t="s">
        <v>980</v>
      </c>
      <c r="B778" s="488" t="s">
        <v>981</v>
      </c>
      <c r="C778" s="488" t="s">
        <v>276</v>
      </c>
      <c r="D778" s="488" t="s">
        <v>263</v>
      </c>
      <c r="E778" s="488" t="s">
        <v>282</v>
      </c>
      <c r="F778" s="489" t="s">
        <v>993</v>
      </c>
      <c r="G778" s="488" t="s">
        <v>284</v>
      </c>
      <c r="H778" s="489"/>
      <c r="I778" s="489"/>
      <c r="J778" s="489" t="s">
        <v>999</v>
      </c>
      <c r="K778" s="491"/>
      <c r="L778" s="488"/>
      <c r="M778" s="488"/>
      <c r="N778" s="489"/>
      <c r="O778" s="489"/>
      <c r="P778" s="489"/>
      <c r="Q778" s="489"/>
      <c r="R778" s="490"/>
      <c r="S778" s="489"/>
      <c r="T778" s="488" t="s">
        <v>268</v>
      </c>
    </row>
    <row r="779" ht="34.5">
      <c r="A779" s="488" t="s">
        <v>980</v>
      </c>
      <c r="B779" s="488" t="s">
        <v>981</v>
      </c>
      <c r="C779" s="488" t="s">
        <v>276</v>
      </c>
      <c r="D779" s="488" t="s">
        <v>263</v>
      </c>
      <c r="E779" s="488" t="s">
        <v>282</v>
      </c>
      <c r="F779" s="489" t="s">
        <v>993</v>
      </c>
      <c r="G779" s="488" t="s">
        <v>284</v>
      </c>
      <c r="H779" s="489"/>
      <c r="I779" s="489"/>
      <c r="J779" s="489" t="s">
        <v>1000</v>
      </c>
      <c r="K779" s="491"/>
      <c r="L779" s="488"/>
      <c r="M779" s="488"/>
      <c r="N779" s="489"/>
      <c r="O779" s="489"/>
      <c r="P779" s="489"/>
      <c r="Q779" s="489"/>
      <c r="R779" s="490"/>
      <c r="S779" s="489"/>
      <c r="T779" s="488" t="s">
        <v>268</v>
      </c>
    </row>
    <row r="780" ht="34.5">
      <c r="A780" s="488" t="s">
        <v>980</v>
      </c>
      <c r="B780" s="488" t="s">
        <v>981</v>
      </c>
      <c r="C780" s="488" t="s">
        <v>276</v>
      </c>
      <c r="D780" s="488" t="s">
        <v>263</v>
      </c>
      <c r="E780" s="488" t="s">
        <v>282</v>
      </c>
      <c r="F780" s="489" t="s">
        <v>993</v>
      </c>
      <c r="G780" s="488" t="s">
        <v>284</v>
      </c>
      <c r="H780" s="489"/>
      <c r="I780" s="489"/>
      <c r="J780" s="489" t="s">
        <v>1001</v>
      </c>
      <c r="K780" s="491"/>
      <c r="L780" s="488"/>
      <c r="M780" s="488"/>
      <c r="N780" s="489"/>
      <c r="O780" s="489"/>
      <c r="P780" s="489"/>
      <c r="Q780" s="489"/>
      <c r="R780" s="490"/>
      <c r="S780" s="489"/>
      <c r="T780" s="488" t="s">
        <v>268</v>
      </c>
    </row>
    <row r="781" ht="34.5">
      <c r="A781" s="488" t="s">
        <v>980</v>
      </c>
      <c r="B781" s="488" t="s">
        <v>981</v>
      </c>
      <c r="C781" s="488" t="s">
        <v>276</v>
      </c>
      <c r="D781" s="488" t="s">
        <v>263</v>
      </c>
      <c r="E781" s="488" t="s">
        <v>282</v>
      </c>
      <c r="F781" s="489" t="s">
        <v>993</v>
      </c>
      <c r="G781" s="488" t="s">
        <v>284</v>
      </c>
      <c r="H781" s="489"/>
      <c r="I781" s="489"/>
      <c r="J781" s="489" t="s">
        <v>1002</v>
      </c>
      <c r="K781" s="491"/>
      <c r="L781" s="488"/>
      <c r="M781" s="488"/>
      <c r="N781" s="489"/>
      <c r="O781" s="489"/>
      <c r="P781" s="489"/>
      <c r="Q781" s="489"/>
      <c r="R781" s="490"/>
      <c r="S781" s="489"/>
      <c r="T781" s="488" t="s">
        <v>268</v>
      </c>
    </row>
    <row r="782" ht="34.5">
      <c r="A782" s="488" t="s">
        <v>980</v>
      </c>
      <c r="B782" s="488" t="s">
        <v>981</v>
      </c>
      <c r="C782" s="488" t="s">
        <v>287</v>
      </c>
      <c r="D782" s="488" t="s">
        <v>263</v>
      </c>
      <c r="E782" s="488" t="s">
        <v>282</v>
      </c>
      <c r="F782" s="489" t="s">
        <v>993</v>
      </c>
      <c r="G782" s="488" t="s">
        <v>284</v>
      </c>
      <c r="H782" s="489"/>
      <c r="I782" s="489"/>
      <c r="J782" s="489" t="s">
        <v>1003</v>
      </c>
      <c r="K782" s="491"/>
      <c r="L782" s="488"/>
      <c r="M782" s="488"/>
      <c r="N782" s="489"/>
      <c r="O782" s="489"/>
      <c r="P782" s="489"/>
      <c r="Q782" s="489"/>
      <c r="R782" s="490"/>
      <c r="S782" s="489"/>
      <c r="T782" s="488" t="s">
        <v>268</v>
      </c>
    </row>
    <row r="783" ht="34.5">
      <c r="A783" s="488" t="s">
        <v>980</v>
      </c>
      <c r="B783" s="488" t="s">
        <v>981</v>
      </c>
      <c r="C783" s="488" t="s">
        <v>287</v>
      </c>
      <c r="D783" s="488" t="s">
        <v>263</v>
      </c>
      <c r="E783" s="488" t="s">
        <v>282</v>
      </c>
      <c r="F783" s="489" t="s">
        <v>993</v>
      </c>
      <c r="G783" s="488" t="s">
        <v>284</v>
      </c>
      <c r="H783" s="489"/>
      <c r="I783" s="489"/>
      <c r="J783" s="489" t="s">
        <v>1004</v>
      </c>
      <c r="K783" s="491"/>
      <c r="L783" s="488"/>
      <c r="M783" s="488"/>
      <c r="N783" s="489"/>
      <c r="O783" s="489"/>
      <c r="P783" s="489"/>
      <c r="Q783" s="489"/>
      <c r="R783" s="490"/>
      <c r="S783" s="489"/>
      <c r="T783" s="488" t="s">
        <v>268</v>
      </c>
    </row>
    <row r="784" ht="34.5">
      <c r="A784" s="488" t="s">
        <v>980</v>
      </c>
      <c r="B784" s="488" t="s">
        <v>981</v>
      </c>
      <c r="C784" s="488" t="s">
        <v>287</v>
      </c>
      <c r="D784" s="488" t="s">
        <v>263</v>
      </c>
      <c r="E784" s="488" t="s">
        <v>282</v>
      </c>
      <c r="F784" s="489" t="s">
        <v>993</v>
      </c>
      <c r="G784" s="488" t="s">
        <v>284</v>
      </c>
      <c r="H784" s="489"/>
      <c r="I784" s="489"/>
      <c r="J784" s="489" t="s">
        <v>1005</v>
      </c>
      <c r="K784" s="491"/>
      <c r="L784" s="488"/>
      <c r="M784" s="488"/>
      <c r="N784" s="489"/>
      <c r="O784" s="489"/>
      <c r="P784" s="489"/>
      <c r="Q784" s="489"/>
      <c r="R784" s="490"/>
      <c r="S784" s="489"/>
      <c r="T784" s="488" t="s">
        <v>268</v>
      </c>
    </row>
    <row r="785" ht="34.5">
      <c r="A785" s="488" t="s">
        <v>980</v>
      </c>
      <c r="B785" s="488" t="s">
        <v>981</v>
      </c>
      <c r="C785" s="488" t="s">
        <v>287</v>
      </c>
      <c r="D785" s="488" t="s">
        <v>263</v>
      </c>
      <c r="E785" s="488" t="s">
        <v>282</v>
      </c>
      <c r="F785" s="489" t="s">
        <v>993</v>
      </c>
      <c r="G785" s="488" t="s">
        <v>284</v>
      </c>
      <c r="H785" s="489"/>
      <c r="I785" s="489"/>
      <c r="J785" s="489" t="s">
        <v>1006</v>
      </c>
      <c r="K785" s="491"/>
      <c r="L785" s="488"/>
      <c r="M785" s="488"/>
      <c r="N785" s="489"/>
      <c r="O785" s="489"/>
      <c r="P785" s="489"/>
      <c r="Q785" s="489"/>
      <c r="R785" s="490"/>
      <c r="S785" s="489"/>
      <c r="T785" s="488" t="s">
        <v>268</v>
      </c>
    </row>
    <row r="786" ht="34.5">
      <c r="A786" s="488" t="s">
        <v>980</v>
      </c>
      <c r="B786" s="488" t="s">
        <v>981</v>
      </c>
      <c r="C786" s="488" t="s">
        <v>287</v>
      </c>
      <c r="D786" s="488" t="s">
        <v>263</v>
      </c>
      <c r="E786" s="488" t="s">
        <v>282</v>
      </c>
      <c r="F786" s="489" t="s">
        <v>993</v>
      </c>
      <c r="G786" s="488" t="s">
        <v>284</v>
      </c>
      <c r="H786" s="489"/>
      <c r="I786" s="489"/>
      <c r="J786" s="489" t="s">
        <v>1007</v>
      </c>
      <c r="K786" s="491"/>
      <c r="L786" s="488"/>
      <c r="M786" s="488"/>
      <c r="N786" s="489"/>
      <c r="O786" s="489"/>
      <c r="P786" s="489"/>
      <c r="Q786" s="489"/>
      <c r="R786" s="490"/>
      <c r="S786" s="489"/>
      <c r="T786" s="488" t="s">
        <v>268</v>
      </c>
    </row>
    <row r="787" ht="34.5">
      <c r="A787" s="488" t="s">
        <v>980</v>
      </c>
      <c r="B787" s="488" t="s">
        <v>981</v>
      </c>
      <c r="C787" s="488" t="s">
        <v>287</v>
      </c>
      <c r="D787" s="488" t="s">
        <v>263</v>
      </c>
      <c r="E787" s="488" t="s">
        <v>282</v>
      </c>
      <c r="F787" s="489" t="s">
        <v>993</v>
      </c>
      <c r="G787" s="488" t="s">
        <v>284</v>
      </c>
      <c r="H787" s="489"/>
      <c r="I787" s="489"/>
      <c r="J787" s="489" t="s">
        <v>1008</v>
      </c>
      <c r="K787" s="491"/>
      <c r="L787" s="488"/>
      <c r="M787" s="488"/>
      <c r="N787" s="489"/>
      <c r="O787" s="489"/>
      <c r="P787" s="489"/>
      <c r="Q787" s="489"/>
      <c r="R787" s="490"/>
      <c r="S787" s="489"/>
      <c r="T787" s="488" t="s">
        <v>268</v>
      </c>
    </row>
    <row r="788" ht="34.5">
      <c r="A788" s="488" t="s">
        <v>980</v>
      </c>
      <c r="B788" s="488" t="s">
        <v>981</v>
      </c>
      <c r="C788" s="488" t="s">
        <v>298</v>
      </c>
      <c r="D788" s="488" t="s">
        <v>263</v>
      </c>
      <c r="E788" s="488" t="s">
        <v>282</v>
      </c>
      <c r="F788" s="489" t="s">
        <v>993</v>
      </c>
      <c r="G788" s="488" t="s">
        <v>284</v>
      </c>
      <c r="H788" s="489"/>
      <c r="I788" s="489"/>
      <c r="J788" s="489" t="s">
        <v>1009</v>
      </c>
      <c r="K788" s="491"/>
      <c r="L788" s="488"/>
      <c r="M788" s="488"/>
      <c r="N788" s="489"/>
      <c r="O788" s="489"/>
      <c r="P788" s="489"/>
      <c r="Q788" s="489"/>
      <c r="R788" s="490"/>
      <c r="S788" s="489"/>
      <c r="T788" s="488" t="s">
        <v>268</v>
      </c>
    </row>
    <row r="789" ht="34.5">
      <c r="A789" s="488" t="s">
        <v>980</v>
      </c>
      <c r="B789" s="488" t="s">
        <v>981</v>
      </c>
      <c r="C789" s="488" t="s">
        <v>298</v>
      </c>
      <c r="D789" s="488" t="s">
        <v>263</v>
      </c>
      <c r="E789" s="488" t="s">
        <v>282</v>
      </c>
      <c r="F789" s="489" t="s">
        <v>993</v>
      </c>
      <c r="G789" s="488" t="s">
        <v>284</v>
      </c>
      <c r="H789" s="489"/>
      <c r="I789" s="489"/>
      <c r="J789" s="489" t="s">
        <v>1010</v>
      </c>
      <c r="K789" s="491"/>
      <c r="L789" s="488"/>
      <c r="M789" s="488"/>
      <c r="N789" s="489"/>
      <c r="O789" s="489"/>
      <c r="P789" s="489"/>
      <c r="Q789" s="489"/>
      <c r="R789" s="490"/>
      <c r="S789" s="489"/>
      <c r="T789" s="488" t="s">
        <v>268</v>
      </c>
    </row>
    <row r="790" ht="34.5">
      <c r="A790" s="488" t="s">
        <v>980</v>
      </c>
      <c r="B790" s="488" t="s">
        <v>981</v>
      </c>
      <c r="C790" s="488" t="s">
        <v>298</v>
      </c>
      <c r="D790" s="488" t="s">
        <v>263</v>
      </c>
      <c r="E790" s="488" t="s">
        <v>282</v>
      </c>
      <c r="F790" s="489" t="s">
        <v>993</v>
      </c>
      <c r="G790" s="488" t="s">
        <v>284</v>
      </c>
      <c r="H790" s="489"/>
      <c r="I790" s="489"/>
      <c r="J790" s="489" t="s">
        <v>1011</v>
      </c>
      <c r="K790" s="491"/>
      <c r="L790" s="488"/>
      <c r="M790" s="488"/>
      <c r="N790" s="489"/>
      <c r="O790" s="489"/>
      <c r="P790" s="489"/>
      <c r="Q790" s="489"/>
      <c r="R790" s="490"/>
      <c r="S790" s="489"/>
      <c r="T790" s="488" t="s">
        <v>268</v>
      </c>
    </row>
    <row r="791" ht="34.5">
      <c r="A791" s="488" t="s">
        <v>980</v>
      </c>
      <c r="B791" s="488" t="s">
        <v>981</v>
      </c>
      <c r="C791" s="488" t="s">
        <v>298</v>
      </c>
      <c r="D791" s="488" t="s">
        <v>263</v>
      </c>
      <c r="E791" s="488" t="s">
        <v>282</v>
      </c>
      <c r="F791" s="489" t="s">
        <v>993</v>
      </c>
      <c r="G791" s="488" t="s">
        <v>284</v>
      </c>
      <c r="H791" s="489"/>
      <c r="I791" s="489"/>
      <c r="J791" s="489" t="s">
        <v>1012</v>
      </c>
      <c r="K791" s="491"/>
      <c r="L791" s="488"/>
      <c r="M791" s="488"/>
      <c r="N791" s="489"/>
      <c r="O791" s="489"/>
      <c r="P791" s="489"/>
      <c r="Q791" s="489"/>
      <c r="R791" s="490"/>
      <c r="S791" s="489"/>
      <c r="T791" s="488" t="s">
        <v>268</v>
      </c>
    </row>
    <row r="792" ht="34.5">
      <c r="A792" s="488" t="s">
        <v>980</v>
      </c>
      <c r="B792" s="488" t="s">
        <v>981</v>
      </c>
      <c r="C792" s="488" t="s">
        <v>298</v>
      </c>
      <c r="D792" s="488" t="s">
        <v>263</v>
      </c>
      <c r="E792" s="488" t="s">
        <v>282</v>
      </c>
      <c r="F792" s="489" t="s">
        <v>993</v>
      </c>
      <c r="G792" s="488" t="s">
        <v>284</v>
      </c>
      <c r="H792" s="489"/>
      <c r="I792" s="489"/>
      <c r="J792" s="489" t="s">
        <v>1013</v>
      </c>
      <c r="K792" s="491"/>
      <c r="L792" s="488"/>
      <c r="M792" s="488"/>
      <c r="N792" s="489"/>
      <c r="O792" s="489"/>
      <c r="P792" s="489"/>
      <c r="Q792" s="489"/>
      <c r="R792" s="490"/>
      <c r="S792" s="489"/>
      <c r="T792" s="488" t="s">
        <v>268</v>
      </c>
    </row>
    <row r="793" ht="34.5">
      <c r="A793" s="488" t="s">
        <v>980</v>
      </c>
      <c r="B793" s="488" t="s">
        <v>981</v>
      </c>
      <c r="C793" s="488" t="s">
        <v>298</v>
      </c>
      <c r="D793" s="488" t="s">
        <v>263</v>
      </c>
      <c r="E793" s="488" t="s">
        <v>282</v>
      </c>
      <c r="F793" s="489" t="s">
        <v>993</v>
      </c>
      <c r="G793" s="488" t="s">
        <v>284</v>
      </c>
      <c r="H793" s="489"/>
      <c r="I793" s="489"/>
      <c r="J793" s="489" t="s">
        <v>1014</v>
      </c>
      <c r="K793" s="491"/>
      <c r="L793" s="488"/>
      <c r="M793" s="488"/>
      <c r="N793" s="489"/>
      <c r="O793" s="489"/>
      <c r="P793" s="489"/>
      <c r="Q793" s="489"/>
      <c r="R793" s="490"/>
      <c r="S793" s="489"/>
      <c r="T793" s="488" t="s">
        <v>268</v>
      </c>
    </row>
    <row r="794" ht="34.5">
      <c r="A794" s="488" t="s">
        <v>980</v>
      </c>
      <c r="B794" s="488" t="s">
        <v>981</v>
      </c>
      <c r="C794" s="488" t="s">
        <v>298</v>
      </c>
      <c r="D794" s="488" t="s">
        <v>263</v>
      </c>
      <c r="E794" s="488" t="s">
        <v>282</v>
      </c>
      <c r="F794" s="489" t="s">
        <v>993</v>
      </c>
      <c r="G794" s="488" t="s">
        <v>284</v>
      </c>
      <c r="H794" s="489"/>
      <c r="I794" s="489"/>
      <c r="J794" s="489" t="s">
        <v>1015</v>
      </c>
      <c r="K794" s="491"/>
      <c r="L794" s="488"/>
      <c r="M794" s="488"/>
      <c r="N794" s="489"/>
      <c r="O794" s="489"/>
      <c r="P794" s="489"/>
      <c r="Q794" s="489"/>
      <c r="R794" s="490"/>
      <c r="S794" s="489"/>
      <c r="T794" s="488" t="s">
        <v>268</v>
      </c>
    </row>
    <row r="795" ht="34.5">
      <c r="A795" s="488" t="s">
        <v>980</v>
      </c>
      <c r="B795" s="488" t="s">
        <v>981</v>
      </c>
      <c r="C795" s="488" t="s">
        <v>308</v>
      </c>
      <c r="D795" s="488" t="s">
        <v>263</v>
      </c>
      <c r="E795" s="488" t="s">
        <v>282</v>
      </c>
      <c r="F795" s="489" t="s">
        <v>993</v>
      </c>
      <c r="G795" s="488" t="s">
        <v>284</v>
      </c>
      <c r="H795" s="489"/>
      <c r="I795" s="489"/>
      <c r="J795" s="489" t="s">
        <v>801</v>
      </c>
      <c r="K795" s="491"/>
      <c r="L795" s="488"/>
      <c r="M795" s="488"/>
      <c r="N795" s="489"/>
      <c r="O795" s="489"/>
      <c r="P795" s="489"/>
      <c r="Q795" s="489"/>
      <c r="R795" s="490"/>
      <c r="S795" s="489"/>
      <c r="T795" s="488" t="s">
        <v>268</v>
      </c>
    </row>
    <row r="796" ht="34.5">
      <c r="A796" s="488" t="s">
        <v>980</v>
      </c>
      <c r="B796" s="488" t="s">
        <v>981</v>
      </c>
      <c r="C796" s="488" t="s">
        <v>308</v>
      </c>
      <c r="D796" s="488" t="s">
        <v>263</v>
      </c>
      <c r="E796" s="488" t="s">
        <v>282</v>
      </c>
      <c r="F796" s="489" t="s">
        <v>993</v>
      </c>
      <c r="G796" s="488" t="s">
        <v>284</v>
      </c>
      <c r="H796" s="489"/>
      <c r="I796" s="489"/>
      <c r="J796" s="489" t="s">
        <v>307</v>
      </c>
      <c r="K796" s="491"/>
      <c r="L796" s="488"/>
      <c r="M796" s="488"/>
      <c r="N796" s="489"/>
      <c r="O796" s="489"/>
      <c r="P796" s="489"/>
      <c r="Q796" s="489"/>
      <c r="R796" s="490"/>
      <c r="S796" s="489"/>
      <c r="T796" s="488" t="s">
        <v>268</v>
      </c>
    </row>
    <row r="797" ht="34.5">
      <c r="A797" s="488" t="s">
        <v>980</v>
      </c>
      <c r="B797" s="488" t="s">
        <v>981</v>
      </c>
      <c r="C797" s="488" t="s">
        <v>308</v>
      </c>
      <c r="D797" s="488" t="s">
        <v>263</v>
      </c>
      <c r="E797" s="488" t="s">
        <v>282</v>
      </c>
      <c r="F797" s="489" t="s">
        <v>993</v>
      </c>
      <c r="G797" s="488" t="s">
        <v>284</v>
      </c>
      <c r="H797" s="489"/>
      <c r="I797" s="489"/>
      <c r="J797" s="489" t="s">
        <v>802</v>
      </c>
      <c r="K797" s="491"/>
      <c r="L797" s="488"/>
      <c r="M797" s="488"/>
      <c r="N797" s="489"/>
      <c r="O797" s="489"/>
      <c r="P797" s="489"/>
      <c r="Q797" s="489"/>
      <c r="R797" s="490"/>
      <c r="S797" s="489"/>
      <c r="T797" s="488" t="s">
        <v>268</v>
      </c>
    </row>
    <row r="798" ht="34.5">
      <c r="A798" s="488" t="s">
        <v>980</v>
      </c>
      <c r="B798" s="488" t="s">
        <v>981</v>
      </c>
      <c r="C798" s="488" t="s">
        <v>308</v>
      </c>
      <c r="D798" s="488" t="s">
        <v>263</v>
      </c>
      <c r="E798" s="488" t="s">
        <v>282</v>
      </c>
      <c r="F798" s="489" t="s">
        <v>993</v>
      </c>
      <c r="G798" s="488" t="s">
        <v>284</v>
      </c>
      <c r="H798" s="489"/>
      <c r="I798" s="489"/>
      <c r="J798" s="489" t="s">
        <v>1016</v>
      </c>
      <c r="K798" s="491"/>
      <c r="L798" s="488"/>
      <c r="M798" s="488"/>
      <c r="N798" s="489"/>
      <c r="O798" s="489"/>
      <c r="P798" s="489"/>
      <c r="Q798" s="489"/>
      <c r="R798" s="490"/>
      <c r="S798" s="489"/>
      <c r="T798" s="488" t="s">
        <v>268</v>
      </c>
    </row>
    <row r="799" ht="34.5">
      <c r="A799" s="488" t="s">
        <v>980</v>
      </c>
      <c r="B799" s="488" t="s">
        <v>981</v>
      </c>
      <c r="C799" s="488" t="s">
        <v>308</v>
      </c>
      <c r="D799" s="488" t="s">
        <v>263</v>
      </c>
      <c r="E799" s="488" t="s">
        <v>282</v>
      </c>
      <c r="F799" s="489" t="s">
        <v>993</v>
      </c>
      <c r="G799" s="488" t="s">
        <v>284</v>
      </c>
      <c r="H799" s="489"/>
      <c r="I799" s="489"/>
      <c r="J799" s="489" t="s">
        <v>312</v>
      </c>
      <c r="K799" s="491"/>
      <c r="L799" s="488"/>
      <c r="M799" s="488"/>
      <c r="N799" s="489"/>
      <c r="O799" s="489"/>
      <c r="P799" s="489"/>
      <c r="Q799" s="489"/>
      <c r="R799" s="490"/>
      <c r="S799" s="489"/>
      <c r="T799" s="488" t="s">
        <v>268</v>
      </c>
    </row>
    <row r="800" ht="34.5">
      <c r="A800" s="488" t="s">
        <v>980</v>
      </c>
      <c r="B800" s="488" t="s">
        <v>981</v>
      </c>
      <c r="C800" s="488" t="s">
        <v>308</v>
      </c>
      <c r="D800" s="488" t="s">
        <v>263</v>
      </c>
      <c r="E800" s="488" t="s">
        <v>282</v>
      </c>
      <c r="F800" s="489" t="s">
        <v>993</v>
      </c>
      <c r="G800" s="488" t="s">
        <v>284</v>
      </c>
      <c r="H800" s="489"/>
      <c r="I800" s="489"/>
      <c r="J800" s="489" t="s">
        <v>313</v>
      </c>
      <c r="K800" s="491"/>
      <c r="L800" s="488"/>
      <c r="M800" s="488"/>
      <c r="N800" s="489"/>
      <c r="O800" s="489"/>
      <c r="P800" s="489"/>
      <c r="Q800" s="489"/>
      <c r="R800" s="490"/>
      <c r="S800" s="489"/>
      <c r="T800" s="488" t="s">
        <v>268</v>
      </c>
    </row>
    <row r="801" ht="34.5">
      <c r="A801" s="488" t="s">
        <v>980</v>
      </c>
      <c r="B801" s="488" t="s">
        <v>981</v>
      </c>
      <c r="C801" s="488" t="s">
        <v>308</v>
      </c>
      <c r="D801" s="488" t="s">
        <v>263</v>
      </c>
      <c r="E801" s="488" t="s">
        <v>282</v>
      </c>
      <c r="F801" s="489" t="s">
        <v>993</v>
      </c>
      <c r="G801" s="488" t="s">
        <v>284</v>
      </c>
      <c r="H801" s="489"/>
      <c r="I801" s="489"/>
      <c r="J801" s="489" t="s">
        <v>314</v>
      </c>
      <c r="K801" s="491"/>
      <c r="L801" s="488"/>
      <c r="M801" s="488"/>
      <c r="N801" s="489"/>
      <c r="O801" s="489"/>
      <c r="P801" s="489"/>
      <c r="Q801" s="489"/>
      <c r="R801" s="490"/>
      <c r="S801" s="489"/>
      <c r="T801" s="488" t="s">
        <v>268</v>
      </c>
    </row>
    <row r="802" ht="34.5">
      <c r="A802" s="488" t="s">
        <v>980</v>
      </c>
      <c r="B802" s="488" t="s">
        <v>981</v>
      </c>
      <c r="C802" s="488" t="s">
        <v>308</v>
      </c>
      <c r="D802" s="488" t="s">
        <v>263</v>
      </c>
      <c r="E802" s="488" t="s">
        <v>282</v>
      </c>
      <c r="F802" s="489" t="s">
        <v>993</v>
      </c>
      <c r="G802" s="488" t="s">
        <v>284</v>
      </c>
      <c r="H802" s="489"/>
      <c r="I802" s="489"/>
      <c r="J802" s="489" t="s">
        <v>315</v>
      </c>
      <c r="K802" s="491"/>
      <c r="L802" s="488"/>
      <c r="M802" s="488"/>
      <c r="N802" s="489"/>
      <c r="O802" s="489"/>
      <c r="P802" s="489"/>
      <c r="Q802" s="489"/>
      <c r="R802" s="490"/>
      <c r="S802" s="489"/>
      <c r="T802" s="488" t="s">
        <v>268</v>
      </c>
    </row>
    <row r="803" ht="34.5">
      <c r="A803" s="488" t="s">
        <v>980</v>
      </c>
      <c r="B803" s="488" t="s">
        <v>981</v>
      </c>
      <c r="C803" s="488" t="s">
        <v>308</v>
      </c>
      <c r="D803" s="488" t="s">
        <v>263</v>
      </c>
      <c r="E803" s="488" t="s">
        <v>282</v>
      </c>
      <c r="F803" s="489" t="s">
        <v>993</v>
      </c>
      <c r="G803" s="488" t="s">
        <v>284</v>
      </c>
      <c r="H803" s="489"/>
      <c r="I803" s="489"/>
      <c r="J803" s="489" t="s">
        <v>1017</v>
      </c>
      <c r="K803" s="491"/>
      <c r="L803" s="488"/>
      <c r="M803" s="488"/>
      <c r="N803" s="489"/>
      <c r="O803" s="489"/>
      <c r="P803" s="489"/>
      <c r="Q803" s="489"/>
      <c r="R803" s="490"/>
      <c r="S803" s="489"/>
      <c r="T803" s="488" t="s">
        <v>268</v>
      </c>
    </row>
    <row r="804" ht="34.5">
      <c r="A804" s="488" t="s">
        <v>980</v>
      </c>
      <c r="B804" s="488" t="s">
        <v>981</v>
      </c>
      <c r="C804" s="488" t="s">
        <v>317</v>
      </c>
      <c r="D804" s="488" t="s">
        <v>263</v>
      </c>
      <c r="E804" s="488" t="s">
        <v>282</v>
      </c>
      <c r="F804" s="489" t="s">
        <v>993</v>
      </c>
      <c r="G804" s="488" t="s">
        <v>284</v>
      </c>
      <c r="H804" s="489"/>
      <c r="I804" s="489"/>
      <c r="J804" s="489" t="s">
        <v>318</v>
      </c>
      <c r="K804" s="491"/>
      <c r="L804" s="488"/>
      <c r="M804" s="488"/>
      <c r="N804" s="489"/>
      <c r="O804" s="489"/>
      <c r="P804" s="489"/>
      <c r="Q804" s="489"/>
      <c r="R804" s="490"/>
      <c r="S804" s="489"/>
      <c r="T804" s="488" t="s">
        <v>268</v>
      </c>
    </row>
    <row r="805" ht="34.5">
      <c r="A805" s="488" t="s">
        <v>980</v>
      </c>
      <c r="B805" s="488" t="s">
        <v>981</v>
      </c>
      <c r="C805" s="488" t="s">
        <v>317</v>
      </c>
      <c r="D805" s="488" t="s">
        <v>263</v>
      </c>
      <c r="E805" s="488" t="s">
        <v>282</v>
      </c>
      <c r="F805" s="489" t="s">
        <v>993</v>
      </c>
      <c r="G805" s="488" t="s">
        <v>284</v>
      </c>
      <c r="H805" s="489"/>
      <c r="I805" s="489"/>
      <c r="J805" s="489" t="s">
        <v>803</v>
      </c>
      <c r="K805" s="491"/>
      <c r="L805" s="488"/>
      <c r="M805" s="488"/>
      <c r="N805" s="489"/>
      <c r="O805" s="489"/>
      <c r="P805" s="489"/>
      <c r="Q805" s="489"/>
      <c r="R805" s="490"/>
      <c r="S805" s="489"/>
      <c r="T805" s="488" t="s">
        <v>268</v>
      </c>
    </row>
    <row r="806" ht="34.5">
      <c r="A806" s="488" t="s">
        <v>980</v>
      </c>
      <c r="B806" s="488" t="s">
        <v>981</v>
      </c>
      <c r="C806" s="488" t="s">
        <v>317</v>
      </c>
      <c r="D806" s="488" t="s">
        <v>263</v>
      </c>
      <c r="E806" s="488" t="s">
        <v>282</v>
      </c>
      <c r="F806" s="489" t="s">
        <v>993</v>
      </c>
      <c r="G806" s="488" t="s">
        <v>284</v>
      </c>
      <c r="H806" s="489"/>
      <c r="I806" s="489"/>
      <c r="J806" s="489" t="s">
        <v>316</v>
      </c>
      <c r="K806" s="491"/>
      <c r="L806" s="488"/>
      <c r="M806" s="488"/>
      <c r="N806" s="489"/>
      <c r="O806" s="489"/>
      <c r="P806" s="489"/>
      <c r="Q806" s="489"/>
      <c r="R806" s="490"/>
      <c r="S806" s="489"/>
      <c r="T806" s="488" t="s">
        <v>268</v>
      </c>
    </row>
    <row r="807" ht="34.5">
      <c r="A807" s="488" t="s">
        <v>980</v>
      </c>
      <c r="B807" s="488" t="s">
        <v>981</v>
      </c>
      <c r="C807" s="488" t="s">
        <v>317</v>
      </c>
      <c r="D807" s="488" t="s">
        <v>263</v>
      </c>
      <c r="E807" s="488" t="s">
        <v>282</v>
      </c>
      <c r="F807" s="489" t="s">
        <v>993</v>
      </c>
      <c r="G807" s="488" t="s">
        <v>284</v>
      </c>
      <c r="H807" s="489"/>
      <c r="I807" s="489"/>
      <c r="J807" s="489" t="s">
        <v>319</v>
      </c>
      <c r="K807" s="491"/>
      <c r="L807" s="488"/>
      <c r="M807" s="488"/>
      <c r="N807" s="489"/>
      <c r="O807" s="489"/>
      <c r="P807" s="489"/>
      <c r="Q807" s="489"/>
      <c r="R807" s="490"/>
      <c r="S807" s="489"/>
      <c r="T807" s="488" t="s">
        <v>268</v>
      </c>
    </row>
    <row r="808" ht="34.5">
      <c r="A808" s="488" t="s">
        <v>980</v>
      </c>
      <c r="B808" s="488" t="s">
        <v>981</v>
      </c>
      <c r="C808" s="488" t="s">
        <v>317</v>
      </c>
      <c r="D808" s="488" t="s">
        <v>263</v>
      </c>
      <c r="E808" s="488" t="s">
        <v>282</v>
      </c>
      <c r="F808" s="489" t="s">
        <v>993</v>
      </c>
      <c r="G808" s="488" t="s">
        <v>284</v>
      </c>
      <c r="H808" s="489"/>
      <c r="I808" s="489"/>
      <c r="J808" s="489" t="s">
        <v>1018</v>
      </c>
      <c r="K808" s="491"/>
      <c r="L808" s="488"/>
      <c r="M808" s="488"/>
      <c r="N808" s="489"/>
      <c r="O808" s="489"/>
      <c r="P808" s="489"/>
      <c r="Q808" s="489"/>
      <c r="R808" s="490"/>
      <c r="S808" s="489"/>
      <c r="T808" s="488" t="s">
        <v>268</v>
      </c>
    </row>
    <row r="809" ht="34.5">
      <c r="A809" s="488" t="s">
        <v>980</v>
      </c>
      <c r="B809" s="488" t="s">
        <v>981</v>
      </c>
      <c r="C809" s="488" t="s">
        <v>317</v>
      </c>
      <c r="D809" s="488" t="s">
        <v>263</v>
      </c>
      <c r="E809" s="488" t="s">
        <v>282</v>
      </c>
      <c r="F809" s="489" t="s">
        <v>993</v>
      </c>
      <c r="G809" s="488" t="s">
        <v>284</v>
      </c>
      <c r="H809" s="489"/>
      <c r="I809" s="489"/>
      <c r="J809" s="489" t="s">
        <v>321</v>
      </c>
      <c r="K809" s="491"/>
      <c r="L809" s="488"/>
      <c r="M809" s="488"/>
      <c r="N809" s="489"/>
      <c r="O809" s="489"/>
      <c r="P809" s="489"/>
      <c r="Q809" s="489"/>
      <c r="R809" s="490"/>
      <c r="S809" s="489"/>
      <c r="T809" s="488" t="s">
        <v>268</v>
      </c>
    </row>
    <row r="810" ht="34.5">
      <c r="A810" s="488" t="s">
        <v>980</v>
      </c>
      <c r="B810" s="488" t="s">
        <v>981</v>
      </c>
      <c r="C810" s="488" t="s">
        <v>317</v>
      </c>
      <c r="D810" s="488" t="s">
        <v>263</v>
      </c>
      <c r="E810" s="488" t="s">
        <v>282</v>
      </c>
      <c r="F810" s="489" t="s">
        <v>993</v>
      </c>
      <c r="G810" s="488" t="s">
        <v>284</v>
      </c>
      <c r="H810" s="489"/>
      <c r="I810" s="489"/>
      <c r="J810" s="489" t="s">
        <v>322</v>
      </c>
      <c r="K810" s="491"/>
      <c r="L810" s="488"/>
      <c r="M810" s="488"/>
      <c r="N810" s="489"/>
      <c r="O810" s="489"/>
      <c r="P810" s="489"/>
      <c r="Q810" s="489"/>
      <c r="R810" s="490"/>
      <c r="S810" s="489"/>
      <c r="T810" s="488" t="s">
        <v>268</v>
      </c>
    </row>
    <row r="811" ht="34.5">
      <c r="A811" s="488" t="s">
        <v>980</v>
      </c>
      <c r="B811" s="488" t="s">
        <v>981</v>
      </c>
      <c r="C811" s="488" t="s">
        <v>317</v>
      </c>
      <c r="D811" s="488" t="s">
        <v>263</v>
      </c>
      <c r="E811" s="488" t="s">
        <v>282</v>
      </c>
      <c r="F811" s="489" t="s">
        <v>993</v>
      </c>
      <c r="G811" s="488" t="s">
        <v>284</v>
      </c>
      <c r="H811" s="489"/>
      <c r="I811" s="489"/>
      <c r="J811" s="489" t="s">
        <v>1019</v>
      </c>
      <c r="K811" s="491"/>
      <c r="L811" s="488"/>
      <c r="M811" s="488"/>
      <c r="N811" s="489"/>
      <c r="O811" s="489"/>
      <c r="P811" s="489"/>
      <c r="Q811" s="489"/>
      <c r="R811" s="490"/>
      <c r="S811" s="489"/>
      <c r="T811" s="488" t="s">
        <v>268</v>
      </c>
    </row>
    <row r="812" ht="34.5">
      <c r="A812" s="488" t="s">
        <v>980</v>
      </c>
      <c r="B812" s="488" t="s">
        <v>981</v>
      </c>
      <c r="C812" s="488" t="s">
        <v>317</v>
      </c>
      <c r="D812" s="488" t="s">
        <v>263</v>
      </c>
      <c r="E812" s="488" t="s">
        <v>282</v>
      </c>
      <c r="F812" s="489" t="s">
        <v>993</v>
      </c>
      <c r="G812" s="488" t="s">
        <v>284</v>
      </c>
      <c r="H812" s="489"/>
      <c r="I812" s="489"/>
      <c r="J812" s="489" t="s">
        <v>1020</v>
      </c>
      <c r="K812" s="491"/>
      <c r="L812" s="488"/>
      <c r="M812" s="488"/>
      <c r="N812" s="489"/>
      <c r="O812" s="489"/>
      <c r="P812" s="489"/>
      <c r="Q812" s="489"/>
      <c r="R812" s="490"/>
      <c r="S812" s="489"/>
      <c r="T812" s="488" t="s">
        <v>268</v>
      </c>
    </row>
    <row r="813" ht="34.5">
      <c r="A813" s="488" t="s">
        <v>980</v>
      </c>
      <c r="B813" s="488" t="s">
        <v>981</v>
      </c>
      <c r="C813" s="488" t="s">
        <v>317</v>
      </c>
      <c r="D813" s="488" t="s">
        <v>263</v>
      </c>
      <c r="E813" s="488" t="s">
        <v>282</v>
      </c>
      <c r="F813" s="489" t="s">
        <v>993</v>
      </c>
      <c r="G813" s="488" t="s">
        <v>284</v>
      </c>
      <c r="H813" s="489"/>
      <c r="I813" s="489"/>
      <c r="J813" s="489" t="s">
        <v>806</v>
      </c>
      <c r="K813" s="491"/>
      <c r="L813" s="488"/>
      <c r="M813" s="488"/>
      <c r="N813" s="489"/>
      <c r="O813" s="489"/>
      <c r="P813" s="489"/>
      <c r="Q813" s="489"/>
      <c r="R813" s="490"/>
      <c r="S813" s="489"/>
      <c r="T813" s="488" t="s">
        <v>268</v>
      </c>
    </row>
    <row r="814" ht="34.5">
      <c r="A814" s="488" t="s">
        <v>980</v>
      </c>
      <c r="B814" s="488" t="s">
        <v>981</v>
      </c>
      <c r="C814" s="488" t="s">
        <v>317</v>
      </c>
      <c r="D814" s="488" t="s">
        <v>263</v>
      </c>
      <c r="E814" s="488" t="s">
        <v>282</v>
      </c>
      <c r="F814" s="489" t="s">
        <v>993</v>
      </c>
      <c r="G814" s="488" t="s">
        <v>284</v>
      </c>
      <c r="H814" s="489"/>
      <c r="I814" s="489"/>
      <c r="J814" s="489" t="s">
        <v>1021</v>
      </c>
      <c r="K814" s="491"/>
      <c r="L814" s="488"/>
      <c r="M814" s="488"/>
      <c r="N814" s="489"/>
      <c r="O814" s="489"/>
      <c r="P814" s="489"/>
      <c r="Q814" s="489"/>
      <c r="R814" s="490"/>
      <c r="S814" s="489"/>
      <c r="T814" s="488" t="s">
        <v>268</v>
      </c>
    </row>
    <row r="815" ht="34.5">
      <c r="A815" s="488" t="s">
        <v>980</v>
      </c>
      <c r="B815" s="488" t="s">
        <v>981</v>
      </c>
      <c r="C815" s="488" t="s">
        <v>328</v>
      </c>
      <c r="D815" s="488" t="s">
        <v>263</v>
      </c>
      <c r="E815" s="488" t="s">
        <v>282</v>
      </c>
      <c r="F815" s="489" t="s">
        <v>1022</v>
      </c>
      <c r="G815" s="488" t="s">
        <v>284</v>
      </c>
      <c r="H815" s="489"/>
      <c r="I815" s="489"/>
      <c r="J815" s="489" t="s">
        <v>329</v>
      </c>
      <c r="K815" s="491"/>
      <c r="L815" s="488"/>
      <c r="M815" s="488"/>
      <c r="N815" s="489"/>
      <c r="O815" s="489"/>
      <c r="P815" s="489"/>
      <c r="Q815" s="489"/>
      <c r="R815" s="490"/>
      <c r="S815" s="489"/>
      <c r="T815" s="488" t="s">
        <v>268</v>
      </c>
    </row>
    <row r="816" ht="34.5">
      <c r="A816" s="488" t="s">
        <v>980</v>
      </c>
      <c r="B816" s="488" t="s">
        <v>981</v>
      </c>
      <c r="C816" s="488" t="s">
        <v>328</v>
      </c>
      <c r="D816" s="488" t="s">
        <v>263</v>
      </c>
      <c r="E816" s="488" t="s">
        <v>282</v>
      </c>
      <c r="F816" s="489" t="s">
        <v>1022</v>
      </c>
      <c r="G816" s="488" t="s">
        <v>284</v>
      </c>
      <c r="H816" s="489"/>
      <c r="I816" s="489"/>
      <c r="J816" s="489" t="s">
        <v>1023</v>
      </c>
      <c r="K816" s="491"/>
      <c r="L816" s="488"/>
      <c r="M816" s="488"/>
      <c r="N816" s="489"/>
      <c r="O816" s="489"/>
      <c r="P816" s="489"/>
      <c r="Q816" s="489"/>
      <c r="R816" s="490"/>
      <c r="S816" s="489"/>
      <c r="T816" s="488" t="s">
        <v>268</v>
      </c>
    </row>
    <row r="817" ht="34.5">
      <c r="A817" s="488" t="s">
        <v>980</v>
      </c>
      <c r="B817" s="488" t="s">
        <v>981</v>
      </c>
      <c r="C817" s="488" t="s">
        <v>328</v>
      </c>
      <c r="D817" s="488" t="s">
        <v>263</v>
      </c>
      <c r="E817" s="488" t="s">
        <v>282</v>
      </c>
      <c r="F817" s="489" t="s">
        <v>1022</v>
      </c>
      <c r="G817" s="488" t="s">
        <v>284</v>
      </c>
      <c r="H817" s="489"/>
      <c r="I817" s="489"/>
      <c r="J817" s="489" t="s">
        <v>1024</v>
      </c>
      <c r="K817" s="491"/>
      <c r="L817" s="488"/>
      <c r="M817" s="488"/>
      <c r="N817" s="489"/>
      <c r="O817" s="489"/>
      <c r="P817" s="489"/>
      <c r="Q817" s="489"/>
      <c r="R817" s="490"/>
      <c r="S817" s="489"/>
      <c r="T817" s="488" t="s">
        <v>268</v>
      </c>
    </row>
    <row r="818" ht="34.5">
      <c r="A818" s="488" t="s">
        <v>980</v>
      </c>
      <c r="B818" s="488" t="s">
        <v>981</v>
      </c>
      <c r="C818" s="488" t="s">
        <v>328</v>
      </c>
      <c r="D818" s="488" t="s">
        <v>263</v>
      </c>
      <c r="E818" s="488" t="s">
        <v>282</v>
      </c>
      <c r="F818" s="489" t="s">
        <v>1022</v>
      </c>
      <c r="G818" s="488" t="s">
        <v>284</v>
      </c>
      <c r="H818" s="489"/>
      <c r="I818" s="489"/>
      <c r="J818" s="489" t="s">
        <v>809</v>
      </c>
      <c r="K818" s="491"/>
      <c r="L818" s="488"/>
      <c r="M818" s="488"/>
      <c r="N818" s="489"/>
      <c r="O818" s="489"/>
      <c r="P818" s="489"/>
      <c r="Q818" s="489"/>
      <c r="R818" s="490"/>
      <c r="S818" s="489"/>
      <c r="T818" s="488" t="s">
        <v>268</v>
      </c>
    </row>
    <row r="819" ht="34.5">
      <c r="A819" s="488" t="s">
        <v>980</v>
      </c>
      <c r="B819" s="488" t="s">
        <v>981</v>
      </c>
      <c r="C819" s="488" t="s">
        <v>328</v>
      </c>
      <c r="D819" s="488" t="s">
        <v>263</v>
      </c>
      <c r="E819" s="488" t="s">
        <v>282</v>
      </c>
      <c r="F819" s="489" t="s">
        <v>1022</v>
      </c>
      <c r="G819" s="488" t="s">
        <v>284</v>
      </c>
      <c r="H819" s="489"/>
      <c r="I819" s="489"/>
      <c r="J819" s="489" t="s">
        <v>810</v>
      </c>
      <c r="K819" s="491"/>
      <c r="L819" s="488"/>
      <c r="M819" s="488"/>
      <c r="N819" s="489"/>
      <c r="O819" s="489"/>
      <c r="P819" s="489"/>
      <c r="Q819" s="489"/>
      <c r="R819" s="490"/>
      <c r="S819" s="489"/>
      <c r="T819" s="488" t="s">
        <v>268</v>
      </c>
    </row>
    <row r="820" ht="34.5">
      <c r="A820" s="488" t="s">
        <v>980</v>
      </c>
      <c r="B820" s="488" t="s">
        <v>981</v>
      </c>
      <c r="C820" s="488" t="s">
        <v>328</v>
      </c>
      <c r="D820" s="488" t="s">
        <v>263</v>
      </c>
      <c r="E820" s="488" t="s">
        <v>282</v>
      </c>
      <c r="F820" s="489" t="s">
        <v>1022</v>
      </c>
      <c r="G820" s="488" t="s">
        <v>284</v>
      </c>
      <c r="H820" s="489"/>
      <c r="I820" s="489"/>
      <c r="J820" s="489" t="s">
        <v>1025</v>
      </c>
      <c r="K820" s="491"/>
      <c r="L820" s="488"/>
      <c r="M820" s="488"/>
      <c r="N820" s="489"/>
      <c r="O820" s="489"/>
      <c r="P820" s="489"/>
      <c r="Q820" s="489"/>
      <c r="R820" s="490"/>
      <c r="S820" s="489"/>
      <c r="T820" s="488" t="s">
        <v>268</v>
      </c>
    </row>
    <row r="821" ht="34.5">
      <c r="A821" s="488" t="s">
        <v>980</v>
      </c>
      <c r="B821" s="488" t="s">
        <v>981</v>
      </c>
      <c r="C821" s="488" t="s">
        <v>328</v>
      </c>
      <c r="D821" s="488" t="s">
        <v>263</v>
      </c>
      <c r="E821" s="488" t="s">
        <v>282</v>
      </c>
      <c r="F821" s="489" t="s">
        <v>1022</v>
      </c>
      <c r="G821" s="488" t="s">
        <v>284</v>
      </c>
      <c r="H821" s="489"/>
      <c r="I821" s="489"/>
      <c r="J821" s="489" t="s">
        <v>1026</v>
      </c>
      <c r="K821" s="491"/>
      <c r="L821" s="488"/>
      <c r="M821" s="488"/>
      <c r="N821" s="489"/>
      <c r="O821" s="489"/>
      <c r="P821" s="489"/>
      <c r="Q821" s="489"/>
      <c r="R821" s="490"/>
      <c r="S821" s="489"/>
      <c r="T821" s="488" t="s">
        <v>268</v>
      </c>
    </row>
    <row r="822" ht="34.5">
      <c r="A822" s="488" t="s">
        <v>980</v>
      </c>
      <c r="B822" s="488" t="s">
        <v>981</v>
      </c>
      <c r="C822" s="488" t="s">
        <v>328</v>
      </c>
      <c r="D822" s="488" t="s">
        <v>263</v>
      </c>
      <c r="E822" s="488" t="s">
        <v>282</v>
      </c>
      <c r="F822" s="489" t="s">
        <v>1022</v>
      </c>
      <c r="G822" s="488" t="s">
        <v>284</v>
      </c>
      <c r="H822" s="489"/>
      <c r="I822" s="489"/>
      <c r="J822" s="489" t="s">
        <v>1027</v>
      </c>
      <c r="K822" s="491"/>
      <c r="L822" s="488"/>
      <c r="M822" s="488"/>
      <c r="N822" s="489"/>
      <c r="O822" s="489"/>
      <c r="P822" s="489"/>
      <c r="Q822" s="489"/>
      <c r="R822" s="490"/>
      <c r="S822" s="489"/>
      <c r="T822" s="488" t="s">
        <v>268</v>
      </c>
    </row>
    <row r="823" ht="34.5">
      <c r="A823" s="488" t="s">
        <v>980</v>
      </c>
      <c r="B823" s="488" t="s">
        <v>981</v>
      </c>
      <c r="C823" s="488" t="s">
        <v>328</v>
      </c>
      <c r="D823" s="488" t="s">
        <v>263</v>
      </c>
      <c r="E823" s="488" t="s">
        <v>282</v>
      </c>
      <c r="F823" s="489" t="s">
        <v>1022</v>
      </c>
      <c r="G823" s="488" t="s">
        <v>284</v>
      </c>
      <c r="H823" s="489"/>
      <c r="I823" s="489"/>
      <c r="J823" s="489" t="s">
        <v>1028</v>
      </c>
      <c r="K823" s="491"/>
      <c r="L823" s="488"/>
      <c r="M823" s="488"/>
      <c r="N823" s="489"/>
      <c r="O823" s="489"/>
      <c r="P823" s="489"/>
      <c r="Q823" s="489"/>
      <c r="R823" s="490"/>
      <c r="S823" s="489"/>
      <c r="T823" s="488" t="s">
        <v>268</v>
      </c>
    </row>
    <row r="824" ht="34.5">
      <c r="A824" s="488" t="s">
        <v>980</v>
      </c>
      <c r="B824" s="488" t="s">
        <v>981</v>
      </c>
      <c r="C824" s="488" t="s">
        <v>328</v>
      </c>
      <c r="D824" s="488" t="s">
        <v>263</v>
      </c>
      <c r="E824" s="488" t="s">
        <v>282</v>
      </c>
      <c r="F824" s="489" t="s">
        <v>1022</v>
      </c>
      <c r="G824" s="488" t="s">
        <v>284</v>
      </c>
      <c r="H824" s="489"/>
      <c r="I824" s="489"/>
      <c r="J824" s="489" t="s">
        <v>814</v>
      </c>
      <c r="K824" s="491"/>
      <c r="L824" s="488"/>
      <c r="M824" s="488"/>
      <c r="N824" s="489"/>
      <c r="O824" s="489"/>
      <c r="P824" s="489"/>
      <c r="Q824" s="489"/>
      <c r="R824" s="490"/>
      <c r="S824" s="489"/>
      <c r="T824" s="488" t="s">
        <v>268</v>
      </c>
    </row>
    <row r="825" ht="34.5">
      <c r="A825" s="488" t="s">
        <v>980</v>
      </c>
      <c r="B825" s="488" t="s">
        <v>981</v>
      </c>
      <c r="C825" s="488" t="s">
        <v>328</v>
      </c>
      <c r="D825" s="488" t="s">
        <v>263</v>
      </c>
      <c r="E825" s="488" t="s">
        <v>282</v>
      </c>
      <c r="F825" s="489" t="s">
        <v>1022</v>
      </c>
      <c r="G825" s="488" t="s">
        <v>284</v>
      </c>
      <c r="H825" s="489"/>
      <c r="I825" s="489"/>
      <c r="J825" s="489" t="s">
        <v>815</v>
      </c>
      <c r="K825" s="491"/>
      <c r="L825" s="488"/>
      <c r="M825" s="488"/>
      <c r="N825" s="489"/>
      <c r="O825" s="489"/>
      <c r="P825" s="489"/>
      <c r="Q825" s="489"/>
      <c r="R825" s="490"/>
      <c r="S825" s="489"/>
      <c r="T825" s="488" t="s">
        <v>268</v>
      </c>
    </row>
    <row r="826" ht="34.5">
      <c r="A826" s="488" t="s">
        <v>980</v>
      </c>
      <c r="B826" s="488" t="s">
        <v>981</v>
      </c>
      <c r="C826" s="488" t="s">
        <v>328</v>
      </c>
      <c r="D826" s="488" t="s">
        <v>263</v>
      </c>
      <c r="E826" s="488" t="s">
        <v>282</v>
      </c>
      <c r="F826" s="489" t="s">
        <v>1022</v>
      </c>
      <c r="G826" s="488" t="s">
        <v>284</v>
      </c>
      <c r="H826" s="489"/>
      <c r="I826" s="489"/>
      <c r="J826" s="489" t="s">
        <v>1029</v>
      </c>
      <c r="K826" s="491"/>
      <c r="L826" s="488"/>
      <c r="M826" s="488"/>
      <c r="N826" s="489"/>
      <c r="O826" s="489"/>
      <c r="P826" s="489"/>
      <c r="Q826" s="489"/>
      <c r="R826" s="490"/>
      <c r="S826" s="489"/>
      <c r="T826" s="488" t="s">
        <v>268</v>
      </c>
    </row>
    <row r="827" ht="34.5">
      <c r="A827" s="488" t="s">
        <v>980</v>
      </c>
      <c r="B827" s="488" t="s">
        <v>981</v>
      </c>
      <c r="C827" s="488" t="s">
        <v>328</v>
      </c>
      <c r="D827" s="488" t="s">
        <v>263</v>
      </c>
      <c r="E827" s="488" t="s">
        <v>282</v>
      </c>
      <c r="F827" s="489" t="s">
        <v>1022</v>
      </c>
      <c r="G827" s="488" t="s">
        <v>284</v>
      </c>
      <c r="H827" s="489"/>
      <c r="I827" s="489"/>
      <c r="J827" s="489" t="s">
        <v>1030</v>
      </c>
      <c r="K827" s="491"/>
      <c r="L827" s="488"/>
      <c r="M827" s="488"/>
      <c r="N827" s="489"/>
      <c r="O827" s="489"/>
      <c r="P827" s="489"/>
      <c r="Q827" s="489"/>
      <c r="R827" s="490"/>
      <c r="S827" s="489"/>
      <c r="T827" s="488" t="s">
        <v>268</v>
      </c>
    </row>
    <row r="828" ht="34.5">
      <c r="A828" s="488" t="s">
        <v>980</v>
      </c>
      <c r="B828" s="488" t="s">
        <v>981</v>
      </c>
      <c r="C828" s="488" t="s">
        <v>335</v>
      </c>
      <c r="D828" s="488" t="s">
        <v>263</v>
      </c>
      <c r="E828" s="488" t="s">
        <v>282</v>
      </c>
      <c r="F828" s="489" t="s">
        <v>993</v>
      </c>
      <c r="G828" s="488" t="s">
        <v>284</v>
      </c>
      <c r="H828" s="489"/>
      <c r="I828" s="489"/>
      <c r="J828" s="489" t="s">
        <v>326</v>
      </c>
      <c r="K828" s="491"/>
      <c r="L828" s="488"/>
      <c r="M828" s="488"/>
      <c r="N828" s="489"/>
      <c r="O828" s="489"/>
      <c r="P828" s="489"/>
      <c r="Q828" s="489"/>
      <c r="R828" s="490"/>
      <c r="S828" s="489"/>
      <c r="T828" s="488" t="s">
        <v>268</v>
      </c>
    </row>
    <row r="829" ht="34.5">
      <c r="A829" s="488" t="s">
        <v>980</v>
      </c>
      <c r="B829" s="488" t="s">
        <v>981</v>
      </c>
      <c r="C829" s="488" t="s">
        <v>335</v>
      </c>
      <c r="D829" s="488" t="s">
        <v>263</v>
      </c>
      <c r="E829" s="488" t="s">
        <v>282</v>
      </c>
      <c r="F829" s="489" t="s">
        <v>993</v>
      </c>
      <c r="G829" s="488" t="s">
        <v>284</v>
      </c>
      <c r="H829" s="489"/>
      <c r="I829" s="489"/>
      <c r="J829" s="489" t="s">
        <v>327</v>
      </c>
      <c r="K829" s="491"/>
      <c r="L829" s="488"/>
      <c r="M829" s="488"/>
      <c r="N829" s="489"/>
      <c r="O829" s="489"/>
      <c r="P829" s="489"/>
      <c r="Q829" s="489"/>
      <c r="R829" s="490"/>
      <c r="S829" s="489"/>
      <c r="T829" s="488" t="s">
        <v>268</v>
      </c>
    </row>
    <row r="830" ht="34.5">
      <c r="A830" s="488" t="s">
        <v>980</v>
      </c>
      <c r="B830" s="488" t="s">
        <v>981</v>
      </c>
      <c r="C830" s="488" t="s">
        <v>335</v>
      </c>
      <c r="D830" s="488" t="s">
        <v>263</v>
      </c>
      <c r="E830" s="488" t="s">
        <v>282</v>
      </c>
      <c r="F830" s="489" t="s">
        <v>993</v>
      </c>
      <c r="G830" s="488" t="s">
        <v>284</v>
      </c>
      <c r="H830" s="489"/>
      <c r="I830" s="489"/>
      <c r="J830" s="489" t="s">
        <v>330</v>
      </c>
      <c r="K830" s="491"/>
      <c r="L830" s="488"/>
      <c r="M830" s="488"/>
      <c r="N830" s="489"/>
      <c r="O830" s="489"/>
      <c r="P830" s="489"/>
      <c r="Q830" s="489"/>
      <c r="R830" s="490"/>
      <c r="S830" s="489"/>
      <c r="T830" s="488" t="s">
        <v>268</v>
      </c>
    </row>
    <row r="831" ht="34.5">
      <c r="A831" s="488" t="s">
        <v>980</v>
      </c>
      <c r="B831" s="488" t="s">
        <v>981</v>
      </c>
      <c r="C831" s="488" t="s">
        <v>335</v>
      </c>
      <c r="D831" s="488" t="s">
        <v>263</v>
      </c>
      <c r="E831" s="488" t="s">
        <v>282</v>
      </c>
      <c r="F831" s="489" t="s">
        <v>993</v>
      </c>
      <c r="G831" s="488" t="s">
        <v>284</v>
      </c>
      <c r="H831" s="489"/>
      <c r="I831" s="489"/>
      <c r="J831" s="489" t="s">
        <v>331</v>
      </c>
      <c r="K831" s="491"/>
      <c r="L831" s="488"/>
      <c r="M831" s="488"/>
      <c r="N831" s="489"/>
      <c r="O831" s="489"/>
      <c r="P831" s="489"/>
      <c r="Q831" s="489"/>
      <c r="R831" s="490"/>
      <c r="S831" s="489"/>
      <c r="T831" s="488" t="s">
        <v>268</v>
      </c>
    </row>
    <row r="832" ht="34.5">
      <c r="A832" s="488" t="s">
        <v>980</v>
      </c>
      <c r="B832" s="488" t="s">
        <v>981</v>
      </c>
      <c r="C832" s="488" t="s">
        <v>335</v>
      </c>
      <c r="D832" s="488" t="s">
        <v>263</v>
      </c>
      <c r="E832" s="488" t="s">
        <v>282</v>
      </c>
      <c r="F832" s="489" t="s">
        <v>993</v>
      </c>
      <c r="G832" s="488" t="s">
        <v>284</v>
      </c>
      <c r="H832" s="489"/>
      <c r="I832" s="489"/>
      <c r="J832" s="489" t="s">
        <v>1031</v>
      </c>
      <c r="K832" s="491"/>
      <c r="L832" s="488"/>
      <c r="M832" s="488"/>
      <c r="N832" s="489"/>
      <c r="O832" s="489"/>
      <c r="P832" s="489"/>
      <c r="Q832" s="489"/>
      <c r="R832" s="490"/>
      <c r="S832" s="489"/>
      <c r="T832" s="488" t="s">
        <v>268</v>
      </c>
    </row>
    <row r="833" ht="34.5">
      <c r="A833" s="488" t="s">
        <v>980</v>
      </c>
      <c r="B833" s="488" t="s">
        <v>981</v>
      </c>
      <c r="C833" s="488" t="s">
        <v>335</v>
      </c>
      <c r="D833" s="488" t="s">
        <v>263</v>
      </c>
      <c r="E833" s="488" t="s">
        <v>282</v>
      </c>
      <c r="F833" s="489" t="s">
        <v>993</v>
      </c>
      <c r="G833" s="488" t="s">
        <v>284</v>
      </c>
      <c r="H833" s="489"/>
      <c r="I833" s="489"/>
      <c r="J833" s="489" t="s">
        <v>333</v>
      </c>
      <c r="K833" s="491"/>
      <c r="L833" s="488"/>
      <c r="M833" s="488"/>
      <c r="N833" s="489"/>
      <c r="O833" s="489"/>
      <c r="P833" s="489"/>
      <c r="Q833" s="489"/>
      <c r="R833" s="490"/>
      <c r="S833" s="489"/>
      <c r="T833" s="488" t="s">
        <v>268</v>
      </c>
    </row>
    <row r="834" ht="34.5">
      <c r="A834" s="488" t="s">
        <v>980</v>
      </c>
      <c r="B834" s="488" t="s">
        <v>981</v>
      </c>
      <c r="C834" s="488" t="s">
        <v>335</v>
      </c>
      <c r="D834" s="488" t="s">
        <v>263</v>
      </c>
      <c r="E834" s="488" t="s">
        <v>282</v>
      </c>
      <c r="F834" s="489" t="s">
        <v>993</v>
      </c>
      <c r="G834" s="488" t="s">
        <v>284</v>
      </c>
      <c r="H834" s="489"/>
      <c r="I834" s="489"/>
      <c r="J834" s="489" t="s">
        <v>334</v>
      </c>
      <c r="K834" s="491"/>
      <c r="L834" s="488"/>
      <c r="M834" s="488"/>
      <c r="N834" s="489"/>
      <c r="O834" s="489"/>
      <c r="P834" s="489"/>
      <c r="Q834" s="489"/>
      <c r="R834" s="490"/>
      <c r="S834" s="489"/>
      <c r="T834" s="488" t="s">
        <v>268</v>
      </c>
    </row>
    <row r="835" ht="34.5">
      <c r="A835" s="488" t="s">
        <v>980</v>
      </c>
      <c r="B835" s="488" t="s">
        <v>981</v>
      </c>
      <c r="C835" s="488" t="s">
        <v>335</v>
      </c>
      <c r="D835" s="488" t="s">
        <v>263</v>
      </c>
      <c r="E835" s="488" t="s">
        <v>282</v>
      </c>
      <c r="F835" s="489" t="s">
        <v>993</v>
      </c>
      <c r="G835" s="488" t="s">
        <v>284</v>
      </c>
      <c r="H835" s="489"/>
      <c r="I835" s="489"/>
      <c r="J835" s="489" t="s">
        <v>1032</v>
      </c>
      <c r="K835" s="491"/>
      <c r="L835" s="488"/>
      <c r="M835" s="488"/>
      <c r="N835" s="489"/>
      <c r="O835" s="489"/>
      <c r="P835" s="489"/>
      <c r="Q835" s="489"/>
      <c r="R835" s="490"/>
      <c r="S835" s="489"/>
      <c r="T835" s="488" t="s">
        <v>268</v>
      </c>
    </row>
    <row r="836" ht="34.5">
      <c r="A836" s="488" t="s">
        <v>980</v>
      </c>
      <c r="B836" s="488" t="s">
        <v>981</v>
      </c>
      <c r="C836" s="488" t="s">
        <v>346</v>
      </c>
      <c r="D836" s="488" t="s">
        <v>263</v>
      </c>
      <c r="E836" s="488" t="s">
        <v>282</v>
      </c>
      <c r="F836" s="489" t="s">
        <v>993</v>
      </c>
      <c r="G836" s="488" t="s">
        <v>284</v>
      </c>
      <c r="H836" s="489"/>
      <c r="I836" s="489"/>
      <c r="J836" s="489" t="s">
        <v>336</v>
      </c>
      <c r="K836" s="491"/>
      <c r="L836" s="488"/>
      <c r="M836" s="488"/>
      <c r="N836" s="489"/>
      <c r="O836" s="489"/>
      <c r="P836" s="489"/>
      <c r="Q836" s="489"/>
      <c r="R836" s="490"/>
      <c r="S836" s="489"/>
      <c r="T836" s="488" t="s">
        <v>268</v>
      </c>
    </row>
    <row r="837" ht="34.5">
      <c r="A837" s="488" t="s">
        <v>980</v>
      </c>
      <c r="B837" s="488" t="s">
        <v>981</v>
      </c>
      <c r="C837" s="488" t="s">
        <v>346</v>
      </c>
      <c r="D837" s="488" t="s">
        <v>263</v>
      </c>
      <c r="E837" s="488" t="s">
        <v>282</v>
      </c>
      <c r="F837" s="489" t="s">
        <v>993</v>
      </c>
      <c r="G837" s="488" t="s">
        <v>284</v>
      </c>
      <c r="H837" s="489"/>
      <c r="I837" s="489"/>
      <c r="J837" s="489" t="s">
        <v>337</v>
      </c>
      <c r="K837" s="491"/>
      <c r="L837" s="488"/>
      <c r="M837" s="488"/>
      <c r="N837" s="489"/>
      <c r="O837" s="489"/>
      <c r="P837" s="489"/>
      <c r="Q837" s="489"/>
      <c r="R837" s="490"/>
      <c r="S837" s="489"/>
      <c r="T837" s="488" t="s">
        <v>268</v>
      </c>
    </row>
    <row r="838" ht="34.5">
      <c r="A838" s="488" t="s">
        <v>980</v>
      </c>
      <c r="B838" s="488" t="s">
        <v>981</v>
      </c>
      <c r="C838" s="488" t="s">
        <v>346</v>
      </c>
      <c r="D838" s="488" t="s">
        <v>263</v>
      </c>
      <c r="E838" s="488" t="s">
        <v>282</v>
      </c>
      <c r="F838" s="489" t="s">
        <v>993</v>
      </c>
      <c r="G838" s="488" t="s">
        <v>284</v>
      </c>
      <c r="H838" s="489"/>
      <c r="I838" s="489"/>
      <c r="J838" s="489" t="s">
        <v>338</v>
      </c>
      <c r="K838" s="491"/>
      <c r="L838" s="488"/>
      <c r="M838" s="488"/>
      <c r="N838" s="489"/>
      <c r="O838" s="489"/>
      <c r="P838" s="489"/>
      <c r="Q838" s="489"/>
      <c r="R838" s="490"/>
      <c r="S838" s="489"/>
      <c r="T838" s="488" t="s">
        <v>268</v>
      </c>
    </row>
    <row r="839" ht="34.5">
      <c r="A839" s="488" t="s">
        <v>980</v>
      </c>
      <c r="B839" s="488" t="s">
        <v>981</v>
      </c>
      <c r="C839" s="488" t="s">
        <v>346</v>
      </c>
      <c r="D839" s="488" t="s">
        <v>263</v>
      </c>
      <c r="E839" s="488" t="s">
        <v>282</v>
      </c>
      <c r="F839" s="489" t="s">
        <v>993</v>
      </c>
      <c r="G839" s="488" t="s">
        <v>284</v>
      </c>
      <c r="H839" s="489"/>
      <c r="I839" s="489"/>
      <c r="J839" s="489" t="s">
        <v>816</v>
      </c>
      <c r="K839" s="491"/>
      <c r="L839" s="488"/>
      <c r="M839" s="488"/>
      <c r="N839" s="489"/>
      <c r="O839" s="489"/>
      <c r="P839" s="489"/>
      <c r="Q839" s="489"/>
      <c r="R839" s="490"/>
      <c r="S839" s="489"/>
      <c r="T839" s="488" t="s">
        <v>268</v>
      </c>
    </row>
    <row r="840" ht="34.5">
      <c r="A840" s="488" t="s">
        <v>980</v>
      </c>
      <c r="B840" s="488" t="s">
        <v>981</v>
      </c>
      <c r="C840" s="488" t="s">
        <v>346</v>
      </c>
      <c r="D840" s="488" t="s">
        <v>263</v>
      </c>
      <c r="E840" s="488" t="s">
        <v>282</v>
      </c>
      <c r="F840" s="489" t="s">
        <v>993</v>
      </c>
      <c r="G840" s="488" t="s">
        <v>284</v>
      </c>
      <c r="H840" s="489"/>
      <c r="I840" s="489"/>
      <c r="J840" s="489" t="s">
        <v>1033</v>
      </c>
      <c r="K840" s="491"/>
      <c r="L840" s="488"/>
      <c r="M840" s="488"/>
      <c r="N840" s="489"/>
      <c r="O840" s="489"/>
      <c r="P840" s="489"/>
      <c r="Q840" s="489"/>
      <c r="R840" s="490"/>
      <c r="S840" s="489"/>
      <c r="T840" s="488" t="s">
        <v>268</v>
      </c>
    </row>
    <row r="841" ht="34.5">
      <c r="A841" s="488" t="s">
        <v>980</v>
      </c>
      <c r="B841" s="488" t="s">
        <v>981</v>
      </c>
      <c r="C841" s="488" t="s">
        <v>346</v>
      </c>
      <c r="D841" s="488" t="s">
        <v>263</v>
      </c>
      <c r="E841" s="488" t="s">
        <v>282</v>
      </c>
      <c r="F841" s="489" t="s">
        <v>993</v>
      </c>
      <c r="G841" s="488" t="s">
        <v>284</v>
      </c>
      <c r="H841" s="489"/>
      <c r="I841" s="489"/>
      <c r="J841" s="489" t="s">
        <v>1034</v>
      </c>
      <c r="K841" s="491"/>
      <c r="L841" s="488"/>
      <c r="M841" s="488"/>
      <c r="N841" s="489"/>
      <c r="O841" s="489"/>
      <c r="P841" s="489"/>
      <c r="Q841" s="489"/>
      <c r="R841" s="490"/>
      <c r="S841" s="489"/>
      <c r="T841" s="488" t="s">
        <v>268</v>
      </c>
    </row>
    <row r="842" ht="34.5">
      <c r="A842" s="488" t="s">
        <v>980</v>
      </c>
      <c r="B842" s="488" t="s">
        <v>981</v>
      </c>
      <c r="C842" s="488" t="s">
        <v>346</v>
      </c>
      <c r="D842" s="488" t="s">
        <v>263</v>
      </c>
      <c r="E842" s="488" t="s">
        <v>282</v>
      </c>
      <c r="F842" s="489" t="s">
        <v>993</v>
      </c>
      <c r="G842" s="488" t="s">
        <v>284</v>
      </c>
      <c r="H842" s="489"/>
      <c r="I842" s="489"/>
      <c r="J842" s="489" t="s">
        <v>343</v>
      </c>
      <c r="K842" s="491"/>
      <c r="L842" s="488"/>
      <c r="M842" s="488"/>
      <c r="N842" s="489"/>
      <c r="O842" s="489"/>
      <c r="P842" s="489"/>
      <c r="Q842" s="489"/>
      <c r="R842" s="490"/>
      <c r="S842" s="489"/>
      <c r="T842" s="488" t="s">
        <v>268</v>
      </c>
    </row>
    <row r="843" ht="34.5">
      <c r="A843" s="488" t="s">
        <v>980</v>
      </c>
      <c r="B843" s="488" t="s">
        <v>981</v>
      </c>
      <c r="C843" s="488" t="s">
        <v>346</v>
      </c>
      <c r="D843" s="488" t="s">
        <v>263</v>
      </c>
      <c r="E843" s="488" t="s">
        <v>282</v>
      </c>
      <c r="F843" s="489" t="s">
        <v>993</v>
      </c>
      <c r="G843" s="488" t="s">
        <v>284</v>
      </c>
      <c r="H843" s="489"/>
      <c r="I843" s="489"/>
      <c r="J843" s="489" t="s">
        <v>344</v>
      </c>
      <c r="K843" s="491"/>
      <c r="L843" s="488"/>
      <c r="M843" s="488"/>
      <c r="N843" s="489"/>
      <c r="O843" s="489"/>
      <c r="P843" s="489"/>
      <c r="Q843" s="489"/>
      <c r="R843" s="490"/>
      <c r="S843" s="489"/>
      <c r="T843" s="488" t="s">
        <v>268</v>
      </c>
    </row>
    <row r="844" ht="34.5">
      <c r="A844" s="488" t="s">
        <v>980</v>
      </c>
      <c r="B844" s="488" t="s">
        <v>981</v>
      </c>
      <c r="C844" s="488" t="s">
        <v>346</v>
      </c>
      <c r="D844" s="488" t="s">
        <v>263</v>
      </c>
      <c r="E844" s="488" t="s">
        <v>282</v>
      </c>
      <c r="F844" s="489" t="s">
        <v>993</v>
      </c>
      <c r="G844" s="488" t="s">
        <v>284</v>
      </c>
      <c r="H844" s="489"/>
      <c r="I844" s="489"/>
      <c r="J844" s="489" t="s">
        <v>345</v>
      </c>
      <c r="K844" s="491"/>
      <c r="L844" s="488"/>
      <c r="M844" s="488"/>
      <c r="N844" s="489"/>
      <c r="O844" s="489"/>
      <c r="P844" s="489"/>
      <c r="Q844" s="489"/>
      <c r="R844" s="490"/>
      <c r="S844" s="489"/>
      <c r="T844" s="488" t="s">
        <v>268</v>
      </c>
    </row>
    <row r="845" ht="34.5">
      <c r="A845" s="488" t="s">
        <v>980</v>
      </c>
      <c r="B845" s="488" t="s">
        <v>981</v>
      </c>
      <c r="C845" s="488" t="s">
        <v>346</v>
      </c>
      <c r="D845" s="488" t="s">
        <v>263</v>
      </c>
      <c r="E845" s="488" t="s">
        <v>282</v>
      </c>
      <c r="F845" s="489" t="s">
        <v>993</v>
      </c>
      <c r="G845" s="488" t="s">
        <v>284</v>
      </c>
      <c r="H845" s="489"/>
      <c r="I845" s="489"/>
      <c r="J845" s="489" t="s">
        <v>1035</v>
      </c>
      <c r="K845" s="491"/>
      <c r="L845" s="488"/>
      <c r="M845" s="488"/>
      <c r="N845" s="489"/>
      <c r="O845" s="489"/>
      <c r="P845" s="489"/>
      <c r="Q845" s="489"/>
      <c r="R845" s="490"/>
      <c r="S845" s="489"/>
      <c r="T845" s="488" t="s">
        <v>268</v>
      </c>
    </row>
    <row r="846" ht="34.5">
      <c r="A846" s="488" t="s">
        <v>980</v>
      </c>
      <c r="B846" s="488" t="s">
        <v>981</v>
      </c>
      <c r="C846" s="488" t="s">
        <v>356</v>
      </c>
      <c r="D846" s="488" t="s">
        <v>263</v>
      </c>
      <c r="E846" s="488" t="s">
        <v>282</v>
      </c>
      <c r="F846" s="489" t="s">
        <v>993</v>
      </c>
      <c r="G846" s="488" t="s">
        <v>284</v>
      </c>
      <c r="H846" s="489"/>
      <c r="I846" s="489"/>
      <c r="J846" s="489" t="s">
        <v>1036</v>
      </c>
      <c r="K846" s="491"/>
      <c r="L846" s="488"/>
      <c r="M846" s="488"/>
      <c r="N846" s="489"/>
      <c r="O846" s="489"/>
      <c r="P846" s="489"/>
      <c r="Q846" s="489"/>
      <c r="R846" s="490"/>
      <c r="S846" s="489"/>
      <c r="T846" s="488" t="s">
        <v>268</v>
      </c>
    </row>
    <row r="847" ht="34.5">
      <c r="A847" s="488" t="s">
        <v>980</v>
      </c>
      <c r="B847" s="488" t="s">
        <v>981</v>
      </c>
      <c r="C847" s="488" t="s">
        <v>356</v>
      </c>
      <c r="D847" s="488" t="s">
        <v>263</v>
      </c>
      <c r="E847" s="488" t="s">
        <v>282</v>
      </c>
      <c r="F847" s="489" t="s">
        <v>993</v>
      </c>
      <c r="G847" s="488" t="s">
        <v>284</v>
      </c>
      <c r="H847" s="489"/>
      <c r="I847" s="489"/>
      <c r="J847" s="489" t="s">
        <v>1037</v>
      </c>
      <c r="K847" s="491"/>
      <c r="L847" s="488"/>
      <c r="M847" s="488"/>
      <c r="N847" s="489"/>
      <c r="O847" s="489"/>
      <c r="P847" s="489"/>
      <c r="Q847" s="489"/>
      <c r="R847" s="490"/>
      <c r="S847" s="489"/>
      <c r="T847" s="488" t="s">
        <v>268</v>
      </c>
    </row>
    <row r="848" ht="34.5">
      <c r="A848" s="488" t="s">
        <v>980</v>
      </c>
      <c r="B848" s="488" t="s">
        <v>981</v>
      </c>
      <c r="C848" s="488" t="s">
        <v>356</v>
      </c>
      <c r="D848" s="488" t="s">
        <v>263</v>
      </c>
      <c r="E848" s="488" t="s">
        <v>282</v>
      </c>
      <c r="F848" s="489" t="s">
        <v>993</v>
      </c>
      <c r="G848" s="488" t="s">
        <v>284</v>
      </c>
      <c r="H848" s="489"/>
      <c r="I848" s="489"/>
      <c r="J848" s="489" t="s">
        <v>817</v>
      </c>
      <c r="K848" s="491"/>
      <c r="L848" s="488"/>
      <c r="M848" s="488"/>
      <c r="N848" s="489"/>
      <c r="O848" s="489"/>
      <c r="P848" s="489"/>
      <c r="Q848" s="489"/>
      <c r="R848" s="490"/>
      <c r="S848" s="489"/>
      <c r="T848" s="488" t="s">
        <v>268</v>
      </c>
    </row>
    <row r="849" ht="34.5">
      <c r="A849" s="488" t="s">
        <v>980</v>
      </c>
      <c r="B849" s="488" t="s">
        <v>981</v>
      </c>
      <c r="C849" s="488" t="s">
        <v>356</v>
      </c>
      <c r="D849" s="488" t="s">
        <v>263</v>
      </c>
      <c r="E849" s="488" t="s">
        <v>282</v>
      </c>
      <c r="F849" s="489" t="s">
        <v>993</v>
      </c>
      <c r="G849" s="488" t="s">
        <v>284</v>
      </c>
      <c r="H849" s="489"/>
      <c r="I849" s="489"/>
      <c r="J849" s="489" t="s">
        <v>1038</v>
      </c>
      <c r="K849" s="491"/>
      <c r="L849" s="488"/>
      <c r="M849" s="488"/>
      <c r="N849" s="489"/>
      <c r="O849" s="489"/>
      <c r="P849" s="489"/>
      <c r="Q849" s="489"/>
      <c r="R849" s="490"/>
      <c r="S849" s="489"/>
      <c r="T849" s="488" t="s">
        <v>268</v>
      </c>
    </row>
    <row r="850" ht="34.5">
      <c r="A850" s="488" t="s">
        <v>980</v>
      </c>
      <c r="B850" s="488" t="s">
        <v>981</v>
      </c>
      <c r="C850" s="488" t="s">
        <v>356</v>
      </c>
      <c r="D850" s="488" t="s">
        <v>263</v>
      </c>
      <c r="E850" s="488" t="s">
        <v>282</v>
      </c>
      <c r="F850" s="489" t="s">
        <v>993</v>
      </c>
      <c r="G850" s="488" t="s">
        <v>284</v>
      </c>
      <c r="H850" s="489"/>
      <c r="I850" s="489"/>
      <c r="J850" s="489" t="s">
        <v>1039</v>
      </c>
      <c r="K850" s="491"/>
      <c r="L850" s="488"/>
      <c r="M850" s="488"/>
      <c r="N850" s="489"/>
      <c r="O850" s="489"/>
      <c r="P850" s="489"/>
      <c r="Q850" s="489"/>
      <c r="R850" s="490"/>
      <c r="S850" s="489"/>
      <c r="T850" s="488" t="s">
        <v>268</v>
      </c>
    </row>
    <row r="851" ht="34.5">
      <c r="A851" s="488" t="s">
        <v>980</v>
      </c>
      <c r="B851" s="488" t="s">
        <v>981</v>
      </c>
      <c r="C851" s="488" t="s">
        <v>356</v>
      </c>
      <c r="D851" s="488" t="s">
        <v>263</v>
      </c>
      <c r="E851" s="488" t="s">
        <v>282</v>
      </c>
      <c r="F851" s="489" t="s">
        <v>993</v>
      </c>
      <c r="G851" s="488" t="s">
        <v>284</v>
      </c>
      <c r="H851" s="489"/>
      <c r="I851" s="489"/>
      <c r="J851" s="489" t="s">
        <v>1040</v>
      </c>
      <c r="K851" s="491"/>
      <c r="L851" s="488"/>
      <c r="M851" s="488"/>
      <c r="N851" s="489"/>
      <c r="O851" s="489"/>
      <c r="P851" s="489"/>
      <c r="Q851" s="489"/>
      <c r="R851" s="490"/>
      <c r="S851" s="489"/>
      <c r="T851" s="488" t="s">
        <v>268</v>
      </c>
    </row>
    <row r="852" ht="34.5">
      <c r="A852" s="488" t="s">
        <v>980</v>
      </c>
      <c r="B852" s="488" t="s">
        <v>981</v>
      </c>
      <c r="C852" s="488" t="s">
        <v>356</v>
      </c>
      <c r="D852" s="488" t="s">
        <v>263</v>
      </c>
      <c r="E852" s="488" t="s">
        <v>282</v>
      </c>
      <c r="F852" s="489" t="s">
        <v>993</v>
      </c>
      <c r="G852" s="488" t="s">
        <v>284</v>
      </c>
      <c r="H852" s="489"/>
      <c r="I852" s="489"/>
      <c r="J852" s="489" t="s">
        <v>355</v>
      </c>
      <c r="K852" s="491"/>
      <c r="L852" s="488"/>
      <c r="M852" s="488"/>
      <c r="N852" s="489"/>
      <c r="O852" s="489"/>
      <c r="P852" s="489"/>
      <c r="Q852" s="489"/>
      <c r="R852" s="490"/>
      <c r="S852" s="489"/>
      <c r="T852" s="488" t="s">
        <v>268</v>
      </c>
    </row>
    <row r="853" ht="34.5">
      <c r="A853" s="488" t="s">
        <v>980</v>
      </c>
      <c r="B853" s="488" t="s">
        <v>981</v>
      </c>
      <c r="C853" s="488" t="s">
        <v>356</v>
      </c>
      <c r="D853" s="488" t="s">
        <v>263</v>
      </c>
      <c r="E853" s="488" t="s">
        <v>282</v>
      </c>
      <c r="F853" s="489" t="s">
        <v>993</v>
      </c>
      <c r="G853" s="488" t="s">
        <v>284</v>
      </c>
      <c r="H853" s="489"/>
      <c r="I853" s="489"/>
      <c r="J853" s="489" t="s">
        <v>358</v>
      </c>
      <c r="K853" s="491"/>
      <c r="L853" s="488"/>
      <c r="M853" s="488"/>
      <c r="N853" s="489"/>
      <c r="O853" s="489"/>
      <c r="P853" s="489"/>
      <c r="Q853" s="489"/>
      <c r="R853" s="490"/>
      <c r="S853" s="489"/>
      <c r="T853" s="488" t="s">
        <v>268</v>
      </c>
    </row>
    <row r="854" ht="34.5">
      <c r="A854" s="488" t="s">
        <v>980</v>
      </c>
      <c r="B854" s="488" t="s">
        <v>981</v>
      </c>
      <c r="C854" s="488" t="s">
        <v>356</v>
      </c>
      <c r="D854" s="488" t="s">
        <v>263</v>
      </c>
      <c r="E854" s="488" t="s">
        <v>282</v>
      </c>
      <c r="F854" s="489" t="s">
        <v>993</v>
      </c>
      <c r="G854" s="488" t="s">
        <v>284</v>
      </c>
      <c r="H854" s="489"/>
      <c r="I854" s="489"/>
      <c r="J854" s="489" t="s">
        <v>359</v>
      </c>
      <c r="K854" s="491"/>
      <c r="L854" s="488"/>
      <c r="M854" s="488"/>
      <c r="N854" s="489"/>
      <c r="O854" s="489"/>
      <c r="P854" s="489"/>
      <c r="Q854" s="489"/>
      <c r="R854" s="490"/>
      <c r="S854" s="489"/>
      <c r="T854" s="488" t="s">
        <v>268</v>
      </c>
    </row>
    <row r="855" ht="34.5">
      <c r="A855" s="488" t="s">
        <v>980</v>
      </c>
      <c r="B855" s="488" t="s">
        <v>981</v>
      </c>
      <c r="C855" s="488" t="s">
        <v>356</v>
      </c>
      <c r="D855" s="488" t="s">
        <v>263</v>
      </c>
      <c r="E855" s="488" t="s">
        <v>282</v>
      </c>
      <c r="F855" s="489" t="s">
        <v>993</v>
      </c>
      <c r="G855" s="488" t="s">
        <v>284</v>
      </c>
      <c r="H855" s="489"/>
      <c r="I855" s="489"/>
      <c r="J855" s="489" t="s">
        <v>1041</v>
      </c>
      <c r="K855" s="491"/>
      <c r="L855" s="488"/>
      <c r="M855" s="488"/>
      <c r="N855" s="489"/>
      <c r="O855" s="489"/>
      <c r="P855" s="489"/>
      <c r="Q855" s="489"/>
      <c r="R855" s="490"/>
      <c r="S855" s="489"/>
      <c r="T855" s="488" t="s">
        <v>268</v>
      </c>
    </row>
    <row r="856" ht="34.5">
      <c r="A856" s="488" t="s">
        <v>980</v>
      </c>
      <c r="B856" s="488" t="s">
        <v>981</v>
      </c>
      <c r="C856" s="488" t="s">
        <v>365</v>
      </c>
      <c r="D856" s="488" t="s">
        <v>263</v>
      </c>
      <c r="E856" s="488" t="s">
        <v>282</v>
      </c>
      <c r="F856" s="489" t="s">
        <v>993</v>
      </c>
      <c r="G856" s="488" t="s">
        <v>284</v>
      </c>
      <c r="H856" s="489"/>
      <c r="I856" s="489"/>
      <c r="J856" s="489" t="s">
        <v>362</v>
      </c>
      <c r="K856" s="491"/>
      <c r="L856" s="488"/>
      <c r="M856" s="488"/>
      <c r="N856" s="489"/>
      <c r="O856" s="489"/>
      <c r="P856" s="489"/>
      <c r="Q856" s="489"/>
      <c r="R856" s="490"/>
      <c r="S856" s="489"/>
      <c r="T856" s="488" t="s">
        <v>268</v>
      </c>
    </row>
    <row r="857" ht="34.5">
      <c r="A857" s="488" t="s">
        <v>980</v>
      </c>
      <c r="B857" s="488" t="s">
        <v>981</v>
      </c>
      <c r="C857" s="488" t="s">
        <v>365</v>
      </c>
      <c r="D857" s="488" t="s">
        <v>263</v>
      </c>
      <c r="E857" s="488" t="s">
        <v>282</v>
      </c>
      <c r="F857" s="489" t="s">
        <v>993</v>
      </c>
      <c r="G857" s="488" t="s">
        <v>284</v>
      </c>
      <c r="H857" s="489"/>
      <c r="I857" s="489"/>
      <c r="J857" s="489" t="s">
        <v>363</v>
      </c>
      <c r="K857" s="491"/>
      <c r="L857" s="488"/>
      <c r="M857" s="488"/>
      <c r="N857" s="489"/>
      <c r="O857" s="489"/>
      <c r="P857" s="489"/>
      <c r="Q857" s="489"/>
      <c r="R857" s="490"/>
      <c r="S857" s="489"/>
      <c r="T857" s="488" t="s">
        <v>268</v>
      </c>
    </row>
    <row r="858" ht="34.5">
      <c r="A858" s="488" t="s">
        <v>980</v>
      </c>
      <c r="B858" s="488" t="s">
        <v>981</v>
      </c>
      <c r="C858" s="488" t="s">
        <v>365</v>
      </c>
      <c r="D858" s="488" t="s">
        <v>263</v>
      </c>
      <c r="E858" s="488" t="s">
        <v>282</v>
      </c>
      <c r="F858" s="489" t="s">
        <v>993</v>
      </c>
      <c r="G858" s="488" t="s">
        <v>284</v>
      </c>
      <c r="H858" s="489"/>
      <c r="I858" s="489"/>
      <c r="J858" s="489" t="s">
        <v>364</v>
      </c>
      <c r="K858" s="491"/>
      <c r="L858" s="488"/>
      <c r="M858" s="488"/>
      <c r="N858" s="489"/>
      <c r="O858" s="489"/>
      <c r="P858" s="489"/>
      <c r="Q858" s="489"/>
      <c r="R858" s="490"/>
      <c r="S858" s="489"/>
      <c r="T858" s="488" t="s">
        <v>268</v>
      </c>
    </row>
    <row r="859" ht="34.5">
      <c r="A859" s="488" t="s">
        <v>980</v>
      </c>
      <c r="B859" s="488" t="s">
        <v>981</v>
      </c>
      <c r="C859" s="488" t="s">
        <v>365</v>
      </c>
      <c r="D859" s="488" t="s">
        <v>263</v>
      </c>
      <c r="E859" s="488" t="s">
        <v>282</v>
      </c>
      <c r="F859" s="489" t="s">
        <v>993</v>
      </c>
      <c r="G859" s="488" t="s">
        <v>284</v>
      </c>
      <c r="H859" s="489"/>
      <c r="I859" s="489"/>
      <c r="J859" s="489" t="s">
        <v>1042</v>
      </c>
      <c r="K859" s="491"/>
      <c r="L859" s="488"/>
      <c r="M859" s="488"/>
      <c r="N859" s="489"/>
      <c r="O859" s="489"/>
      <c r="P859" s="489"/>
      <c r="Q859" s="489"/>
      <c r="R859" s="490"/>
      <c r="S859" s="489"/>
      <c r="T859" s="488" t="s">
        <v>268</v>
      </c>
    </row>
    <row r="860" ht="34.5">
      <c r="A860" s="488" t="s">
        <v>980</v>
      </c>
      <c r="B860" s="488" t="s">
        <v>981</v>
      </c>
      <c r="C860" s="488" t="s">
        <v>365</v>
      </c>
      <c r="D860" s="488" t="s">
        <v>263</v>
      </c>
      <c r="E860" s="488" t="s">
        <v>282</v>
      </c>
      <c r="F860" s="489" t="s">
        <v>993</v>
      </c>
      <c r="G860" s="488" t="s">
        <v>284</v>
      </c>
      <c r="H860" s="489"/>
      <c r="I860" s="489"/>
      <c r="J860" s="489" t="s">
        <v>1043</v>
      </c>
      <c r="K860" s="491"/>
      <c r="L860" s="488"/>
      <c r="M860" s="488"/>
      <c r="N860" s="489"/>
      <c r="O860" s="489"/>
      <c r="P860" s="489"/>
      <c r="Q860" s="489"/>
      <c r="R860" s="490"/>
      <c r="S860" s="489"/>
      <c r="T860" s="488" t="s">
        <v>268</v>
      </c>
    </row>
    <row r="861" ht="34.5">
      <c r="A861" s="488" t="s">
        <v>980</v>
      </c>
      <c r="B861" s="488" t="s">
        <v>981</v>
      </c>
      <c r="C861" s="488" t="s">
        <v>372</v>
      </c>
      <c r="D861" s="488" t="s">
        <v>263</v>
      </c>
      <c r="E861" s="488" t="s">
        <v>282</v>
      </c>
      <c r="F861" s="489" t="s">
        <v>993</v>
      </c>
      <c r="G861" s="488" t="s">
        <v>284</v>
      </c>
      <c r="H861" s="489"/>
      <c r="I861" s="489"/>
      <c r="J861" s="489" t="s">
        <v>368</v>
      </c>
      <c r="K861" s="491"/>
      <c r="L861" s="488"/>
      <c r="M861" s="488"/>
      <c r="N861" s="489"/>
      <c r="O861" s="489"/>
      <c r="P861" s="489"/>
      <c r="Q861" s="489"/>
      <c r="R861" s="490"/>
      <c r="S861" s="489"/>
      <c r="T861" s="488" t="s">
        <v>268</v>
      </c>
    </row>
    <row r="862" ht="34.5">
      <c r="A862" s="488" t="s">
        <v>980</v>
      </c>
      <c r="B862" s="488" t="s">
        <v>981</v>
      </c>
      <c r="C862" s="488" t="s">
        <v>372</v>
      </c>
      <c r="D862" s="488" t="s">
        <v>263</v>
      </c>
      <c r="E862" s="488" t="s">
        <v>282</v>
      </c>
      <c r="F862" s="489" t="s">
        <v>993</v>
      </c>
      <c r="G862" s="488" t="s">
        <v>284</v>
      </c>
      <c r="H862" s="489"/>
      <c r="I862" s="489"/>
      <c r="J862" s="489" t="s">
        <v>369</v>
      </c>
      <c r="K862" s="491"/>
      <c r="L862" s="488"/>
      <c r="M862" s="488"/>
      <c r="N862" s="489"/>
      <c r="O862" s="489"/>
      <c r="P862" s="489"/>
      <c r="Q862" s="489"/>
      <c r="R862" s="490"/>
      <c r="S862" s="489"/>
      <c r="T862" s="488" t="s">
        <v>268</v>
      </c>
    </row>
    <row r="863" ht="34.5">
      <c r="A863" s="488" t="s">
        <v>980</v>
      </c>
      <c r="B863" s="488" t="s">
        <v>981</v>
      </c>
      <c r="C863" s="488" t="s">
        <v>372</v>
      </c>
      <c r="D863" s="488" t="s">
        <v>263</v>
      </c>
      <c r="E863" s="488" t="s">
        <v>282</v>
      </c>
      <c r="F863" s="489" t="s">
        <v>993</v>
      </c>
      <c r="G863" s="488" t="s">
        <v>284</v>
      </c>
      <c r="H863" s="489"/>
      <c r="I863" s="489"/>
      <c r="J863" s="489" t="s">
        <v>370</v>
      </c>
      <c r="K863" s="491"/>
      <c r="L863" s="488"/>
      <c r="M863" s="488"/>
      <c r="N863" s="489"/>
      <c r="O863" s="489"/>
      <c r="P863" s="489"/>
      <c r="Q863" s="489"/>
      <c r="R863" s="490"/>
      <c r="S863" s="489"/>
      <c r="T863" s="488" t="s">
        <v>268</v>
      </c>
    </row>
    <row r="864" ht="34.5">
      <c r="A864" s="488" t="s">
        <v>980</v>
      </c>
      <c r="B864" s="488" t="s">
        <v>981</v>
      </c>
      <c r="C864" s="488" t="s">
        <v>372</v>
      </c>
      <c r="D864" s="488" t="s">
        <v>263</v>
      </c>
      <c r="E864" s="488" t="s">
        <v>282</v>
      </c>
      <c r="F864" s="489" t="s">
        <v>993</v>
      </c>
      <c r="G864" s="488" t="s">
        <v>284</v>
      </c>
      <c r="H864" s="489"/>
      <c r="I864" s="489"/>
      <c r="J864" s="489" t="s">
        <v>371</v>
      </c>
      <c r="K864" s="491"/>
      <c r="L864" s="488"/>
      <c r="M864" s="488"/>
      <c r="N864" s="489"/>
      <c r="O864" s="489"/>
      <c r="P864" s="489"/>
      <c r="Q864" s="489"/>
      <c r="R864" s="490"/>
      <c r="S864" s="489"/>
      <c r="T864" s="488" t="s">
        <v>268</v>
      </c>
    </row>
    <row r="865" ht="34.5">
      <c r="A865" s="488" t="s">
        <v>980</v>
      </c>
      <c r="B865" s="488" t="s">
        <v>981</v>
      </c>
      <c r="C865" s="488" t="s">
        <v>372</v>
      </c>
      <c r="D865" s="488" t="s">
        <v>263</v>
      </c>
      <c r="E865" s="488" t="s">
        <v>282</v>
      </c>
      <c r="F865" s="489" t="s">
        <v>993</v>
      </c>
      <c r="G865" s="488" t="s">
        <v>284</v>
      </c>
      <c r="H865" s="489"/>
      <c r="I865" s="489"/>
      <c r="J865" s="489" t="s">
        <v>373</v>
      </c>
      <c r="K865" s="491"/>
      <c r="L865" s="488"/>
      <c r="M865" s="488"/>
      <c r="N865" s="489"/>
      <c r="O865" s="489"/>
      <c r="P865" s="489"/>
      <c r="Q865" s="489"/>
      <c r="R865" s="490"/>
      <c r="S865" s="489"/>
      <c r="T865" s="488" t="s">
        <v>268</v>
      </c>
    </row>
    <row r="866" ht="34.5">
      <c r="A866" s="488" t="s">
        <v>980</v>
      </c>
      <c r="B866" s="488" t="s">
        <v>981</v>
      </c>
      <c r="C866" s="488" t="s">
        <v>372</v>
      </c>
      <c r="D866" s="488" t="s">
        <v>263</v>
      </c>
      <c r="E866" s="488" t="s">
        <v>282</v>
      </c>
      <c r="F866" s="489" t="s">
        <v>993</v>
      </c>
      <c r="G866" s="488" t="s">
        <v>284</v>
      </c>
      <c r="H866" s="489"/>
      <c r="I866" s="489"/>
      <c r="J866" s="489" t="s">
        <v>374</v>
      </c>
      <c r="K866" s="491"/>
      <c r="L866" s="488"/>
      <c r="M866" s="488"/>
      <c r="N866" s="489"/>
      <c r="O866" s="489"/>
      <c r="P866" s="489"/>
      <c r="Q866" s="489"/>
      <c r="R866" s="490"/>
      <c r="S866" s="489"/>
      <c r="T866" s="488" t="s">
        <v>268</v>
      </c>
    </row>
    <row r="867" ht="34.5">
      <c r="A867" s="488" t="s">
        <v>980</v>
      </c>
      <c r="B867" s="488" t="s">
        <v>981</v>
      </c>
      <c r="C867" s="488" t="s">
        <v>372</v>
      </c>
      <c r="D867" s="488" t="s">
        <v>263</v>
      </c>
      <c r="E867" s="488" t="s">
        <v>282</v>
      </c>
      <c r="F867" s="489" t="s">
        <v>993</v>
      </c>
      <c r="G867" s="488" t="s">
        <v>284</v>
      </c>
      <c r="H867" s="489"/>
      <c r="I867" s="489"/>
      <c r="J867" s="489" t="s">
        <v>375</v>
      </c>
      <c r="K867" s="491"/>
      <c r="L867" s="488"/>
      <c r="M867" s="488"/>
      <c r="N867" s="489"/>
      <c r="O867" s="489"/>
      <c r="P867" s="489"/>
      <c r="Q867" s="489"/>
      <c r="R867" s="490"/>
      <c r="S867" s="489"/>
      <c r="T867" s="488" t="s">
        <v>268</v>
      </c>
    </row>
    <row r="868" ht="34.5">
      <c r="A868" s="488" t="s">
        <v>980</v>
      </c>
      <c r="B868" s="488" t="s">
        <v>981</v>
      </c>
      <c r="C868" s="488" t="s">
        <v>381</v>
      </c>
      <c r="D868" s="488" t="s">
        <v>263</v>
      </c>
      <c r="E868" s="488" t="s">
        <v>282</v>
      </c>
      <c r="F868" s="489" t="s">
        <v>993</v>
      </c>
      <c r="G868" s="488" t="s">
        <v>284</v>
      </c>
      <c r="H868" s="489"/>
      <c r="I868" s="489"/>
      <c r="J868" s="489" t="s">
        <v>376</v>
      </c>
      <c r="K868" s="491"/>
      <c r="L868" s="488"/>
      <c r="M868" s="488"/>
      <c r="N868" s="489"/>
      <c r="O868" s="489"/>
      <c r="P868" s="489"/>
      <c r="Q868" s="489"/>
      <c r="R868" s="490"/>
      <c r="S868" s="489"/>
      <c r="T868" s="488" t="s">
        <v>268</v>
      </c>
    </row>
    <row r="869" ht="34.5">
      <c r="A869" s="488" t="s">
        <v>980</v>
      </c>
      <c r="B869" s="488" t="s">
        <v>981</v>
      </c>
      <c r="C869" s="488" t="s">
        <v>381</v>
      </c>
      <c r="D869" s="488" t="s">
        <v>263</v>
      </c>
      <c r="E869" s="488" t="s">
        <v>282</v>
      </c>
      <c r="F869" s="489" t="s">
        <v>993</v>
      </c>
      <c r="G869" s="488" t="s">
        <v>284</v>
      </c>
      <c r="H869" s="489"/>
      <c r="I869" s="489"/>
      <c r="J869" s="489" t="s">
        <v>377</v>
      </c>
      <c r="K869" s="491"/>
      <c r="L869" s="488"/>
      <c r="M869" s="488"/>
      <c r="N869" s="489"/>
      <c r="O869" s="489"/>
      <c r="P869" s="489"/>
      <c r="Q869" s="489"/>
      <c r="R869" s="490"/>
      <c r="S869" s="489"/>
      <c r="T869" s="488" t="s">
        <v>268</v>
      </c>
    </row>
    <row r="870" ht="34.5">
      <c r="A870" s="488" t="s">
        <v>980</v>
      </c>
      <c r="B870" s="488" t="s">
        <v>981</v>
      </c>
      <c r="C870" s="488" t="s">
        <v>381</v>
      </c>
      <c r="D870" s="488" t="s">
        <v>263</v>
      </c>
      <c r="E870" s="488" t="s">
        <v>282</v>
      </c>
      <c r="F870" s="489" t="s">
        <v>993</v>
      </c>
      <c r="G870" s="488" t="s">
        <v>284</v>
      </c>
      <c r="H870" s="489"/>
      <c r="I870" s="489"/>
      <c r="J870" s="489" t="s">
        <v>378</v>
      </c>
      <c r="K870" s="491"/>
      <c r="L870" s="488"/>
      <c r="M870" s="488"/>
      <c r="N870" s="489"/>
      <c r="O870" s="489"/>
      <c r="P870" s="489"/>
      <c r="Q870" s="489"/>
      <c r="R870" s="490"/>
      <c r="S870" s="489"/>
      <c r="T870" s="488" t="s">
        <v>268</v>
      </c>
    </row>
    <row r="871" ht="34.5">
      <c r="A871" s="488" t="s">
        <v>980</v>
      </c>
      <c r="B871" s="488" t="s">
        <v>981</v>
      </c>
      <c r="C871" s="488" t="s">
        <v>381</v>
      </c>
      <c r="D871" s="488" t="s">
        <v>263</v>
      </c>
      <c r="E871" s="488" t="s">
        <v>282</v>
      </c>
      <c r="F871" s="489" t="s">
        <v>993</v>
      </c>
      <c r="G871" s="488" t="s">
        <v>284</v>
      </c>
      <c r="H871" s="489"/>
      <c r="I871" s="489"/>
      <c r="J871" s="489" t="s">
        <v>379</v>
      </c>
      <c r="K871" s="491"/>
      <c r="L871" s="488"/>
      <c r="M871" s="488"/>
      <c r="N871" s="489"/>
      <c r="O871" s="489"/>
      <c r="P871" s="489"/>
      <c r="Q871" s="489"/>
      <c r="R871" s="490"/>
      <c r="S871" s="489"/>
      <c r="T871" s="488" t="s">
        <v>268</v>
      </c>
    </row>
    <row r="872" ht="34.5">
      <c r="A872" s="488" t="s">
        <v>980</v>
      </c>
      <c r="B872" s="488" t="s">
        <v>981</v>
      </c>
      <c r="C872" s="488" t="s">
        <v>381</v>
      </c>
      <c r="D872" s="488" t="s">
        <v>263</v>
      </c>
      <c r="E872" s="488" t="s">
        <v>282</v>
      </c>
      <c r="F872" s="489" t="s">
        <v>993</v>
      </c>
      <c r="G872" s="488" t="s">
        <v>284</v>
      </c>
      <c r="H872" s="489"/>
      <c r="I872" s="489"/>
      <c r="J872" s="489" t="s">
        <v>380</v>
      </c>
      <c r="K872" s="491"/>
      <c r="L872" s="488"/>
      <c r="M872" s="488"/>
      <c r="N872" s="489"/>
      <c r="O872" s="489"/>
      <c r="P872" s="489"/>
      <c r="Q872" s="489"/>
      <c r="R872" s="490"/>
      <c r="S872" s="489"/>
      <c r="T872" s="488" t="s">
        <v>268</v>
      </c>
    </row>
    <row r="873" ht="34.5">
      <c r="A873" s="488" t="s">
        <v>980</v>
      </c>
      <c r="B873" s="488" t="s">
        <v>981</v>
      </c>
      <c r="C873" s="488" t="s">
        <v>381</v>
      </c>
      <c r="D873" s="488" t="s">
        <v>263</v>
      </c>
      <c r="E873" s="488" t="s">
        <v>282</v>
      </c>
      <c r="F873" s="489" t="s">
        <v>993</v>
      </c>
      <c r="G873" s="488" t="s">
        <v>284</v>
      </c>
      <c r="H873" s="489"/>
      <c r="I873" s="489"/>
      <c r="J873" s="489" t="s">
        <v>382</v>
      </c>
      <c r="K873" s="491"/>
      <c r="L873" s="488"/>
      <c r="M873" s="488"/>
      <c r="N873" s="489"/>
      <c r="O873" s="489"/>
      <c r="P873" s="489"/>
      <c r="Q873" s="489"/>
      <c r="R873" s="490"/>
      <c r="S873" s="489"/>
      <c r="T873" s="488" t="s">
        <v>268</v>
      </c>
    </row>
    <row r="874" ht="34.5">
      <c r="A874" s="488" t="s">
        <v>980</v>
      </c>
      <c r="B874" s="488" t="s">
        <v>981</v>
      </c>
      <c r="C874" s="488" t="s">
        <v>381</v>
      </c>
      <c r="D874" s="488" t="s">
        <v>263</v>
      </c>
      <c r="E874" s="488" t="s">
        <v>282</v>
      </c>
      <c r="F874" s="489" t="s">
        <v>993</v>
      </c>
      <c r="G874" s="488" t="s">
        <v>284</v>
      </c>
      <c r="H874" s="489"/>
      <c r="I874" s="489"/>
      <c r="J874" s="489" t="s">
        <v>383</v>
      </c>
      <c r="K874" s="491"/>
      <c r="L874" s="488"/>
      <c r="M874" s="488"/>
      <c r="N874" s="489"/>
      <c r="O874" s="489"/>
      <c r="P874" s="489"/>
      <c r="Q874" s="489"/>
      <c r="R874" s="490"/>
      <c r="S874" s="489"/>
      <c r="T874" s="488" t="s">
        <v>268</v>
      </c>
    </row>
    <row r="875" ht="34.5">
      <c r="A875" s="488" t="s">
        <v>980</v>
      </c>
      <c r="B875" s="488" t="s">
        <v>981</v>
      </c>
      <c r="C875" s="488" t="s">
        <v>381</v>
      </c>
      <c r="D875" s="488" t="s">
        <v>263</v>
      </c>
      <c r="E875" s="488" t="s">
        <v>282</v>
      </c>
      <c r="F875" s="489" t="s">
        <v>993</v>
      </c>
      <c r="G875" s="488" t="s">
        <v>284</v>
      </c>
      <c r="H875" s="489"/>
      <c r="I875" s="489"/>
      <c r="J875" s="489" t="s">
        <v>384</v>
      </c>
      <c r="K875" s="491"/>
      <c r="L875" s="488"/>
      <c r="M875" s="488"/>
      <c r="N875" s="489"/>
      <c r="O875" s="489"/>
      <c r="P875" s="489"/>
      <c r="Q875" s="489"/>
      <c r="R875" s="490"/>
      <c r="S875" s="489"/>
      <c r="T875" s="488" t="s">
        <v>268</v>
      </c>
    </row>
    <row r="876" ht="34.5">
      <c r="A876" s="488" t="s">
        <v>980</v>
      </c>
      <c r="B876" s="488" t="s">
        <v>981</v>
      </c>
      <c r="C876" s="488" t="s">
        <v>381</v>
      </c>
      <c r="D876" s="488" t="s">
        <v>263</v>
      </c>
      <c r="E876" s="488" t="s">
        <v>282</v>
      </c>
      <c r="F876" s="489" t="s">
        <v>993</v>
      </c>
      <c r="G876" s="488" t="s">
        <v>284</v>
      </c>
      <c r="H876" s="489"/>
      <c r="I876" s="489"/>
      <c r="J876" s="489" t="s">
        <v>385</v>
      </c>
      <c r="K876" s="491"/>
      <c r="L876" s="488"/>
      <c r="M876" s="488"/>
      <c r="N876" s="489"/>
      <c r="O876" s="489"/>
      <c r="P876" s="489"/>
      <c r="Q876" s="489"/>
      <c r="R876" s="490"/>
      <c r="S876" s="489"/>
      <c r="T876" s="488" t="s">
        <v>268</v>
      </c>
    </row>
    <row r="877" ht="34.5">
      <c r="A877" s="488" t="s">
        <v>980</v>
      </c>
      <c r="B877" s="488" t="s">
        <v>981</v>
      </c>
      <c r="C877" s="488" t="s">
        <v>381</v>
      </c>
      <c r="D877" s="488" t="s">
        <v>263</v>
      </c>
      <c r="E877" s="488" t="s">
        <v>282</v>
      </c>
      <c r="F877" s="489" t="s">
        <v>993</v>
      </c>
      <c r="G877" s="488" t="s">
        <v>284</v>
      </c>
      <c r="H877" s="489"/>
      <c r="I877" s="489"/>
      <c r="J877" s="489" t="s">
        <v>821</v>
      </c>
      <c r="K877" s="491"/>
      <c r="L877" s="488"/>
      <c r="M877" s="488"/>
      <c r="N877" s="489"/>
      <c r="O877" s="489"/>
      <c r="P877" s="489"/>
      <c r="Q877" s="489"/>
      <c r="R877" s="490"/>
      <c r="S877" s="489"/>
      <c r="T877" s="488" t="s">
        <v>268</v>
      </c>
    </row>
    <row r="878" ht="34.5">
      <c r="A878" s="488" t="s">
        <v>980</v>
      </c>
      <c r="B878" s="488" t="s">
        <v>981</v>
      </c>
      <c r="C878" s="488" t="s">
        <v>389</v>
      </c>
      <c r="D878" s="488" t="s">
        <v>263</v>
      </c>
      <c r="E878" s="488" t="s">
        <v>282</v>
      </c>
      <c r="F878" s="489" t="s">
        <v>993</v>
      </c>
      <c r="G878" s="488" t="s">
        <v>284</v>
      </c>
      <c r="H878" s="489"/>
      <c r="I878" s="489"/>
      <c r="J878" s="489" t="s">
        <v>822</v>
      </c>
      <c r="K878" s="491"/>
      <c r="L878" s="488"/>
      <c r="M878" s="488"/>
      <c r="N878" s="489"/>
      <c r="O878" s="489"/>
      <c r="P878" s="489"/>
      <c r="Q878" s="489"/>
      <c r="R878" s="490"/>
      <c r="S878" s="489"/>
      <c r="T878" s="488" t="s">
        <v>268</v>
      </c>
    </row>
    <row r="879" ht="34.5">
      <c r="A879" s="488" t="s">
        <v>980</v>
      </c>
      <c r="B879" s="488" t="s">
        <v>981</v>
      </c>
      <c r="C879" s="488" t="s">
        <v>389</v>
      </c>
      <c r="D879" s="488" t="s">
        <v>263</v>
      </c>
      <c r="E879" s="488" t="s">
        <v>282</v>
      </c>
      <c r="F879" s="489" t="s">
        <v>993</v>
      </c>
      <c r="G879" s="488" t="s">
        <v>284</v>
      </c>
      <c r="H879" s="489"/>
      <c r="I879" s="489"/>
      <c r="J879" s="489" t="s">
        <v>386</v>
      </c>
      <c r="K879" s="491"/>
      <c r="L879" s="488"/>
      <c r="M879" s="488"/>
      <c r="N879" s="489"/>
      <c r="O879" s="489"/>
      <c r="P879" s="489"/>
      <c r="Q879" s="489"/>
      <c r="R879" s="490"/>
      <c r="S879" s="489"/>
      <c r="T879" s="488" t="s">
        <v>268</v>
      </c>
    </row>
    <row r="880" ht="34.5">
      <c r="A880" s="488" t="s">
        <v>980</v>
      </c>
      <c r="B880" s="488" t="s">
        <v>981</v>
      </c>
      <c r="C880" s="488" t="s">
        <v>389</v>
      </c>
      <c r="D880" s="488" t="s">
        <v>263</v>
      </c>
      <c r="E880" s="488" t="s">
        <v>282</v>
      </c>
      <c r="F880" s="489" t="s">
        <v>993</v>
      </c>
      <c r="G880" s="488" t="s">
        <v>284</v>
      </c>
      <c r="H880" s="489"/>
      <c r="I880" s="489"/>
      <c r="J880" s="489" t="s">
        <v>387</v>
      </c>
      <c r="K880" s="491"/>
      <c r="L880" s="488"/>
      <c r="M880" s="488"/>
      <c r="N880" s="489"/>
      <c r="O880" s="489"/>
      <c r="P880" s="489"/>
      <c r="Q880" s="489"/>
      <c r="R880" s="490"/>
      <c r="S880" s="489"/>
      <c r="T880" s="488" t="s">
        <v>268</v>
      </c>
    </row>
    <row r="881" ht="34.5">
      <c r="A881" s="488" t="s">
        <v>980</v>
      </c>
      <c r="B881" s="488" t="s">
        <v>981</v>
      </c>
      <c r="C881" s="488" t="s">
        <v>389</v>
      </c>
      <c r="D881" s="488" t="s">
        <v>263</v>
      </c>
      <c r="E881" s="488" t="s">
        <v>282</v>
      </c>
      <c r="F881" s="489" t="s">
        <v>993</v>
      </c>
      <c r="G881" s="488" t="s">
        <v>284</v>
      </c>
      <c r="H881" s="489"/>
      <c r="I881" s="489"/>
      <c r="J881" s="489" t="s">
        <v>388</v>
      </c>
      <c r="K881" s="491"/>
      <c r="L881" s="488"/>
      <c r="M881" s="488"/>
      <c r="N881" s="489"/>
      <c r="O881" s="489"/>
      <c r="P881" s="489"/>
      <c r="Q881" s="489"/>
      <c r="R881" s="490"/>
      <c r="S881" s="489"/>
      <c r="T881" s="488" t="s">
        <v>268</v>
      </c>
    </row>
    <row r="882" ht="34.5">
      <c r="A882" s="488" t="s">
        <v>980</v>
      </c>
      <c r="B882" s="488" t="s">
        <v>981</v>
      </c>
      <c r="C882" s="488" t="s">
        <v>389</v>
      </c>
      <c r="D882" s="488" t="s">
        <v>263</v>
      </c>
      <c r="E882" s="488" t="s">
        <v>282</v>
      </c>
      <c r="F882" s="489" t="s">
        <v>993</v>
      </c>
      <c r="G882" s="488" t="s">
        <v>284</v>
      </c>
      <c r="H882" s="489"/>
      <c r="I882" s="489"/>
      <c r="J882" s="489" t="s">
        <v>390</v>
      </c>
      <c r="K882" s="491"/>
      <c r="L882" s="488"/>
      <c r="M882" s="488"/>
      <c r="N882" s="489"/>
      <c r="O882" s="489"/>
      <c r="P882" s="489"/>
      <c r="Q882" s="489"/>
      <c r="R882" s="490"/>
      <c r="S882" s="489"/>
      <c r="T882" s="488" t="s">
        <v>268</v>
      </c>
    </row>
    <row r="883" ht="34.5">
      <c r="A883" s="488" t="s">
        <v>980</v>
      </c>
      <c r="B883" s="488" t="s">
        <v>981</v>
      </c>
      <c r="C883" s="488" t="s">
        <v>389</v>
      </c>
      <c r="D883" s="488" t="s">
        <v>263</v>
      </c>
      <c r="E883" s="488" t="s">
        <v>282</v>
      </c>
      <c r="F883" s="489" t="s">
        <v>993</v>
      </c>
      <c r="G883" s="488" t="s">
        <v>284</v>
      </c>
      <c r="H883" s="489"/>
      <c r="I883" s="489"/>
      <c r="J883" s="489" t="s">
        <v>391</v>
      </c>
      <c r="K883" s="491"/>
      <c r="L883" s="488"/>
      <c r="M883" s="488"/>
      <c r="N883" s="489"/>
      <c r="O883" s="489"/>
      <c r="P883" s="489"/>
      <c r="Q883" s="489"/>
      <c r="R883" s="490"/>
      <c r="S883" s="489"/>
      <c r="T883" s="488" t="s">
        <v>268</v>
      </c>
    </row>
    <row r="884" ht="34.5">
      <c r="A884" s="488" t="s">
        <v>980</v>
      </c>
      <c r="B884" s="488" t="s">
        <v>981</v>
      </c>
      <c r="C884" s="488" t="s">
        <v>389</v>
      </c>
      <c r="D884" s="488" t="s">
        <v>263</v>
      </c>
      <c r="E884" s="488" t="s">
        <v>282</v>
      </c>
      <c r="F884" s="489" t="s">
        <v>993</v>
      </c>
      <c r="G884" s="488" t="s">
        <v>284</v>
      </c>
      <c r="H884" s="489"/>
      <c r="I884" s="489"/>
      <c r="J884" s="489" t="s">
        <v>392</v>
      </c>
      <c r="K884" s="491"/>
      <c r="L884" s="488"/>
      <c r="M884" s="488"/>
      <c r="N884" s="489"/>
      <c r="O884" s="489"/>
      <c r="P884" s="489"/>
      <c r="Q884" s="489"/>
      <c r="R884" s="490"/>
      <c r="S884" s="489"/>
      <c r="T884" s="488" t="s">
        <v>268</v>
      </c>
    </row>
    <row r="885" ht="34.5">
      <c r="A885" s="488" t="s">
        <v>980</v>
      </c>
      <c r="B885" s="488" t="s">
        <v>981</v>
      </c>
      <c r="C885" s="488" t="s">
        <v>389</v>
      </c>
      <c r="D885" s="488" t="s">
        <v>263</v>
      </c>
      <c r="E885" s="488" t="s">
        <v>282</v>
      </c>
      <c r="F885" s="489" t="s">
        <v>993</v>
      </c>
      <c r="G885" s="488" t="s">
        <v>284</v>
      </c>
      <c r="H885" s="489"/>
      <c r="I885" s="489"/>
      <c r="J885" s="489" t="s">
        <v>393</v>
      </c>
      <c r="K885" s="491"/>
      <c r="L885" s="488"/>
      <c r="M885" s="488"/>
      <c r="N885" s="489"/>
      <c r="O885" s="489"/>
      <c r="P885" s="489"/>
      <c r="Q885" s="489"/>
      <c r="R885" s="490"/>
      <c r="S885" s="489"/>
      <c r="T885" s="488" t="s">
        <v>268</v>
      </c>
    </row>
    <row r="886" ht="34.5">
      <c r="A886" s="488" t="s">
        <v>980</v>
      </c>
      <c r="B886" s="488" t="s">
        <v>981</v>
      </c>
      <c r="C886" s="488" t="s">
        <v>402</v>
      </c>
      <c r="D886" s="488" t="s">
        <v>263</v>
      </c>
      <c r="E886" s="488" t="s">
        <v>394</v>
      </c>
      <c r="F886" s="489" t="s">
        <v>395</v>
      </c>
      <c r="G886" s="488" t="s">
        <v>284</v>
      </c>
      <c r="H886" s="489"/>
      <c r="I886" s="489"/>
      <c r="J886" s="489" t="s">
        <v>396</v>
      </c>
      <c r="K886" s="491"/>
      <c r="L886" s="488"/>
      <c r="M886" s="488"/>
      <c r="N886" s="489"/>
      <c r="O886" s="489"/>
      <c r="P886" s="489"/>
      <c r="Q886" s="489"/>
      <c r="R886" s="490"/>
      <c r="S886" s="489"/>
      <c r="T886" s="488" t="s">
        <v>268</v>
      </c>
    </row>
    <row r="887" ht="34.5">
      <c r="A887" s="488" t="s">
        <v>980</v>
      </c>
      <c r="B887" s="488" t="s">
        <v>981</v>
      </c>
      <c r="C887" s="488" t="s">
        <v>402</v>
      </c>
      <c r="D887" s="488" t="s">
        <v>263</v>
      </c>
      <c r="E887" s="488" t="s">
        <v>394</v>
      </c>
      <c r="F887" s="489" t="s">
        <v>395</v>
      </c>
      <c r="G887" s="488" t="s">
        <v>284</v>
      </c>
      <c r="H887" s="489"/>
      <c r="I887" s="489"/>
      <c r="J887" s="489" t="s">
        <v>398</v>
      </c>
      <c r="K887" s="491"/>
      <c r="L887" s="488"/>
      <c r="M887" s="488"/>
      <c r="N887" s="489"/>
      <c r="O887" s="489"/>
      <c r="P887" s="489"/>
      <c r="Q887" s="489"/>
      <c r="R887" s="490"/>
      <c r="S887" s="489"/>
      <c r="T887" s="488" t="s">
        <v>268</v>
      </c>
    </row>
    <row r="888" ht="34.5">
      <c r="A888" s="488" t="s">
        <v>980</v>
      </c>
      <c r="B888" s="488" t="s">
        <v>981</v>
      </c>
      <c r="C888" s="488" t="s">
        <v>402</v>
      </c>
      <c r="D888" s="488" t="s">
        <v>263</v>
      </c>
      <c r="E888" s="488" t="s">
        <v>394</v>
      </c>
      <c r="F888" s="489" t="s">
        <v>395</v>
      </c>
      <c r="G888" s="488" t="s">
        <v>284</v>
      </c>
      <c r="H888" s="489"/>
      <c r="I888" s="489"/>
      <c r="J888" s="489" t="s">
        <v>399</v>
      </c>
      <c r="K888" s="491"/>
      <c r="L888" s="488"/>
      <c r="M888" s="488"/>
      <c r="N888" s="489"/>
      <c r="O888" s="489"/>
      <c r="P888" s="489"/>
      <c r="Q888" s="489"/>
      <c r="R888" s="490"/>
      <c r="S888" s="489"/>
      <c r="T888" s="488" t="s">
        <v>268</v>
      </c>
    </row>
    <row r="889" ht="34.5">
      <c r="A889" s="488" t="s">
        <v>980</v>
      </c>
      <c r="B889" s="488" t="s">
        <v>981</v>
      </c>
      <c r="C889" s="488" t="s">
        <v>402</v>
      </c>
      <c r="D889" s="488" t="s">
        <v>263</v>
      </c>
      <c r="E889" s="488" t="s">
        <v>394</v>
      </c>
      <c r="F889" s="489" t="s">
        <v>395</v>
      </c>
      <c r="G889" s="488" t="s">
        <v>284</v>
      </c>
      <c r="H889" s="489"/>
      <c r="I889" s="489"/>
      <c r="J889" s="489" t="s">
        <v>400</v>
      </c>
      <c r="K889" s="491"/>
      <c r="L889" s="488"/>
      <c r="M889" s="488"/>
      <c r="N889" s="489"/>
      <c r="O889" s="489"/>
      <c r="P889" s="489"/>
      <c r="Q889" s="489"/>
      <c r="R889" s="490"/>
      <c r="S889" s="489"/>
      <c r="T889" s="488" t="s">
        <v>268</v>
      </c>
    </row>
    <row r="890" ht="34.5">
      <c r="A890" s="488" t="s">
        <v>980</v>
      </c>
      <c r="B890" s="488" t="s">
        <v>981</v>
      </c>
      <c r="C890" s="488" t="s">
        <v>402</v>
      </c>
      <c r="D890" s="488" t="s">
        <v>263</v>
      </c>
      <c r="E890" s="488" t="s">
        <v>394</v>
      </c>
      <c r="F890" s="489" t="s">
        <v>395</v>
      </c>
      <c r="G890" s="488" t="s">
        <v>284</v>
      </c>
      <c r="H890" s="489"/>
      <c r="I890" s="489"/>
      <c r="J890" s="489" t="s">
        <v>383</v>
      </c>
      <c r="K890" s="491"/>
      <c r="L890" s="488"/>
      <c r="M890" s="488"/>
      <c r="N890" s="489"/>
      <c r="O890" s="489"/>
      <c r="P890" s="489"/>
      <c r="Q890" s="489"/>
      <c r="R890" s="490"/>
      <c r="S890" s="489"/>
      <c r="T890" s="488" t="s">
        <v>268</v>
      </c>
    </row>
    <row r="891" ht="34.5">
      <c r="A891" s="488" t="s">
        <v>980</v>
      </c>
      <c r="B891" s="488" t="s">
        <v>981</v>
      </c>
      <c r="C891" s="488" t="s">
        <v>402</v>
      </c>
      <c r="D891" s="488" t="s">
        <v>263</v>
      </c>
      <c r="E891" s="488" t="s">
        <v>394</v>
      </c>
      <c r="F891" s="489" t="s">
        <v>395</v>
      </c>
      <c r="G891" s="488" t="s">
        <v>284</v>
      </c>
      <c r="H891" s="489"/>
      <c r="I891" s="489"/>
      <c r="J891" s="489" t="s">
        <v>404</v>
      </c>
      <c r="K891" s="491"/>
      <c r="L891" s="488"/>
      <c r="M891" s="488"/>
      <c r="N891" s="489"/>
      <c r="O891" s="489"/>
      <c r="P891" s="489"/>
      <c r="Q891" s="489"/>
      <c r="R891" s="490"/>
      <c r="S891" s="489"/>
      <c r="T891" s="488" t="s">
        <v>268</v>
      </c>
    </row>
    <row r="892" ht="34.5">
      <c r="A892" s="488" t="s">
        <v>980</v>
      </c>
      <c r="B892" s="488" t="s">
        <v>981</v>
      </c>
      <c r="C892" s="488" t="s">
        <v>402</v>
      </c>
      <c r="D892" s="488" t="s">
        <v>263</v>
      </c>
      <c r="E892" s="488" t="s">
        <v>394</v>
      </c>
      <c r="F892" s="489" t="s">
        <v>395</v>
      </c>
      <c r="G892" s="488" t="s">
        <v>284</v>
      </c>
      <c r="H892" s="489"/>
      <c r="I892" s="489"/>
      <c r="J892" s="489" t="s">
        <v>1044</v>
      </c>
      <c r="K892" s="491"/>
      <c r="L892" s="488"/>
      <c r="M892" s="488"/>
      <c r="N892" s="489"/>
      <c r="O892" s="489"/>
      <c r="P892" s="489"/>
      <c r="Q892" s="489"/>
      <c r="R892" s="490"/>
      <c r="S892" s="489"/>
      <c r="T892" s="488" t="s">
        <v>268</v>
      </c>
    </row>
    <row r="893" ht="34.5">
      <c r="A893" s="488" t="s">
        <v>980</v>
      </c>
      <c r="B893" s="488" t="s">
        <v>981</v>
      </c>
      <c r="C893" s="488" t="s">
        <v>402</v>
      </c>
      <c r="D893" s="488" t="s">
        <v>263</v>
      </c>
      <c r="E893" s="488" t="s">
        <v>394</v>
      </c>
      <c r="F893" s="489" t="s">
        <v>395</v>
      </c>
      <c r="G893" s="488" t="s">
        <v>284</v>
      </c>
      <c r="H893" s="489"/>
      <c r="I893" s="489"/>
      <c r="J893" s="489" t="s">
        <v>406</v>
      </c>
      <c r="K893" s="491"/>
      <c r="L893" s="488"/>
      <c r="M893" s="488"/>
      <c r="N893" s="489"/>
      <c r="O893" s="489"/>
      <c r="P893" s="489"/>
      <c r="Q893" s="489"/>
      <c r="R893" s="490"/>
      <c r="S893" s="489"/>
      <c r="T893" s="488" t="s">
        <v>268</v>
      </c>
    </row>
    <row r="894" ht="34.5">
      <c r="A894" s="488" t="s">
        <v>980</v>
      </c>
      <c r="B894" s="488" t="s">
        <v>981</v>
      </c>
      <c r="C894" s="488" t="s">
        <v>415</v>
      </c>
      <c r="D894" s="488" t="s">
        <v>263</v>
      </c>
      <c r="E894" s="488" t="s">
        <v>407</v>
      </c>
      <c r="F894" s="489" t="s">
        <v>408</v>
      </c>
      <c r="G894" s="488" t="s">
        <v>409</v>
      </c>
      <c r="H894" s="489"/>
      <c r="I894" s="489"/>
      <c r="J894" s="489" t="s">
        <v>827</v>
      </c>
      <c r="K894" s="491"/>
      <c r="L894" s="488"/>
      <c r="M894" s="488"/>
      <c r="N894" s="489"/>
      <c r="O894" s="489"/>
      <c r="P894" s="489"/>
      <c r="Q894" s="489"/>
      <c r="R894" s="490"/>
      <c r="S894" s="489"/>
      <c r="T894" s="488" t="s">
        <v>268</v>
      </c>
    </row>
    <row r="895" ht="34.5">
      <c r="A895" s="488" t="s">
        <v>980</v>
      </c>
      <c r="B895" s="488" t="s">
        <v>981</v>
      </c>
      <c r="C895" s="488" t="s">
        <v>415</v>
      </c>
      <c r="D895" s="488" t="s">
        <v>263</v>
      </c>
      <c r="E895" s="488" t="s">
        <v>407</v>
      </c>
      <c r="F895" s="489" t="s">
        <v>408</v>
      </c>
      <c r="G895" s="488" t="s">
        <v>409</v>
      </c>
      <c r="H895" s="489"/>
      <c r="I895" s="489"/>
      <c r="J895" s="489" t="s">
        <v>1045</v>
      </c>
      <c r="K895" s="491"/>
      <c r="L895" s="488"/>
      <c r="M895" s="488"/>
      <c r="N895" s="489"/>
      <c r="O895" s="489"/>
      <c r="P895" s="489"/>
      <c r="Q895" s="489"/>
      <c r="R895" s="490"/>
      <c r="S895" s="489"/>
      <c r="T895" s="488" t="s">
        <v>268</v>
      </c>
    </row>
    <row r="896" ht="34.5">
      <c r="A896" s="488" t="s">
        <v>980</v>
      </c>
      <c r="B896" s="488" t="s">
        <v>981</v>
      </c>
      <c r="C896" s="488" t="s">
        <v>415</v>
      </c>
      <c r="D896" s="488" t="s">
        <v>263</v>
      </c>
      <c r="E896" s="488" t="s">
        <v>407</v>
      </c>
      <c r="F896" s="489" t="s">
        <v>408</v>
      </c>
      <c r="G896" s="488" t="s">
        <v>409</v>
      </c>
      <c r="H896" s="489"/>
      <c r="I896" s="489"/>
      <c r="J896" s="489" t="s">
        <v>1046</v>
      </c>
      <c r="K896" s="491"/>
      <c r="L896" s="488"/>
      <c r="M896" s="488"/>
      <c r="N896" s="489"/>
      <c r="O896" s="489"/>
      <c r="P896" s="489"/>
      <c r="Q896" s="489"/>
      <c r="R896" s="490"/>
      <c r="S896" s="489"/>
      <c r="T896" s="488" t="s">
        <v>268</v>
      </c>
    </row>
    <row r="897" ht="34.5">
      <c r="A897" s="488" t="s">
        <v>980</v>
      </c>
      <c r="B897" s="488" t="s">
        <v>981</v>
      </c>
      <c r="C897" s="488" t="s">
        <v>415</v>
      </c>
      <c r="D897" s="488" t="s">
        <v>263</v>
      </c>
      <c r="E897" s="488" t="s">
        <v>407</v>
      </c>
      <c r="F897" s="489" t="s">
        <v>408</v>
      </c>
      <c r="G897" s="488" t="s">
        <v>409</v>
      </c>
      <c r="H897" s="489"/>
      <c r="I897" s="489"/>
      <c r="J897" s="489" t="s">
        <v>1047</v>
      </c>
      <c r="K897" s="491"/>
      <c r="L897" s="488"/>
      <c r="M897" s="488"/>
      <c r="N897" s="489"/>
      <c r="O897" s="489"/>
      <c r="P897" s="489"/>
      <c r="Q897" s="489"/>
      <c r="R897" s="490"/>
      <c r="S897" s="489"/>
      <c r="T897" s="488" t="s">
        <v>268</v>
      </c>
    </row>
    <row r="898" ht="34.5">
      <c r="A898" s="488" t="s">
        <v>980</v>
      </c>
      <c r="B898" s="488" t="s">
        <v>981</v>
      </c>
      <c r="C898" s="488" t="s">
        <v>415</v>
      </c>
      <c r="D898" s="488" t="s">
        <v>263</v>
      </c>
      <c r="E898" s="488" t="s">
        <v>407</v>
      </c>
      <c r="F898" s="489" t="s">
        <v>408</v>
      </c>
      <c r="G898" s="488" t="s">
        <v>409</v>
      </c>
      <c r="H898" s="489"/>
      <c r="I898" s="489"/>
      <c r="J898" s="489" t="s">
        <v>1048</v>
      </c>
      <c r="K898" s="491"/>
      <c r="L898" s="488"/>
      <c r="M898" s="488"/>
      <c r="N898" s="489"/>
      <c r="O898" s="489"/>
      <c r="P898" s="489"/>
      <c r="Q898" s="489"/>
      <c r="R898" s="490"/>
      <c r="S898" s="489"/>
      <c r="T898" s="488" t="s">
        <v>268</v>
      </c>
    </row>
    <row r="899" ht="34.5">
      <c r="A899" s="488" t="s">
        <v>980</v>
      </c>
      <c r="B899" s="488" t="s">
        <v>981</v>
      </c>
      <c r="C899" s="488" t="s">
        <v>415</v>
      </c>
      <c r="D899" s="488" t="s">
        <v>263</v>
      </c>
      <c r="E899" s="488" t="s">
        <v>407</v>
      </c>
      <c r="F899" s="489" t="s">
        <v>408</v>
      </c>
      <c r="G899" s="488" t="s">
        <v>409</v>
      </c>
      <c r="H899" s="489"/>
      <c r="I899" s="489"/>
      <c r="J899" s="489" t="s">
        <v>419</v>
      </c>
      <c r="K899" s="491"/>
      <c r="L899" s="488"/>
      <c r="M899" s="488"/>
      <c r="N899" s="489"/>
      <c r="O899" s="489"/>
      <c r="P899" s="489"/>
      <c r="Q899" s="489"/>
      <c r="R899" s="490"/>
      <c r="S899" s="489"/>
      <c r="T899" s="488" t="s">
        <v>268</v>
      </c>
    </row>
    <row r="900" ht="34.5">
      <c r="A900" s="488" t="s">
        <v>980</v>
      </c>
      <c r="B900" s="488" t="s">
        <v>981</v>
      </c>
      <c r="C900" s="488" t="s">
        <v>415</v>
      </c>
      <c r="D900" s="488" t="s">
        <v>263</v>
      </c>
      <c r="E900" s="488" t="s">
        <v>407</v>
      </c>
      <c r="F900" s="489" t="s">
        <v>408</v>
      </c>
      <c r="G900" s="488" t="s">
        <v>409</v>
      </c>
      <c r="H900" s="489"/>
      <c r="I900" s="489"/>
      <c r="J900" s="489" t="s">
        <v>420</v>
      </c>
      <c r="K900" s="491"/>
      <c r="L900" s="488"/>
      <c r="M900" s="488"/>
      <c r="N900" s="489"/>
      <c r="O900" s="489"/>
      <c r="P900" s="489"/>
      <c r="Q900" s="489"/>
      <c r="R900" s="490"/>
      <c r="S900" s="489"/>
      <c r="T900" s="488" t="s">
        <v>268</v>
      </c>
    </row>
    <row r="901" ht="34.5">
      <c r="A901" s="488" t="s">
        <v>980</v>
      </c>
      <c r="B901" s="488" t="s">
        <v>981</v>
      </c>
      <c r="C901" s="488" t="s">
        <v>415</v>
      </c>
      <c r="D901" s="488" t="s">
        <v>263</v>
      </c>
      <c r="E901" s="488" t="s">
        <v>407</v>
      </c>
      <c r="F901" s="489" t="s">
        <v>408</v>
      </c>
      <c r="G901" s="488" t="s">
        <v>409</v>
      </c>
      <c r="H901" s="489"/>
      <c r="I901" s="489"/>
      <c r="J901" s="489" t="s">
        <v>1049</v>
      </c>
      <c r="K901" s="491"/>
      <c r="L901" s="488"/>
      <c r="M901" s="488"/>
      <c r="N901" s="489"/>
      <c r="O901" s="489"/>
      <c r="P901" s="489"/>
      <c r="Q901" s="489"/>
      <c r="R901" s="490"/>
      <c r="S901" s="489"/>
      <c r="T901" s="488" t="s">
        <v>268</v>
      </c>
    </row>
    <row r="902" ht="34.5">
      <c r="A902" s="488" t="s">
        <v>980</v>
      </c>
      <c r="B902" s="488" t="s">
        <v>981</v>
      </c>
      <c r="C902" s="488" t="s">
        <v>424</v>
      </c>
      <c r="D902" s="488" t="s">
        <v>263</v>
      </c>
      <c r="E902" s="488" t="s">
        <v>407</v>
      </c>
      <c r="F902" s="489" t="s">
        <v>416</v>
      </c>
      <c r="G902" s="488" t="s">
        <v>409</v>
      </c>
      <c r="H902" s="489"/>
      <c r="I902" s="489"/>
      <c r="J902" s="489" t="s">
        <v>425</v>
      </c>
      <c r="K902" s="491"/>
      <c r="L902" s="488"/>
      <c r="M902" s="488"/>
      <c r="N902" s="489"/>
      <c r="O902" s="489"/>
      <c r="P902" s="489"/>
      <c r="Q902" s="489"/>
      <c r="R902" s="490"/>
      <c r="S902" s="489"/>
      <c r="T902" s="488" t="s">
        <v>268</v>
      </c>
    </row>
    <row r="903" ht="34.5">
      <c r="A903" s="488" t="s">
        <v>980</v>
      </c>
      <c r="B903" s="488" t="s">
        <v>981</v>
      </c>
      <c r="C903" s="488" t="s">
        <v>424</v>
      </c>
      <c r="D903" s="488" t="s">
        <v>263</v>
      </c>
      <c r="E903" s="488" t="s">
        <v>407</v>
      </c>
      <c r="F903" s="489" t="s">
        <v>416</v>
      </c>
      <c r="G903" s="488" t="s">
        <v>409</v>
      </c>
      <c r="H903" s="489"/>
      <c r="I903" s="489"/>
      <c r="J903" s="489" t="s">
        <v>1050</v>
      </c>
      <c r="K903" s="491"/>
      <c r="L903" s="488"/>
      <c r="M903" s="488"/>
      <c r="N903" s="489"/>
      <c r="O903" s="489"/>
      <c r="P903" s="489"/>
      <c r="Q903" s="489"/>
      <c r="R903" s="490"/>
      <c r="S903" s="489"/>
      <c r="T903" s="488" t="s">
        <v>268</v>
      </c>
    </row>
    <row r="904" ht="34.5">
      <c r="A904" s="488" t="s">
        <v>980</v>
      </c>
      <c r="B904" s="488" t="s">
        <v>981</v>
      </c>
      <c r="C904" s="488" t="s">
        <v>424</v>
      </c>
      <c r="D904" s="488" t="s">
        <v>263</v>
      </c>
      <c r="E904" s="488" t="s">
        <v>407</v>
      </c>
      <c r="F904" s="489" t="s">
        <v>416</v>
      </c>
      <c r="G904" s="488" t="s">
        <v>409</v>
      </c>
      <c r="H904" s="489"/>
      <c r="I904" s="489"/>
      <c r="J904" s="489" t="s">
        <v>423</v>
      </c>
      <c r="K904" s="491"/>
      <c r="L904" s="488"/>
      <c r="M904" s="488"/>
      <c r="N904" s="489"/>
      <c r="O904" s="489"/>
      <c r="P904" s="489"/>
      <c r="Q904" s="489"/>
      <c r="R904" s="490"/>
      <c r="S904" s="489"/>
      <c r="T904" s="488" t="s">
        <v>268</v>
      </c>
    </row>
    <row r="905" ht="34.5">
      <c r="A905" s="488" t="s">
        <v>980</v>
      </c>
      <c r="B905" s="488" t="s">
        <v>981</v>
      </c>
      <c r="C905" s="488" t="s">
        <v>424</v>
      </c>
      <c r="D905" s="488" t="s">
        <v>263</v>
      </c>
      <c r="E905" s="488" t="s">
        <v>407</v>
      </c>
      <c r="F905" s="489" t="s">
        <v>416</v>
      </c>
      <c r="G905" s="488" t="s">
        <v>409</v>
      </c>
      <c r="H905" s="489"/>
      <c r="I905" s="489"/>
      <c r="J905" s="489" t="s">
        <v>829</v>
      </c>
      <c r="K905" s="491"/>
      <c r="L905" s="488"/>
      <c r="M905" s="488"/>
      <c r="N905" s="489"/>
      <c r="O905" s="489"/>
      <c r="P905" s="489"/>
      <c r="Q905" s="489"/>
      <c r="R905" s="490"/>
      <c r="S905" s="489"/>
      <c r="T905" s="488" t="s">
        <v>268</v>
      </c>
    </row>
    <row r="906" ht="34.5">
      <c r="A906" s="488" t="s">
        <v>980</v>
      </c>
      <c r="B906" s="488" t="s">
        <v>981</v>
      </c>
      <c r="C906" s="488" t="s">
        <v>424</v>
      </c>
      <c r="D906" s="488" t="s">
        <v>263</v>
      </c>
      <c r="E906" s="488" t="s">
        <v>407</v>
      </c>
      <c r="F906" s="489" t="s">
        <v>416</v>
      </c>
      <c r="G906" s="488" t="s">
        <v>409</v>
      </c>
      <c r="H906" s="489"/>
      <c r="I906" s="489"/>
      <c r="J906" s="489" t="s">
        <v>1051</v>
      </c>
      <c r="K906" s="491">
        <v>63446898</v>
      </c>
      <c r="L906" s="488" t="s">
        <v>429</v>
      </c>
      <c r="M906" s="488"/>
      <c r="N906" s="489"/>
      <c r="O906" s="489"/>
      <c r="P906" s="489"/>
      <c r="Q906" s="489"/>
      <c r="R906" s="490"/>
      <c r="S906" s="489"/>
      <c r="T906" s="488" t="s">
        <v>268</v>
      </c>
    </row>
    <row r="907" ht="34.5">
      <c r="A907" s="488" t="s">
        <v>980</v>
      </c>
      <c r="B907" s="488" t="s">
        <v>981</v>
      </c>
      <c r="C907" s="488" t="s">
        <v>424</v>
      </c>
      <c r="D907" s="488" t="s">
        <v>263</v>
      </c>
      <c r="E907" s="488" t="s">
        <v>407</v>
      </c>
      <c r="F907" s="489" t="s">
        <v>416</v>
      </c>
      <c r="G907" s="488" t="s">
        <v>409</v>
      </c>
      <c r="H907" s="489"/>
      <c r="I907" s="489"/>
      <c r="J907" s="489" t="s">
        <v>431</v>
      </c>
      <c r="K907" s="491"/>
      <c r="L907" s="488"/>
      <c r="M907" s="488"/>
      <c r="N907" s="489"/>
      <c r="O907" s="489"/>
      <c r="P907" s="489"/>
      <c r="Q907" s="489"/>
      <c r="R907" s="490"/>
      <c r="S907" s="489"/>
      <c r="T907" s="488" t="s">
        <v>268</v>
      </c>
    </row>
    <row r="908" ht="34.5">
      <c r="A908" s="488" t="s">
        <v>980</v>
      </c>
      <c r="B908" s="488" t="s">
        <v>981</v>
      </c>
      <c r="C908" s="488" t="s">
        <v>424</v>
      </c>
      <c r="D908" s="488" t="s">
        <v>263</v>
      </c>
      <c r="E908" s="488" t="s">
        <v>407</v>
      </c>
      <c r="F908" s="489" t="s">
        <v>416</v>
      </c>
      <c r="G908" s="488" t="s">
        <v>409</v>
      </c>
      <c r="H908" s="489"/>
      <c r="I908" s="489"/>
      <c r="J908" s="489" t="s">
        <v>432</v>
      </c>
      <c r="K908" s="491"/>
      <c r="L908" s="488"/>
      <c r="M908" s="488"/>
      <c r="N908" s="489"/>
      <c r="O908" s="489"/>
      <c r="P908" s="489"/>
      <c r="Q908" s="489"/>
      <c r="R908" s="490"/>
      <c r="S908" s="489"/>
      <c r="T908" s="488" t="s">
        <v>268</v>
      </c>
    </row>
    <row r="909" ht="34.5">
      <c r="A909" s="488" t="s">
        <v>980</v>
      </c>
      <c r="B909" s="488" t="s">
        <v>981</v>
      </c>
      <c r="C909" s="488" t="s">
        <v>424</v>
      </c>
      <c r="D909" s="488" t="s">
        <v>263</v>
      </c>
      <c r="E909" s="488" t="s">
        <v>407</v>
      </c>
      <c r="F909" s="489" t="s">
        <v>416</v>
      </c>
      <c r="G909" s="488" t="s">
        <v>409</v>
      </c>
      <c r="H909" s="489"/>
      <c r="I909" s="489"/>
      <c r="J909" s="489" t="s">
        <v>1052</v>
      </c>
      <c r="K909" s="491"/>
      <c r="L909" s="488"/>
      <c r="M909" s="488"/>
      <c r="N909" s="489"/>
      <c r="O909" s="489"/>
      <c r="P909" s="489"/>
      <c r="Q909" s="489"/>
      <c r="R909" s="490"/>
      <c r="S909" s="489"/>
      <c r="T909" s="488" t="s">
        <v>268</v>
      </c>
    </row>
    <row r="910" ht="34.5">
      <c r="A910" s="488" t="s">
        <v>980</v>
      </c>
      <c r="B910" s="488" t="s">
        <v>981</v>
      </c>
      <c r="C910" s="488" t="s">
        <v>434</v>
      </c>
      <c r="D910" s="488" t="s">
        <v>263</v>
      </c>
      <c r="E910" s="488" t="s">
        <v>407</v>
      </c>
      <c r="F910" s="489" t="s">
        <v>416</v>
      </c>
      <c r="G910" s="488" t="s">
        <v>409</v>
      </c>
      <c r="H910" s="489"/>
      <c r="I910" s="489"/>
      <c r="J910" s="489" t="s">
        <v>1053</v>
      </c>
      <c r="K910" s="491"/>
      <c r="L910" s="488"/>
      <c r="M910" s="488"/>
      <c r="N910" s="489"/>
      <c r="O910" s="489"/>
      <c r="P910" s="489"/>
      <c r="Q910" s="489"/>
      <c r="R910" s="490"/>
      <c r="S910" s="489"/>
      <c r="T910" s="488" t="s">
        <v>268</v>
      </c>
    </row>
    <row r="911" ht="34.5">
      <c r="A911" s="488" t="s">
        <v>980</v>
      </c>
      <c r="B911" s="488" t="s">
        <v>981</v>
      </c>
      <c r="C911" s="488" t="s">
        <v>434</v>
      </c>
      <c r="D911" s="488" t="s">
        <v>263</v>
      </c>
      <c r="E911" s="488" t="s">
        <v>407</v>
      </c>
      <c r="F911" s="489" t="s">
        <v>416</v>
      </c>
      <c r="G911" s="488" t="s">
        <v>409</v>
      </c>
      <c r="H911" s="489"/>
      <c r="I911" s="489"/>
      <c r="J911" s="489" t="s">
        <v>831</v>
      </c>
      <c r="K911" s="491"/>
      <c r="L911" s="488"/>
      <c r="M911" s="488"/>
      <c r="N911" s="489"/>
      <c r="O911" s="489"/>
      <c r="P911" s="489"/>
      <c r="Q911" s="489"/>
      <c r="R911" s="490"/>
      <c r="S911" s="489"/>
      <c r="T911" s="488" t="s">
        <v>268</v>
      </c>
    </row>
    <row r="912" ht="34.5">
      <c r="A912" s="488" t="s">
        <v>980</v>
      </c>
      <c r="B912" s="488" t="s">
        <v>981</v>
      </c>
      <c r="C912" s="488" t="s">
        <v>434</v>
      </c>
      <c r="D912" s="488" t="s">
        <v>263</v>
      </c>
      <c r="E912" s="488" t="s">
        <v>407</v>
      </c>
      <c r="F912" s="489" t="s">
        <v>416</v>
      </c>
      <c r="G912" s="488" t="s">
        <v>409</v>
      </c>
      <c r="H912" s="489"/>
      <c r="I912" s="489"/>
      <c r="J912" s="489" t="s">
        <v>1054</v>
      </c>
      <c r="K912" s="491">
        <v>156921728</v>
      </c>
      <c r="L912" s="488" t="s">
        <v>429</v>
      </c>
      <c r="M912" s="488"/>
      <c r="N912" s="489"/>
      <c r="O912" s="489"/>
      <c r="P912" s="489"/>
      <c r="Q912" s="489"/>
      <c r="R912" s="490"/>
      <c r="S912" s="489"/>
      <c r="T912" s="488" t="s">
        <v>268</v>
      </c>
    </row>
    <row r="913" ht="34.5">
      <c r="A913" s="488" t="s">
        <v>980</v>
      </c>
      <c r="B913" s="488" t="s">
        <v>981</v>
      </c>
      <c r="C913" s="488" t="s">
        <v>434</v>
      </c>
      <c r="D913" s="488" t="s">
        <v>263</v>
      </c>
      <c r="E913" s="488" t="s">
        <v>407</v>
      </c>
      <c r="F913" s="489" t="s">
        <v>416</v>
      </c>
      <c r="G913" s="488" t="s">
        <v>409</v>
      </c>
      <c r="H913" s="489"/>
      <c r="I913" s="489"/>
      <c r="J913" s="489" t="s">
        <v>438</v>
      </c>
      <c r="K913" s="491"/>
      <c r="L913" s="488"/>
      <c r="M913" s="488"/>
      <c r="N913" s="489"/>
      <c r="O913" s="489"/>
      <c r="P913" s="489"/>
      <c r="Q913" s="489"/>
      <c r="R913" s="490"/>
      <c r="S913" s="489"/>
      <c r="T913" s="488" t="s">
        <v>268</v>
      </c>
    </row>
    <row r="914" ht="34.5">
      <c r="A914" s="488" t="s">
        <v>980</v>
      </c>
      <c r="B914" s="488" t="s">
        <v>981</v>
      </c>
      <c r="C914" s="488" t="s">
        <v>434</v>
      </c>
      <c r="D914" s="488" t="s">
        <v>263</v>
      </c>
      <c r="E914" s="488" t="s">
        <v>407</v>
      </c>
      <c r="F914" s="489" t="s">
        <v>416</v>
      </c>
      <c r="G914" s="488" t="s">
        <v>409</v>
      </c>
      <c r="H914" s="489"/>
      <c r="I914" s="489"/>
      <c r="J914" s="489" t="s">
        <v>439</v>
      </c>
      <c r="K914" s="491"/>
      <c r="L914" s="488"/>
      <c r="M914" s="488"/>
      <c r="N914" s="489"/>
      <c r="O914" s="489"/>
      <c r="P914" s="489"/>
      <c r="Q914" s="489"/>
      <c r="R914" s="490"/>
      <c r="S914" s="489"/>
      <c r="T914" s="488" t="s">
        <v>268</v>
      </c>
    </row>
    <row r="915" ht="34.5">
      <c r="A915" s="488" t="s">
        <v>980</v>
      </c>
      <c r="B915" s="488" t="s">
        <v>981</v>
      </c>
      <c r="C915" s="488" t="s">
        <v>434</v>
      </c>
      <c r="D915" s="488" t="s">
        <v>263</v>
      </c>
      <c r="E915" s="488" t="s">
        <v>407</v>
      </c>
      <c r="F915" s="489" t="s">
        <v>416</v>
      </c>
      <c r="G915" s="488" t="s">
        <v>409</v>
      </c>
      <c r="H915" s="489"/>
      <c r="I915" s="489"/>
      <c r="J915" s="489" t="s">
        <v>1055</v>
      </c>
      <c r="K915" s="491"/>
      <c r="L915" s="488"/>
      <c r="M915" s="488"/>
      <c r="N915" s="489"/>
      <c r="O915" s="489"/>
      <c r="P915" s="489"/>
      <c r="Q915" s="489"/>
      <c r="R915" s="490"/>
      <c r="S915" s="489"/>
      <c r="T915" s="488" t="s">
        <v>268</v>
      </c>
    </row>
    <row r="916" ht="34.5">
      <c r="A916" s="488" t="s">
        <v>980</v>
      </c>
      <c r="B916" s="488" t="s">
        <v>981</v>
      </c>
      <c r="C916" s="488" t="s">
        <v>441</v>
      </c>
      <c r="D916" s="488" t="s">
        <v>263</v>
      </c>
      <c r="E916" s="488" t="s">
        <v>442</v>
      </c>
      <c r="F916" s="489" t="s">
        <v>443</v>
      </c>
      <c r="G916" s="488" t="s">
        <v>444</v>
      </c>
      <c r="H916" s="489"/>
      <c r="I916" s="489"/>
      <c r="J916" s="489" t="s">
        <v>445</v>
      </c>
      <c r="K916" s="491"/>
      <c r="L916" s="488"/>
      <c r="M916" s="488"/>
      <c r="N916" s="489"/>
      <c r="O916" s="489"/>
      <c r="P916" s="489"/>
      <c r="Q916" s="489"/>
      <c r="R916" s="490"/>
      <c r="S916" s="489"/>
      <c r="T916" s="488" t="s">
        <v>268</v>
      </c>
    </row>
    <row r="917" ht="34.5">
      <c r="A917" s="488" t="s">
        <v>980</v>
      </c>
      <c r="B917" s="488" t="s">
        <v>981</v>
      </c>
      <c r="C917" s="488" t="s">
        <v>441</v>
      </c>
      <c r="D917" s="488" t="s">
        <v>263</v>
      </c>
      <c r="E917" s="488" t="s">
        <v>442</v>
      </c>
      <c r="F917" s="489" t="s">
        <v>443</v>
      </c>
      <c r="G917" s="488" t="s">
        <v>444</v>
      </c>
      <c r="H917" s="489"/>
      <c r="I917" s="489"/>
      <c r="J917" s="489" t="s">
        <v>1056</v>
      </c>
      <c r="K917" s="491">
        <v>2038</v>
      </c>
      <c r="L917" s="488" t="s">
        <v>429</v>
      </c>
      <c r="M917" s="488"/>
      <c r="N917" s="489"/>
      <c r="O917" s="489"/>
      <c r="P917" s="489"/>
      <c r="Q917" s="489"/>
      <c r="R917" s="490"/>
      <c r="S917" s="489"/>
      <c r="T917" s="488" t="s">
        <v>268</v>
      </c>
    </row>
    <row r="918" ht="34.5">
      <c r="A918" s="488" t="s">
        <v>980</v>
      </c>
      <c r="B918" s="488" t="s">
        <v>981</v>
      </c>
      <c r="C918" s="488" t="s">
        <v>441</v>
      </c>
      <c r="D918" s="488" t="s">
        <v>263</v>
      </c>
      <c r="E918" s="488" t="s">
        <v>447</v>
      </c>
      <c r="F918" s="489" t="s">
        <v>448</v>
      </c>
      <c r="G918" s="488" t="s">
        <v>37</v>
      </c>
      <c r="H918" s="489"/>
      <c r="I918" s="489"/>
      <c r="J918" s="489" t="s">
        <v>449</v>
      </c>
      <c r="K918" s="491"/>
      <c r="L918" s="488"/>
      <c r="M918" s="488"/>
      <c r="N918" s="489"/>
      <c r="O918" s="489"/>
      <c r="P918" s="489"/>
      <c r="Q918" s="489"/>
      <c r="R918" s="490"/>
      <c r="S918" s="489"/>
      <c r="T918" s="488" t="s">
        <v>268</v>
      </c>
    </row>
    <row r="919" ht="34.5">
      <c r="A919" s="488" t="s">
        <v>980</v>
      </c>
      <c r="B919" s="488" t="s">
        <v>981</v>
      </c>
      <c r="C919" s="488" t="s">
        <v>441</v>
      </c>
      <c r="D919" s="488" t="s">
        <v>263</v>
      </c>
      <c r="E919" s="488" t="s">
        <v>447</v>
      </c>
      <c r="F919" s="489" t="s">
        <v>448</v>
      </c>
      <c r="G919" s="488" t="s">
        <v>37</v>
      </c>
      <c r="H919" s="489"/>
      <c r="I919" s="489"/>
      <c r="J919" s="489" t="s">
        <v>1057</v>
      </c>
      <c r="K919" s="491">
        <v>4761415</v>
      </c>
      <c r="L919" s="488" t="s">
        <v>429</v>
      </c>
      <c r="M919" s="488"/>
      <c r="N919" s="489"/>
      <c r="O919" s="489"/>
      <c r="P919" s="489"/>
      <c r="Q919" s="489"/>
      <c r="R919" s="490"/>
      <c r="S919" s="489"/>
      <c r="T919" s="488" t="s">
        <v>268</v>
      </c>
    </row>
    <row r="920" ht="34.5">
      <c r="A920" s="488" t="s">
        <v>980</v>
      </c>
      <c r="B920" s="488" t="s">
        <v>981</v>
      </c>
      <c r="C920" s="488" t="s">
        <v>441</v>
      </c>
      <c r="D920" s="488" t="s">
        <v>263</v>
      </c>
      <c r="E920" s="488" t="s">
        <v>447</v>
      </c>
      <c r="F920" s="489" t="s">
        <v>448</v>
      </c>
      <c r="G920" s="488" t="s">
        <v>37</v>
      </c>
      <c r="H920" s="489"/>
      <c r="I920" s="489"/>
      <c r="J920" s="489" t="s">
        <v>1058</v>
      </c>
      <c r="K920" s="491"/>
      <c r="L920" s="488"/>
      <c r="M920" s="488"/>
      <c r="N920" s="489"/>
      <c r="O920" s="489"/>
      <c r="P920" s="489"/>
      <c r="Q920" s="489"/>
      <c r="R920" s="490"/>
      <c r="S920" s="489"/>
      <c r="T920" s="488" t="s">
        <v>268</v>
      </c>
    </row>
    <row r="921" ht="34.5">
      <c r="A921" s="488" t="s">
        <v>980</v>
      </c>
      <c r="B921" s="488" t="s">
        <v>981</v>
      </c>
      <c r="C921" s="488" t="s">
        <v>441</v>
      </c>
      <c r="D921" s="488" t="s">
        <v>263</v>
      </c>
      <c r="E921" s="488" t="s">
        <v>462</v>
      </c>
      <c r="F921" s="489" t="s">
        <v>463</v>
      </c>
      <c r="G921" s="488" t="s">
        <v>464</v>
      </c>
      <c r="H921" s="489"/>
      <c r="I921" s="489"/>
      <c r="J921" s="489" t="s">
        <v>465</v>
      </c>
      <c r="K921" s="491"/>
      <c r="L921" s="488"/>
      <c r="M921" s="488"/>
      <c r="N921" s="489"/>
      <c r="O921" s="489"/>
      <c r="P921" s="489"/>
      <c r="Q921" s="489"/>
      <c r="R921" s="490"/>
      <c r="S921" s="489"/>
      <c r="T921" s="488" t="s">
        <v>268</v>
      </c>
    </row>
    <row r="922" ht="34.5">
      <c r="A922" s="488" t="s">
        <v>980</v>
      </c>
      <c r="B922" s="488" t="s">
        <v>981</v>
      </c>
      <c r="C922" s="488" t="s">
        <v>441</v>
      </c>
      <c r="D922" s="488" t="s">
        <v>263</v>
      </c>
      <c r="E922" s="488" t="s">
        <v>462</v>
      </c>
      <c r="F922" s="489" t="s">
        <v>463</v>
      </c>
      <c r="G922" s="488" t="s">
        <v>464</v>
      </c>
      <c r="H922" s="489"/>
      <c r="I922" s="489"/>
      <c r="J922" s="489" t="s">
        <v>1059</v>
      </c>
      <c r="K922" s="491">
        <v>237464</v>
      </c>
      <c r="L922" s="488" t="s">
        <v>429</v>
      </c>
      <c r="M922" s="488"/>
      <c r="N922" s="489"/>
      <c r="O922" s="489"/>
      <c r="P922" s="489"/>
      <c r="Q922" s="489"/>
      <c r="R922" s="490"/>
      <c r="S922" s="489"/>
      <c r="T922" s="488" t="s">
        <v>268</v>
      </c>
    </row>
    <row r="923" ht="34.5">
      <c r="A923" s="488" t="s">
        <v>980</v>
      </c>
      <c r="B923" s="488" t="s">
        <v>981</v>
      </c>
      <c r="C923" s="488" t="s">
        <v>455</v>
      </c>
      <c r="D923" s="488" t="s">
        <v>263</v>
      </c>
      <c r="E923" s="488" t="s">
        <v>468</v>
      </c>
      <c r="F923" s="489" t="s">
        <v>469</v>
      </c>
      <c r="G923" s="488" t="s">
        <v>470</v>
      </c>
      <c r="H923" s="489"/>
      <c r="I923" s="489"/>
      <c r="J923" s="489" t="s">
        <v>471</v>
      </c>
      <c r="K923" s="491"/>
      <c r="L923" s="488"/>
      <c r="M923" s="488"/>
      <c r="N923" s="489"/>
      <c r="O923" s="489"/>
      <c r="P923" s="489"/>
      <c r="Q923" s="489"/>
      <c r="R923" s="490"/>
      <c r="S923" s="489"/>
      <c r="T923" s="488" t="s">
        <v>268</v>
      </c>
    </row>
    <row r="924" ht="34.5">
      <c r="A924" s="488" t="s">
        <v>980</v>
      </c>
      <c r="B924" s="488" t="s">
        <v>981</v>
      </c>
      <c r="C924" s="488" t="s">
        <v>455</v>
      </c>
      <c r="D924" s="488" t="s">
        <v>263</v>
      </c>
      <c r="E924" s="488" t="s">
        <v>468</v>
      </c>
      <c r="F924" s="489" t="s">
        <v>469</v>
      </c>
      <c r="G924" s="488" t="s">
        <v>470</v>
      </c>
      <c r="H924" s="489"/>
      <c r="I924" s="489"/>
      <c r="J924" s="489" t="s">
        <v>1060</v>
      </c>
      <c r="K924" s="491">
        <v>13271214</v>
      </c>
      <c r="L924" s="488" t="s">
        <v>429</v>
      </c>
      <c r="M924" s="488"/>
      <c r="N924" s="489"/>
      <c r="O924" s="489"/>
      <c r="P924" s="489"/>
      <c r="Q924" s="489"/>
      <c r="R924" s="490"/>
      <c r="S924" s="489"/>
      <c r="T924" s="488" t="s">
        <v>268</v>
      </c>
    </row>
    <row r="925" ht="34.5">
      <c r="A925" s="488" t="s">
        <v>980</v>
      </c>
      <c r="B925" s="488" t="s">
        <v>981</v>
      </c>
      <c r="C925" s="488" t="s">
        <v>455</v>
      </c>
      <c r="D925" s="488" t="s">
        <v>263</v>
      </c>
      <c r="E925" s="488" t="s">
        <v>468</v>
      </c>
      <c r="F925" s="489" t="s">
        <v>469</v>
      </c>
      <c r="G925" s="488" t="s">
        <v>470</v>
      </c>
      <c r="H925" s="489"/>
      <c r="I925" s="489"/>
      <c r="J925" s="489" t="s">
        <v>1061</v>
      </c>
      <c r="K925" s="491"/>
      <c r="L925" s="488"/>
      <c r="M925" s="488"/>
      <c r="N925" s="489"/>
      <c r="O925" s="489"/>
      <c r="P925" s="489"/>
      <c r="Q925" s="489"/>
      <c r="R925" s="490"/>
      <c r="S925" s="489"/>
      <c r="T925" s="488" t="s">
        <v>268</v>
      </c>
    </row>
    <row r="926" ht="34.5">
      <c r="A926" s="488" t="s">
        <v>980</v>
      </c>
      <c r="B926" s="488" t="s">
        <v>981</v>
      </c>
      <c r="C926" s="488" t="s">
        <v>467</v>
      </c>
      <c r="D926" s="488" t="s">
        <v>263</v>
      </c>
      <c r="E926" s="488" t="s">
        <v>468</v>
      </c>
      <c r="F926" s="489" t="s">
        <v>839</v>
      </c>
      <c r="G926" s="488" t="s">
        <v>470</v>
      </c>
      <c r="H926" s="489"/>
      <c r="I926" s="489"/>
      <c r="J926" s="489" t="s">
        <v>1062</v>
      </c>
      <c r="K926" s="491">
        <v>3638005</v>
      </c>
      <c r="L926" s="488" t="s">
        <v>429</v>
      </c>
      <c r="M926" s="488"/>
      <c r="N926" s="489"/>
      <c r="O926" s="489"/>
      <c r="P926" s="489"/>
      <c r="Q926" s="489"/>
      <c r="R926" s="490"/>
      <c r="S926" s="489"/>
      <c r="T926" s="488" t="s">
        <v>268</v>
      </c>
    </row>
    <row r="927" ht="34.5">
      <c r="A927" s="488" t="s">
        <v>980</v>
      </c>
      <c r="B927" s="488" t="s">
        <v>981</v>
      </c>
      <c r="C927" s="488" t="s">
        <v>467</v>
      </c>
      <c r="D927" s="488" t="s">
        <v>263</v>
      </c>
      <c r="E927" s="488" t="s">
        <v>475</v>
      </c>
      <c r="F927" s="489" t="s">
        <v>476</v>
      </c>
      <c r="G927" s="488" t="s">
        <v>266</v>
      </c>
      <c r="H927" s="489"/>
      <c r="I927" s="489"/>
      <c r="J927" s="489" t="s">
        <v>477</v>
      </c>
      <c r="K927" s="491"/>
      <c r="L927" s="488"/>
      <c r="M927" s="488"/>
      <c r="N927" s="489"/>
      <c r="O927" s="489"/>
      <c r="P927" s="489"/>
      <c r="Q927" s="489"/>
      <c r="R927" s="490"/>
      <c r="S927" s="489"/>
      <c r="T927" s="488" t="s">
        <v>268</v>
      </c>
    </row>
    <row r="928" ht="34.5">
      <c r="A928" s="488" t="s">
        <v>980</v>
      </c>
      <c r="B928" s="488" t="s">
        <v>981</v>
      </c>
      <c r="C928" s="488" t="s">
        <v>467</v>
      </c>
      <c r="D928" s="488" t="s">
        <v>263</v>
      </c>
      <c r="E928" s="488" t="s">
        <v>475</v>
      </c>
      <c r="F928" s="489" t="s">
        <v>476</v>
      </c>
      <c r="G928" s="488" t="s">
        <v>266</v>
      </c>
      <c r="H928" s="489"/>
      <c r="I928" s="489"/>
      <c r="J928" s="489" t="s">
        <v>1063</v>
      </c>
      <c r="K928" s="491">
        <v>273086</v>
      </c>
      <c r="L928" s="488" t="s">
        <v>429</v>
      </c>
      <c r="M928" s="488"/>
      <c r="N928" s="489"/>
      <c r="O928" s="489"/>
      <c r="P928" s="489"/>
      <c r="Q928" s="489"/>
      <c r="R928" s="490"/>
      <c r="S928" s="489"/>
      <c r="T928" s="488" t="s">
        <v>268</v>
      </c>
    </row>
    <row r="929" ht="34.5">
      <c r="A929" s="488" t="s">
        <v>980</v>
      </c>
      <c r="B929" s="488" t="s">
        <v>981</v>
      </c>
      <c r="C929" s="488" t="s">
        <v>467</v>
      </c>
      <c r="D929" s="488" t="s">
        <v>263</v>
      </c>
      <c r="E929" s="488" t="s">
        <v>475</v>
      </c>
      <c r="F929" s="489" t="s">
        <v>476</v>
      </c>
      <c r="G929" s="488" t="s">
        <v>266</v>
      </c>
      <c r="H929" s="489"/>
      <c r="I929" s="489"/>
      <c r="J929" s="489" t="s">
        <v>480</v>
      </c>
      <c r="K929" s="491"/>
      <c r="L929" s="488"/>
      <c r="M929" s="488"/>
      <c r="N929" s="489"/>
      <c r="O929" s="489"/>
      <c r="P929" s="489"/>
      <c r="Q929" s="489"/>
      <c r="R929" s="490"/>
      <c r="S929" s="489"/>
      <c r="T929" s="488" t="s">
        <v>268</v>
      </c>
    </row>
    <row r="930" ht="34.5">
      <c r="A930" s="488" t="s">
        <v>980</v>
      </c>
      <c r="B930" s="488" t="s">
        <v>981</v>
      </c>
      <c r="C930" s="488" t="s">
        <v>467</v>
      </c>
      <c r="D930" s="488" t="s">
        <v>263</v>
      </c>
      <c r="E930" s="488" t="s">
        <v>475</v>
      </c>
      <c r="F930" s="489" t="s">
        <v>476</v>
      </c>
      <c r="G930" s="488" t="s">
        <v>266</v>
      </c>
      <c r="H930" s="489"/>
      <c r="I930" s="489"/>
      <c r="J930" s="489" t="s">
        <v>481</v>
      </c>
      <c r="K930" s="491"/>
      <c r="L930" s="488"/>
      <c r="M930" s="488"/>
      <c r="N930" s="489"/>
      <c r="O930" s="489"/>
      <c r="P930" s="489"/>
      <c r="Q930" s="489"/>
      <c r="R930" s="490"/>
      <c r="S930" s="489"/>
      <c r="T930" s="488" t="s">
        <v>268</v>
      </c>
    </row>
    <row r="931" ht="34.5">
      <c r="A931" s="488" t="s">
        <v>980</v>
      </c>
      <c r="B931" s="488" t="s">
        <v>981</v>
      </c>
      <c r="C931" s="488" t="s">
        <v>474</v>
      </c>
      <c r="D931" s="488" t="s">
        <v>263</v>
      </c>
      <c r="E931" s="488" t="s">
        <v>475</v>
      </c>
      <c r="F931" s="489" t="s">
        <v>485</v>
      </c>
      <c r="G931" s="488" t="s">
        <v>266</v>
      </c>
      <c r="H931" s="489"/>
      <c r="I931" s="489"/>
      <c r="J931" s="489" t="s">
        <v>842</v>
      </c>
      <c r="K931" s="491"/>
      <c r="L931" s="488"/>
      <c r="M931" s="488"/>
      <c r="N931" s="489"/>
      <c r="O931" s="489"/>
      <c r="P931" s="489"/>
      <c r="Q931" s="489"/>
      <c r="R931" s="490"/>
      <c r="S931" s="489"/>
      <c r="T931" s="488" t="s">
        <v>268</v>
      </c>
    </row>
    <row r="932" ht="34.5">
      <c r="A932" s="488" t="s">
        <v>980</v>
      </c>
      <c r="B932" s="488" t="s">
        <v>981</v>
      </c>
      <c r="C932" s="488" t="s">
        <v>474</v>
      </c>
      <c r="D932" s="488" t="s">
        <v>263</v>
      </c>
      <c r="E932" s="488" t="s">
        <v>475</v>
      </c>
      <c r="F932" s="489" t="s">
        <v>485</v>
      </c>
      <c r="G932" s="488" t="s">
        <v>266</v>
      </c>
      <c r="H932" s="489"/>
      <c r="I932" s="489"/>
      <c r="J932" s="489" t="s">
        <v>1064</v>
      </c>
      <c r="K932" s="491">
        <v>500000</v>
      </c>
      <c r="L932" s="488" t="s">
        <v>429</v>
      </c>
      <c r="M932" s="488"/>
      <c r="N932" s="489"/>
      <c r="O932" s="489"/>
      <c r="P932" s="489"/>
      <c r="Q932" s="489"/>
      <c r="R932" s="490"/>
      <c r="S932" s="489"/>
      <c r="T932" s="488" t="s">
        <v>268</v>
      </c>
    </row>
    <row r="933" ht="34.5">
      <c r="A933" s="488" t="s">
        <v>980</v>
      </c>
      <c r="B933" s="488" t="s">
        <v>981</v>
      </c>
      <c r="C933" s="488" t="s">
        <v>474</v>
      </c>
      <c r="D933" s="488" t="s">
        <v>263</v>
      </c>
      <c r="E933" s="488" t="s">
        <v>475</v>
      </c>
      <c r="F933" s="489" t="s">
        <v>485</v>
      </c>
      <c r="G933" s="488" t="s">
        <v>266</v>
      </c>
      <c r="H933" s="489"/>
      <c r="I933" s="489"/>
      <c r="J933" s="489" t="s">
        <v>483</v>
      </c>
      <c r="K933" s="491"/>
      <c r="L933" s="488"/>
      <c r="M933" s="488"/>
      <c r="N933" s="489"/>
      <c r="O933" s="489"/>
      <c r="P933" s="489"/>
      <c r="Q933" s="489"/>
      <c r="R933" s="490"/>
      <c r="S933" s="489"/>
      <c r="T933" s="488" t="s">
        <v>268</v>
      </c>
    </row>
    <row r="934" ht="34.5">
      <c r="A934" s="488" t="s">
        <v>980</v>
      </c>
      <c r="B934" s="488" t="s">
        <v>981</v>
      </c>
      <c r="C934" s="488" t="s">
        <v>474</v>
      </c>
      <c r="D934" s="488" t="s">
        <v>263</v>
      </c>
      <c r="E934" s="488" t="s">
        <v>475</v>
      </c>
      <c r="F934" s="489" t="s">
        <v>485</v>
      </c>
      <c r="G934" s="488" t="s">
        <v>266</v>
      </c>
      <c r="H934" s="489"/>
      <c r="I934" s="489"/>
      <c r="J934" s="489" t="s">
        <v>1065</v>
      </c>
      <c r="K934" s="491">
        <v>2071177</v>
      </c>
      <c r="L934" s="488" t="s">
        <v>429</v>
      </c>
      <c r="M934" s="488"/>
      <c r="N934" s="489"/>
      <c r="O934" s="489"/>
      <c r="P934" s="489"/>
      <c r="Q934" s="489"/>
      <c r="R934" s="490"/>
      <c r="S934" s="489"/>
      <c r="T934" s="488" t="s">
        <v>268</v>
      </c>
    </row>
    <row r="935" ht="34.5">
      <c r="A935" s="488" t="s">
        <v>980</v>
      </c>
      <c r="B935" s="488" t="s">
        <v>981</v>
      </c>
      <c r="C935" s="488" t="s">
        <v>474</v>
      </c>
      <c r="D935" s="488" t="s">
        <v>263</v>
      </c>
      <c r="E935" s="488" t="s">
        <v>487</v>
      </c>
      <c r="F935" s="489" t="s">
        <v>844</v>
      </c>
      <c r="G935" s="488" t="s">
        <v>266</v>
      </c>
      <c r="H935" s="489"/>
      <c r="I935" s="489"/>
      <c r="J935" s="489" t="s">
        <v>1066</v>
      </c>
      <c r="K935" s="491">
        <v>4197349</v>
      </c>
      <c r="L935" s="488" t="s">
        <v>429</v>
      </c>
      <c r="M935" s="488"/>
      <c r="N935" s="489"/>
      <c r="O935" s="489"/>
      <c r="P935" s="489"/>
      <c r="Q935" s="489"/>
      <c r="R935" s="490"/>
      <c r="S935" s="489"/>
      <c r="T935" s="488" t="s">
        <v>268</v>
      </c>
    </row>
    <row r="936" ht="34.5">
      <c r="A936" s="488" t="s">
        <v>980</v>
      </c>
      <c r="B936" s="488" t="s">
        <v>981</v>
      </c>
      <c r="C936" s="488" t="s">
        <v>474</v>
      </c>
      <c r="D936" s="488" t="s">
        <v>263</v>
      </c>
      <c r="E936" s="488" t="s">
        <v>487</v>
      </c>
      <c r="F936" s="489" t="s">
        <v>844</v>
      </c>
      <c r="G936" s="488" t="s">
        <v>266</v>
      </c>
      <c r="H936" s="489"/>
      <c r="I936" s="489"/>
      <c r="J936" s="489" t="s">
        <v>1067</v>
      </c>
      <c r="K936" s="491">
        <v>140250000</v>
      </c>
      <c r="L936" s="488" t="s">
        <v>429</v>
      </c>
      <c r="M936" s="488"/>
      <c r="N936" s="489"/>
      <c r="O936" s="489"/>
      <c r="P936" s="489"/>
      <c r="Q936" s="489"/>
      <c r="R936" s="490"/>
      <c r="S936" s="489"/>
      <c r="T936" s="488" t="s">
        <v>268</v>
      </c>
    </row>
    <row r="937" ht="34.5">
      <c r="A937" s="488" t="s">
        <v>980</v>
      </c>
      <c r="B937" s="488" t="s">
        <v>981</v>
      </c>
      <c r="C937" s="488" t="s">
        <v>474</v>
      </c>
      <c r="D937" s="488" t="s">
        <v>263</v>
      </c>
      <c r="E937" s="488" t="s">
        <v>487</v>
      </c>
      <c r="F937" s="489" t="s">
        <v>844</v>
      </c>
      <c r="G937" s="488" t="s">
        <v>266</v>
      </c>
      <c r="H937" s="489"/>
      <c r="I937" s="489"/>
      <c r="J937" s="489" t="s">
        <v>848</v>
      </c>
      <c r="K937" s="491"/>
      <c r="L937" s="488"/>
      <c r="M937" s="488"/>
      <c r="N937" s="489"/>
      <c r="O937" s="489"/>
      <c r="P937" s="489"/>
      <c r="Q937" s="489"/>
      <c r="R937" s="490"/>
      <c r="S937" s="489"/>
      <c r="T937" s="488" t="s">
        <v>268</v>
      </c>
    </row>
    <row r="938" ht="34.5">
      <c r="A938" s="488" t="s">
        <v>980</v>
      </c>
      <c r="B938" s="488" t="s">
        <v>981</v>
      </c>
      <c r="C938" s="488" t="s">
        <v>484</v>
      </c>
      <c r="D938" s="488" t="s">
        <v>263</v>
      </c>
      <c r="E938" s="488" t="s">
        <v>493</v>
      </c>
      <c r="F938" s="489" t="s">
        <v>494</v>
      </c>
      <c r="G938" s="488" t="s">
        <v>495</v>
      </c>
      <c r="H938" s="489"/>
      <c r="I938" s="489"/>
      <c r="J938" s="489" t="s">
        <v>496</v>
      </c>
      <c r="K938" s="491"/>
      <c r="L938" s="488"/>
      <c r="M938" s="488"/>
      <c r="N938" s="489"/>
      <c r="O938" s="489"/>
      <c r="P938" s="489"/>
      <c r="Q938" s="489"/>
      <c r="R938" s="490"/>
      <c r="S938" s="489"/>
      <c r="T938" s="488" t="s">
        <v>268</v>
      </c>
    </row>
    <row r="939" ht="34.5">
      <c r="A939" s="488" t="s">
        <v>980</v>
      </c>
      <c r="B939" s="488" t="s">
        <v>981</v>
      </c>
      <c r="C939" s="488" t="s">
        <v>484</v>
      </c>
      <c r="D939" s="488" t="s">
        <v>263</v>
      </c>
      <c r="E939" s="488" t="s">
        <v>493</v>
      </c>
      <c r="F939" s="489" t="s">
        <v>494</v>
      </c>
      <c r="G939" s="488" t="s">
        <v>495</v>
      </c>
      <c r="H939" s="489"/>
      <c r="I939" s="489"/>
      <c r="J939" s="489" t="s">
        <v>1068</v>
      </c>
      <c r="K939" s="491"/>
      <c r="L939" s="488"/>
      <c r="M939" s="488"/>
      <c r="N939" s="489"/>
      <c r="O939" s="489"/>
      <c r="P939" s="489"/>
      <c r="Q939" s="489"/>
      <c r="R939" s="490"/>
      <c r="S939" s="489"/>
      <c r="T939" s="488" t="s">
        <v>268</v>
      </c>
    </row>
    <row r="940" ht="34.5">
      <c r="A940" s="488" t="s">
        <v>980</v>
      </c>
      <c r="B940" s="488" t="s">
        <v>981</v>
      </c>
      <c r="C940" s="488" t="s">
        <v>484</v>
      </c>
      <c r="D940" s="488" t="s">
        <v>263</v>
      </c>
      <c r="E940" s="488" t="s">
        <v>493</v>
      </c>
      <c r="F940" s="489" t="s">
        <v>494</v>
      </c>
      <c r="G940" s="488" t="s">
        <v>495</v>
      </c>
      <c r="H940" s="489"/>
      <c r="I940" s="489"/>
      <c r="J940" s="489" t="s">
        <v>1069</v>
      </c>
      <c r="K940" s="491">
        <v>723071</v>
      </c>
      <c r="L940" s="488" t="s">
        <v>429</v>
      </c>
      <c r="M940" s="488"/>
      <c r="N940" s="489"/>
      <c r="O940" s="489"/>
      <c r="P940" s="489"/>
      <c r="Q940" s="489"/>
      <c r="R940" s="490"/>
      <c r="S940" s="489"/>
      <c r="T940" s="488" t="s">
        <v>268</v>
      </c>
    </row>
    <row r="941" ht="34.5">
      <c r="A941" s="488" t="s">
        <v>980</v>
      </c>
      <c r="B941" s="488" t="s">
        <v>981</v>
      </c>
      <c r="C941" s="488" t="s">
        <v>484</v>
      </c>
      <c r="D941" s="488" t="s">
        <v>263</v>
      </c>
      <c r="E941" s="488" t="s">
        <v>493</v>
      </c>
      <c r="F941" s="489" t="s">
        <v>494</v>
      </c>
      <c r="G941" s="488" t="s">
        <v>495</v>
      </c>
      <c r="H941" s="489"/>
      <c r="I941" s="489"/>
      <c r="J941" s="489" t="s">
        <v>499</v>
      </c>
      <c r="K941" s="491"/>
      <c r="L941" s="488"/>
      <c r="M941" s="488"/>
      <c r="N941" s="489"/>
      <c r="O941" s="489"/>
      <c r="P941" s="489"/>
      <c r="Q941" s="489"/>
      <c r="R941" s="490"/>
      <c r="S941" s="489"/>
      <c r="T941" s="488" t="s">
        <v>268</v>
      </c>
    </row>
    <row r="942" ht="34.5">
      <c r="A942" s="488" t="s">
        <v>980</v>
      </c>
      <c r="B942" s="488" t="s">
        <v>981</v>
      </c>
      <c r="C942" s="488" t="s">
        <v>484</v>
      </c>
      <c r="D942" s="488" t="s">
        <v>263</v>
      </c>
      <c r="E942" s="488" t="s">
        <v>493</v>
      </c>
      <c r="F942" s="489" t="s">
        <v>494</v>
      </c>
      <c r="G942" s="488" t="s">
        <v>495</v>
      </c>
      <c r="H942" s="489"/>
      <c r="I942" s="489"/>
      <c r="J942" s="489" t="s">
        <v>502</v>
      </c>
      <c r="K942" s="491"/>
      <c r="L942" s="488"/>
      <c r="M942" s="488"/>
      <c r="N942" s="489"/>
      <c r="O942" s="489"/>
      <c r="P942" s="489"/>
      <c r="Q942" s="489"/>
      <c r="R942" s="490"/>
      <c r="S942" s="489"/>
      <c r="T942" s="488" t="s">
        <v>268</v>
      </c>
    </row>
    <row r="943" ht="34.5">
      <c r="A943" s="488" t="s">
        <v>980</v>
      </c>
      <c r="B943" s="488" t="s">
        <v>981</v>
      </c>
      <c r="C943" s="488" t="s">
        <v>484</v>
      </c>
      <c r="D943" s="488" t="s">
        <v>263</v>
      </c>
      <c r="E943" s="488" t="s">
        <v>493</v>
      </c>
      <c r="F943" s="489" t="s">
        <v>494</v>
      </c>
      <c r="G943" s="488" t="s">
        <v>495</v>
      </c>
      <c r="H943" s="489"/>
      <c r="I943" s="489"/>
      <c r="J943" s="489" t="s">
        <v>1070</v>
      </c>
      <c r="K943" s="491"/>
      <c r="L943" s="488"/>
      <c r="M943" s="488"/>
      <c r="N943" s="489"/>
      <c r="O943" s="489"/>
      <c r="P943" s="489"/>
      <c r="Q943" s="489"/>
      <c r="R943" s="490"/>
      <c r="S943" s="489"/>
      <c r="T943" s="488" t="s">
        <v>268</v>
      </c>
    </row>
    <row r="944" ht="34.5">
      <c r="A944" s="488" t="s">
        <v>980</v>
      </c>
      <c r="B944" s="488" t="s">
        <v>981</v>
      </c>
      <c r="C944" s="488" t="s">
        <v>484</v>
      </c>
      <c r="D944" s="488" t="s">
        <v>263</v>
      </c>
      <c r="E944" s="488" t="s">
        <v>493</v>
      </c>
      <c r="F944" s="489" t="s">
        <v>494</v>
      </c>
      <c r="G944" s="488" t="s">
        <v>495</v>
      </c>
      <c r="H944" s="489"/>
      <c r="I944" s="489"/>
      <c r="J944" s="489" t="s">
        <v>1071</v>
      </c>
      <c r="K944" s="491"/>
      <c r="L944" s="488"/>
      <c r="M944" s="488"/>
      <c r="N944" s="489"/>
      <c r="O944" s="489"/>
      <c r="P944" s="489"/>
      <c r="Q944" s="489"/>
      <c r="R944" s="490"/>
      <c r="S944" s="489"/>
      <c r="T944" s="488" t="s">
        <v>268</v>
      </c>
    </row>
    <row r="945" ht="34.5">
      <c r="A945" s="488" t="s">
        <v>980</v>
      </c>
      <c r="B945" s="488" t="s">
        <v>981</v>
      </c>
      <c r="C945" s="488" t="s">
        <v>484</v>
      </c>
      <c r="D945" s="488" t="s">
        <v>263</v>
      </c>
      <c r="E945" s="488" t="s">
        <v>493</v>
      </c>
      <c r="F945" s="489" t="s">
        <v>494</v>
      </c>
      <c r="G945" s="488" t="s">
        <v>495</v>
      </c>
      <c r="H945" s="489"/>
      <c r="I945" s="489"/>
      <c r="J945" s="489" t="s">
        <v>505</v>
      </c>
      <c r="K945" s="491"/>
      <c r="L945" s="488"/>
      <c r="M945" s="488"/>
      <c r="N945" s="489"/>
      <c r="O945" s="489"/>
      <c r="P945" s="489"/>
      <c r="Q945" s="489"/>
      <c r="R945" s="490"/>
      <c r="S945" s="489"/>
      <c r="T945" s="488" t="s">
        <v>268</v>
      </c>
    </row>
    <row r="946" ht="34.5">
      <c r="A946" s="488" t="s">
        <v>980</v>
      </c>
      <c r="B946" s="488" t="s">
        <v>981</v>
      </c>
      <c r="C946" s="488" t="s">
        <v>500</v>
      </c>
      <c r="D946" s="488" t="s">
        <v>263</v>
      </c>
      <c r="E946" s="488" t="s">
        <v>506</v>
      </c>
      <c r="F946" s="489" t="s">
        <v>1072</v>
      </c>
      <c r="G946" s="488" t="s">
        <v>495</v>
      </c>
      <c r="H946" s="489"/>
      <c r="I946" s="489"/>
      <c r="J946" s="489" t="s">
        <v>1073</v>
      </c>
      <c r="K946" s="491"/>
      <c r="L946" s="488"/>
      <c r="M946" s="488"/>
      <c r="N946" s="489"/>
      <c r="O946" s="489"/>
      <c r="P946" s="489"/>
      <c r="Q946" s="489"/>
      <c r="R946" s="490"/>
      <c r="S946" s="489"/>
      <c r="T946" s="488" t="s">
        <v>268</v>
      </c>
    </row>
    <row r="947" ht="34.5">
      <c r="A947" s="488" t="s">
        <v>980</v>
      </c>
      <c r="B947" s="488" t="s">
        <v>981</v>
      </c>
      <c r="C947" s="488" t="s">
        <v>500</v>
      </c>
      <c r="D947" s="488" t="s">
        <v>263</v>
      </c>
      <c r="E947" s="488" t="s">
        <v>506</v>
      </c>
      <c r="F947" s="489" t="s">
        <v>1072</v>
      </c>
      <c r="G947" s="488" t="s">
        <v>495</v>
      </c>
      <c r="H947" s="489"/>
      <c r="I947" s="489"/>
      <c r="J947" s="489" t="s">
        <v>1074</v>
      </c>
      <c r="K947" s="491">
        <v>512733</v>
      </c>
      <c r="L947" s="488" t="s">
        <v>429</v>
      </c>
      <c r="M947" s="488"/>
      <c r="N947" s="489"/>
      <c r="O947" s="489"/>
      <c r="P947" s="489"/>
      <c r="Q947" s="489"/>
      <c r="R947" s="490"/>
      <c r="S947" s="489"/>
      <c r="T947" s="488" t="s">
        <v>268</v>
      </c>
    </row>
    <row r="948" ht="34.5">
      <c r="A948" s="488" t="s">
        <v>980</v>
      </c>
      <c r="B948" s="488" t="s">
        <v>981</v>
      </c>
      <c r="C948" s="488" t="s">
        <v>500</v>
      </c>
      <c r="D948" s="488" t="s">
        <v>263</v>
      </c>
      <c r="E948" s="488" t="s">
        <v>511</v>
      </c>
      <c r="F948" s="489" t="s">
        <v>1075</v>
      </c>
      <c r="G948" s="488" t="s">
        <v>266</v>
      </c>
      <c r="H948" s="489"/>
      <c r="I948" s="489"/>
      <c r="J948" s="489" t="s">
        <v>517</v>
      </c>
      <c r="K948" s="491"/>
      <c r="L948" s="488"/>
      <c r="M948" s="488"/>
      <c r="N948" s="489"/>
      <c r="O948" s="489"/>
      <c r="P948" s="489"/>
      <c r="Q948" s="489"/>
      <c r="R948" s="490"/>
      <c r="S948" s="489"/>
      <c r="T948" s="488" t="s">
        <v>268</v>
      </c>
    </row>
    <row r="949" ht="34.5">
      <c r="A949" s="488" t="s">
        <v>980</v>
      </c>
      <c r="B949" s="488" t="s">
        <v>981</v>
      </c>
      <c r="C949" s="488" t="s">
        <v>500</v>
      </c>
      <c r="D949" s="488" t="s">
        <v>263</v>
      </c>
      <c r="E949" s="488" t="s">
        <v>511</v>
      </c>
      <c r="F949" s="489" t="s">
        <v>1075</v>
      </c>
      <c r="G949" s="488" t="s">
        <v>266</v>
      </c>
      <c r="H949" s="489"/>
      <c r="I949" s="489"/>
      <c r="J949" s="489" t="s">
        <v>518</v>
      </c>
      <c r="K949" s="491"/>
      <c r="L949" s="488"/>
      <c r="M949" s="488"/>
      <c r="N949" s="489"/>
      <c r="O949" s="489"/>
      <c r="P949" s="489"/>
      <c r="Q949" s="489"/>
      <c r="R949" s="490"/>
      <c r="S949" s="489"/>
      <c r="T949" s="488" t="s">
        <v>268</v>
      </c>
    </row>
    <row r="950" ht="34.5">
      <c r="A950" s="488" t="s">
        <v>980</v>
      </c>
      <c r="B950" s="488" t="s">
        <v>981</v>
      </c>
      <c r="C950" s="488" t="s">
        <v>510</v>
      </c>
      <c r="D950" s="488" t="s">
        <v>263</v>
      </c>
      <c r="E950" s="488" t="s">
        <v>511</v>
      </c>
      <c r="F950" s="489" t="s">
        <v>1076</v>
      </c>
      <c r="G950" s="488" t="s">
        <v>266</v>
      </c>
      <c r="H950" s="489"/>
      <c r="I950" s="489"/>
      <c r="J950" s="489" t="s">
        <v>1077</v>
      </c>
      <c r="K950" s="491"/>
      <c r="L950" s="488"/>
      <c r="M950" s="488"/>
      <c r="N950" s="489"/>
      <c r="O950" s="489"/>
      <c r="P950" s="489"/>
      <c r="Q950" s="489"/>
      <c r="R950" s="490"/>
      <c r="S950" s="489"/>
      <c r="T950" s="488" t="s">
        <v>268</v>
      </c>
    </row>
    <row r="951" ht="34.5">
      <c r="A951" s="488" t="s">
        <v>980</v>
      </c>
      <c r="B951" s="488" t="s">
        <v>981</v>
      </c>
      <c r="C951" s="488" t="s">
        <v>510</v>
      </c>
      <c r="D951" s="488" t="s">
        <v>263</v>
      </c>
      <c r="E951" s="488" t="s">
        <v>511</v>
      </c>
      <c r="F951" s="489" t="s">
        <v>1076</v>
      </c>
      <c r="G951" s="488" t="s">
        <v>266</v>
      </c>
      <c r="H951" s="489"/>
      <c r="I951" s="489"/>
      <c r="J951" s="489" t="s">
        <v>1078</v>
      </c>
      <c r="K951" s="491">
        <v>69290</v>
      </c>
      <c r="L951" s="488" t="s">
        <v>429</v>
      </c>
      <c r="M951" s="488"/>
      <c r="N951" s="489"/>
      <c r="O951" s="489"/>
      <c r="P951" s="489"/>
      <c r="Q951" s="489"/>
      <c r="R951" s="490"/>
      <c r="S951" s="489"/>
      <c r="T951" s="488" t="s">
        <v>268</v>
      </c>
    </row>
    <row r="952" ht="34.5">
      <c r="A952" s="488" t="s">
        <v>980</v>
      </c>
      <c r="B952" s="488" t="s">
        <v>981</v>
      </c>
      <c r="C952" s="488" t="s">
        <v>510</v>
      </c>
      <c r="D952" s="488" t="s">
        <v>263</v>
      </c>
      <c r="E952" s="488" t="s">
        <v>511</v>
      </c>
      <c r="F952" s="489" t="s">
        <v>1076</v>
      </c>
      <c r="G952" s="488" t="s">
        <v>266</v>
      </c>
      <c r="H952" s="489"/>
      <c r="I952" s="489"/>
      <c r="J952" s="489" t="s">
        <v>1079</v>
      </c>
      <c r="K952" s="491"/>
      <c r="L952" s="488"/>
      <c r="M952" s="488"/>
      <c r="N952" s="489"/>
      <c r="O952" s="489"/>
      <c r="P952" s="489"/>
      <c r="Q952" s="489"/>
      <c r="R952" s="490"/>
      <c r="S952" s="489"/>
      <c r="T952" s="488" t="s">
        <v>268</v>
      </c>
    </row>
    <row r="953" ht="34.5">
      <c r="A953" s="488" t="s">
        <v>980</v>
      </c>
      <c r="B953" s="488" t="s">
        <v>981</v>
      </c>
      <c r="C953" s="488" t="s">
        <v>510</v>
      </c>
      <c r="D953" s="488" t="s">
        <v>263</v>
      </c>
      <c r="E953" s="488" t="s">
        <v>511</v>
      </c>
      <c r="F953" s="489" t="s">
        <v>1076</v>
      </c>
      <c r="G953" s="488" t="s">
        <v>266</v>
      </c>
      <c r="H953" s="489"/>
      <c r="I953" s="489"/>
      <c r="J953" s="489" t="s">
        <v>1080</v>
      </c>
      <c r="K953" s="491">
        <v>314345</v>
      </c>
      <c r="L953" s="488" t="s">
        <v>429</v>
      </c>
      <c r="M953" s="488"/>
      <c r="N953" s="489"/>
      <c r="O953" s="489"/>
      <c r="P953" s="489"/>
      <c r="Q953" s="489"/>
      <c r="R953" s="490"/>
      <c r="S953" s="489"/>
      <c r="T953" s="488" t="s">
        <v>268</v>
      </c>
    </row>
    <row r="954" ht="34.5">
      <c r="A954" s="488" t="s">
        <v>980</v>
      </c>
      <c r="B954" s="488" t="s">
        <v>981</v>
      </c>
      <c r="C954" s="488" t="s">
        <v>510</v>
      </c>
      <c r="D954" s="488" t="s">
        <v>263</v>
      </c>
      <c r="E954" s="488" t="s">
        <v>511</v>
      </c>
      <c r="F954" s="489" t="s">
        <v>1076</v>
      </c>
      <c r="G954" s="488" t="s">
        <v>266</v>
      </c>
      <c r="H954" s="489"/>
      <c r="I954" s="489"/>
      <c r="J954" s="489" t="s">
        <v>525</v>
      </c>
      <c r="K954" s="491"/>
      <c r="L954" s="488"/>
      <c r="M954" s="488"/>
      <c r="N954" s="489"/>
      <c r="O954" s="489"/>
      <c r="P954" s="489"/>
      <c r="Q954" s="489"/>
      <c r="R954" s="490"/>
      <c r="S954" s="489"/>
      <c r="T954" s="488" t="s">
        <v>268</v>
      </c>
    </row>
    <row r="955" ht="34.5">
      <c r="A955" s="488" t="s">
        <v>980</v>
      </c>
      <c r="B955" s="488" t="s">
        <v>981</v>
      </c>
      <c r="C955" s="488" t="s">
        <v>510</v>
      </c>
      <c r="D955" s="488" t="s">
        <v>263</v>
      </c>
      <c r="E955" s="488" t="s">
        <v>511</v>
      </c>
      <c r="F955" s="489" t="s">
        <v>1076</v>
      </c>
      <c r="G955" s="488" t="s">
        <v>266</v>
      </c>
      <c r="H955" s="489"/>
      <c r="I955" s="489"/>
      <c r="J955" s="489" t="s">
        <v>1081</v>
      </c>
      <c r="K955" s="491">
        <v>36000</v>
      </c>
      <c r="L955" s="488" t="s">
        <v>429</v>
      </c>
      <c r="M955" s="488"/>
      <c r="N955" s="489"/>
      <c r="O955" s="489"/>
      <c r="P955" s="489"/>
      <c r="Q955" s="489"/>
      <c r="R955" s="490"/>
      <c r="S955" s="489"/>
      <c r="T955" s="488" t="s">
        <v>268</v>
      </c>
    </row>
    <row r="956" ht="34.5">
      <c r="A956" s="488" t="s">
        <v>980</v>
      </c>
      <c r="B956" s="488" t="s">
        <v>981</v>
      </c>
      <c r="C956" s="488" t="s">
        <v>519</v>
      </c>
      <c r="D956" s="488" t="s">
        <v>263</v>
      </c>
      <c r="E956" s="488" t="s">
        <v>515</v>
      </c>
      <c r="F956" s="489" t="s">
        <v>1082</v>
      </c>
      <c r="G956" s="488" t="s">
        <v>55</v>
      </c>
      <c r="H956" s="489"/>
      <c r="I956" s="489"/>
      <c r="J956" s="489" t="s">
        <v>530</v>
      </c>
      <c r="K956" s="491"/>
      <c r="L956" s="488"/>
      <c r="M956" s="488"/>
      <c r="N956" s="489"/>
      <c r="O956" s="489"/>
      <c r="P956" s="489"/>
      <c r="Q956" s="489"/>
      <c r="R956" s="490"/>
      <c r="S956" s="489"/>
      <c r="T956" s="488" t="s">
        <v>268</v>
      </c>
    </row>
    <row r="957" ht="34.5">
      <c r="A957" s="488" t="s">
        <v>980</v>
      </c>
      <c r="B957" s="488" t="s">
        <v>981</v>
      </c>
      <c r="C957" s="488" t="s">
        <v>519</v>
      </c>
      <c r="D957" s="488" t="s">
        <v>263</v>
      </c>
      <c r="E957" s="488" t="s">
        <v>515</v>
      </c>
      <c r="F957" s="489" t="s">
        <v>1082</v>
      </c>
      <c r="G957" s="488" t="s">
        <v>55</v>
      </c>
      <c r="H957" s="489"/>
      <c r="I957" s="489"/>
      <c r="J957" s="489" t="s">
        <v>1083</v>
      </c>
      <c r="K957" s="491">
        <v>607649</v>
      </c>
      <c r="L957" s="488" t="s">
        <v>429</v>
      </c>
      <c r="M957" s="488"/>
      <c r="N957" s="489"/>
      <c r="O957" s="489"/>
      <c r="P957" s="489"/>
      <c r="Q957" s="489"/>
      <c r="R957" s="490"/>
      <c r="S957" s="489"/>
      <c r="T957" s="488" t="s">
        <v>268</v>
      </c>
    </row>
    <row r="958" ht="34.5">
      <c r="A958" s="488" t="s">
        <v>980</v>
      </c>
      <c r="B958" s="488" t="s">
        <v>981</v>
      </c>
      <c r="C958" s="488" t="s">
        <v>519</v>
      </c>
      <c r="D958" s="488" t="s">
        <v>263</v>
      </c>
      <c r="E958" s="488" t="s">
        <v>528</v>
      </c>
      <c r="F958" s="489" t="s">
        <v>1084</v>
      </c>
      <c r="G958" s="488" t="s">
        <v>535</v>
      </c>
      <c r="H958" s="489"/>
      <c r="I958" s="489"/>
      <c r="J958" s="489" t="s">
        <v>536</v>
      </c>
      <c r="K958" s="491"/>
      <c r="L958" s="488"/>
      <c r="M958" s="488"/>
      <c r="N958" s="489"/>
      <c r="O958" s="489"/>
      <c r="P958" s="489"/>
      <c r="Q958" s="489"/>
      <c r="R958" s="490"/>
      <c r="S958" s="489"/>
      <c r="T958" s="488" t="s">
        <v>268</v>
      </c>
    </row>
    <row r="959" ht="34.5">
      <c r="A959" s="488" t="s">
        <v>980</v>
      </c>
      <c r="B959" s="488" t="s">
        <v>981</v>
      </c>
      <c r="C959" s="488" t="s">
        <v>519</v>
      </c>
      <c r="D959" s="488" t="s">
        <v>263</v>
      </c>
      <c r="E959" s="488" t="s">
        <v>528</v>
      </c>
      <c r="F959" s="489" t="s">
        <v>1084</v>
      </c>
      <c r="G959" s="488" t="s">
        <v>535</v>
      </c>
      <c r="H959" s="489"/>
      <c r="I959" s="489"/>
      <c r="J959" s="489" t="s">
        <v>1085</v>
      </c>
      <c r="K959" s="491">
        <v>140250000</v>
      </c>
      <c r="L959" s="488" t="s">
        <v>429</v>
      </c>
      <c r="M959" s="488"/>
      <c r="N959" s="489"/>
      <c r="O959" s="489"/>
      <c r="P959" s="489"/>
      <c r="Q959" s="489"/>
      <c r="R959" s="490"/>
      <c r="S959" s="489"/>
      <c r="T959" s="488" t="s">
        <v>268</v>
      </c>
    </row>
    <row r="960" ht="34.5">
      <c r="A960" s="488" t="s">
        <v>980</v>
      </c>
      <c r="B960" s="488" t="s">
        <v>981</v>
      </c>
      <c r="C960" s="488" t="s">
        <v>519</v>
      </c>
      <c r="D960" s="488" t="s">
        <v>263</v>
      </c>
      <c r="E960" s="488" t="s">
        <v>528</v>
      </c>
      <c r="F960" s="489" t="s">
        <v>1084</v>
      </c>
      <c r="G960" s="488" t="s">
        <v>535</v>
      </c>
      <c r="H960" s="489"/>
      <c r="I960" s="489"/>
      <c r="J960" s="489" t="s">
        <v>538</v>
      </c>
      <c r="K960" s="491"/>
      <c r="L960" s="488"/>
      <c r="M960" s="488"/>
      <c r="N960" s="489"/>
      <c r="O960" s="489"/>
      <c r="P960" s="489"/>
      <c r="Q960" s="489"/>
      <c r="R960" s="490"/>
      <c r="S960" s="489"/>
      <c r="T960" s="488" t="s">
        <v>268</v>
      </c>
    </row>
    <row r="961" ht="34.5">
      <c r="A961" s="488" t="s">
        <v>980</v>
      </c>
      <c r="B961" s="488" t="s">
        <v>981</v>
      </c>
      <c r="C961" s="488" t="s">
        <v>519</v>
      </c>
      <c r="D961" s="488" t="s">
        <v>263</v>
      </c>
      <c r="E961" s="488" t="s">
        <v>528</v>
      </c>
      <c r="F961" s="489" t="s">
        <v>1084</v>
      </c>
      <c r="G961" s="488" t="s">
        <v>535</v>
      </c>
      <c r="H961" s="489"/>
      <c r="I961" s="489"/>
      <c r="J961" s="489" t="s">
        <v>1086</v>
      </c>
      <c r="K961" s="491">
        <v>1142</v>
      </c>
      <c r="L961" s="488" t="s">
        <v>429</v>
      </c>
      <c r="M961" s="488"/>
      <c r="N961" s="489"/>
      <c r="O961" s="489"/>
      <c r="P961" s="489"/>
      <c r="Q961" s="489"/>
      <c r="R961" s="490"/>
      <c r="S961" s="489"/>
      <c r="T961" s="488" t="s">
        <v>268</v>
      </c>
    </row>
    <row r="962" ht="34.5">
      <c r="A962" s="488" t="s">
        <v>980</v>
      </c>
      <c r="B962" s="488" t="s">
        <v>981</v>
      </c>
      <c r="C962" s="488" t="s">
        <v>519</v>
      </c>
      <c r="D962" s="488" t="s">
        <v>263</v>
      </c>
      <c r="E962" s="488" t="s">
        <v>528</v>
      </c>
      <c r="F962" s="489" t="s">
        <v>1084</v>
      </c>
      <c r="G962" s="488" t="s">
        <v>535</v>
      </c>
      <c r="H962" s="489"/>
      <c r="I962" s="489"/>
      <c r="J962" s="489" t="s">
        <v>1087</v>
      </c>
      <c r="K962" s="491">
        <v>22920</v>
      </c>
      <c r="L962" s="488" t="s">
        <v>429</v>
      </c>
      <c r="M962" s="488"/>
      <c r="N962" s="489"/>
      <c r="O962" s="489"/>
      <c r="P962" s="489"/>
      <c r="Q962" s="489"/>
      <c r="R962" s="490"/>
      <c r="S962" s="489"/>
      <c r="T962" s="488" t="s">
        <v>268</v>
      </c>
    </row>
    <row r="963" ht="34.5">
      <c r="A963" s="488" t="s">
        <v>980</v>
      </c>
      <c r="B963" s="488" t="s">
        <v>981</v>
      </c>
      <c r="C963" s="488" t="s">
        <v>527</v>
      </c>
      <c r="D963" s="488" t="s">
        <v>263</v>
      </c>
      <c r="E963" s="488" t="s">
        <v>528</v>
      </c>
      <c r="F963" s="489" t="s">
        <v>1088</v>
      </c>
      <c r="G963" s="488" t="s">
        <v>535</v>
      </c>
      <c r="H963" s="489"/>
      <c r="I963" s="489"/>
      <c r="J963" s="489" t="s">
        <v>542</v>
      </c>
      <c r="K963" s="491"/>
      <c r="L963" s="488"/>
      <c r="M963" s="488"/>
      <c r="N963" s="489"/>
      <c r="O963" s="489"/>
      <c r="P963" s="489"/>
      <c r="Q963" s="489"/>
      <c r="R963" s="490"/>
      <c r="S963" s="489"/>
      <c r="T963" s="488" t="s">
        <v>268</v>
      </c>
    </row>
    <row r="964" ht="34.5">
      <c r="A964" s="488" t="s">
        <v>980</v>
      </c>
      <c r="B964" s="488" t="s">
        <v>981</v>
      </c>
      <c r="C964" s="488" t="s">
        <v>527</v>
      </c>
      <c r="D964" s="488" t="s">
        <v>263</v>
      </c>
      <c r="E964" s="488" t="s">
        <v>528</v>
      </c>
      <c r="F964" s="489" t="s">
        <v>1088</v>
      </c>
      <c r="G964" s="488" t="s">
        <v>535</v>
      </c>
      <c r="H964" s="489"/>
      <c r="I964" s="489"/>
      <c r="J964" s="489" t="s">
        <v>1089</v>
      </c>
      <c r="K964" s="491">
        <v>9000000</v>
      </c>
      <c r="L964" s="488" t="s">
        <v>429</v>
      </c>
      <c r="M964" s="488"/>
      <c r="N964" s="489"/>
      <c r="O964" s="489"/>
      <c r="P964" s="489"/>
      <c r="Q964" s="489"/>
      <c r="R964" s="490"/>
      <c r="S964" s="489"/>
      <c r="T964" s="488" t="s">
        <v>268</v>
      </c>
    </row>
    <row r="965" ht="34.5">
      <c r="A965" s="488" t="s">
        <v>980</v>
      </c>
      <c r="B965" s="488" t="s">
        <v>981</v>
      </c>
      <c r="C965" s="488" t="s">
        <v>527</v>
      </c>
      <c r="D965" s="488" t="s">
        <v>263</v>
      </c>
      <c r="E965" s="488" t="s">
        <v>528</v>
      </c>
      <c r="F965" s="489" t="s">
        <v>1088</v>
      </c>
      <c r="G965" s="488" t="s">
        <v>535</v>
      </c>
      <c r="H965" s="489"/>
      <c r="I965" s="489"/>
      <c r="J965" s="489" t="s">
        <v>544</v>
      </c>
      <c r="K965" s="491"/>
      <c r="L965" s="488"/>
      <c r="M965" s="488"/>
      <c r="N965" s="489"/>
      <c r="O965" s="489"/>
      <c r="P965" s="489"/>
      <c r="Q965" s="489"/>
      <c r="R965" s="490"/>
      <c r="S965" s="489"/>
      <c r="T965" s="488" t="s">
        <v>268</v>
      </c>
    </row>
    <row r="966" ht="34.5">
      <c r="A966" s="488" t="s">
        <v>980</v>
      </c>
      <c r="B966" s="488" t="s">
        <v>981</v>
      </c>
      <c r="C966" s="488" t="s">
        <v>527</v>
      </c>
      <c r="D966" s="488" t="s">
        <v>263</v>
      </c>
      <c r="E966" s="488" t="s">
        <v>528</v>
      </c>
      <c r="F966" s="489" t="s">
        <v>1088</v>
      </c>
      <c r="G966" s="488" t="s">
        <v>535</v>
      </c>
      <c r="H966" s="489"/>
      <c r="I966" s="489"/>
      <c r="J966" s="489" t="s">
        <v>1090</v>
      </c>
      <c r="K966" s="491"/>
      <c r="L966" s="488"/>
      <c r="M966" s="488"/>
      <c r="N966" s="489"/>
      <c r="O966" s="489"/>
      <c r="P966" s="489"/>
      <c r="Q966" s="489"/>
      <c r="R966" s="490"/>
      <c r="S966" s="489"/>
      <c r="T966" s="488" t="s">
        <v>268</v>
      </c>
    </row>
    <row r="967" ht="34.5">
      <c r="A967" s="488" t="s">
        <v>980</v>
      </c>
      <c r="B967" s="488" t="s">
        <v>981</v>
      </c>
      <c r="C967" s="488" t="s">
        <v>527</v>
      </c>
      <c r="D967" s="488" t="s">
        <v>263</v>
      </c>
      <c r="E967" s="488" t="s">
        <v>528</v>
      </c>
      <c r="F967" s="489" t="s">
        <v>1088</v>
      </c>
      <c r="G967" s="488" t="s">
        <v>535</v>
      </c>
      <c r="H967" s="489"/>
      <c r="I967" s="489"/>
      <c r="J967" s="489" t="s">
        <v>546</v>
      </c>
      <c r="K967" s="491"/>
      <c r="L967" s="488"/>
      <c r="M967" s="488"/>
      <c r="N967" s="489"/>
      <c r="O967" s="489"/>
      <c r="P967" s="489"/>
      <c r="Q967" s="489"/>
      <c r="R967" s="490"/>
      <c r="S967" s="489"/>
      <c r="T967" s="488" t="s">
        <v>268</v>
      </c>
    </row>
    <row r="968" ht="34.5">
      <c r="A968" s="488" t="s">
        <v>980</v>
      </c>
      <c r="B968" s="488" t="s">
        <v>981</v>
      </c>
      <c r="C968" s="488" t="s">
        <v>527</v>
      </c>
      <c r="D968" s="488" t="s">
        <v>263</v>
      </c>
      <c r="E968" s="488" t="s">
        <v>528</v>
      </c>
      <c r="F968" s="489" t="s">
        <v>1088</v>
      </c>
      <c r="G968" s="488" t="s">
        <v>535</v>
      </c>
      <c r="H968" s="489"/>
      <c r="I968" s="489"/>
      <c r="J968" s="489" t="s">
        <v>547</v>
      </c>
      <c r="K968" s="491"/>
      <c r="L968" s="488"/>
      <c r="M968" s="488"/>
      <c r="N968" s="489"/>
      <c r="O968" s="489"/>
      <c r="P968" s="489"/>
      <c r="Q968" s="489"/>
      <c r="R968" s="490"/>
      <c r="S968" s="489"/>
      <c r="T968" s="488" t="s">
        <v>268</v>
      </c>
    </row>
    <row r="969" ht="34.5">
      <c r="A969" s="488" t="s">
        <v>980</v>
      </c>
      <c r="B969" s="488" t="s">
        <v>981</v>
      </c>
      <c r="C969" s="488" t="s">
        <v>527</v>
      </c>
      <c r="D969" s="488" t="s">
        <v>263</v>
      </c>
      <c r="E969" s="488" t="s">
        <v>528</v>
      </c>
      <c r="F969" s="489" t="s">
        <v>1088</v>
      </c>
      <c r="G969" s="488" t="s">
        <v>535</v>
      </c>
      <c r="H969" s="489"/>
      <c r="I969" s="489"/>
      <c r="J969" s="489" t="s">
        <v>548</v>
      </c>
      <c r="K969" s="491">
        <v>1750000</v>
      </c>
      <c r="L969" s="488" t="s">
        <v>429</v>
      </c>
      <c r="M969" s="488"/>
      <c r="N969" s="489"/>
      <c r="O969" s="489"/>
      <c r="P969" s="489"/>
      <c r="Q969" s="489"/>
      <c r="R969" s="490"/>
      <c r="S969" s="489"/>
      <c r="T969" s="488" t="s">
        <v>268</v>
      </c>
    </row>
    <row r="970" ht="34.5">
      <c r="A970" s="488" t="s">
        <v>980</v>
      </c>
      <c r="B970" s="488" t="s">
        <v>981</v>
      </c>
      <c r="C970" s="488" t="s">
        <v>540</v>
      </c>
      <c r="D970" s="488" t="s">
        <v>263</v>
      </c>
      <c r="E970" s="488" t="s">
        <v>528</v>
      </c>
      <c r="F970" s="489" t="s">
        <v>1088</v>
      </c>
      <c r="G970" s="488" t="s">
        <v>535</v>
      </c>
      <c r="H970" s="489"/>
      <c r="I970" s="489"/>
      <c r="J970" s="489" t="s">
        <v>1091</v>
      </c>
      <c r="K970" s="491"/>
      <c r="L970" s="488"/>
      <c r="M970" s="488"/>
      <c r="N970" s="489"/>
      <c r="O970" s="489"/>
      <c r="P970" s="489"/>
      <c r="Q970" s="489"/>
      <c r="R970" s="490"/>
      <c r="S970" s="489"/>
      <c r="T970" s="488" t="s">
        <v>268</v>
      </c>
    </row>
    <row r="971" ht="34.5">
      <c r="A971" s="488" t="s">
        <v>980</v>
      </c>
      <c r="B971" s="488" t="s">
        <v>981</v>
      </c>
      <c r="C971" s="488" t="s">
        <v>540</v>
      </c>
      <c r="D971" s="488" t="s">
        <v>263</v>
      </c>
      <c r="E971" s="488" t="s">
        <v>528</v>
      </c>
      <c r="F971" s="489" t="s">
        <v>1088</v>
      </c>
      <c r="G971" s="488" t="s">
        <v>535</v>
      </c>
      <c r="H971" s="489"/>
      <c r="I971" s="489"/>
      <c r="J971" s="489" t="s">
        <v>864</v>
      </c>
      <c r="K971" s="491"/>
      <c r="L971" s="488"/>
      <c r="M971" s="488"/>
      <c r="N971" s="489"/>
      <c r="O971" s="489"/>
      <c r="P971" s="489"/>
      <c r="Q971" s="489"/>
      <c r="R971" s="490"/>
      <c r="S971" s="489"/>
      <c r="T971" s="488" t="s">
        <v>268</v>
      </c>
    </row>
    <row r="972" ht="34.5">
      <c r="A972" s="488" t="s">
        <v>980</v>
      </c>
      <c r="B972" s="488" t="s">
        <v>981</v>
      </c>
      <c r="C972" s="488" t="s">
        <v>540</v>
      </c>
      <c r="D972" s="488" t="s">
        <v>263</v>
      </c>
      <c r="E972" s="488" t="s">
        <v>528</v>
      </c>
      <c r="F972" s="489" t="s">
        <v>1088</v>
      </c>
      <c r="G972" s="488" t="s">
        <v>535</v>
      </c>
      <c r="H972" s="489"/>
      <c r="I972" s="489"/>
      <c r="J972" s="489" t="s">
        <v>1092</v>
      </c>
      <c r="K972" s="491"/>
      <c r="L972" s="488"/>
      <c r="M972" s="488"/>
      <c r="N972" s="489"/>
      <c r="O972" s="489"/>
      <c r="P972" s="489"/>
      <c r="Q972" s="489"/>
      <c r="R972" s="490"/>
      <c r="S972" s="489"/>
      <c r="T972" s="488" t="s">
        <v>268</v>
      </c>
    </row>
    <row r="973" ht="34.5">
      <c r="A973" s="488" t="s">
        <v>980</v>
      </c>
      <c r="B973" s="488" t="s">
        <v>981</v>
      </c>
      <c r="C973" s="488" t="s">
        <v>540</v>
      </c>
      <c r="D973" s="488" t="s">
        <v>263</v>
      </c>
      <c r="E973" s="488" t="s">
        <v>528</v>
      </c>
      <c r="F973" s="489" t="s">
        <v>1088</v>
      </c>
      <c r="G973" s="488" t="s">
        <v>535</v>
      </c>
      <c r="H973" s="489"/>
      <c r="I973" s="489"/>
      <c r="J973" s="489" t="s">
        <v>1093</v>
      </c>
      <c r="K973" s="491"/>
      <c r="L973" s="488"/>
      <c r="M973" s="488"/>
      <c r="N973" s="489"/>
      <c r="O973" s="489"/>
      <c r="P973" s="489"/>
      <c r="Q973" s="489"/>
      <c r="R973" s="490"/>
      <c r="S973" s="489"/>
      <c r="T973" s="488" t="s">
        <v>268</v>
      </c>
    </row>
    <row r="974" ht="34.5">
      <c r="A974" s="488" t="s">
        <v>980</v>
      </c>
      <c r="B974" s="488" t="s">
        <v>981</v>
      </c>
      <c r="C974" s="488" t="s">
        <v>540</v>
      </c>
      <c r="D974" s="488" t="s">
        <v>263</v>
      </c>
      <c r="E974" s="488" t="s">
        <v>528</v>
      </c>
      <c r="F974" s="489" t="s">
        <v>1088</v>
      </c>
      <c r="G974" s="488" t="s">
        <v>535</v>
      </c>
      <c r="H974" s="489"/>
      <c r="I974" s="489"/>
      <c r="J974" s="489" t="s">
        <v>1094</v>
      </c>
      <c r="K974" s="491">
        <v>110119162</v>
      </c>
      <c r="L974" s="488" t="s">
        <v>429</v>
      </c>
      <c r="M974" s="488"/>
      <c r="N974" s="489"/>
      <c r="O974" s="489"/>
      <c r="P974" s="489"/>
      <c r="Q974" s="489"/>
      <c r="R974" s="490"/>
      <c r="S974" s="489"/>
      <c r="T974" s="488" t="s">
        <v>268</v>
      </c>
    </row>
    <row r="975" ht="34.5">
      <c r="A975" s="488" t="s">
        <v>980</v>
      </c>
      <c r="B975" s="488" t="s">
        <v>981</v>
      </c>
      <c r="C975" s="488" t="s">
        <v>540</v>
      </c>
      <c r="D975" s="488" t="s">
        <v>263</v>
      </c>
      <c r="E975" s="488" t="s">
        <v>533</v>
      </c>
      <c r="F975" s="489" t="s">
        <v>1095</v>
      </c>
      <c r="G975" s="488" t="s">
        <v>535</v>
      </c>
      <c r="H975" s="489"/>
      <c r="I975" s="489"/>
      <c r="J975" s="489" t="s">
        <v>1096</v>
      </c>
      <c r="K975" s="491"/>
      <c r="L975" s="488"/>
      <c r="M975" s="488"/>
      <c r="N975" s="489"/>
      <c r="O975" s="489"/>
      <c r="P975" s="489"/>
      <c r="Q975" s="489"/>
      <c r="R975" s="490"/>
      <c r="S975" s="489"/>
      <c r="T975" s="488" t="s">
        <v>268</v>
      </c>
    </row>
    <row r="976" ht="34.5">
      <c r="A976" s="488" t="s">
        <v>980</v>
      </c>
      <c r="B976" s="488" t="s">
        <v>981</v>
      </c>
      <c r="C976" s="488" t="s">
        <v>540</v>
      </c>
      <c r="D976" s="488" t="s">
        <v>263</v>
      </c>
      <c r="E976" s="488" t="s">
        <v>533</v>
      </c>
      <c r="F976" s="489" t="s">
        <v>1095</v>
      </c>
      <c r="G976" s="488" t="s">
        <v>535</v>
      </c>
      <c r="H976" s="489"/>
      <c r="I976" s="489"/>
      <c r="J976" s="489" t="s">
        <v>1097</v>
      </c>
      <c r="K976" s="491">
        <v>2747326</v>
      </c>
      <c r="L976" s="488" t="s">
        <v>429</v>
      </c>
      <c r="M976" s="488"/>
      <c r="N976" s="489"/>
      <c r="O976" s="489"/>
      <c r="P976" s="489"/>
      <c r="Q976" s="489"/>
      <c r="R976" s="490"/>
      <c r="S976" s="489"/>
      <c r="T976" s="488" t="s">
        <v>268</v>
      </c>
    </row>
    <row r="977" ht="34.5">
      <c r="A977" s="488" t="s">
        <v>980</v>
      </c>
      <c r="B977" s="488" t="s">
        <v>981</v>
      </c>
      <c r="C977" s="488" t="s">
        <v>540</v>
      </c>
      <c r="D977" s="488" t="s">
        <v>263</v>
      </c>
      <c r="E977" s="488" t="s">
        <v>533</v>
      </c>
      <c r="F977" s="489" t="s">
        <v>1095</v>
      </c>
      <c r="G977" s="488" t="s">
        <v>535</v>
      </c>
      <c r="H977" s="489"/>
      <c r="I977" s="489"/>
      <c r="J977" s="489" t="s">
        <v>870</v>
      </c>
      <c r="K977" s="491"/>
      <c r="L977" s="488"/>
      <c r="M977" s="488"/>
      <c r="N977" s="489"/>
      <c r="O977" s="489"/>
      <c r="P977" s="489"/>
      <c r="Q977" s="489"/>
      <c r="R977" s="490"/>
      <c r="S977" s="489"/>
      <c r="T977" s="488" t="s">
        <v>268</v>
      </c>
    </row>
    <row r="978" ht="34.5">
      <c r="A978" s="488" t="s">
        <v>980</v>
      </c>
      <c r="B978" s="488" t="s">
        <v>981</v>
      </c>
      <c r="C978" s="488" t="s">
        <v>540</v>
      </c>
      <c r="D978" s="488" t="s">
        <v>263</v>
      </c>
      <c r="E978" s="488" t="s">
        <v>533</v>
      </c>
      <c r="F978" s="489" t="s">
        <v>1095</v>
      </c>
      <c r="G978" s="488" t="s">
        <v>535</v>
      </c>
      <c r="H978" s="489"/>
      <c r="I978" s="489"/>
      <c r="J978" s="489" t="s">
        <v>1098</v>
      </c>
      <c r="K978" s="491">
        <v>67845</v>
      </c>
      <c r="L978" s="488" t="s">
        <v>429</v>
      </c>
      <c r="M978" s="488"/>
      <c r="N978" s="489"/>
      <c r="O978" s="489"/>
      <c r="P978" s="489"/>
      <c r="Q978" s="489"/>
      <c r="R978" s="490"/>
      <c r="S978" s="489"/>
      <c r="T978" s="488" t="s">
        <v>268</v>
      </c>
    </row>
    <row r="979" ht="34.5">
      <c r="A979" s="488" t="s">
        <v>980</v>
      </c>
      <c r="B979" s="488" t="s">
        <v>981</v>
      </c>
      <c r="C979" s="488" t="s">
        <v>549</v>
      </c>
      <c r="D979" s="488" t="s">
        <v>263</v>
      </c>
      <c r="E979" s="488" t="s">
        <v>533</v>
      </c>
      <c r="F979" s="489" t="s">
        <v>1099</v>
      </c>
      <c r="G979" s="488" t="s">
        <v>535</v>
      </c>
      <c r="H979" s="489"/>
      <c r="I979" s="489"/>
      <c r="J979" s="489" t="s">
        <v>872</v>
      </c>
      <c r="K979" s="491"/>
      <c r="L979" s="488"/>
      <c r="M979" s="488"/>
      <c r="N979" s="489"/>
      <c r="O979" s="489"/>
      <c r="P979" s="489"/>
      <c r="Q979" s="489"/>
      <c r="R979" s="490"/>
      <c r="S979" s="489"/>
      <c r="T979" s="488" t="s">
        <v>268</v>
      </c>
    </row>
    <row r="980" ht="34.5">
      <c r="A980" s="488" t="s">
        <v>980</v>
      </c>
      <c r="B980" s="488" t="s">
        <v>981</v>
      </c>
      <c r="C980" s="488" t="s">
        <v>549</v>
      </c>
      <c r="D980" s="488" t="s">
        <v>263</v>
      </c>
      <c r="E980" s="488" t="s">
        <v>533</v>
      </c>
      <c r="F980" s="489" t="s">
        <v>1099</v>
      </c>
      <c r="G980" s="488" t="s">
        <v>535</v>
      </c>
      <c r="H980" s="489"/>
      <c r="I980" s="489"/>
      <c r="J980" s="489" t="s">
        <v>875</v>
      </c>
      <c r="K980" s="491"/>
      <c r="L980" s="488"/>
      <c r="M980" s="488"/>
      <c r="N980" s="489"/>
      <c r="O980" s="489"/>
      <c r="P980" s="489"/>
      <c r="Q980" s="489"/>
      <c r="R980" s="490"/>
      <c r="S980" s="489"/>
      <c r="T980" s="488" t="s">
        <v>268</v>
      </c>
    </row>
    <row r="981" ht="34.5">
      <c r="A981" s="488" t="s">
        <v>980</v>
      </c>
      <c r="B981" s="488" t="s">
        <v>981</v>
      </c>
      <c r="C981" s="488" t="s">
        <v>549</v>
      </c>
      <c r="D981" s="488" t="s">
        <v>263</v>
      </c>
      <c r="E981" s="488" t="s">
        <v>533</v>
      </c>
      <c r="F981" s="489" t="s">
        <v>1099</v>
      </c>
      <c r="G981" s="488" t="s">
        <v>535</v>
      </c>
      <c r="H981" s="489"/>
      <c r="I981" s="489"/>
      <c r="J981" s="489" t="s">
        <v>876</v>
      </c>
      <c r="K981" s="491"/>
      <c r="L981" s="488"/>
      <c r="M981" s="488"/>
      <c r="N981" s="489"/>
      <c r="O981" s="489"/>
      <c r="P981" s="489"/>
      <c r="Q981" s="489"/>
      <c r="R981" s="490"/>
      <c r="S981" s="489"/>
      <c r="T981" s="488" t="s">
        <v>268</v>
      </c>
    </row>
    <row r="982" ht="34.5">
      <c r="A982" s="488" t="s">
        <v>980</v>
      </c>
      <c r="B982" s="488" t="s">
        <v>981</v>
      </c>
      <c r="C982" s="488" t="s">
        <v>549</v>
      </c>
      <c r="D982" s="488" t="s">
        <v>263</v>
      </c>
      <c r="E982" s="488" t="s">
        <v>533</v>
      </c>
      <c r="F982" s="489" t="s">
        <v>1099</v>
      </c>
      <c r="G982" s="488" t="s">
        <v>535</v>
      </c>
      <c r="H982" s="489"/>
      <c r="I982" s="489"/>
      <c r="J982" s="489" t="s">
        <v>1100</v>
      </c>
      <c r="K982" s="491">
        <v>6000000</v>
      </c>
      <c r="L982" s="488" t="s">
        <v>429</v>
      </c>
      <c r="M982" s="488"/>
      <c r="N982" s="489"/>
      <c r="O982" s="489"/>
      <c r="P982" s="489"/>
      <c r="Q982" s="489"/>
      <c r="R982" s="490"/>
      <c r="S982" s="489"/>
      <c r="T982" s="488" t="s">
        <v>268</v>
      </c>
    </row>
    <row r="983" ht="34.5">
      <c r="A983" s="488" t="s">
        <v>980</v>
      </c>
      <c r="B983" s="488" t="s">
        <v>981</v>
      </c>
      <c r="C983" s="488" t="s">
        <v>549</v>
      </c>
      <c r="D983" s="488" t="s">
        <v>263</v>
      </c>
      <c r="E983" s="488" t="s">
        <v>555</v>
      </c>
      <c r="F983" s="489" t="s">
        <v>1101</v>
      </c>
      <c r="G983" s="488" t="s">
        <v>266</v>
      </c>
      <c r="H983" s="489"/>
      <c r="I983" s="489"/>
      <c r="J983" s="489" t="s">
        <v>564</v>
      </c>
      <c r="K983" s="491"/>
      <c r="L983" s="488"/>
      <c r="M983" s="488"/>
      <c r="N983" s="489"/>
      <c r="O983" s="489"/>
      <c r="P983" s="489"/>
      <c r="Q983" s="489"/>
      <c r="R983" s="490"/>
      <c r="S983" s="489"/>
      <c r="T983" s="488" t="s">
        <v>268</v>
      </c>
    </row>
    <row r="984" ht="34.5">
      <c r="A984" s="488" t="s">
        <v>980</v>
      </c>
      <c r="B984" s="488" t="s">
        <v>981</v>
      </c>
      <c r="C984" s="488" t="s">
        <v>549</v>
      </c>
      <c r="D984" s="488" t="s">
        <v>263</v>
      </c>
      <c r="E984" s="488" t="s">
        <v>555</v>
      </c>
      <c r="F984" s="489" t="s">
        <v>1101</v>
      </c>
      <c r="G984" s="488" t="s">
        <v>266</v>
      </c>
      <c r="H984" s="489"/>
      <c r="I984" s="489"/>
      <c r="J984" s="489" t="s">
        <v>1102</v>
      </c>
      <c r="K984" s="491">
        <v>472560</v>
      </c>
      <c r="L984" s="488" t="s">
        <v>429</v>
      </c>
      <c r="M984" s="488"/>
      <c r="N984" s="489"/>
      <c r="O984" s="489"/>
      <c r="P984" s="489"/>
      <c r="Q984" s="489"/>
      <c r="R984" s="490"/>
      <c r="S984" s="489"/>
      <c r="T984" s="488" t="s">
        <v>268</v>
      </c>
    </row>
    <row r="985" ht="34.5">
      <c r="A985" s="488" t="s">
        <v>980</v>
      </c>
      <c r="B985" s="488" t="s">
        <v>981</v>
      </c>
      <c r="C985" s="488" t="s">
        <v>561</v>
      </c>
      <c r="D985" s="488" t="s">
        <v>263</v>
      </c>
      <c r="E985" s="488" t="s">
        <v>562</v>
      </c>
      <c r="F985" s="489" t="s">
        <v>1103</v>
      </c>
      <c r="G985" s="488" t="s">
        <v>568</v>
      </c>
      <c r="H985" s="489"/>
      <c r="I985" s="489"/>
      <c r="J985" s="489" t="s">
        <v>569</v>
      </c>
      <c r="K985" s="491"/>
      <c r="L985" s="488"/>
      <c r="M985" s="488"/>
      <c r="N985" s="489"/>
      <c r="O985" s="489"/>
      <c r="P985" s="489"/>
      <c r="Q985" s="489"/>
      <c r="R985" s="490"/>
      <c r="S985" s="489"/>
      <c r="T985" s="488" t="s">
        <v>268</v>
      </c>
    </row>
    <row r="986" ht="34.5">
      <c r="A986" s="488" t="s">
        <v>980</v>
      </c>
      <c r="B986" s="488" t="s">
        <v>981</v>
      </c>
      <c r="C986" s="488" t="s">
        <v>561</v>
      </c>
      <c r="D986" s="488" t="s">
        <v>263</v>
      </c>
      <c r="E986" s="488" t="s">
        <v>562</v>
      </c>
      <c r="F986" s="489" t="s">
        <v>1103</v>
      </c>
      <c r="G986" s="488" t="s">
        <v>568</v>
      </c>
      <c r="H986" s="489"/>
      <c r="I986" s="489"/>
      <c r="J986" s="489" t="s">
        <v>570</v>
      </c>
      <c r="K986" s="491">
        <v>22500000</v>
      </c>
      <c r="L986" s="488" t="s">
        <v>429</v>
      </c>
      <c r="M986" s="488"/>
      <c r="N986" s="489"/>
      <c r="O986" s="489"/>
      <c r="P986" s="489"/>
      <c r="Q986" s="489"/>
      <c r="R986" s="490"/>
      <c r="S986" s="489"/>
      <c r="T986" s="488" t="s">
        <v>268</v>
      </c>
    </row>
    <row r="987" ht="34.5">
      <c r="A987" s="488" t="s">
        <v>980</v>
      </c>
      <c r="B987" s="488" t="s">
        <v>981</v>
      </c>
      <c r="C987" s="488" t="s">
        <v>561</v>
      </c>
      <c r="D987" s="488" t="s">
        <v>263</v>
      </c>
      <c r="E987" s="488" t="s">
        <v>562</v>
      </c>
      <c r="F987" s="489" t="s">
        <v>1103</v>
      </c>
      <c r="G987" s="488" t="s">
        <v>568</v>
      </c>
      <c r="H987" s="489"/>
      <c r="I987" s="489"/>
      <c r="J987" s="489" t="s">
        <v>571</v>
      </c>
      <c r="K987" s="491"/>
      <c r="L987" s="488"/>
      <c r="M987" s="488"/>
      <c r="N987" s="489"/>
      <c r="O987" s="489"/>
      <c r="P987" s="489"/>
      <c r="Q987" s="489"/>
      <c r="R987" s="490"/>
      <c r="S987" s="489"/>
      <c r="T987" s="488" t="s">
        <v>268</v>
      </c>
    </row>
    <row r="988" ht="34.5">
      <c r="A988" s="488" t="s">
        <v>980</v>
      </c>
      <c r="B988" s="488" t="s">
        <v>981</v>
      </c>
      <c r="C988" s="488" t="s">
        <v>561</v>
      </c>
      <c r="D988" s="488" t="s">
        <v>263</v>
      </c>
      <c r="E988" s="488" t="s">
        <v>562</v>
      </c>
      <c r="F988" s="489" t="s">
        <v>1103</v>
      </c>
      <c r="G988" s="488" t="s">
        <v>568</v>
      </c>
      <c r="H988" s="489"/>
      <c r="I988" s="489"/>
      <c r="J988" s="489" t="s">
        <v>1104</v>
      </c>
      <c r="K988" s="491">
        <v>26250000</v>
      </c>
      <c r="L988" s="488" t="s">
        <v>429</v>
      </c>
      <c r="M988" s="488"/>
      <c r="N988" s="489"/>
      <c r="O988" s="489"/>
      <c r="P988" s="489"/>
      <c r="Q988" s="489"/>
      <c r="R988" s="490"/>
      <c r="S988" s="489"/>
      <c r="T988" s="488" t="s">
        <v>268</v>
      </c>
    </row>
    <row r="989" ht="34.5">
      <c r="A989" s="488" t="s">
        <v>980</v>
      </c>
      <c r="B989" s="488" t="s">
        <v>981</v>
      </c>
      <c r="C989" s="488" t="s">
        <v>561</v>
      </c>
      <c r="D989" s="488" t="s">
        <v>263</v>
      </c>
      <c r="E989" s="488" t="s">
        <v>562</v>
      </c>
      <c r="F989" s="489" t="s">
        <v>1103</v>
      </c>
      <c r="G989" s="488" t="s">
        <v>568</v>
      </c>
      <c r="H989" s="489"/>
      <c r="I989" s="489"/>
      <c r="J989" s="489" t="s">
        <v>573</v>
      </c>
      <c r="K989" s="491"/>
      <c r="L989" s="488"/>
      <c r="M989" s="488"/>
      <c r="N989" s="489"/>
      <c r="O989" s="489"/>
      <c r="P989" s="489"/>
      <c r="Q989" s="489"/>
      <c r="R989" s="490"/>
      <c r="S989" s="489"/>
      <c r="T989" s="488" t="s">
        <v>268</v>
      </c>
    </row>
    <row r="990" ht="34.5">
      <c r="A990" s="488" t="s">
        <v>980</v>
      </c>
      <c r="B990" s="488" t="s">
        <v>981</v>
      </c>
      <c r="C990" s="488" t="s">
        <v>561</v>
      </c>
      <c r="D990" s="488" t="s">
        <v>263</v>
      </c>
      <c r="E990" s="488" t="s">
        <v>562</v>
      </c>
      <c r="F990" s="489" t="s">
        <v>1103</v>
      </c>
      <c r="G990" s="488" t="s">
        <v>568</v>
      </c>
      <c r="H990" s="489"/>
      <c r="I990" s="489"/>
      <c r="J990" s="489" t="s">
        <v>577</v>
      </c>
      <c r="K990" s="491"/>
      <c r="L990" s="488"/>
      <c r="M990" s="488"/>
      <c r="N990" s="489"/>
      <c r="O990" s="489"/>
      <c r="P990" s="489"/>
      <c r="Q990" s="489"/>
      <c r="R990" s="490"/>
      <c r="S990" s="489"/>
      <c r="T990" s="488" t="s">
        <v>268</v>
      </c>
    </row>
    <row r="991" ht="34.5">
      <c r="A991" s="488" t="s">
        <v>980</v>
      </c>
      <c r="B991" s="488" t="s">
        <v>981</v>
      </c>
      <c r="C991" s="488" t="s">
        <v>561</v>
      </c>
      <c r="D991" s="488" t="s">
        <v>263</v>
      </c>
      <c r="E991" s="488" t="s">
        <v>562</v>
      </c>
      <c r="F991" s="489" t="s">
        <v>1103</v>
      </c>
      <c r="G991" s="488" t="s">
        <v>568</v>
      </c>
      <c r="H991" s="489"/>
      <c r="I991" s="489"/>
      <c r="J991" s="489" t="s">
        <v>1105</v>
      </c>
      <c r="K991" s="491"/>
      <c r="L991" s="488"/>
      <c r="M991" s="488"/>
      <c r="N991" s="489"/>
      <c r="O991" s="489"/>
      <c r="P991" s="489"/>
      <c r="Q991" s="489"/>
      <c r="R991" s="490"/>
      <c r="S991" s="489"/>
      <c r="T991" s="488" t="s">
        <v>268</v>
      </c>
    </row>
    <row r="992" ht="34.5">
      <c r="A992" s="488" t="s">
        <v>980</v>
      </c>
      <c r="B992" s="488" t="s">
        <v>981</v>
      </c>
      <c r="C992" s="488" t="s">
        <v>561</v>
      </c>
      <c r="D992" s="488" t="s">
        <v>263</v>
      </c>
      <c r="E992" s="488" t="s">
        <v>562</v>
      </c>
      <c r="F992" s="489" t="s">
        <v>1103</v>
      </c>
      <c r="G992" s="488" t="s">
        <v>568</v>
      </c>
      <c r="H992" s="489"/>
      <c r="I992" s="489"/>
      <c r="J992" s="489" t="s">
        <v>579</v>
      </c>
      <c r="K992" s="491"/>
      <c r="L992" s="488"/>
      <c r="M992" s="488"/>
      <c r="N992" s="489"/>
      <c r="O992" s="489"/>
      <c r="P992" s="489"/>
      <c r="Q992" s="489"/>
      <c r="R992" s="490"/>
      <c r="S992" s="489"/>
      <c r="T992" s="488" t="s">
        <v>268</v>
      </c>
    </row>
    <row r="993" ht="34.5">
      <c r="A993" s="488" t="s">
        <v>980</v>
      </c>
      <c r="B993" s="488" t="s">
        <v>981</v>
      </c>
      <c r="C993" s="488" t="s">
        <v>561</v>
      </c>
      <c r="D993" s="488" t="s">
        <v>263</v>
      </c>
      <c r="E993" s="488" t="s">
        <v>562</v>
      </c>
      <c r="F993" s="489" t="s">
        <v>1103</v>
      </c>
      <c r="G993" s="488" t="s">
        <v>568</v>
      </c>
      <c r="H993" s="489"/>
      <c r="I993" s="489"/>
      <c r="J993" s="489" t="s">
        <v>580</v>
      </c>
      <c r="K993" s="491"/>
      <c r="L993" s="488"/>
      <c r="M993" s="488"/>
      <c r="N993" s="489"/>
      <c r="O993" s="489"/>
      <c r="P993" s="489"/>
      <c r="Q993" s="489"/>
      <c r="R993" s="490"/>
      <c r="S993" s="489"/>
      <c r="T993" s="488" t="s">
        <v>268</v>
      </c>
    </row>
    <row r="994" ht="34.5">
      <c r="A994" s="488" t="s">
        <v>980</v>
      </c>
      <c r="B994" s="488" t="s">
        <v>981</v>
      </c>
      <c r="C994" s="488" t="s">
        <v>574</v>
      </c>
      <c r="D994" s="488" t="s">
        <v>263</v>
      </c>
      <c r="E994" s="488" t="s">
        <v>562</v>
      </c>
      <c r="F994" s="489" t="s">
        <v>1106</v>
      </c>
      <c r="G994" s="488" t="s">
        <v>568</v>
      </c>
      <c r="H994" s="489"/>
      <c r="I994" s="489"/>
      <c r="J994" s="489" t="s">
        <v>881</v>
      </c>
      <c r="K994" s="491"/>
      <c r="L994" s="488"/>
      <c r="M994" s="488"/>
      <c r="N994" s="489"/>
      <c r="O994" s="489"/>
      <c r="P994" s="489"/>
      <c r="Q994" s="489"/>
      <c r="R994" s="490"/>
      <c r="S994" s="489"/>
      <c r="T994" s="488" t="s">
        <v>268</v>
      </c>
    </row>
    <row r="995" ht="34.5">
      <c r="A995" s="488" t="s">
        <v>980</v>
      </c>
      <c r="B995" s="488" t="s">
        <v>981</v>
      </c>
      <c r="C995" s="488" t="s">
        <v>574</v>
      </c>
      <c r="D995" s="488" t="s">
        <v>263</v>
      </c>
      <c r="E995" s="488" t="s">
        <v>562</v>
      </c>
      <c r="F995" s="489" t="s">
        <v>1106</v>
      </c>
      <c r="G995" s="488" t="s">
        <v>568</v>
      </c>
      <c r="H995" s="489"/>
      <c r="I995" s="489"/>
      <c r="J995" s="489" t="s">
        <v>581</v>
      </c>
      <c r="K995" s="491"/>
      <c r="L995" s="488"/>
      <c r="M995" s="488"/>
      <c r="N995" s="489"/>
      <c r="O995" s="489"/>
      <c r="P995" s="489"/>
      <c r="Q995" s="489"/>
      <c r="R995" s="490"/>
      <c r="S995" s="489"/>
      <c r="T995" s="488" t="s">
        <v>268</v>
      </c>
    </row>
    <row r="996" ht="34.5">
      <c r="A996" s="488" t="s">
        <v>980</v>
      </c>
      <c r="B996" s="488" t="s">
        <v>981</v>
      </c>
      <c r="C996" s="488" t="s">
        <v>574</v>
      </c>
      <c r="D996" s="488" t="s">
        <v>263</v>
      </c>
      <c r="E996" s="488" t="s">
        <v>562</v>
      </c>
      <c r="F996" s="489" t="s">
        <v>1106</v>
      </c>
      <c r="G996" s="488" t="s">
        <v>568</v>
      </c>
      <c r="H996" s="489"/>
      <c r="I996" s="489"/>
      <c r="J996" s="489" t="s">
        <v>1107</v>
      </c>
      <c r="K996" s="491">
        <v>142765197</v>
      </c>
      <c r="L996" s="488" t="s">
        <v>429</v>
      </c>
      <c r="M996" s="488"/>
      <c r="N996" s="489"/>
      <c r="O996" s="489"/>
      <c r="P996" s="489"/>
      <c r="Q996" s="489"/>
      <c r="R996" s="490"/>
      <c r="S996" s="489"/>
      <c r="T996" s="488" t="s">
        <v>268</v>
      </c>
    </row>
    <row r="997" ht="34.5">
      <c r="A997" s="488" t="s">
        <v>980</v>
      </c>
      <c r="B997" s="488" t="s">
        <v>981</v>
      </c>
      <c r="C997" s="488" t="s">
        <v>574</v>
      </c>
      <c r="D997" s="488" t="s">
        <v>263</v>
      </c>
      <c r="E997" s="488" t="s">
        <v>562</v>
      </c>
      <c r="F997" s="489" t="s">
        <v>1106</v>
      </c>
      <c r="G997" s="488" t="s">
        <v>568</v>
      </c>
      <c r="H997" s="489"/>
      <c r="I997" s="489"/>
      <c r="J997" s="489" t="s">
        <v>1108</v>
      </c>
      <c r="K997" s="491">
        <v>8287505</v>
      </c>
      <c r="L997" s="488" t="s">
        <v>429</v>
      </c>
      <c r="M997" s="488"/>
      <c r="N997" s="489"/>
      <c r="O997" s="489"/>
      <c r="P997" s="489"/>
      <c r="Q997" s="489"/>
      <c r="R997" s="490"/>
      <c r="S997" s="489"/>
      <c r="T997" s="488" t="s">
        <v>268</v>
      </c>
    </row>
    <row r="998" ht="34.5">
      <c r="A998" s="488" t="s">
        <v>980</v>
      </c>
      <c r="B998" s="488" t="s">
        <v>981</v>
      </c>
      <c r="C998" s="488" t="s">
        <v>574</v>
      </c>
      <c r="D998" s="488" t="s">
        <v>263</v>
      </c>
      <c r="E998" s="488" t="s">
        <v>562</v>
      </c>
      <c r="F998" s="489" t="s">
        <v>1106</v>
      </c>
      <c r="G998" s="488" t="s">
        <v>568</v>
      </c>
      <c r="H998" s="489"/>
      <c r="I998" s="489"/>
      <c r="J998" s="489" t="s">
        <v>1109</v>
      </c>
      <c r="K998" s="491">
        <v>3750000</v>
      </c>
      <c r="L998" s="488" t="s">
        <v>429</v>
      </c>
      <c r="M998" s="488"/>
      <c r="N998" s="489"/>
      <c r="O998" s="489"/>
      <c r="P998" s="489"/>
      <c r="Q998" s="489"/>
      <c r="R998" s="490"/>
      <c r="S998" s="489"/>
      <c r="T998" s="488" t="s">
        <v>268</v>
      </c>
    </row>
    <row r="999" ht="34.5">
      <c r="A999" s="488" t="s">
        <v>980</v>
      </c>
      <c r="B999" s="488" t="s">
        <v>981</v>
      </c>
      <c r="C999" s="488" t="s">
        <v>574</v>
      </c>
      <c r="D999" s="488" t="s">
        <v>263</v>
      </c>
      <c r="E999" s="488" t="s">
        <v>562</v>
      </c>
      <c r="F999" s="489" t="s">
        <v>1106</v>
      </c>
      <c r="G999" s="488" t="s">
        <v>568</v>
      </c>
      <c r="H999" s="489"/>
      <c r="I999" s="489"/>
      <c r="J999" s="489" t="s">
        <v>588</v>
      </c>
      <c r="K999" s="491"/>
      <c r="L999" s="488"/>
      <c r="M999" s="488"/>
      <c r="N999" s="489"/>
      <c r="O999" s="489"/>
      <c r="P999" s="489"/>
      <c r="Q999" s="489"/>
      <c r="R999" s="490"/>
      <c r="S999" s="489"/>
      <c r="T999" s="488" t="s">
        <v>268</v>
      </c>
    </row>
    <row r="1000" ht="34.5">
      <c r="A1000" s="488" t="s">
        <v>980</v>
      </c>
      <c r="B1000" s="488" t="s">
        <v>981</v>
      </c>
      <c r="C1000" s="488" t="s">
        <v>574</v>
      </c>
      <c r="D1000" s="488" t="s">
        <v>263</v>
      </c>
      <c r="E1000" s="488" t="s">
        <v>562</v>
      </c>
      <c r="F1000" s="489" t="s">
        <v>1106</v>
      </c>
      <c r="G1000" s="488" t="s">
        <v>568</v>
      </c>
      <c r="H1000" s="489"/>
      <c r="I1000" s="489"/>
      <c r="J1000" s="489" t="s">
        <v>589</v>
      </c>
      <c r="K1000" s="491"/>
      <c r="L1000" s="488"/>
      <c r="M1000" s="488"/>
      <c r="N1000" s="489"/>
      <c r="O1000" s="489"/>
      <c r="P1000" s="489"/>
      <c r="Q1000" s="489"/>
      <c r="R1000" s="490"/>
      <c r="S1000" s="489"/>
      <c r="T1000" s="488" t="s">
        <v>268</v>
      </c>
    </row>
    <row r="1001" ht="34.5">
      <c r="A1001" s="488" t="s">
        <v>980</v>
      </c>
      <c r="B1001" s="488" t="s">
        <v>981</v>
      </c>
      <c r="C1001" s="488" t="s">
        <v>586</v>
      </c>
      <c r="D1001" s="488" t="s">
        <v>263</v>
      </c>
      <c r="E1001" s="488" t="s">
        <v>562</v>
      </c>
      <c r="F1001" s="489" t="s">
        <v>1106</v>
      </c>
      <c r="G1001" s="488" t="s">
        <v>568</v>
      </c>
      <c r="H1001" s="489"/>
      <c r="I1001" s="489"/>
      <c r="J1001" s="489" t="s">
        <v>587</v>
      </c>
      <c r="K1001" s="491"/>
      <c r="L1001" s="488"/>
      <c r="M1001" s="488"/>
      <c r="N1001" s="489"/>
      <c r="O1001" s="489"/>
      <c r="P1001" s="489"/>
      <c r="Q1001" s="489"/>
      <c r="R1001" s="490"/>
      <c r="S1001" s="489"/>
      <c r="T1001" s="488" t="s">
        <v>268</v>
      </c>
    </row>
    <row r="1002" ht="34.5">
      <c r="A1002" s="488" t="s">
        <v>980</v>
      </c>
      <c r="B1002" s="488" t="s">
        <v>981</v>
      </c>
      <c r="C1002" s="488" t="s">
        <v>586</v>
      </c>
      <c r="D1002" s="488" t="s">
        <v>263</v>
      </c>
      <c r="E1002" s="488" t="s">
        <v>562</v>
      </c>
      <c r="F1002" s="489" t="s">
        <v>1106</v>
      </c>
      <c r="G1002" s="488" t="s">
        <v>568</v>
      </c>
      <c r="H1002" s="489"/>
      <c r="I1002" s="489"/>
      <c r="J1002" s="489" t="s">
        <v>590</v>
      </c>
      <c r="K1002" s="491"/>
      <c r="L1002" s="488"/>
      <c r="M1002" s="488"/>
      <c r="N1002" s="489"/>
      <c r="O1002" s="489"/>
      <c r="P1002" s="489"/>
      <c r="Q1002" s="489"/>
      <c r="R1002" s="490"/>
      <c r="S1002" s="489"/>
      <c r="T1002" s="488" t="s">
        <v>268</v>
      </c>
    </row>
    <row r="1003" ht="34.5">
      <c r="A1003" s="488" t="s">
        <v>980</v>
      </c>
      <c r="B1003" s="488" t="s">
        <v>981</v>
      </c>
      <c r="C1003" s="488" t="s">
        <v>586</v>
      </c>
      <c r="D1003" s="488" t="s">
        <v>263</v>
      </c>
      <c r="E1003" s="488" t="s">
        <v>566</v>
      </c>
      <c r="F1003" s="489" t="s">
        <v>1110</v>
      </c>
      <c r="G1003" s="488" t="s">
        <v>593</v>
      </c>
      <c r="H1003" s="489"/>
      <c r="I1003" s="489"/>
      <c r="J1003" s="489" t="s">
        <v>594</v>
      </c>
      <c r="K1003" s="491"/>
      <c r="L1003" s="488"/>
      <c r="M1003" s="488"/>
      <c r="N1003" s="489"/>
      <c r="O1003" s="489"/>
      <c r="P1003" s="489"/>
      <c r="Q1003" s="489"/>
      <c r="R1003" s="490"/>
      <c r="S1003" s="489"/>
      <c r="T1003" s="488" t="s">
        <v>268</v>
      </c>
    </row>
    <row r="1004" ht="34.5">
      <c r="A1004" s="488" t="s">
        <v>980</v>
      </c>
      <c r="B1004" s="488" t="s">
        <v>981</v>
      </c>
      <c r="C1004" s="488" t="s">
        <v>586</v>
      </c>
      <c r="D1004" s="488" t="s">
        <v>263</v>
      </c>
      <c r="E1004" s="488" t="s">
        <v>566</v>
      </c>
      <c r="F1004" s="489" t="s">
        <v>1110</v>
      </c>
      <c r="G1004" s="488" t="s">
        <v>593</v>
      </c>
      <c r="H1004" s="489"/>
      <c r="I1004" s="489"/>
      <c r="J1004" s="489" t="s">
        <v>595</v>
      </c>
      <c r="K1004" s="491"/>
      <c r="L1004" s="488"/>
      <c r="M1004" s="488"/>
      <c r="N1004" s="489"/>
      <c r="O1004" s="489"/>
      <c r="P1004" s="489"/>
      <c r="Q1004" s="489"/>
      <c r="R1004" s="490"/>
      <c r="S1004" s="489"/>
      <c r="T1004" s="488" t="s">
        <v>268</v>
      </c>
    </row>
    <row r="1005" ht="34.5">
      <c r="A1005" s="488" t="s">
        <v>980</v>
      </c>
      <c r="B1005" s="488" t="s">
        <v>981</v>
      </c>
      <c r="C1005" s="488" t="s">
        <v>586</v>
      </c>
      <c r="D1005" s="488" t="s">
        <v>263</v>
      </c>
      <c r="E1005" s="488" t="s">
        <v>566</v>
      </c>
      <c r="F1005" s="489" t="s">
        <v>1110</v>
      </c>
      <c r="G1005" s="488" t="s">
        <v>593</v>
      </c>
      <c r="H1005" s="489"/>
      <c r="I1005" s="489"/>
      <c r="J1005" s="489" t="s">
        <v>1111</v>
      </c>
      <c r="K1005" s="491">
        <v>26320917</v>
      </c>
      <c r="L1005" s="488" t="s">
        <v>429</v>
      </c>
      <c r="M1005" s="488"/>
      <c r="N1005" s="489"/>
      <c r="O1005" s="489"/>
      <c r="P1005" s="489"/>
      <c r="Q1005" s="489"/>
      <c r="R1005" s="490"/>
      <c r="S1005" s="489"/>
      <c r="T1005" s="488" t="s">
        <v>268</v>
      </c>
    </row>
    <row r="1006" ht="34.5">
      <c r="A1006" s="488" t="s">
        <v>980</v>
      </c>
      <c r="B1006" s="488" t="s">
        <v>981</v>
      </c>
      <c r="C1006" s="488" t="s">
        <v>597</v>
      </c>
      <c r="D1006" s="488" t="s">
        <v>263</v>
      </c>
      <c r="E1006" s="488" t="s">
        <v>591</v>
      </c>
      <c r="F1006" s="489" t="s">
        <v>1112</v>
      </c>
      <c r="G1006" s="488" t="s">
        <v>603</v>
      </c>
      <c r="H1006" s="489"/>
      <c r="I1006" s="489"/>
      <c r="J1006" s="489" t="s">
        <v>604</v>
      </c>
      <c r="K1006" s="491"/>
      <c r="L1006" s="488"/>
      <c r="M1006" s="488"/>
      <c r="N1006" s="489"/>
      <c r="O1006" s="489"/>
      <c r="P1006" s="489"/>
      <c r="Q1006" s="489"/>
      <c r="R1006" s="490"/>
      <c r="S1006" s="489"/>
      <c r="T1006" s="488" t="s">
        <v>268</v>
      </c>
    </row>
    <row r="1007" ht="34.5">
      <c r="A1007" s="488" t="s">
        <v>980</v>
      </c>
      <c r="B1007" s="488" t="s">
        <v>981</v>
      </c>
      <c r="C1007" s="488" t="s">
        <v>597</v>
      </c>
      <c r="D1007" s="488" t="s">
        <v>263</v>
      </c>
      <c r="E1007" s="488" t="s">
        <v>591</v>
      </c>
      <c r="F1007" s="489" t="s">
        <v>1112</v>
      </c>
      <c r="G1007" s="488" t="s">
        <v>603</v>
      </c>
      <c r="H1007" s="489"/>
      <c r="I1007" s="489"/>
      <c r="J1007" s="489" t="s">
        <v>1113</v>
      </c>
      <c r="K1007" s="491">
        <v>1278900</v>
      </c>
      <c r="L1007" s="488" t="s">
        <v>429</v>
      </c>
      <c r="M1007" s="488"/>
      <c r="N1007" s="489"/>
      <c r="O1007" s="489"/>
      <c r="P1007" s="489"/>
      <c r="Q1007" s="489"/>
      <c r="R1007" s="490"/>
      <c r="S1007" s="489"/>
      <c r="T1007" s="488" t="s">
        <v>268</v>
      </c>
    </row>
    <row r="1008" ht="34.5">
      <c r="A1008" s="488" t="s">
        <v>980</v>
      </c>
      <c r="B1008" s="488" t="s">
        <v>981</v>
      </c>
      <c r="C1008" s="488" t="s">
        <v>597</v>
      </c>
      <c r="D1008" s="488" t="s">
        <v>263</v>
      </c>
      <c r="E1008" s="488" t="s">
        <v>591</v>
      </c>
      <c r="F1008" s="489" t="s">
        <v>1112</v>
      </c>
      <c r="G1008" s="488" t="s">
        <v>603</v>
      </c>
      <c r="H1008" s="489"/>
      <c r="I1008" s="489"/>
      <c r="J1008" s="489" t="s">
        <v>1114</v>
      </c>
      <c r="K1008" s="491">
        <v>282546</v>
      </c>
      <c r="L1008" s="488" t="s">
        <v>429</v>
      </c>
      <c r="M1008" s="488"/>
      <c r="N1008" s="489"/>
      <c r="O1008" s="489"/>
      <c r="P1008" s="489"/>
      <c r="Q1008" s="489"/>
      <c r="R1008" s="490"/>
      <c r="S1008" s="489"/>
      <c r="T1008" s="488" t="s">
        <v>268</v>
      </c>
    </row>
    <row r="1009" ht="34.5">
      <c r="A1009" s="488" t="s">
        <v>980</v>
      </c>
      <c r="B1009" s="488" t="s">
        <v>981</v>
      </c>
      <c r="C1009" s="488" t="s">
        <v>597</v>
      </c>
      <c r="D1009" s="488" t="s">
        <v>263</v>
      </c>
      <c r="E1009" s="488" t="s">
        <v>601</v>
      </c>
      <c r="F1009" s="489" t="s">
        <v>1115</v>
      </c>
      <c r="G1009" s="488" t="s">
        <v>464</v>
      </c>
      <c r="H1009" s="489"/>
      <c r="I1009" s="489"/>
      <c r="J1009" s="489" t="s">
        <v>609</v>
      </c>
      <c r="K1009" s="491"/>
      <c r="L1009" s="488"/>
      <c r="M1009" s="488"/>
      <c r="N1009" s="489"/>
      <c r="O1009" s="489"/>
      <c r="P1009" s="489"/>
      <c r="Q1009" s="489"/>
      <c r="R1009" s="490"/>
      <c r="S1009" s="489"/>
      <c r="T1009" s="488" t="s">
        <v>268</v>
      </c>
    </row>
    <row r="1010" ht="34.5">
      <c r="A1010" s="488" t="s">
        <v>980</v>
      </c>
      <c r="B1010" s="488" t="s">
        <v>981</v>
      </c>
      <c r="C1010" s="488" t="s">
        <v>597</v>
      </c>
      <c r="D1010" s="488" t="s">
        <v>263</v>
      </c>
      <c r="E1010" s="488" t="s">
        <v>601</v>
      </c>
      <c r="F1010" s="489" t="s">
        <v>1115</v>
      </c>
      <c r="G1010" s="488" t="s">
        <v>464</v>
      </c>
      <c r="H1010" s="489"/>
      <c r="I1010" s="489"/>
      <c r="J1010" s="489" t="s">
        <v>1116</v>
      </c>
      <c r="K1010" s="491">
        <v>12446869</v>
      </c>
      <c r="L1010" s="488" t="s">
        <v>429</v>
      </c>
      <c r="M1010" s="488"/>
      <c r="N1010" s="489"/>
      <c r="O1010" s="489"/>
      <c r="P1010" s="489"/>
      <c r="Q1010" s="489"/>
      <c r="R1010" s="490"/>
      <c r="S1010" s="489"/>
      <c r="T1010" s="488" t="s">
        <v>268</v>
      </c>
    </row>
    <row r="1011" ht="34.5">
      <c r="A1011" s="488" t="s">
        <v>980</v>
      </c>
      <c r="B1011" s="488" t="s">
        <v>981</v>
      </c>
      <c r="C1011" s="488" t="s">
        <v>597</v>
      </c>
      <c r="D1011" s="488" t="s">
        <v>263</v>
      </c>
      <c r="E1011" s="488" t="s">
        <v>601</v>
      </c>
      <c r="F1011" s="489" t="s">
        <v>1115</v>
      </c>
      <c r="G1011" s="488" t="s">
        <v>464</v>
      </c>
      <c r="H1011" s="489"/>
      <c r="I1011" s="489"/>
      <c r="J1011" s="489" t="s">
        <v>611</v>
      </c>
      <c r="K1011" s="491"/>
      <c r="L1011" s="488"/>
      <c r="M1011" s="488"/>
      <c r="N1011" s="489"/>
      <c r="O1011" s="489"/>
      <c r="P1011" s="489"/>
      <c r="Q1011" s="489"/>
      <c r="R1011" s="490"/>
      <c r="S1011" s="489"/>
      <c r="T1011" s="488" t="s">
        <v>268</v>
      </c>
    </row>
    <row r="1012" ht="34.5">
      <c r="A1012" s="488" t="s">
        <v>980</v>
      </c>
      <c r="B1012" s="488" t="s">
        <v>981</v>
      </c>
      <c r="C1012" s="488" t="s">
        <v>612</v>
      </c>
      <c r="D1012" s="488" t="s">
        <v>263</v>
      </c>
      <c r="E1012" s="488" t="s">
        <v>607</v>
      </c>
      <c r="F1012" s="489" t="s">
        <v>1117</v>
      </c>
      <c r="G1012" s="488" t="s">
        <v>568</v>
      </c>
      <c r="H1012" s="489"/>
      <c r="I1012" s="489"/>
      <c r="J1012" s="489" t="s">
        <v>615</v>
      </c>
      <c r="K1012" s="491"/>
      <c r="L1012" s="488"/>
      <c r="M1012" s="488"/>
      <c r="N1012" s="489"/>
      <c r="O1012" s="489"/>
      <c r="P1012" s="489"/>
      <c r="Q1012" s="489"/>
      <c r="R1012" s="490"/>
      <c r="S1012" s="489"/>
      <c r="T1012" s="488" t="s">
        <v>268</v>
      </c>
    </row>
    <row r="1013" ht="34.5">
      <c r="A1013" s="488" t="s">
        <v>980</v>
      </c>
      <c r="B1013" s="488" t="s">
        <v>981</v>
      </c>
      <c r="C1013" s="488" t="s">
        <v>612</v>
      </c>
      <c r="D1013" s="488" t="s">
        <v>263</v>
      </c>
      <c r="E1013" s="488" t="s">
        <v>607</v>
      </c>
      <c r="F1013" s="489" t="s">
        <v>1117</v>
      </c>
      <c r="G1013" s="488" t="s">
        <v>568</v>
      </c>
      <c r="H1013" s="489"/>
      <c r="I1013" s="489"/>
      <c r="J1013" s="489" t="s">
        <v>616</v>
      </c>
      <c r="K1013" s="491"/>
      <c r="L1013" s="488"/>
      <c r="M1013" s="488"/>
      <c r="N1013" s="489"/>
      <c r="O1013" s="489"/>
      <c r="P1013" s="489"/>
      <c r="Q1013" s="489"/>
      <c r="R1013" s="490"/>
      <c r="S1013" s="489"/>
      <c r="T1013" s="488" t="s">
        <v>268</v>
      </c>
    </row>
    <row r="1014" ht="34.5">
      <c r="A1014" s="488" t="s">
        <v>980</v>
      </c>
      <c r="B1014" s="488" t="s">
        <v>981</v>
      </c>
      <c r="C1014" s="488" t="s">
        <v>612</v>
      </c>
      <c r="D1014" s="488" t="s">
        <v>263</v>
      </c>
      <c r="E1014" s="488" t="s">
        <v>607</v>
      </c>
      <c r="F1014" s="489" t="s">
        <v>1117</v>
      </c>
      <c r="G1014" s="488" t="s">
        <v>568</v>
      </c>
      <c r="H1014" s="489"/>
      <c r="I1014" s="489"/>
      <c r="J1014" s="489" t="s">
        <v>1118</v>
      </c>
      <c r="K1014" s="491">
        <v>9481233</v>
      </c>
      <c r="L1014" s="488" t="s">
        <v>429</v>
      </c>
      <c r="M1014" s="488"/>
      <c r="N1014" s="489"/>
      <c r="O1014" s="489"/>
      <c r="P1014" s="489"/>
      <c r="Q1014" s="489"/>
      <c r="R1014" s="490"/>
      <c r="S1014" s="489"/>
      <c r="T1014" s="488" t="s">
        <v>268</v>
      </c>
    </row>
    <row r="1015" ht="34.5">
      <c r="A1015" s="488" t="s">
        <v>980</v>
      </c>
      <c r="B1015" s="488" t="s">
        <v>981</v>
      </c>
      <c r="C1015" s="488" t="s">
        <v>612</v>
      </c>
      <c r="D1015" s="488" t="s">
        <v>263</v>
      </c>
      <c r="E1015" s="488" t="s">
        <v>613</v>
      </c>
      <c r="F1015" s="489" t="s">
        <v>1119</v>
      </c>
      <c r="G1015" s="488" t="s">
        <v>620</v>
      </c>
      <c r="H1015" s="489"/>
      <c r="I1015" s="489"/>
      <c r="J1015" s="489" t="s">
        <v>1120</v>
      </c>
      <c r="K1015" s="491">
        <v>12744104</v>
      </c>
      <c r="L1015" s="488" t="s">
        <v>429</v>
      </c>
      <c r="M1015" s="488"/>
      <c r="N1015" s="489"/>
      <c r="O1015" s="489"/>
      <c r="P1015" s="489"/>
      <c r="Q1015" s="489"/>
      <c r="R1015" s="490"/>
      <c r="S1015" s="489"/>
      <c r="T1015" s="488" t="s">
        <v>268</v>
      </c>
    </row>
    <row r="1016" ht="34.5">
      <c r="A1016" s="488" t="s">
        <v>980</v>
      </c>
      <c r="B1016" s="488" t="s">
        <v>981</v>
      </c>
      <c r="C1016" s="488" t="s">
        <v>612</v>
      </c>
      <c r="D1016" s="488" t="s">
        <v>263</v>
      </c>
      <c r="E1016" s="488" t="s">
        <v>613</v>
      </c>
      <c r="F1016" s="489" t="s">
        <v>1119</v>
      </c>
      <c r="G1016" s="488" t="s">
        <v>620</v>
      </c>
      <c r="H1016" s="489"/>
      <c r="I1016" s="489"/>
      <c r="J1016" s="489" t="s">
        <v>622</v>
      </c>
      <c r="K1016" s="491"/>
      <c r="L1016" s="488"/>
      <c r="M1016" s="488"/>
      <c r="N1016" s="489"/>
      <c r="O1016" s="489"/>
      <c r="P1016" s="489"/>
      <c r="Q1016" s="489"/>
      <c r="R1016" s="490"/>
      <c r="S1016" s="489"/>
      <c r="T1016" s="488" t="s">
        <v>268</v>
      </c>
    </row>
    <row r="1017" ht="34.5">
      <c r="A1017" s="488" t="s">
        <v>980</v>
      </c>
      <c r="B1017" s="488" t="s">
        <v>981</v>
      </c>
      <c r="C1017" s="488" t="s">
        <v>612</v>
      </c>
      <c r="D1017" s="488" t="s">
        <v>263</v>
      </c>
      <c r="E1017" s="488" t="s">
        <v>613</v>
      </c>
      <c r="F1017" s="489" t="s">
        <v>1119</v>
      </c>
      <c r="G1017" s="488" t="s">
        <v>620</v>
      </c>
      <c r="H1017" s="489"/>
      <c r="I1017" s="489"/>
      <c r="J1017" s="489" t="s">
        <v>1121</v>
      </c>
      <c r="K1017" s="491"/>
      <c r="L1017" s="488"/>
      <c r="M1017" s="488"/>
      <c r="N1017" s="489"/>
      <c r="O1017" s="489"/>
      <c r="P1017" s="489"/>
      <c r="Q1017" s="489"/>
      <c r="R1017" s="490"/>
      <c r="S1017" s="489"/>
      <c r="T1017" s="488" t="s">
        <v>268</v>
      </c>
    </row>
    <row r="1018" ht="34.5">
      <c r="A1018" s="488" t="s">
        <v>980</v>
      </c>
      <c r="B1018" s="488" t="s">
        <v>981</v>
      </c>
      <c r="C1018" s="488" t="s">
        <v>612</v>
      </c>
      <c r="D1018" s="488" t="s">
        <v>263</v>
      </c>
      <c r="E1018" s="488" t="s">
        <v>613</v>
      </c>
      <c r="F1018" s="489" t="s">
        <v>1119</v>
      </c>
      <c r="G1018" s="488" t="s">
        <v>620</v>
      </c>
      <c r="H1018" s="489"/>
      <c r="I1018" s="489"/>
      <c r="J1018" s="489" t="s">
        <v>624</v>
      </c>
      <c r="K1018" s="491"/>
      <c r="L1018" s="488"/>
      <c r="M1018" s="488"/>
      <c r="N1018" s="489"/>
      <c r="O1018" s="489"/>
      <c r="P1018" s="489"/>
      <c r="Q1018" s="489"/>
      <c r="R1018" s="490"/>
      <c r="S1018" s="489"/>
      <c r="T1018" s="488" t="s">
        <v>268</v>
      </c>
    </row>
    <row r="1019" ht="34.5">
      <c r="A1019" s="488" t="s">
        <v>980</v>
      </c>
      <c r="B1019" s="488" t="s">
        <v>981</v>
      </c>
      <c r="C1019" s="488" t="s">
        <v>612</v>
      </c>
      <c r="D1019" s="488" t="s">
        <v>263</v>
      </c>
      <c r="E1019" s="488" t="s">
        <v>613</v>
      </c>
      <c r="F1019" s="489" t="s">
        <v>1119</v>
      </c>
      <c r="G1019" s="488" t="s">
        <v>620</v>
      </c>
      <c r="H1019" s="489"/>
      <c r="I1019" s="489"/>
      <c r="J1019" s="489" t="s">
        <v>892</v>
      </c>
      <c r="K1019" s="491"/>
      <c r="L1019" s="488"/>
      <c r="M1019" s="488"/>
      <c r="N1019" s="489"/>
      <c r="O1019" s="489"/>
      <c r="P1019" s="489"/>
      <c r="Q1019" s="489"/>
      <c r="R1019" s="490"/>
      <c r="S1019" s="489"/>
      <c r="T1019" s="488" t="s">
        <v>268</v>
      </c>
    </row>
    <row r="1020" ht="34.5">
      <c r="A1020" s="488" t="s">
        <v>980</v>
      </c>
      <c r="B1020" s="488" t="s">
        <v>981</v>
      </c>
      <c r="C1020" s="488" t="s">
        <v>626</v>
      </c>
      <c r="D1020" s="488" t="s">
        <v>263</v>
      </c>
      <c r="E1020" s="488" t="s">
        <v>613</v>
      </c>
      <c r="F1020" s="489" t="s">
        <v>1122</v>
      </c>
      <c r="G1020" s="488" t="s">
        <v>620</v>
      </c>
      <c r="H1020" s="489"/>
      <c r="I1020" s="489"/>
      <c r="J1020" s="489" t="s">
        <v>628</v>
      </c>
      <c r="K1020" s="491"/>
      <c r="L1020" s="488"/>
      <c r="M1020" s="488"/>
      <c r="N1020" s="489"/>
      <c r="O1020" s="489"/>
      <c r="P1020" s="489"/>
      <c r="Q1020" s="489"/>
      <c r="R1020" s="490"/>
      <c r="S1020" s="489"/>
      <c r="T1020" s="488" t="s">
        <v>268</v>
      </c>
    </row>
    <row r="1021" ht="34.5">
      <c r="A1021" s="488" t="s">
        <v>980</v>
      </c>
      <c r="B1021" s="488" t="s">
        <v>981</v>
      </c>
      <c r="C1021" s="488" t="s">
        <v>626</v>
      </c>
      <c r="D1021" s="488" t="s">
        <v>263</v>
      </c>
      <c r="E1021" s="488" t="s">
        <v>613</v>
      </c>
      <c r="F1021" s="489" t="s">
        <v>1122</v>
      </c>
      <c r="G1021" s="488" t="s">
        <v>620</v>
      </c>
      <c r="H1021" s="489"/>
      <c r="I1021" s="489"/>
      <c r="J1021" s="489" t="s">
        <v>893</v>
      </c>
      <c r="K1021" s="491"/>
      <c r="L1021" s="488"/>
      <c r="M1021" s="488"/>
      <c r="N1021" s="489"/>
      <c r="O1021" s="489"/>
      <c r="P1021" s="489"/>
      <c r="Q1021" s="489"/>
      <c r="R1021" s="490"/>
      <c r="S1021" s="489"/>
      <c r="T1021" s="488" t="s">
        <v>268</v>
      </c>
    </row>
    <row r="1022" ht="34.5">
      <c r="A1022" s="488" t="s">
        <v>980</v>
      </c>
      <c r="B1022" s="488" t="s">
        <v>981</v>
      </c>
      <c r="C1022" s="488" t="s">
        <v>626</v>
      </c>
      <c r="D1022" s="488" t="s">
        <v>263</v>
      </c>
      <c r="E1022" s="488" t="s">
        <v>613</v>
      </c>
      <c r="F1022" s="489" t="s">
        <v>1122</v>
      </c>
      <c r="G1022" s="488" t="s">
        <v>620</v>
      </c>
      <c r="H1022" s="489"/>
      <c r="I1022" s="489"/>
      <c r="J1022" s="489" t="s">
        <v>630</v>
      </c>
      <c r="K1022" s="491"/>
      <c r="L1022" s="488"/>
      <c r="M1022" s="488"/>
      <c r="N1022" s="489"/>
      <c r="O1022" s="489"/>
      <c r="P1022" s="489"/>
      <c r="Q1022" s="489"/>
      <c r="R1022" s="490"/>
      <c r="S1022" s="489"/>
      <c r="T1022" s="488" t="s">
        <v>268</v>
      </c>
    </row>
    <row r="1023" ht="34.5">
      <c r="A1023" s="488" t="s">
        <v>980</v>
      </c>
      <c r="B1023" s="488" t="s">
        <v>981</v>
      </c>
      <c r="C1023" s="488" t="s">
        <v>626</v>
      </c>
      <c r="D1023" s="488" t="s">
        <v>263</v>
      </c>
      <c r="E1023" s="488" t="s">
        <v>613</v>
      </c>
      <c r="F1023" s="489" t="s">
        <v>1122</v>
      </c>
      <c r="G1023" s="488" t="s">
        <v>620</v>
      </c>
      <c r="H1023" s="489"/>
      <c r="I1023" s="489"/>
      <c r="J1023" s="489" t="s">
        <v>894</v>
      </c>
      <c r="K1023" s="491">
        <v>125000</v>
      </c>
      <c r="L1023" s="488" t="s">
        <v>429</v>
      </c>
      <c r="M1023" s="488"/>
      <c r="N1023" s="489"/>
      <c r="O1023" s="489"/>
      <c r="P1023" s="489"/>
      <c r="Q1023" s="489"/>
      <c r="R1023" s="490"/>
      <c r="S1023" s="489"/>
      <c r="T1023" s="488" t="s">
        <v>268</v>
      </c>
    </row>
    <row r="1024" ht="34.5">
      <c r="A1024" s="488" t="s">
        <v>980</v>
      </c>
      <c r="B1024" s="488" t="s">
        <v>981</v>
      </c>
      <c r="C1024" s="488" t="s">
        <v>626</v>
      </c>
      <c r="D1024" s="488" t="s">
        <v>263</v>
      </c>
      <c r="E1024" s="488" t="s">
        <v>613</v>
      </c>
      <c r="F1024" s="489" t="s">
        <v>1122</v>
      </c>
      <c r="G1024" s="488" t="s">
        <v>620</v>
      </c>
      <c r="H1024" s="489"/>
      <c r="I1024" s="489"/>
      <c r="J1024" s="489" t="s">
        <v>895</v>
      </c>
      <c r="K1024" s="491"/>
      <c r="L1024" s="488"/>
      <c r="M1024" s="488"/>
      <c r="N1024" s="489"/>
      <c r="O1024" s="489"/>
      <c r="P1024" s="489"/>
      <c r="Q1024" s="489"/>
      <c r="R1024" s="490"/>
      <c r="S1024" s="489"/>
      <c r="T1024" s="488" t="s">
        <v>268</v>
      </c>
    </row>
    <row r="1025" ht="34.5">
      <c r="A1025" s="488" t="s">
        <v>980</v>
      </c>
      <c r="B1025" s="488" t="s">
        <v>981</v>
      </c>
      <c r="C1025" s="488" t="s">
        <v>632</v>
      </c>
      <c r="D1025" s="488" t="s">
        <v>263</v>
      </c>
      <c r="E1025" s="488" t="s">
        <v>613</v>
      </c>
      <c r="F1025" s="489" t="s">
        <v>1122</v>
      </c>
      <c r="G1025" s="488" t="s">
        <v>620</v>
      </c>
      <c r="H1025" s="489"/>
      <c r="I1025" s="489"/>
      <c r="J1025" s="489" t="s">
        <v>896</v>
      </c>
      <c r="K1025" s="491"/>
      <c r="L1025" s="488"/>
      <c r="M1025" s="488"/>
      <c r="N1025" s="489"/>
      <c r="O1025" s="489"/>
      <c r="P1025" s="489"/>
      <c r="Q1025" s="489"/>
      <c r="R1025" s="490"/>
      <c r="S1025" s="489"/>
      <c r="T1025" s="488" t="s">
        <v>268</v>
      </c>
    </row>
    <row r="1026" ht="34.5">
      <c r="A1026" s="488" t="s">
        <v>980</v>
      </c>
      <c r="B1026" s="488" t="s">
        <v>981</v>
      </c>
      <c r="C1026" s="488" t="s">
        <v>632</v>
      </c>
      <c r="D1026" s="488" t="s">
        <v>263</v>
      </c>
      <c r="E1026" s="488" t="s">
        <v>613</v>
      </c>
      <c r="F1026" s="489" t="s">
        <v>1122</v>
      </c>
      <c r="G1026" s="488" t="s">
        <v>620</v>
      </c>
      <c r="H1026" s="489"/>
      <c r="I1026" s="489"/>
      <c r="J1026" s="489" t="s">
        <v>1123</v>
      </c>
      <c r="K1026" s="491">
        <v>0.11</v>
      </c>
      <c r="L1026" s="488" t="s">
        <v>429</v>
      </c>
      <c r="M1026" s="488"/>
      <c r="N1026" s="489"/>
      <c r="O1026" s="489"/>
      <c r="P1026" s="489"/>
      <c r="Q1026" s="489"/>
      <c r="R1026" s="490"/>
      <c r="S1026" s="489"/>
      <c r="T1026" s="488" t="s">
        <v>268</v>
      </c>
    </row>
    <row r="1027" ht="34.5">
      <c r="A1027" s="488" t="s">
        <v>980</v>
      </c>
      <c r="B1027" s="488" t="s">
        <v>981</v>
      </c>
      <c r="C1027" s="488" t="s">
        <v>632</v>
      </c>
      <c r="D1027" s="488" t="s">
        <v>263</v>
      </c>
      <c r="E1027" s="488" t="s">
        <v>613</v>
      </c>
      <c r="F1027" s="489" t="s">
        <v>1122</v>
      </c>
      <c r="G1027" s="488" t="s">
        <v>620</v>
      </c>
      <c r="H1027" s="489"/>
      <c r="I1027" s="489"/>
      <c r="J1027" s="489" t="s">
        <v>1124</v>
      </c>
      <c r="K1027" s="491">
        <v>0.13</v>
      </c>
      <c r="L1027" s="488" t="s">
        <v>429</v>
      </c>
      <c r="M1027" s="488"/>
      <c r="N1027" s="489"/>
      <c r="O1027" s="489"/>
      <c r="P1027" s="489"/>
      <c r="Q1027" s="489"/>
      <c r="R1027" s="490"/>
      <c r="S1027" s="489"/>
      <c r="T1027" s="488" t="s">
        <v>268</v>
      </c>
    </row>
    <row r="1028" ht="34.5">
      <c r="A1028" s="488" t="s">
        <v>980</v>
      </c>
      <c r="B1028" s="488" t="s">
        <v>981</v>
      </c>
      <c r="C1028" s="488" t="s">
        <v>632</v>
      </c>
      <c r="D1028" s="488" t="s">
        <v>263</v>
      </c>
      <c r="E1028" s="488" t="s">
        <v>613</v>
      </c>
      <c r="F1028" s="489" t="s">
        <v>1122</v>
      </c>
      <c r="G1028" s="488" t="s">
        <v>620</v>
      </c>
      <c r="H1028" s="489"/>
      <c r="I1028" s="489"/>
      <c r="J1028" s="489" t="s">
        <v>642</v>
      </c>
      <c r="K1028" s="491"/>
      <c r="L1028" s="488"/>
      <c r="M1028" s="488"/>
      <c r="N1028" s="489"/>
      <c r="O1028" s="489"/>
      <c r="P1028" s="489"/>
      <c r="Q1028" s="489"/>
      <c r="R1028" s="490"/>
      <c r="S1028" s="489"/>
      <c r="T1028" s="488" t="s">
        <v>268</v>
      </c>
    </row>
    <row r="1029" ht="34.5">
      <c r="A1029" s="488" t="s">
        <v>980</v>
      </c>
      <c r="B1029" s="488" t="s">
        <v>981</v>
      </c>
      <c r="C1029" s="488" t="s">
        <v>632</v>
      </c>
      <c r="D1029" s="488" t="s">
        <v>263</v>
      </c>
      <c r="E1029" s="488" t="s">
        <v>613</v>
      </c>
      <c r="F1029" s="489" t="s">
        <v>1122</v>
      </c>
      <c r="G1029" s="488" t="s">
        <v>620</v>
      </c>
      <c r="H1029" s="489"/>
      <c r="I1029" s="489"/>
      <c r="J1029" s="489" t="s">
        <v>1125</v>
      </c>
      <c r="K1029" s="491"/>
      <c r="L1029" s="488"/>
      <c r="M1029" s="488"/>
      <c r="N1029" s="489"/>
      <c r="O1029" s="489"/>
      <c r="P1029" s="489"/>
      <c r="Q1029" s="489"/>
      <c r="R1029" s="490"/>
      <c r="S1029" s="489"/>
      <c r="T1029" s="488" t="s">
        <v>268</v>
      </c>
    </row>
    <row r="1030" ht="34.5">
      <c r="A1030" s="488" t="s">
        <v>980</v>
      </c>
      <c r="B1030" s="488" t="s">
        <v>981</v>
      </c>
      <c r="C1030" s="488" t="s">
        <v>638</v>
      </c>
      <c r="D1030" s="488" t="s">
        <v>263</v>
      </c>
      <c r="E1030" s="488" t="s">
        <v>613</v>
      </c>
      <c r="F1030" s="489" t="s">
        <v>1126</v>
      </c>
      <c r="G1030" s="488" t="s">
        <v>620</v>
      </c>
      <c r="H1030" s="489"/>
      <c r="I1030" s="489"/>
      <c r="J1030" s="489" t="s">
        <v>644</v>
      </c>
      <c r="K1030" s="491"/>
      <c r="L1030" s="488"/>
      <c r="M1030" s="488"/>
      <c r="N1030" s="489"/>
      <c r="O1030" s="489"/>
      <c r="P1030" s="489"/>
      <c r="Q1030" s="489"/>
      <c r="R1030" s="490"/>
      <c r="S1030" s="489"/>
      <c r="T1030" s="488" t="s">
        <v>268</v>
      </c>
    </row>
    <row r="1031" ht="34.5">
      <c r="A1031" s="488" t="s">
        <v>980</v>
      </c>
      <c r="B1031" s="488" t="s">
        <v>981</v>
      </c>
      <c r="C1031" s="488" t="s">
        <v>638</v>
      </c>
      <c r="D1031" s="488" t="s">
        <v>263</v>
      </c>
      <c r="E1031" s="488" t="s">
        <v>613</v>
      </c>
      <c r="F1031" s="489" t="s">
        <v>1126</v>
      </c>
      <c r="G1031" s="488" t="s">
        <v>620</v>
      </c>
      <c r="H1031" s="489"/>
      <c r="I1031" s="489"/>
      <c r="J1031" s="489" t="s">
        <v>1127</v>
      </c>
      <c r="K1031" s="491">
        <v>965788</v>
      </c>
      <c r="L1031" s="488" t="s">
        <v>429</v>
      </c>
      <c r="M1031" s="488"/>
      <c r="N1031" s="489"/>
      <c r="O1031" s="489"/>
      <c r="P1031" s="489"/>
      <c r="Q1031" s="489"/>
      <c r="R1031" s="490"/>
      <c r="S1031" s="489"/>
      <c r="T1031" s="488" t="s">
        <v>268</v>
      </c>
    </row>
    <row r="1032" ht="34.5">
      <c r="A1032" s="488" t="s">
        <v>980</v>
      </c>
      <c r="B1032" s="488" t="s">
        <v>981</v>
      </c>
      <c r="C1032" s="488" t="s">
        <v>638</v>
      </c>
      <c r="D1032" s="488" t="s">
        <v>263</v>
      </c>
      <c r="E1032" s="488" t="s">
        <v>613</v>
      </c>
      <c r="F1032" s="489" t="s">
        <v>1126</v>
      </c>
      <c r="G1032" s="488" t="s">
        <v>620</v>
      </c>
      <c r="H1032" s="489"/>
      <c r="I1032" s="489"/>
      <c r="J1032" s="489" t="s">
        <v>899</v>
      </c>
      <c r="K1032" s="491"/>
      <c r="L1032" s="488"/>
      <c r="M1032" s="488"/>
      <c r="N1032" s="489"/>
      <c r="O1032" s="489"/>
      <c r="P1032" s="489"/>
      <c r="Q1032" s="489"/>
      <c r="R1032" s="490"/>
      <c r="S1032" s="489"/>
      <c r="T1032" s="488" t="s">
        <v>268</v>
      </c>
    </row>
    <row r="1033" ht="34.5">
      <c r="A1033" s="488" t="s">
        <v>980</v>
      </c>
      <c r="B1033" s="488" t="s">
        <v>981</v>
      </c>
      <c r="C1033" s="488" t="s">
        <v>643</v>
      </c>
      <c r="D1033" s="488" t="s">
        <v>263</v>
      </c>
      <c r="E1033" s="488" t="s">
        <v>613</v>
      </c>
      <c r="F1033" s="489" t="s">
        <v>1122</v>
      </c>
      <c r="G1033" s="488" t="s">
        <v>620</v>
      </c>
      <c r="H1033" s="489"/>
      <c r="I1033" s="489"/>
      <c r="J1033" s="489" t="s">
        <v>1128</v>
      </c>
      <c r="K1033" s="491"/>
      <c r="L1033" s="488"/>
      <c r="M1033" s="488"/>
      <c r="N1033" s="489"/>
      <c r="O1033" s="489"/>
      <c r="P1033" s="489"/>
      <c r="Q1033" s="489"/>
      <c r="R1033" s="490"/>
      <c r="S1033" s="489"/>
      <c r="T1033" s="488" t="s">
        <v>268</v>
      </c>
    </row>
    <row r="1034" ht="34.5">
      <c r="A1034" s="488" t="s">
        <v>980</v>
      </c>
      <c r="B1034" s="488" t="s">
        <v>981</v>
      </c>
      <c r="C1034" s="488" t="s">
        <v>643</v>
      </c>
      <c r="D1034" s="488" t="s">
        <v>263</v>
      </c>
      <c r="E1034" s="488" t="s">
        <v>613</v>
      </c>
      <c r="F1034" s="489" t="s">
        <v>1122</v>
      </c>
      <c r="G1034" s="488" t="s">
        <v>620</v>
      </c>
      <c r="H1034" s="489"/>
      <c r="I1034" s="489"/>
      <c r="J1034" s="489" t="s">
        <v>1129</v>
      </c>
      <c r="K1034" s="491"/>
      <c r="L1034" s="488"/>
      <c r="M1034" s="488"/>
      <c r="N1034" s="489"/>
      <c r="O1034" s="489"/>
      <c r="P1034" s="489"/>
      <c r="Q1034" s="489"/>
      <c r="R1034" s="490"/>
      <c r="S1034" s="489"/>
      <c r="T1034" s="488" t="s">
        <v>268</v>
      </c>
    </row>
    <row r="1035" ht="34.5">
      <c r="A1035" s="488" t="s">
        <v>980</v>
      </c>
      <c r="B1035" s="488" t="s">
        <v>981</v>
      </c>
      <c r="C1035" s="488" t="s">
        <v>643</v>
      </c>
      <c r="D1035" s="488" t="s">
        <v>263</v>
      </c>
      <c r="E1035" s="488" t="s">
        <v>613</v>
      </c>
      <c r="F1035" s="489" t="s">
        <v>1122</v>
      </c>
      <c r="G1035" s="488" t="s">
        <v>620</v>
      </c>
      <c r="H1035" s="489"/>
      <c r="I1035" s="489"/>
      <c r="J1035" s="489" t="s">
        <v>1130</v>
      </c>
      <c r="K1035" s="491">
        <v>0.08</v>
      </c>
      <c r="L1035" s="488" t="s">
        <v>429</v>
      </c>
      <c r="M1035" s="488"/>
      <c r="N1035" s="489"/>
      <c r="O1035" s="489"/>
      <c r="P1035" s="489"/>
      <c r="Q1035" s="489"/>
      <c r="R1035" s="490"/>
      <c r="S1035" s="489"/>
      <c r="T1035" s="488" t="s">
        <v>268</v>
      </c>
    </row>
    <row r="1036" ht="34.5">
      <c r="A1036" s="488" t="s">
        <v>980</v>
      </c>
      <c r="B1036" s="488" t="s">
        <v>981</v>
      </c>
      <c r="C1036" s="488" t="s">
        <v>643</v>
      </c>
      <c r="D1036" s="488" t="s">
        <v>263</v>
      </c>
      <c r="E1036" s="488" t="s">
        <v>613</v>
      </c>
      <c r="F1036" s="489" t="s">
        <v>1122</v>
      </c>
      <c r="G1036" s="488" t="s">
        <v>620</v>
      </c>
      <c r="H1036" s="489"/>
      <c r="I1036" s="489"/>
      <c r="J1036" s="489" t="s">
        <v>1131</v>
      </c>
      <c r="K1036" s="491"/>
      <c r="L1036" s="488"/>
      <c r="M1036" s="488"/>
      <c r="N1036" s="489"/>
      <c r="O1036" s="489"/>
      <c r="P1036" s="489"/>
      <c r="Q1036" s="489"/>
      <c r="R1036" s="490"/>
      <c r="S1036" s="489"/>
      <c r="T1036" s="488" t="s">
        <v>268</v>
      </c>
    </row>
    <row r="1037" ht="34.5">
      <c r="A1037" s="488" t="s">
        <v>980</v>
      </c>
      <c r="B1037" s="488" t="s">
        <v>981</v>
      </c>
      <c r="C1037" s="488" t="s">
        <v>643</v>
      </c>
      <c r="D1037" s="488" t="s">
        <v>263</v>
      </c>
      <c r="E1037" s="488" t="s">
        <v>613</v>
      </c>
      <c r="F1037" s="489" t="s">
        <v>1122</v>
      </c>
      <c r="G1037" s="488" t="s">
        <v>620</v>
      </c>
      <c r="H1037" s="489"/>
      <c r="I1037" s="489"/>
      <c r="J1037" s="489" t="s">
        <v>1132</v>
      </c>
      <c r="K1037" s="491"/>
      <c r="L1037" s="488"/>
      <c r="M1037" s="488"/>
      <c r="N1037" s="489"/>
      <c r="O1037" s="489"/>
      <c r="P1037" s="489"/>
      <c r="Q1037" s="489"/>
      <c r="R1037" s="490"/>
      <c r="S1037" s="489"/>
      <c r="T1037" s="488" t="s">
        <v>268</v>
      </c>
    </row>
    <row r="1038" ht="34.5">
      <c r="A1038" s="488" t="s">
        <v>980</v>
      </c>
      <c r="B1038" s="488" t="s">
        <v>981</v>
      </c>
      <c r="C1038" s="488" t="s">
        <v>643</v>
      </c>
      <c r="D1038" s="488" t="s">
        <v>263</v>
      </c>
      <c r="E1038" s="488" t="s">
        <v>613</v>
      </c>
      <c r="F1038" s="489" t="s">
        <v>1122</v>
      </c>
      <c r="G1038" s="488" t="s">
        <v>620</v>
      </c>
      <c r="H1038" s="489"/>
      <c r="I1038" s="489"/>
      <c r="J1038" s="489" t="s">
        <v>650</v>
      </c>
      <c r="K1038" s="491"/>
      <c r="L1038" s="488"/>
      <c r="M1038" s="488"/>
      <c r="N1038" s="489"/>
      <c r="O1038" s="489"/>
      <c r="P1038" s="489"/>
      <c r="Q1038" s="489"/>
      <c r="R1038" s="490"/>
      <c r="S1038" s="489"/>
      <c r="T1038" s="488" t="s">
        <v>268</v>
      </c>
    </row>
    <row r="1039" ht="34.5">
      <c r="A1039" s="488" t="s">
        <v>980</v>
      </c>
      <c r="B1039" s="488" t="s">
        <v>981</v>
      </c>
      <c r="C1039" s="488" t="s">
        <v>643</v>
      </c>
      <c r="D1039" s="488" t="s">
        <v>263</v>
      </c>
      <c r="E1039" s="488" t="s">
        <v>613</v>
      </c>
      <c r="F1039" s="489" t="s">
        <v>1122</v>
      </c>
      <c r="G1039" s="488" t="s">
        <v>620</v>
      </c>
      <c r="H1039" s="489"/>
      <c r="I1039" s="489"/>
      <c r="J1039" s="489" t="s">
        <v>1133</v>
      </c>
      <c r="K1039" s="491"/>
      <c r="L1039" s="488"/>
      <c r="M1039" s="488"/>
      <c r="N1039" s="489"/>
      <c r="O1039" s="489"/>
      <c r="P1039" s="489"/>
      <c r="Q1039" s="489"/>
      <c r="R1039" s="490"/>
      <c r="S1039" s="489"/>
      <c r="T1039" s="488" t="s">
        <v>268</v>
      </c>
    </row>
    <row r="1040" ht="34.5">
      <c r="A1040" s="488" t="s">
        <v>980</v>
      </c>
      <c r="B1040" s="488" t="s">
        <v>981</v>
      </c>
      <c r="C1040" s="488" t="s">
        <v>643</v>
      </c>
      <c r="D1040" s="488" t="s">
        <v>263</v>
      </c>
      <c r="E1040" s="488" t="s">
        <v>613</v>
      </c>
      <c r="F1040" s="489" t="s">
        <v>1122</v>
      </c>
      <c r="G1040" s="488" t="s">
        <v>620</v>
      </c>
      <c r="H1040" s="489"/>
      <c r="I1040" s="489"/>
      <c r="J1040" s="489" t="s">
        <v>1134</v>
      </c>
      <c r="K1040" s="491"/>
      <c r="L1040" s="488"/>
      <c r="M1040" s="488"/>
      <c r="N1040" s="489"/>
      <c r="O1040" s="489"/>
      <c r="P1040" s="489"/>
      <c r="Q1040" s="489"/>
      <c r="R1040" s="490"/>
      <c r="S1040" s="489"/>
      <c r="T1040" s="488" t="s">
        <v>268</v>
      </c>
    </row>
    <row r="1041" ht="34.5">
      <c r="A1041" s="488" t="s">
        <v>980</v>
      </c>
      <c r="B1041" s="488" t="s">
        <v>981</v>
      </c>
      <c r="C1041" s="488" t="s">
        <v>643</v>
      </c>
      <c r="D1041" s="488" t="s">
        <v>263</v>
      </c>
      <c r="E1041" s="488" t="s">
        <v>618</v>
      </c>
      <c r="F1041" s="489" t="s">
        <v>1135</v>
      </c>
      <c r="G1041" s="488" t="s">
        <v>656</v>
      </c>
      <c r="H1041" s="489"/>
      <c r="I1041" s="489"/>
      <c r="J1041" s="489" t="s">
        <v>1136</v>
      </c>
      <c r="K1041" s="491"/>
      <c r="L1041" s="488"/>
      <c r="M1041" s="488"/>
      <c r="N1041" s="489"/>
      <c r="O1041" s="489"/>
      <c r="P1041" s="489"/>
      <c r="Q1041" s="489"/>
      <c r="R1041" s="490"/>
      <c r="S1041" s="489"/>
      <c r="T1041" s="488" t="s">
        <v>268</v>
      </c>
    </row>
    <row r="1042" ht="34.5">
      <c r="A1042" s="488" t="s">
        <v>980</v>
      </c>
      <c r="B1042" s="488" t="s">
        <v>981</v>
      </c>
      <c r="C1042" s="488" t="s">
        <v>647</v>
      </c>
      <c r="D1042" s="488" t="s">
        <v>263</v>
      </c>
      <c r="E1042" s="488" t="s">
        <v>618</v>
      </c>
      <c r="F1042" s="489" t="s">
        <v>1137</v>
      </c>
      <c r="G1042" s="488" t="s">
        <v>656</v>
      </c>
      <c r="H1042" s="489"/>
      <c r="I1042" s="489"/>
      <c r="J1042" s="489" t="s">
        <v>657</v>
      </c>
      <c r="K1042" s="491"/>
      <c r="L1042" s="488"/>
      <c r="M1042" s="488"/>
      <c r="N1042" s="489"/>
      <c r="O1042" s="489"/>
      <c r="P1042" s="489"/>
      <c r="Q1042" s="489"/>
      <c r="R1042" s="490"/>
      <c r="S1042" s="489"/>
      <c r="T1042" s="488" t="s">
        <v>268</v>
      </c>
    </row>
    <row r="1043" ht="34.5">
      <c r="A1043" s="488" t="s">
        <v>980</v>
      </c>
      <c r="B1043" s="488" t="s">
        <v>981</v>
      </c>
      <c r="C1043" s="488" t="s">
        <v>647</v>
      </c>
      <c r="D1043" s="488" t="s">
        <v>263</v>
      </c>
      <c r="E1043" s="488" t="s">
        <v>618</v>
      </c>
      <c r="F1043" s="489" t="s">
        <v>1137</v>
      </c>
      <c r="G1043" s="488" t="s">
        <v>656</v>
      </c>
      <c r="H1043" s="489"/>
      <c r="I1043" s="489"/>
      <c r="J1043" s="489" t="s">
        <v>658</v>
      </c>
      <c r="K1043" s="491"/>
      <c r="L1043" s="488"/>
      <c r="M1043" s="488"/>
      <c r="N1043" s="489"/>
      <c r="O1043" s="489"/>
      <c r="P1043" s="489"/>
      <c r="Q1043" s="489"/>
      <c r="R1043" s="490"/>
      <c r="S1043" s="489"/>
      <c r="T1043" s="488" t="s">
        <v>268</v>
      </c>
    </row>
    <row r="1044" ht="34.5">
      <c r="A1044" s="488" t="s">
        <v>980</v>
      </c>
      <c r="B1044" s="488" t="s">
        <v>981</v>
      </c>
      <c r="C1044" s="488" t="s">
        <v>647</v>
      </c>
      <c r="D1044" s="488" t="s">
        <v>263</v>
      </c>
      <c r="E1044" s="488" t="s">
        <v>618</v>
      </c>
      <c r="F1044" s="489" t="s">
        <v>1137</v>
      </c>
      <c r="G1044" s="488" t="s">
        <v>656</v>
      </c>
      <c r="H1044" s="489"/>
      <c r="I1044" s="489"/>
      <c r="J1044" s="489" t="s">
        <v>907</v>
      </c>
      <c r="K1044" s="491"/>
      <c r="L1044" s="488"/>
      <c r="M1044" s="488"/>
      <c r="N1044" s="489"/>
      <c r="O1044" s="489"/>
      <c r="P1044" s="489"/>
      <c r="Q1044" s="489"/>
      <c r="R1044" s="490"/>
      <c r="S1044" s="489"/>
      <c r="T1044" s="488" t="s">
        <v>268</v>
      </c>
    </row>
    <row r="1045" ht="34.5">
      <c r="A1045" s="488" t="s">
        <v>980</v>
      </c>
      <c r="B1045" s="488" t="s">
        <v>981</v>
      </c>
      <c r="C1045" s="488" t="s">
        <v>647</v>
      </c>
      <c r="D1045" s="488" t="s">
        <v>263</v>
      </c>
      <c r="E1045" s="488" t="s">
        <v>618</v>
      </c>
      <c r="F1045" s="489" t="s">
        <v>1137</v>
      </c>
      <c r="G1045" s="488" t="s">
        <v>656</v>
      </c>
      <c r="H1045" s="489"/>
      <c r="I1045" s="489"/>
      <c r="J1045" s="489" t="s">
        <v>908</v>
      </c>
      <c r="K1045" s="491"/>
      <c r="L1045" s="488"/>
      <c r="M1045" s="488"/>
      <c r="N1045" s="489"/>
      <c r="O1045" s="489"/>
      <c r="P1045" s="489"/>
      <c r="Q1045" s="489"/>
      <c r="R1045" s="490"/>
      <c r="S1045" s="489"/>
      <c r="T1045" s="488" t="s">
        <v>268</v>
      </c>
    </row>
    <row r="1046" ht="34.5">
      <c r="A1046" s="488" t="s">
        <v>980</v>
      </c>
      <c r="B1046" s="488" t="s">
        <v>981</v>
      </c>
      <c r="C1046" s="488" t="s">
        <v>647</v>
      </c>
      <c r="D1046" s="488" t="s">
        <v>263</v>
      </c>
      <c r="E1046" s="488" t="s">
        <v>618</v>
      </c>
      <c r="F1046" s="489" t="s">
        <v>1137</v>
      </c>
      <c r="G1046" s="488" t="s">
        <v>656</v>
      </c>
      <c r="H1046" s="489"/>
      <c r="I1046" s="489"/>
      <c r="J1046" s="489" t="s">
        <v>1138</v>
      </c>
      <c r="K1046" s="491"/>
      <c r="L1046" s="488"/>
      <c r="M1046" s="488"/>
      <c r="N1046" s="489"/>
      <c r="O1046" s="489"/>
      <c r="P1046" s="489"/>
      <c r="Q1046" s="489"/>
      <c r="R1046" s="490"/>
      <c r="S1046" s="489"/>
      <c r="T1046" s="488" t="s">
        <v>268</v>
      </c>
    </row>
    <row r="1047" ht="34.5">
      <c r="A1047" s="488" t="s">
        <v>980</v>
      </c>
      <c r="B1047" s="488" t="s">
        <v>981</v>
      </c>
      <c r="C1047" s="488" t="s">
        <v>647</v>
      </c>
      <c r="D1047" s="488" t="s">
        <v>263</v>
      </c>
      <c r="E1047" s="488" t="s">
        <v>618</v>
      </c>
      <c r="F1047" s="489" t="s">
        <v>1137</v>
      </c>
      <c r="G1047" s="488" t="s">
        <v>656</v>
      </c>
      <c r="H1047" s="489"/>
      <c r="I1047" s="489"/>
      <c r="J1047" s="489" t="s">
        <v>1139</v>
      </c>
      <c r="K1047" s="491"/>
      <c r="L1047" s="488"/>
      <c r="M1047" s="488"/>
      <c r="N1047" s="489"/>
      <c r="O1047" s="489"/>
      <c r="P1047" s="489"/>
      <c r="Q1047" s="489"/>
      <c r="R1047" s="490"/>
      <c r="S1047" s="489"/>
      <c r="T1047" s="488" t="s">
        <v>268</v>
      </c>
    </row>
    <row r="1048" ht="34.5">
      <c r="A1048" s="488" t="s">
        <v>980</v>
      </c>
      <c r="B1048" s="488" t="s">
        <v>981</v>
      </c>
      <c r="C1048" s="488" t="s">
        <v>647</v>
      </c>
      <c r="D1048" s="488" t="s">
        <v>263</v>
      </c>
      <c r="E1048" s="488" t="s">
        <v>618</v>
      </c>
      <c r="F1048" s="489" t="s">
        <v>1137</v>
      </c>
      <c r="G1048" s="488" t="s">
        <v>656</v>
      </c>
      <c r="H1048" s="489"/>
      <c r="I1048" s="489"/>
      <c r="J1048" s="489" t="s">
        <v>1140</v>
      </c>
      <c r="K1048" s="491">
        <v>14098618</v>
      </c>
      <c r="L1048" s="488" t="s">
        <v>429</v>
      </c>
      <c r="M1048" s="488"/>
      <c r="N1048" s="489"/>
      <c r="O1048" s="489"/>
      <c r="P1048" s="489"/>
      <c r="Q1048" s="489"/>
      <c r="R1048" s="490"/>
      <c r="S1048" s="489"/>
      <c r="T1048" s="488" t="s">
        <v>268</v>
      </c>
    </row>
    <row r="1049" ht="34.5">
      <c r="A1049" s="488" t="s">
        <v>980</v>
      </c>
      <c r="B1049" s="488" t="s">
        <v>981</v>
      </c>
      <c r="C1049" s="488" t="s">
        <v>647</v>
      </c>
      <c r="D1049" s="488" t="s">
        <v>263</v>
      </c>
      <c r="E1049" s="488" t="s">
        <v>618</v>
      </c>
      <c r="F1049" s="489" t="s">
        <v>1137</v>
      </c>
      <c r="G1049" s="488" t="s">
        <v>656</v>
      </c>
      <c r="H1049" s="489"/>
      <c r="I1049" s="489"/>
      <c r="J1049" s="489" t="s">
        <v>1141</v>
      </c>
      <c r="K1049" s="491"/>
      <c r="L1049" s="488"/>
      <c r="M1049" s="488"/>
      <c r="N1049" s="489"/>
      <c r="O1049" s="489"/>
      <c r="P1049" s="489"/>
      <c r="Q1049" s="489"/>
      <c r="R1049" s="490"/>
      <c r="S1049" s="489"/>
      <c r="T1049" s="488" t="s">
        <v>268</v>
      </c>
    </row>
    <row r="1050" ht="34.5">
      <c r="A1050" s="488" t="s">
        <v>980</v>
      </c>
      <c r="B1050" s="488" t="s">
        <v>981</v>
      </c>
      <c r="C1050" s="488" t="s">
        <v>653</v>
      </c>
      <c r="D1050" s="488" t="s">
        <v>263</v>
      </c>
      <c r="E1050" s="488" t="s">
        <v>618</v>
      </c>
      <c r="F1050" s="489" t="s">
        <v>1137</v>
      </c>
      <c r="G1050" s="488" t="s">
        <v>656</v>
      </c>
      <c r="H1050" s="489"/>
      <c r="I1050" s="489"/>
      <c r="J1050" s="489" t="s">
        <v>1142</v>
      </c>
      <c r="K1050" s="491"/>
      <c r="L1050" s="488"/>
      <c r="M1050" s="488"/>
      <c r="N1050" s="489"/>
      <c r="O1050" s="489"/>
      <c r="P1050" s="489"/>
      <c r="Q1050" s="489"/>
      <c r="R1050" s="490"/>
      <c r="S1050" s="489"/>
      <c r="T1050" s="488" t="s">
        <v>268</v>
      </c>
    </row>
    <row r="1051" ht="34.5">
      <c r="A1051" s="488" t="s">
        <v>980</v>
      </c>
      <c r="B1051" s="488" t="s">
        <v>981</v>
      </c>
      <c r="C1051" s="488" t="s">
        <v>653</v>
      </c>
      <c r="D1051" s="488" t="s">
        <v>263</v>
      </c>
      <c r="E1051" s="488" t="s">
        <v>618</v>
      </c>
      <c r="F1051" s="489" t="s">
        <v>1137</v>
      </c>
      <c r="G1051" s="488" t="s">
        <v>656</v>
      </c>
      <c r="H1051" s="489"/>
      <c r="I1051" s="489"/>
      <c r="J1051" s="489" t="s">
        <v>1143</v>
      </c>
      <c r="K1051" s="491">
        <v>628232</v>
      </c>
      <c r="L1051" s="488" t="s">
        <v>429</v>
      </c>
      <c r="M1051" s="488"/>
      <c r="N1051" s="489"/>
      <c r="O1051" s="489"/>
      <c r="P1051" s="489"/>
      <c r="Q1051" s="489"/>
      <c r="R1051" s="490"/>
      <c r="S1051" s="489"/>
      <c r="T1051" s="488" t="s">
        <v>268</v>
      </c>
    </row>
    <row r="1052" ht="34.5">
      <c r="A1052" s="488" t="s">
        <v>980</v>
      </c>
      <c r="B1052" s="488" t="s">
        <v>981</v>
      </c>
      <c r="C1052" s="488" t="s">
        <v>653</v>
      </c>
      <c r="D1052" s="488" t="s">
        <v>263</v>
      </c>
      <c r="E1052" s="488" t="s">
        <v>618</v>
      </c>
      <c r="F1052" s="489" t="s">
        <v>1137</v>
      </c>
      <c r="G1052" s="488" t="s">
        <v>656</v>
      </c>
      <c r="H1052" s="489"/>
      <c r="I1052" s="489"/>
      <c r="J1052" s="489" t="s">
        <v>1144</v>
      </c>
      <c r="K1052" s="491"/>
      <c r="L1052" s="488"/>
      <c r="M1052" s="488"/>
      <c r="N1052" s="489"/>
      <c r="O1052" s="489"/>
      <c r="P1052" s="489"/>
      <c r="Q1052" s="489"/>
      <c r="R1052" s="490"/>
      <c r="S1052" s="489"/>
      <c r="T1052" s="488" t="s">
        <v>268</v>
      </c>
    </row>
    <row r="1053" ht="34.5">
      <c r="A1053" s="488" t="s">
        <v>980</v>
      </c>
      <c r="B1053" s="488" t="s">
        <v>981</v>
      </c>
      <c r="C1053" s="488" t="s">
        <v>653</v>
      </c>
      <c r="D1053" s="488" t="s">
        <v>263</v>
      </c>
      <c r="E1053" s="488" t="s">
        <v>618</v>
      </c>
      <c r="F1053" s="489" t="s">
        <v>1137</v>
      </c>
      <c r="G1053" s="488" t="s">
        <v>656</v>
      </c>
      <c r="H1053" s="489"/>
      <c r="I1053" s="489"/>
      <c r="J1053" s="489" t="s">
        <v>1145</v>
      </c>
      <c r="K1053" s="491"/>
      <c r="L1053" s="488"/>
      <c r="M1053" s="488"/>
      <c r="N1053" s="489"/>
      <c r="O1053" s="489"/>
      <c r="P1053" s="489"/>
      <c r="Q1053" s="489"/>
      <c r="R1053" s="490"/>
      <c r="S1053" s="489"/>
      <c r="T1053" s="488" t="s">
        <v>268</v>
      </c>
    </row>
    <row r="1054" ht="34.5">
      <c r="A1054" s="488" t="s">
        <v>980</v>
      </c>
      <c r="B1054" s="488" t="s">
        <v>981</v>
      </c>
      <c r="C1054" s="488" t="s">
        <v>653</v>
      </c>
      <c r="D1054" s="488" t="s">
        <v>263</v>
      </c>
      <c r="E1054" s="488" t="s">
        <v>618</v>
      </c>
      <c r="F1054" s="489" t="s">
        <v>1137</v>
      </c>
      <c r="G1054" s="488" t="s">
        <v>656</v>
      </c>
      <c r="H1054" s="489"/>
      <c r="I1054" s="489"/>
      <c r="J1054" s="489" t="s">
        <v>1146</v>
      </c>
      <c r="K1054" s="491">
        <v>86820</v>
      </c>
      <c r="L1054" s="488" t="s">
        <v>429</v>
      </c>
      <c r="M1054" s="488"/>
      <c r="N1054" s="489"/>
      <c r="O1054" s="489"/>
      <c r="P1054" s="489"/>
      <c r="Q1054" s="489"/>
      <c r="R1054" s="490"/>
      <c r="S1054" s="489"/>
      <c r="T1054" s="488" t="s">
        <v>268</v>
      </c>
    </row>
    <row r="1055" ht="34.5">
      <c r="A1055" s="488" t="s">
        <v>980</v>
      </c>
      <c r="B1055" s="488" t="s">
        <v>981</v>
      </c>
      <c r="C1055" s="488" t="s">
        <v>653</v>
      </c>
      <c r="D1055" s="488" t="s">
        <v>263</v>
      </c>
      <c r="E1055" s="488" t="s">
        <v>618</v>
      </c>
      <c r="F1055" s="489" t="s">
        <v>1137</v>
      </c>
      <c r="G1055" s="488" t="s">
        <v>656</v>
      </c>
      <c r="H1055" s="489"/>
      <c r="I1055" s="489"/>
      <c r="J1055" s="489" t="s">
        <v>915</v>
      </c>
      <c r="K1055" s="491"/>
      <c r="L1055" s="488"/>
      <c r="M1055" s="488"/>
      <c r="N1055" s="489"/>
      <c r="O1055" s="489"/>
      <c r="P1055" s="489"/>
      <c r="Q1055" s="489"/>
      <c r="R1055" s="490"/>
      <c r="S1055" s="489"/>
      <c r="T1055" s="488" t="s">
        <v>268</v>
      </c>
    </row>
    <row r="1056" ht="34.5">
      <c r="A1056" s="488" t="s">
        <v>980</v>
      </c>
      <c r="B1056" s="488" t="s">
        <v>981</v>
      </c>
      <c r="C1056" s="488" t="s">
        <v>653</v>
      </c>
      <c r="D1056" s="488" t="s">
        <v>263</v>
      </c>
      <c r="E1056" s="488" t="s">
        <v>618</v>
      </c>
      <c r="F1056" s="489" t="s">
        <v>1137</v>
      </c>
      <c r="G1056" s="488" t="s">
        <v>656</v>
      </c>
      <c r="H1056" s="489"/>
      <c r="I1056" s="489"/>
      <c r="J1056" s="489" t="s">
        <v>671</v>
      </c>
      <c r="K1056" s="491"/>
      <c r="L1056" s="488"/>
      <c r="M1056" s="488"/>
      <c r="N1056" s="489"/>
      <c r="O1056" s="489"/>
      <c r="P1056" s="489"/>
      <c r="Q1056" s="489"/>
      <c r="R1056" s="490"/>
      <c r="S1056" s="489"/>
      <c r="T1056" s="488" t="s">
        <v>268</v>
      </c>
    </row>
    <row r="1057" ht="34.5">
      <c r="A1057" s="488" t="s">
        <v>980</v>
      </c>
      <c r="B1057" s="488" t="s">
        <v>981</v>
      </c>
      <c r="C1057" s="488" t="s">
        <v>653</v>
      </c>
      <c r="D1057" s="488" t="s">
        <v>263</v>
      </c>
      <c r="E1057" s="488" t="s">
        <v>618</v>
      </c>
      <c r="F1057" s="489" t="s">
        <v>1137</v>
      </c>
      <c r="G1057" s="488" t="s">
        <v>656</v>
      </c>
      <c r="H1057" s="489"/>
      <c r="I1057" s="489"/>
      <c r="J1057" s="489" t="s">
        <v>672</v>
      </c>
      <c r="K1057" s="491"/>
      <c r="L1057" s="488"/>
      <c r="M1057" s="488"/>
      <c r="N1057" s="489"/>
      <c r="O1057" s="489"/>
      <c r="P1057" s="489"/>
      <c r="Q1057" s="489"/>
      <c r="R1057" s="490"/>
      <c r="S1057" s="489"/>
      <c r="T1057" s="488" t="s">
        <v>268</v>
      </c>
    </row>
    <row r="1058" ht="34.5">
      <c r="A1058" s="488" t="s">
        <v>980</v>
      </c>
      <c r="B1058" s="488" t="s">
        <v>981</v>
      </c>
      <c r="C1058" s="488" t="s">
        <v>663</v>
      </c>
      <c r="D1058" s="488" t="s">
        <v>263</v>
      </c>
      <c r="E1058" s="488" t="s">
        <v>618</v>
      </c>
      <c r="F1058" s="489" t="s">
        <v>1147</v>
      </c>
      <c r="G1058" s="488" t="s">
        <v>656</v>
      </c>
      <c r="H1058" s="489"/>
      <c r="I1058" s="489"/>
      <c r="J1058" s="489" t="s">
        <v>677</v>
      </c>
      <c r="K1058" s="491"/>
      <c r="L1058" s="488"/>
      <c r="M1058" s="488"/>
      <c r="N1058" s="489"/>
      <c r="O1058" s="489"/>
      <c r="P1058" s="489"/>
      <c r="Q1058" s="489"/>
      <c r="R1058" s="490"/>
      <c r="S1058" s="489"/>
      <c r="T1058" s="488" t="s">
        <v>268</v>
      </c>
    </row>
    <row r="1059" ht="34.5">
      <c r="A1059" s="488" t="s">
        <v>980</v>
      </c>
      <c r="B1059" s="488" t="s">
        <v>981</v>
      </c>
      <c r="C1059" s="488" t="s">
        <v>663</v>
      </c>
      <c r="D1059" s="488" t="s">
        <v>263</v>
      </c>
      <c r="E1059" s="488" t="s">
        <v>618</v>
      </c>
      <c r="F1059" s="489" t="s">
        <v>1147</v>
      </c>
      <c r="G1059" s="488" t="s">
        <v>656</v>
      </c>
      <c r="H1059" s="489"/>
      <c r="I1059" s="489"/>
      <c r="J1059" s="489" t="s">
        <v>673</v>
      </c>
      <c r="K1059" s="491"/>
      <c r="L1059" s="488"/>
      <c r="M1059" s="488"/>
      <c r="N1059" s="489"/>
      <c r="O1059" s="489"/>
      <c r="P1059" s="489"/>
      <c r="Q1059" s="489"/>
      <c r="R1059" s="490"/>
      <c r="S1059" s="489"/>
      <c r="T1059" s="488" t="s">
        <v>268</v>
      </c>
    </row>
    <row r="1060" ht="34.5">
      <c r="A1060" s="488" t="s">
        <v>980</v>
      </c>
      <c r="B1060" s="488" t="s">
        <v>981</v>
      </c>
      <c r="C1060" s="488" t="s">
        <v>663</v>
      </c>
      <c r="D1060" s="488" t="s">
        <v>263</v>
      </c>
      <c r="E1060" s="488" t="s">
        <v>618</v>
      </c>
      <c r="F1060" s="489" t="s">
        <v>1147</v>
      </c>
      <c r="G1060" s="488" t="s">
        <v>656</v>
      </c>
      <c r="H1060" s="489"/>
      <c r="I1060" s="489"/>
      <c r="J1060" s="489" t="s">
        <v>1148</v>
      </c>
      <c r="K1060" s="491">
        <v>600000</v>
      </c>
      <c r="L1060" s="488" t="s">
        <v>429</v>
      </c>
      <c r="M1060" s="488"/>
      <c r="N1060" s="489"/>
      <c r="O1060" s="489"/>
      <c r="P1060" s="489"/>
      <c r="Q1060" s="489"/>
      <c r="R1060" s="490"/>
      <c r="S1060" s="489"/>
      <c r="T1060" s="488" t="s">
        <v>268</v>
      </c>
    </row>
    <row r="1061" ht="34.5">
      <c r="A1061" s="488" t="s">
        <v>980</v>
      </c>
      <c r="B1061" s="488" t="s">
        <v>981</v>
      </c>
      <c r="C1061" s="488" t="s">
        <v>663</v>
      </c>
      <c r="D1061" s="488" t="s">
        <v>263</v>
      </c>
      <c r="E1061" s="488" t="s">
        <v>618</v>
      </c>
      <c r="F1061" s="489" t="s">
        <v>1147</v>
      </c>
      <c r="G1061" s="488" t="s">
        <v>656</v>
      </c>
      <c r="H1061" s="489"/>
      <c r="I1061" s="489"/>
      <c r="J1061" s="489" t="s">
        <v>1149</v>
      </c>
      <c r="K1061" s="491">
        <v>45000000</v>
      </c>
      <c r="L1061" s="488" t="s">
        <v>429</v>
      </c>
      <c r="M1061" s="488"/>
      <c r="N1061" s="489"/>
      <c r="O1061" s="489"/>
      <c r="P1061" s="489"/>
      <c r="Q1061" s="489"/>
      <c r="R1061" s="490"/>
      <c r="S1061" s="489"/>
      <c r="T1061" s="488" t="s">
        <v>268</v>
      </c>
    </row>
    <row r="1062" ht="34.5">
      <c r="A1062" s="488" t="s">
        <v>980</v>
      </c>
      <c r="B1062" s="488" t="s">
        <v>981</v>
      </c>
      <c r="C1062" s="488" t="s">
        <v>663</v>
      </c>
      <c r="D1062" s="488" t="s">
        <v>263</v>
      </c>
      <c r="E1062" s="488" t="s">
        <v>618</v>
      </c>
      <c r="F1062" s="489" t="s">
        <v>1147</v>
      </c>
      <c r="G1062" s="488" t="s">
        <v>656</v>
      </c>
      <c r="H1062" s="489"/>
      <c r="I1062" s="489"/>
      <c r="J1062" s="489" t="s">
        <v>1150</v>
      </c>
      <c r="K1062" s="491"/>
      <c r="L1062" s="488"/>
      <c r="M1062" s="488"/>
      <c r="N1062" s="489"/>
      <c r="O1062" s="489"/>
      <c r="P1062" s="489"/>
      <c r="Q1062" s="489"/>
      <c r="R1062" s="490"/>
      <c r="S1062" s="489"/>
      <c r="T1062" s="488" t="s">
        <v>268</v>
      </c>
    </row>
    <row r="1063" ht="34.5">
      <c r="A1063" s="488" t="s">
        <v>980</v>
      </c>
      <c r="B1063" s="488" t="s">
        <v>981</v>
      </c>
      <c r="C1063" s="488" t="s">
        <v>663</v>
      </c>
      <c r="D1063" s="488" t="s">
        <v>263</v>
      </c>
      <c r="E1063" s="488" t="s">
        <v>618</v>
      </c>
      <c r="F1063" s="489" t="s">
        <v>1147</v>
      </c>
      <c r="G1063" s="488" t="s">
        <v>656</v>
      </c>
      <c r="H1063" s="489"/>
      <c r="I1063" s="489"/>
      <c r="J1063" s="489" t="s">
        <v>918</v>
      </c>
      <c r="K1063" s="491"/>
      <c r="L1063" s="488"/>
      <c r="M1063" s="488"/>
      <c r="N1063" s="489"/>
      <c r="O1063" s="489"/>
      <c r="P1063" s="489"/>
      <c r="Q1063" s="489"/>
      <c r="R1063" s="490"/>
      <c r="S1063" s="489"/>
      <c r="T1063" s="488" t="s">
        <v>268</v>
      </c>
    </row>
    <row r="1064" ht="34.5">
      <c r="A1064" s="488" t="s">
        <v>980</v>
      </c>
      <c r="B1064" s="488" t="s">
        <v>981</v>
      </c>
      <c r="C1064" s="488" t="s">
        <v>663</v>
      </c>
      <c r="D1064" s="488" t="s">
        <v>263</v>
      </c>
      <c r="E1064" s="488" t="s">
        <v>654</v>
      </c>
      <c r="F1064" s="489" t="s">
        <v>1151</v>
      </c>
      <c r="G1064" s="488" t="s">
        <v>686</v>
      </c>
      <c r="H1064" s="489"/>
      <c r="I1064" s="489"/>
      <c r="J1064" s="489" t="s">
        <v>1152</v>
      </c>
      <c r="K1064" s="491"/>
      <c r="L1064" s="488"/>
      <c r="M1064" s="488"/>
      <c r="N1064" s="489"/>
      <c r="O1064" s="489"/>
      <c r="P1064" s="489"/>
      <c r="Q1064" s="489"/>
      <c r="R1064" s="490"/>
      <c r="S1064" s="489"/>
      <c r="T1064" s="488" t="s">
        <v>268</v>
      </c>
    </row>
    <row r="1065" ht="34.5">
      <c r="A1065" s="488" t="s">
        <v>980</v>
      </c>
      <c r="B1065" s="488" t="s">
        <v>981</v>
      </c>
      <c r="C1065" s="488" t="s">
        <v>669</v>
      </c>
      <c r="D1065" s="488" t="s">
        <v>263</v>
      </c>
      <c r="E1065" s="488" t="s">
        <v>654</v>
      </c>
      <c r="F1065" s="489" t="s">
        <v>1153</v>
      </c>
      <c r="G1065" s="488" t="s">
        <v>686</v>
      </c>
      <c r="H1065" s="489"/>
      <c r="I1065" s="489"/>
      <c r="J1065" s="489" t="s">
        <v>1154</v>
      </c>
      <c r="K1065" s="491"/>
      <c r="L1065" s="488"/>
      <c r="M1065" s="488"/>
      <c r="N1065" s="489"/>
      <c r="O1065" s="489"/>
      <c r="P1065" s="489"/>
      <c r="Q1065" s="489"/>
      <c r="R1065" s="490"/>
      <c r="S1065" s="489"/>
      <c r="T1065" s="488" t="s">
        <v>268</v>
      </c>
    </row>
    <row r="1066" ht="34.5">
      <c r="A1066" s="488" t="s">
        <v>980</v>
      </c>
      <c r="B1066" s="488" t="s">
        <v>981</v>
      </c>
      <c r="C1066" s="488" t="s">
        <v>676</v>
      </c>
      <c r="D1066" s="488" t="s">
        <v>263</v>
      </c>
      <c r="E1066" s="488" t="s">
        <v>654</v>
      </c>
      <c r="F1066" s="489" t="s">
        <v>1153</v>
      </c>
      <c r="G1066" s="488" t="s">
        <v>686</v>
      </c>
      <c r="H1066" s="489"/>
      <c r="I1066" s="489"/>
      <c r="J1066" s="489" t="s">
        <v>1155</v>
      </c>
      <c r="K1066" s="491"/>
      <c r="L1066" s="488"/>
      <c r="M1066" s="488"/>
      <c r="N1066" s="489"/>
      <c r="O1066" s="489"/>
      <c r="P1066" s="489"/>
      <c r="Q1066" s="489"/>
      <c r="R1066" s="490"/>
      <c r="S1066" s="489"/>
      <c r="T1066" s="488" t="s">
        <v>268</v>
      </c>
    </row>
    <row r="1067" ht="34.5">
      <c r="A1067" s="488" t="s">
        <v>980</v>
      </c>
      <c r="B1067" s="488" t="s">
        <v>981</v>
      </c>
      <c r="C1067" s="488" t="s">
        <v>676</v>
      </c>
      <c r="D1067" s="488" t="s">
        <v>263</v>
      </c>
      <c r="E1067" s="488" t="s">
        <v>654</v>
      </c>
      <c r="F1067" s="489" t="s">
        <v>1153</v>
      </c>
      <c r="G1067" s="488" t="s">
        <v>686</v>
      </c>
      <c r="H1067" s="489"/>
      <c r="I1067" s="489"/>
      <c r="J1067" s="489" t="s">
        <v>1156</v>
      </c>
      <c r="K1067" s="491">
        <v>9494389</v>
      </c>
      <c r="L1067" s="488" t="s">
        <v>429</v>
      </c>
      <c r="M1067" s="488"/>
      <c r="N1067" s="489"/>
      <c r="O1067" s="489"/>
      <c r="P1067" s="489"/>
      <c r="Q1067" s="489"/>
      <c r="R1067" s="490"/>
      <c r="S1067" s="489"/>
      <c r="T1067" s="488" t="s">
        <v>268</v>
      </c>
    </row>
    <row r="1068" ht="34.5">
      <c r="A1068" s="488" t="s">
        <v>980</v>
      </c>
      <c r="B1068" s="488" t="s">
        <v>981</v>
      </c>
      <c r="C1068" s="488" t="s">
        <v>683</v>
      </c>
      <c r="D1068" s="488" t="s">
        <v>263</v>
      </c>
      <c r="E1068" s="488" t="s">
        <v>654</v>
      </c>
      <c r="F1068" s="489" t="s">
        <v>1153</v>
      </c>
      <c r="G1068" s="488" t="s">
        <v>686</v>
      </c>
      <c r="H1068" s="489"/>
      <c r="I1068" s="489"/>
      <c r="J1068" s="489" t="s">
        <v>1157</v>
      </c>
      <c r="K1068" s="491"/>
      <c r="L1068" s="488"/>
      <c r="M1068" s="488"/>
      <c r="N1068" s="489"/>
      <c r="O1068" s="489"/>
      <c r="P1068" s="489"/>
      <c r="Q1068" s="489"/>
      <c r="R1068" s="490"/>
      <c r="S1068" s="489"/>
      <c r="T1068" s="488" t="s">
        <v>268</v>
      </c>
    </row>
    <row r="1069" ht="34.5">
      <c r="A1069" s="488" t="s">
        <v>980</v>
      </c>
      <c r="B1069" s="488" t="s">
        <v>981</v>
      </c>
      <c r="C1069" s="488" t="s">
        <v>689</v>
      </c>
      <c r="D1069" s="488" t="s">
        <v>263</v>
      </c>
      <c r="E1069" s="488" t="s">
        <v>654</v>
      </c>
      <c r="F1069" s="489" t="s">
        <v>1153</v>
      </c>
      <c r="G1069" s="488" t="s">
        <v>686</v>
      </c>
      <c r="H1069" s="489"/>
      <c r="I1069" s="489"/>
      <c r="J1069" s="489" t="s">
        <v>700</v>
      </c>
      <c r="K1069" s="491"/>
      <c r="L1069" s="488"/>
      <c r="M1069" s="488"/>
      <c r="N1069" s="489"/>
      <c r="O1069" s="489"/>
      <c r="P1069" s="489"/>
      <c r="Q1069" s="489"/>
      <c r="R1069" s="490"/>
      <c r="S1069" s="489"/>
      <c r="T1069" s="488" t="s">
        <v>268</v>
      </c>
    </row>
    <row r="1070" ht="34.5">
      <c r="A1070" s="488" t="s">
        <v>980</v>
      </c>
      <c r="B1070" s="488" t="s">
        <v>981</v>
      </c>
      <c r="C1070" s="488" t="s">
        <v>693</v>
      </c>
      <c r="D1070" s="488" t="s">
        <v>263</v>
      </c>
      <c r="E1070" s="488" t="s">
        <v>654</v>
      </c>
      <c r="F1070" s="489" t="s">
        <v>1153</v>
      </c>
      <c r="G1070" s="488" t="s">
        <v>686</v>
      </c>
      <c r="H1070" s="489"/>
      <c r="I1070" s="489"/>
      <c r="J1070" s="489" t="s">
        <v>702</v>
      </c>
      <c r="K1070" s="491"/>
      <c r="L1070" s="488"/>
      <c r="M1070" s="488"/>
      <c r="N1070" s="489"/>
      <c r="O1070" s="489"/>
      <c r="P1070" s="489"/>
      <c r="Q1070" s="489"/>
      <c r="R1070" s="490"/>
      <c r="S1070" s="489"/>
      <c r="T1070" s="488" t="s">
        <v>268</v>
      </c>
    </row>
    <row r="1071" ht="34.5">
      <c r="A1071" s="488" t="s">
        <v>980</v>
      </c>
      <c r="B1071" s="488" t="s">
        <v>981</v>
      </c>
      <c r="C1071" s="488" t="s">
        <v>697</v>
      </c>
      <c r="D1071" s="488" t="s">
        <v>263</v>
      </c>
      <c r="E1071" s="488" t="s">
        <v>654</v>
      </c>
      <c r="F1071" s="489" t="s">
        <v>1153</v>
      </c>
      <c r="G1071" s="488" t="s">
        <v>686</v>
      </c>
      <c r="H1071" s="489"/>
      <c r="I1071" s="489"/>
      <c r="J1071" s="489" t="s">
        <v>704</v>
      </c>
      <c r="K1071" s="491"/>
      <c r="L1071" s="488"/>
      <c r="M1071" s="488"/>
      <c r="N1071" s="489"/>
      <c r="O1071" s="489"/>
      <c r="P1071" s="489"/>
      <c r="Q1071" s="489"/>
      <c r="R1071" s="490"/>
      <c r="S1071" s="489"/>
      <c r="T1071" s="488" t="s">
        <v>268</v>
      </c>
    </row>
    <row r="1072" ht="34.5">
      <c r="A1072" s="488" t="s">
        <v>980</v>
      </c>
      <c r="B1072" s="488" t="s">
        <v>981</v>
      </c>
      <c r="C1072" s="488" t="s">
        <v>699</v>
      </c>
      <c r="D1072" s="488" t="s">
        <v>263</v>
      </c>
      <c r="E1072" s="488" t="s">
        <v>654</v>
      </c>
      <c r="F1072" s="489" t="s">
        <v>1153</v>
      </c>
      <c r="G1072" s="488" t="s">
        <v>686</v>
      </c>
      <c r="H1072" s="489"/>
      <c r="I1072" s="489"/>
      <c r="J1072" s="489" t="s">
        <v>690</v>
      </c>
      <c r="K1072" s="491"/>
      <c r="L1072" s="488"/>
      <c r="M1072" s="488"/>
      <c r="N1072" s="489"/>
      <c r="O1072" s="489"/>
      <c r="P1072" s="489"/>
      <c r="Q1072" s="489"/>
      <c r="R1072" s="490"/>
      <c r="S1072" s="489"/>
      <c r="T1072" s="488" t="s">
        <v>268</v>
      </c>
    </row>
    <row r="1073" ht="34.5">
      <c r="A1073" s="488" t="s">
        <v>980</v>
      </c>
      <c r="B1073" s="488" t="s">
        <v>981</v>
      </c>
      <c r="C1073" s="488" t="s">
        <v>699</v>
      </c>
      <c r="D1073" s="488" t="s">
        <v>263</v>
      </c>
      <c r="E1073" s="488" t="s">
        <v>654</v>
      </c>
      <c r="F1073" s="489" t="s">
        <v>1153</v>
      </c>
      <c r="G1073" s="488" t="s">
        <v>686</v>
      </c>
      <c r="H1073" s="489"/>
      <c r="I1073" s="489"/>
      <c r="J1073" s="489" t="s">
        <v>1158</v>
      </c>
      <c r="K1073" s="491"/>
      <c r="L1073" s="488"/>
      <c r="M1073" s="488"/>
      <c r="N1073" s="489"/>
      <c r="O1073" s="489"/>
      <c r="P1073" s="489"/>
      <c r="Q1073" s="489"/>
      <c r="R1073" s="490"/>
      <c r="S1073" s="489"/>
      <c r="T1073" s="488" t="s">
        <v>268</v>
      </c>
    </row>
    <row r="1074" ht="34.5">
      <c r="A1074" s="488" t="s">
        <v>980</v>
      </c>
      <c r="B1074" s="488" t="s">
        <v>981</v>
      </c>
      <c r="C1074" s="488" t="s">
        <v>699</v>
      </c>
      <c r="D1074" s="488" t="s">
        <v>263</v>
      </c>
      <c r="E1074" s="488" t="s">
        <v>654</v>
      </c>
      <c r="F1074" s="489" t="s">
        <v>1153</v>
      </c>
      <c r="G1074" s="488" t="s">
        <v>686</v>
      </c>
      <c r="H1074" s="489"/>
      <c r="I1074" s="489"/>
      <c r="J1074" s="489" t="s">
        <v>1159</v>
      </c>
      <c r="K1074" s="491"/>
      <c r="L1074" s="488"/>
      <c r="M1074" s="488"/>
      <c r="N1074" s="489"/>
      <c r="O1074" s="489"/>
      <c r="P1074" s="489"/>
      <c r="Q1074" s="489"/>
      <c r="R1074" s="490"/>
      <c r="S1074" s="489"/>
      <c r="T1074" s="488" t="s">
        <v>268</v>
      </c>
    </row>
    <row r="1075" ht="34.5">
      <c r="A1075" s="488" t="s">
        <v>980</v>
      </c>
      <c r="B1075" s="488" t="s">
        <v>981</v>
      </c>
      <c r="C1075" s="488" t="s">
        <v>699</v>
      </c>
      <c r="D1075" s="488" t="s">
        <v>263</v>
      </c>
      <c r="E1075" s="488" t="s">
        <v>654</v>
      </c>
      <c r="F1075" s="489" t="s">
        <v>1153</v>
      </c>
      <c r="G1075" s="488" t="s">
        <v>686</v>
      </c>
      <c r="H1075" s="489"/>
      <c r="I1075" s="489"/>
      <c r="J1075" s="489" t="s">
        <v>925</v>
      </c>
      <c r="K1075" s="491"/>
      <c r="L1075" s="488"/>
      <c r="M1075" s="488"/>
      <c r="N1075" s="489"/>
      <c r="O1075" s="489"/>
      <c r="P1075" s="489"/>
      <c r="Q1075" s="489"/>
      <c r="R1075" s="490"/>
      <c r="S1075" s="489"/>
      <c r="T1075" s="488" t="s">
        <v>268</v>
      </c>
    </row>
    <row r="1076" ht="34.5">
      <c r="A1076" s="488" t="s">
        <v>980</v>
      </c>
      <c r="B1076" s="488" t="s">
        <v>981</v>
      </c>
      <c r="C1076" s="488" t="s">
        <v>699</v>
      </c>
      <c r="D1076" s="488" t="s">
        <v>263</v>
      </c>
      <c r="E1076" s="488" t="s">
        <v>654</v>
      </c>
      <c r="F1076" s="489" t="s">
        <v>1153</v>
      </c>
      <c r="G1076" s="488" t="s">
        <v>686</v>
      </c>
      <c r="H1076" s="489"/>
      <c r="I1076" s="489"/>
      <c r="J1076" s="489" t="s">
        <v>1160</v>
      </c>
      <c r="K1076" s="491"/>
      <c r="L1076" s="488"/>
      <c r="M1076" s="488"/>
      <c r="N1076" s="489"/>
      <c r="O1076" s="489"/>
      <c r="P1076" s="489"/>
      <c r="Q1076" s="489"/>
      <c r="R1076" s="490"/>
      <c r="S1076" s="489"/>
      <c r="T1076" s="488" t="s">
        <v>268</v>
      </c>
    </row>
    <row r="1077" ht="34.5">
      <c r="A1077" s="488" t="s">
        <v>980</v>
      </c>
      <c r="B1077" s="488" t="s">
        <v>981</v>
      </c>
      <c r="C1077" s="488" t="s">
        <v>699</v>
      </c>
      <c r="D1077" s="488" t="s">
        <v>263</v>
      </c>
      <c r="E1077" s="488" t="s">
        <v>654</v>
      </c>
      <c r="F1077" s="489" t="s">
        <v>1153</v>
      </c>
      <c r="G1077" s="488" t="s">
        <v>686</v>
      </c>
      <c r="H1077" s="489"/>
      <c r="I1077" s="489"/>
      <c r="J1077" s="489" t="s">
        <v>1161</v>
      </c>
      <c r="K1077" s="491"/>
      <c r="L1077" s="488"/>
      <c r="M1077" s="488"/>
      <c r="N1077" s="489"/>
      <c r="O1077" s="489"/>
      <c r="P1077" s="489"/>
      <c r="Q1077" s="489"/>
      <c r="R1077" s="490"/>
      <c r="S1077" s="489"/>
      <c r="T1077" s="488" t="s">
        <v>268</v>
      </c>
    </row>
    <row r="1078" ht="34.5">
      <c r="A1078" s="488" t="s">
        <v>980</v>
      </c>
      <c r="B1078" s="488" t="s">
        <v>981</v>
      </c>
      <c r="C1078" s="488" t="s">
        <v>699</v>
      </c>
      <c r="D1078" s="488" t="s">
        <v>263</v>
      </c>
      <c r="E1078" s="488" t="s">
        <v>654</v>
      </c>
      <c r="F1078" s="489" t="s">
        <v>1153</v>
      </c>
      <c r="G1078" s="488" t="s">
        <v>686</v>
      </c>
      <c r="H1078" s="489"/>
      <c r="I1078" s="489"/>
      <c r="J1078" s="489" t="s">
        <v>1162</v>
      </c>
      <c r="K1078" s="491"/>
      <c r="L1078" s="488"/>
      <c r="M1078" s="488"/>
      <c r="N1078" s="489"/>
      <c r="O1078" s="489"/>
      <c r="P1078" s="489"/>
      <c r="Q1078" s="489"/>
      <c r="R1078" s="490"/>
      <c r="S1078" s="489"/>
      <c r="T1078" s="488" t="s">
        <v>268</v>
      </c>
    </row>
    <row r="1079" ht="34.5">
      <c r="A1079" s="488" t="s">
        <v>980</v>
      </c>
      <c r="B1079" s="488" t="s">
        <v>981</v>
      </c>
      <c r="C1079" s="488" t="s">
        <v>699</v>
      </c>
      <c r="D1079" s="488" t="s">
        <v>263</v>
      </c>
      <c r="E1079" s="488" t="s">
        <v>654</v>
      </c>
      <c r="F1079" s="489" t="s">
        <v>1153</v>
      </c>
      <c r="G1079" s="488" t="s">
        <v>686</v>
      </c>
      <c r="H1079" s="489"/>
      <c r="I1079" s="489"/>
      <c r="J1079" s="489" t="s">
        <v>1163</v>
      </c>
      <c r="K1079" s="491"/>
      <c r="L1079" s="488"/>
      <c r="M1079" s="488"/>
      <c r="N1079" s="489"/>
      <c r="O1079" s="489"/>
      <c r="P1079" s="489"/>
      <c r="Q1079" s="489"/>
      <c r="R1079" s="490"/>
      <c r="S1079" s="489"/>
      <c r="T1079" s="488" t="s">
        <v>268</v>
      </c>
    </row>
    <row r="1080" ht="34.5">
      <c r="A1080" s="488" t="s">
        <v>980</v>
      </c>
      <c r="B1080" s="488" t="s">
        <v>981</v>
      </c>
      <c r="C1080" s="488" t="s">
        <v>699</v>
      </c>
      <c r="D1080" s="488" t="s">
        <v>263</v>
      </c>
      <c r="E1080" s="488" t="s">
        <v>654</v>
      </c>
      <c r="F1080" s="489" t="s">
        <v>1153</v>
      </c>
      <c r="G1080" s="488" t="s">
        <v>686</v>
      </c>
      <c r="H1080" s="489"/>
      <c r="I1080" s="489"/>
      <c r="J1080" s="489" t="s">
        <v>1164</v>
      </c>
      <c r="K1080" s="491"/>
      <c r="L1080" s="488"/>
      <c r="M1080" s="488"/>
      <c r="N1080" s="489"/>
      <c r="O1080" s="489"/>
      <c r="P1080" s="489"/>
      <c r="Q1080" s="489"/>
      <c r="R1080" s="490"/>
      <c r="S1080" s="489"/>
      <c r="T1080" s="488" t="s">
        <v>268</v>
      </c>
    </row>
    <row r="1081" ht="34.5">
      <c r="A1081" s="488" t="s">
        <v>980</v>
      </c>
      <c r="B1081" s="488" t="s">
        <v>981</v>
      </c>
      <c r="C1081" s="488" t="s">
        <v>699</v>
      </c>
      <c r="D1081" s="488" t="s">
        <v>263</v>
      </c>
      <c r="E1081" s="488" t="s">
        <v>654</v>
      </c>
      <c r="F1081" s="489" t="s">
        <v>1153</v>
      </c>
      <c r="G1081" s="488" t="s">
        <v>686</v>
      </c>
      <c r="H1081" s="489"/>
      <c r="I1081" s="489"/>
      <c r="J1081" s="489" t="s">
        <v>1165</v>
      </c>
      <c r="K1081" s="491"/>
      <c r="L1081" s="488"/>
      <c r="M1081" s="488"/>
      <c r="N1081" s="489"/>
      <c r="O1081" s="489"/>
      <c r="P1081" s="489"/>
      <c r="Q1081" s="489"/>
      <c r="R1081" s="490"/>
      <c r="S1081" s="489"/>
      <c r="T1081" s="488" t="s">
        <v>268</v>
      </c>
    </row>
    <row r="1082" ht="34.5">
      <c r="A1082" s="488" t="s">
        <v>980</v>
      </c>
      <c r="B1082" s="488" t="s">
        <v>981</v>
      </c>
      <c r="C1082" s="488" t="s">
        <v>699</v>
      </c>
      <c r="D1082" s="488" t="s">
        <v>263</v>
      </c>
      <c r="E1082" s="488" t="s">
        <v>654</v>
      </c>
      <c r="F1082" s="489" t="s">
        <v>1153</v>
      </c>
      <c r="G1082" s="488" t="s">
        <v>686</v>
      </c>
      <c r="H1082" s="489"/>
      <c r="I1082" s="489"/>
      <c r="J1082" s="489" t="s">
        <v>1166</v>
      </c>
      <c r="K1082" s="491"/>
      <c r="L1082" s="488"/>
      <c r="M1082" s="488"/>
      <c r="N1082" s="489"/>
      <c r="O1082" s="489"/>
      <c r="P1082" s="489"/>
      <c r="Q1082" s="489"/>
      <c r="R1082" s="490"/>
      <c r="S1082" s="489"/>
      <c r="T1082" s="488" t="s">
        <v>268</v>
      </c>
    </row>
    <row r="1083" ht="34.5">
      <c r="A1083" s="488" t="s">
        <v>980</v>
      </c>
      <c r="B1083" s="488" t="s">
        <v>981</v>
      </c>
      <c r="C1083" s="488" t="s">
        <v>699</v>
      </c>
      <c r="D1083" s="488" t="s">
        <v>263</v>
      </c>
      <c r="E1083" s="488" t="s">
        <v>654</v>
      </c>
      <c r="F1083" s="489" t="s">
        <v>1153</v>
      </c>
      <c r="G1083" s="488" t="s">
        <v>686</v>
      </c>
      <c r="H1083" s="489"/>
      <c r="I1083" s="489"/>
      <c r="J1083" s="489" t="s">
        <v>932</v>
      </c>
      <c r="K1083" s="491"/>
      <c r="L1083" s="488"/>
      <c r="M1083" s="488"/>
      <c r="N1083" s="489"/>
      <c r="O1083" s="489"/>
      <c r="P1083" s="489"/>
      <c r="Q1083" s="489"/>
      <c r="R1083" s="490"/>
      <c r="S1083" s="489"/>
      <c r="T1083" s="488" t="s">
        <v>268</v>
      </c>
    </row>
    <row r="1084" ht="34.5">
      <c r="A1084" s="488" t="s">
        <v>980</v>
      </c>
      <c r="B1084" s="488" t="s">
        <v>981</v>
      </c>
      <c r="C1084" s="488" t="s">
        <v>699</v>
      </c>
      <c r="D1084" s="488" t="s">
        <v>263</v>
      </c>
      <c r="E1084" s="488" t="s">
        <v>654</v>
      </c>
      <c r="F1084" s="489" t="s">
        <v>1153</v>
      </c>
      <c r="G1084" s="488" t="s">
        <v>686</v>
      </c>
      <c r="H1084" s="489"/>
      <c r="I1084" s="489"/>
      <c r="J1084" s="489" t="s">
        <v>1167</v>
      </c>
      <c r="K1084" s="491"/>
      <c r="L1084" s="488"/>
      <c r="M1084" s="488"/>
      <c r="N1084" s="489"/>
      <c r="O1084" s="489"/>
      <c r="P1084" s="489"/>
      <c r="Q1084" s="489"/>
      <c r="R1084" s="490"/>
      <c r="S1084" s="489"/>
      <c r="T1084" s="488" t="s">
        <v>268</v>
      </c>
    </row>
    <row r="1085" ht="34.5">
      <c r="A1085" s="488" t="s">
        <v>980</v>
      </c>
      <c r="B1085" s="488" t="s">
        <v>981</v>
      </c>
      <c r="C1085" s="488" t="s">
        <v>699</v>
      </c>
      <c r="D1085" s="488" t="s">
        <v>263</v>
      </c>
      <c r="E1085" s="488" t="s">
        <v>654</v>
      </c>
      <c r="F1085" s="489" t="s">
        <v>1153</v>
      </c>
      <c r="G1085" s="488" t="s">
        <v>686</v>
      </c>
      <c r="H1085" s="489"/>
      <c r="I1085" s="489"/>
      <c r="J1085" s="489" t="s">
        <v>934</v>
      </c>
      <c r="K1085" s="491"/>
      <c r="L1085" s="488"/>
      <c r="M1085" s="488"/>
      <c r="N1085" s="489"/>
      <c r="O1085" s="489"/>
      <c r="P1085" s="489"/>
      <c r="Q1085" s="489"/>
      <c r="R1085" s="490"/>
      <c r="S1085" s="489"/>
      <c r="T1085" s="488" t="s">
        <v>268</v>
      </c>
    </row>
    <row r="1086" ht="34.5">
      <c r="A1086" s="488" t="s">
        <v>980</v>
      </c>
      <c r="B1086" s="488" t="s">
        <v>981</v>
      </c>
      <c r="C1086" s="488" t="s">
        <v>699</v>
      </c>
      <c r="D1086" s="488" t="s">
        <v>263</v>
      </c>
      <c r="E1086" s="488" t="s">
        <v>654</v>
      </c>
      <c r="F1086" s="489" t="s">
        <v>1153</v>
      </c>
      <c r="G1086" s="488" t="s">
        <v>686</v>
      </c>
      <c r="H1086" s="489"/>
      <c r="I1086" s="489"/>
      <c r="J1086" s="489" t="s">
        <v>1168</v>
      </c>
      <c r="K1086" s="491"/>
      <c r="L1086" s="488"/>
      <c r="M1086" s="488"/>
      <c r="N1086" s="489"/>
      <c r="O1086" s="489"/>
      <c r="P1086" s="489"/>
      <c r="Q1086" s="489"/>
      <c r="R1086" s="490"/>
      <c r="S1086" s="489"/>
      <c r="T1086" s="488" t="s">
        <v>268</v>
      </c>
    </row>
    <row r="1087" ht="34.5">
      <c r="A1087" s="488" t="s">
        <v>980</v>
      </c>
      <c r="B1087" s="488" t="s">
        <v>981</v>
      </c>
      <c r="C1087" s="488" t="s">
        <v>699</v>
      </c>
      <c r="D1087" s="488" t="s">
        <v>263</v>
      </c>
      <c r="E1087" s="488" t="s">
        <v>654</v>
      </c>
      <c r="F1087" s="489" t="s">
        <v>1153</v>
      </c>
      <c r="G1087" s="488" t="s">
        <v>686</v>
      </c>
      <c r="H1087" s="489"/>
      <c r="I1087" s="489"/>
      <c r="J1087" s="489" t="s">
        <v>1169</v>
      </c>
      <c r="K1087" s="491"/>
      <c r="L1087" s="488"/>
      <c r="M1087" s="488"/>
      <c r="N1087" s="489"/>
      <c r="O1087" s="489"/>
      <c r="P1087" s="489"/>
      <c r="Q1087" s="489"/>
      <c r="R1087" s="490"/>
      <c r="S1087" s="489"/>
      <c r="T1087" s="488" t="s">
        <v>268</v>
      </c>
    </row>
    <row r="1088" ht="34.5">
      <c r="A1088" s="488" t="s">
        <v>980</v>
      </c>
      <c r="B1088" s="488" t="s">
        <v>981</v>
      </c>
      <c r="C1088" s="488" t="s">
        <v>699</v>
      </c>
      <c r="D1088" s="488" t="s">
        <v>263</v>
      </c>
      <c r="E1088" s="488" t="s">
        <v>654</v>
      </c>
      <c r="F1088" s="489" t="s">
        <v>1153</v>
      </c>
      <c r="G1088" s="488" t="s">
        <v>686</v>
      </c>
      <c r="H1088" s="489"/>
      <c r="I1088" s="489"/>
      <c r="J1088" s="489" t="s">
        <v>1170</v>
      </c>
      <c r="K1088" s="491"/>
      <c r="L1088" s="488"/>
      <c r="M1088" s="488"/>
      <c r="N1088" s="489"/>
      <c r="O1088" s="489"/>
      <c r="P1088" s="489"/>
      <c r="Q1088" s="489"/>
      <c r="R1088" s="490"/>
      <c r="S1088" s="489"/>
      <c r="T1088" s="488" t="s">
        <v>268</v>
      </c>
    </row>
    <row r="1089" ht="34.5">
      <c r="A1089" s="488" t="s">
        <v>980</v>
      </c>
      <c r="B1089" s="488" t="s">
        <v>981</v>
      </c>
      <c r="C1089" s="488" t="s">
        <v>701</v>
      </c>
      <c r="D1089" s="488" t="s">
        <v>263</v>
      </c>
      <c r="E1089" s="488" t="s">
        <v>654</v>
      </c>
      <c r="F1089" s="489" t="s">
        <v>1153</v>
      </c>
      <c r="G1089" s="488" t="s">
        <v>686</v>
      </c>
      <c r="H1089" s="489"/>
      <c r="I1089" s="489"/>
      <c r="J1089" s="489" t="s">
        <v>1171</v>
      </c>
      <c r="K1089" s="491"/>
      <c r="L1089" s="488"/>
      <c r="M1089" s="488"/>
      <c r="N1089" s="489"/>
      <c r="O1089" s="489"/>
      <c r="P1089" s="489"/>
      <c r="Q1089" s="489"/>
      <c r="R1089" s="490"/>
      <c r="S1089" s="489"/>
      <c r="T1089" s="488" t="s">
        <v>268</v>
      </c>
    </row>
    <row r="1090" ht="34.5">
      <c r="A1090" s="488" t="s">
        <v>980</v>
      </c>
      <c r="B1090" s="488" t="s">
        <v>981</v>
      </c>
      <c r="C1090" s="488" t="s">
        <v>701</v>
      </c>
      <c r="D1090" s="488" t="s">
        <v>263</v>
      </c>
      <c r="E1090" s="488" t="s">
        <v>654</v>
      </c>
      <c r="F1090" s="489" t="s">
        <v>1153</v>
      </c>
      <c r="G1090" s="488" t="s">
        <v>686</v>
      </c>
      <c r="H1090" s="489"/>
      <c r="I1090" s="489"/>
      <c r="J1090" s="489" t="s">
        <v>1172</v>
      </c>
      <c r="K1090" s="491"/>
      <c r="L1090" s="488"/>
      <c r="M1090" s="488"/>
      <c r="N1090" s="489"/>
      <c r="O1090" s="489"/>
      <c r="P1090" s="489"/>
      <c r="Q1090" s="489"/>
      <c r="R1090" s="490"/>
      <c r="S1090" s="489"/>
      <c r="T1090" s="488" t="s">
        <v>268</v>
      </c>
    </row>
    <row r="1091" ht="34.5">
      <c r="A1091" s="488" t="s">
        <v>980</v>
      </c>
      <c r="B1091" s="488" t="s">
        <v>981</v>
      </c>
      <c r="C1091" s="488" t="s">
        <v>701</v>
      </c>
      <c r="D1091" s="488" t="s">
        <v>263</v>
      </c>
      <c r="E1091" s="488" t="s">
        <v>654</v>
      </c>
      <c r="F1091" s="489" t="s">
        <v>1153</v>
      </c>
      <c r="G1091" s="488" t="s">
        <v>686</v>
      </c>
      <c r="H1091" s="489"/>
      <c r="I1091" s="489"/>
      <c r="J1091" s="489" t="s">
        <v>1173</v>
      </c>
      <c r="K1091" s="491"/>
      <c r="L1091" s="488"/>
      <c r="M1091" s="488"/>
      <c r="N1091" s="489"/>
      <c r="O1091" s="489"/>
      <c r="P1091" s="489"/>
      <c r="Q1091" s="489"/>
      <c r="R1091" s="490"/>
      <c r="S1091" s="489"/>
      <c r="T1091" s="488" t="s">
        <v>268</v>
      </c>
    </row>
    <row r="1092" ht="34.5">
      <c r="A1092" s="488" t="s">
        <v>980</v>
      </c>
      <c r="B1092" s="488" t="s">
        <v>981</v>
      </c>
      <c r="C1092" s="488" t="s">
        <v>701</v>
      </c>
      <c r="D1092" s="488" t="s">
        <v>263</v>
      </c>
      <c r="E1092" s="488" t="s">
        <v>654</v>
      </c>
      <c r="F1092" s="489" t="s">
        <v>1153</v>
      </c>
      <c r="G1092" s="488" t="s">
        <v>686</v>
      </c>
      <c r="H1092" s="489"/>
      <c r="I1092" s="489"/>
      <c r="J1092" s="489" t="s">
        <v>1174</v>
      </c>
      <c r="K1092" s="491">
        <v>42794</v>
      </c>
      <c r="L1092" s="488" t="s">
        <v>429</v>
      </c>
      <c r="M1092" s="488"/>
      <c r="N1092" s="489"/>
      <c r="O1092" s="489"/>
      <c r="P1092" s="489"/>
      <c r="Q1092" s="489"/>
      <c r="R1092" s="490"/>
      <c r="S1092" s="489"/>
      <c r="T1092" s="488" t="s">
        <v>268</v>
      </c>
    </row>
    <row r="1093" ht="34.5">
      <c r="A1093" s="488" t="s">
        <v>980</v>
      </c>
      <c r="B1093" s="488" t="s">
        <v>981</v>
      </c>
      <c r="C1093" s="488" t="s">
        <v>701</v>
      </c>
      <c r="D1093" s="488" t="s">
        <v>263</v>
      </c>
      <c r="E1093" s="488" t="s">
        <v>654</v>
      </c>
      <c r="F1093" s="489" t="s">
        <v>1153</v>
      </c>
      <c r="G1093" s="488" t="s">
        <v>686</v>
      </c>
      <c r="H1093" s="489"/>
      <c r="I1093" s="489"/>
      <c r="J1093" s="489" t="s">
        <v>1175</v>
      </c>
      <c r="K1093" s="491"/>
      <c r="L1093" s="488"/>
      <c r="M1093" s="488"/>
      <c r="N1093" s="489"/>
      <c r="O1093" s="489"/>
      <c r="P1093" s="489"/>
      <c r="Q1093" s="489"/>
      <c r="R1093" s="490"/>
      <c r="S1093" s="489"/>
      <c r="T1093" s="488" t="s">
        <v>268</v>
      </c>
    </row>
    <row r="1094" ht="34.5">
      <c r="A1094" s="488" t="s">
        <v>980</v>
      </c>
      <c r="B1094" s="488" t="s">
        <v>981</v>
      </c>
      <c r="C1094" s="488" t="s">
        <v>701</v>
      </c>
      <c r="D1094" s="488" t="s">
        <v>263</v>
      </c>
      <c r="E1094" s="488" t="s">
        <v>654</v>
      </c>
      <c r="F1094" s="489" t="s">
        <v>1153</v>
      </c>
      <c r="G1094" s="488" t="s">
        <v>686</v>
      </c>
      <c r="H1094" s="489"/>
      <c r="I1094" s="489"/>
      <c r="J1094" s="489" t="s">
        <v>1176</v>
      </c>
      <c r="K1094" s="491"/>
      <c r="L1094" s="488"/>
      <c r="M1094" s="488"/>
      <c r="N1094" s="489"/>
      <c r="O1094" s="489"/>
      <c r="P1094" s="489"/>
      <c r="Q1094" s="489"/>
      <c r="R1094" s="490"/>
      <c r="S1094" s="489"/>
      <c r="T1094" s="488" t="s">
        <v>268</v>
      </c>
    </row>
    <row r="1095" ht="34.5">
      <c r="A1095" s="488" t="s">
        <v>980</v>
      </c>
      <c r="B1095" s="488" t="s">
        <v>981</v>
      </c>
      <c r="C1095" s="488" t="s">
        <v>701</v>
      </c>
      <c r="D1095" s="488" t="s">
        <v>263</v>
      </c>
      <c r="E1095" s="488" t="s">
        <v>654</v>
      </c>
      <c r="F1095" s="489" t="s">
        <v>1153</v>
      </c>
      <c r="G1095" s="488" t="s">
        <v>686</v>
      </c>
      <c r="H1095" s="489"/>
      <c r="I1095" s="489"/>
      <c r="J1095" s="489" t="s">
        <v>942</v>
      </c>
      <c r="K1095" s="491"/>
      <c r="L1095" s="488"/>
      <c r="M1095" s="488"/>
      <c r="N1095" s="489"/>
      <c r="O1095" s="489"/>
      <c r="P1095" s="489"/>
      <c r="Q1095" s="489"/>
      <c r="R1095" s="490"/>
      <c r="S1095" s="489"/>
      <c r="T1095" s="488" t="s">
        <v>268</v>
      </c>
    </row>
    <row r="1096" ht="34.5">
      <c r="A1096" s="488" t="s">
        <v>980</v>
      </c>
      <c r="B1096" s="488" t="s">
        <v>981</v>
      </c>
      <c r="C1096" s="488" t="s">
        <v>701</v>
      </c>
      <c r="D1096" s="488" t="s">
        <v>263</v>
      </c>
      <c r="E1096" s="488" t="s">
        <v>654</v>
      </c>
      <c r="F1096" s="489" t="s">
        <v>1153</v>
      </c>
      <c r="G1096" s="488" t="s">
        <v>686</v>
      </c>
      <c r="H1096" s="489"/>
      <c r="I1096" s="489"/>
      <c r="J1096" s="489" t="s">
        <v>1177</v>
      </c>
      <c r="K1096" s="491"/>
      <c r="L1096" s="488"/>
      <c r="M1096" s="488"/>
      <c r="N1096" s="489"/>
      <c r="O1096" s="489"/>
      <c r="P1096" s="489"/>
      <c r="Q1096" s="489"/>
      <c r="R1096" s="490"/>
      <c r="S1096" s="489"/>
      <c r="T1096" s="488" t="s">
        <v>268</v>
      </c>
    </row>
    <row r="1097" ht="34.5">
      <c r="A1097" s="488" t="s">
        <v>980</v>
      </c>
      <c r="B1097" s="488" t="s">
        <v>981</v>
      </c>
      <c r="C1097" s="488" t="s">
        <v>701</v>
      </c>
      <c r="D1097" s="488" t="s">
        <v>263</v>
      </c>
      <c r="E1097" s="488" t="s">
        <v>654</v>
      </c>
      <c r="F1097" s="489" t="s">
        <v>1153</v>
      </c>
      <c r="G1097" s="488" t="s">
        <v>686</v>
      </c>
      <c r="H1097" s="489"/>
      <c r="I1097" s="489"/>
      <c r="J1097" s="489" t="s">
        <v>1178</v>
      </c>
      <c r="K1097" s="491"/>
      <c r="L1097" s="488"/>
      <c r="M1097" s="488"/>
      <c r="N1097" s="489"/>
      <c r="O1097" s="489"/>
      <c r="P1097" s="489"/>
      <c r="Q1097" s="489"/>
      <c r="R1097" s="490"/>
      <c r="S1097" s="489"/>
      <c r="T1097" s="488" t="s">
        <v>268</v>
      </c>
    </row>
    <row r="1098" ht="34.5">
      <c r="A1098" s="488" t="s">
        <v>980</v>
      </c>
      <c r="B1098" s="488" t="s">
        <v>981</v>
      </c>
      <c r="C1098" s="488" t="s">
        <v>701</v>
      </c>
      <c r="D1098" s="488" t="s">
        <v>263</v>
      </c>
      <c r="E1098" s="488" t="s">
        <v>654</v>
      </c>
      <c r="F1098" s="489" t="s">
        <v>1153</v>
      </c>
      <c r="G1098" s="488" t="s">
        <v>686</v>
      </c>
      <c r="H1098" s="489"/>
      <c r="I1098" s="489"/>
      <c r="J1098" s="489" t="s">
        <v>1179</v>
      </c>
      <c r="K1098" s="491"/>
      <c r="L1098" s="488"/>
      <c r="M1098" s="488"/>
      <c r="N1098" s="489"/>
      <c r="O1098" s="489"/>
      <c r="P1098" s="489"/>
      <c r="Q1098" s="489"/>
      <c r="R1098" s="490"/>
      <c r="S1098" s="489"/>
      <c r="T1098" s="488" t="s">
        <v>268</v>
      </c>
    </row>
    <row r="1099" ht="34.5">
      <c r="A1099" s="488" t="s">
        <v>980</v>
      </c>
      <c r="B1099" s="488" t="s">
        <v>981</v>
      </c>
      <c r="C1099" s="488" t="s">
        <v>701</v>
      </c>
      <c r="D1099" s="488" t="s">
        <v>263</v>
      </c>
      <c r="E1099" s="488" t="s">
        <v>654</v>
      </c>
      <c r="F1099" s="489" t="s">
        <v>1153</v>
      </c>
      <c r="G1099" s="488" t="s">
        <v>686</v>
      </c>
      <c r="H1099" s="489"/>
      <c r="I1099" s="489"/>
      <c r="J1099" s="489" t="s">
        <v>1180</v>
      </c>
      <c r="K1099" s="491"/>
      <c r="L1099" s="488"/>
      <c r="M1099" s="488"/>
      <c r="N1099" s="489"/>
      <c r="O1099" s="489"/>
      <c r="P1099" s="489"/>
      <c r="Q1099" s="489"/>
      <c r="R1099" s="490"/>
      <c r="S1099" s="489"/>
      <c r="T1099" s="488" t="s">
        <v>268</v>
      </c>
    </row>
    <row r="1100" ht="34.5">
      <c r="A1100" s="488" t="s">
        <v>980</v>
      </c>
      <c r="B1100" s="488" t="s">
        <v>981</v>
      </c>
      <c r="C1100" s="488" t="s">
        <v>701</v>
      </c>
      <c r="D1100" s="488" t="s">
        <v>263</v>
      </c>
      <c r="E1100" s="488" t="s">
        <v>654</v>
      </c>
      <c r="F1100" s="489" t="s">
        <v>1153</v>
      </c>
      <c r="G1100" s="488" t="s">
        <v>686</v>
      </c>
      <c r="H1100" s="489"/>
      <c r="I1100" s="489"/>
      <c r="J1100" s="489" t="s">
        <v>733</v>
      </c>
      <c r="K1100" s="491"/>
      <c r="L1100" s="488"/>
      <c r="M1100" s="488"/>
      <c r="N1100" s="489"/>
      <c r="O1100" s="489"/>
      <c r="P1100" s="489"/>
      <c r="Q1100" s="489"/>
      <c r="R1100" s="490"/>
      <c r="S1100" s="489"/>
      <c r="T1100" s="488" t="s">
        <v>268</v>
      </c>
    </row>
    <row r="1101" ht="34.5">
      <c r="A1101" s="488" t="s">
        <v>980</v>
      </c>
      <c r="B1101" s="488" t="s">
        <v>981</v>
      </c>
      <c r="C1101" s="488" t="s">
        <v>701</v>
      </c>
      <c r="D1101" s="488" t="s">
        <v>263</v>
      </c>
      <c r="E1101" s="488" t="s">
        <v>654</v>
      </c>
      <c r="F1101" s="489" t="s">
        <v>1153</v>
      </c>
      <c r="G1101" s="488" t="s">
        <v>686</v>
      </c>
      <c r="H1101" s="489"/>
      <c r="I1101" s="489"/>
      <c r="J1101" s="489" t="s">
        <v>1181</v>
      </c>
      <c r="K1101" s="491"/>
      <c r="L1101" s="488"/>
      <c r="M1101" s="488"/>
      <c r="N1101" s="489"/>
      <c r="O1101" s="489"/>
      <c r="P1101" s="489"/>
      <c r="Q1101" s="489"/>
      <c r="R1101" s="490"/>
      <c r="S1101" s="489"/>
      <c r="T1101" s="488" t="s">
        <v>268</v>
      </c>
    </row>
    <row r="1102" ht="34.5">
      <c r="A1102" s="488" t="s">
        <v>980</v>
      </c>
      <c r="B1102" s="488" t="s">
        <v>981</v>
      </c>
      <c r="C1102" s="488" t="s">
        <v>703</v>
      </c>
      <c r="D1102" s="488" t="s">
        <v>263</v>
      </c>
      <c r="E1102" s="488" t="s">
        <v>654</v>
      </c>
      <c r="F1102" s="489" t="s">
        <v>1153</v>
      </c>
      <c r="G1102" s="488" t="s">
        <v>686</v>
      </c>
      <c r="H1102" s="489"/>
      <c r="I1102" s="489"/>
      <c r="J1102" s="489" t="s">
        <v>1182</v>
      </c>
      <c r="K1102" s="491"/>
      <c r="L1102" s="488"/>
      <c r="M1102" s="488"/>
      <c r="N1102" s="489"/>
      <c r="O1102" s="489"/>
      <c r="P1102" s="489"/>
      <c r="Q1102" s="489"/>
      <c r="R1102" s="490"/>
      <c r="S1102" s="489"/>
      <c r="T1102" s="488" t="s">
        <v>268</v>
      </c>
    </row>
    <row r="1103" ht="34.5">
      <c r="A1103" s="488" t="s">
        <v>980</v>
      </c>
      <c r="B1103" s="488" t="s">
        <v>981</v>
      </c>
      <c r="C1103" s="488" t="s">
        <v>703</v>
      </c>
      <c r="D1103" s="488" t="s">
        <v>263</v>
      </c>
      <c r="E1103" s="488" t="s">
        <v>654</v>
      </c>
      <c r="F1103" s="489" t="s">
        <v>1153</v>
      </c>
      <c r="G1103" s="488" t="s">
        <v>686</v>
      </c>
      <c r="H1103" s="489"/>
      <c r="I1103" s="489"/>
      <c r="J1103" s="489" t="s">
        <v>736</v>
      </c>
      <c r="K1103" s="491"/>
      <c r="L1103" s="488"/>
      <c r="M1103" s="488"/>
      <c r="N1103" s="489"/>
      <c r="O1103" s="489"/>
      <c r="P1103" s="489"/>
      <c r="Q1103" s="489"/>
      <c r="R1103" s="490"/>
      <c r="S1103" s="489"/>
      <c r="T1103" s="488" t="s">
        <v>268</v>
      </c>
    </row>
    <row r="1104" ht="34.5">
      <c r="A1104" s="488" t="s">
        <v>980</v>
      </c>
      <c r="B1104" s="488" t="s">
        <v>981</v>
      </c>
      <c r="C1104" s="488" t="s">
        <v>703</v>
      </c>
      <c r="D1104" s="488" t="s">
        <v>263</v>
      </c>
      <c r="E1104" s="488" t="s">
        <v>654</v>
      </c>
      <c r="F1104" s="489" t="s">
        <v>1153</v>
      </c>
      <c r="G1104" s="488" t="s">
        <v>686</v>
      </c>
      <c r="H1104" s="489"/>
      <c r="I1104" s="489"/>
      <c r="J1104" s="489" t="s">
        <v>1183</v>
      </c>
      <c r="K1104" s="491"/>
      <c r="L1104" s="488"/>
      <c r="M1104" s="488"/>
      <c r="N1104" s="489"/>
      <c r="O1104" s="489"/>
      <c r="P1104" s="489"/>
      <c r="Q1104" s="489"/>
      <c r="R1104" s="490"/>
      <c r="S1104" s="489"/>
      <c r="T1104" s="488" t="s">
        <v>268</v>
      </c>
    </row>
    <row r="1105" ht="34.5">
      <c r="A1105" s="488" t="s">
        <v>980</v>
      </c>
      <c r="B1105" s="488" t="s">
        <v>981</v>
      </c>
      <c r="C1105" s="488" t="s">
        <v>705</v>
      </c>
      <c r="D1105" s="488" t="s">
        <v>263</v>
      </c>
      <c r="E1105" s="488" t="s">
        <v>654</v>
      </c>
      <c r="F1105" s="489" t="s">
        <v>1153</v>
      </c>
      <c r="G1105" s="488" t="s">
        <v>686</v>
      </c>
      <c r="H1105" s="489"/>
      <c r="I1105" s="489"/>
      <c r="J1105" s="489" t="s">
        <v>952</v>
      </c>
      <c r="K1105" s="491"/>
      <c r="L1105" s="488"/>
      <c r="M1105" s="488"/>
      <c r="N1105" s="489"/>
      <c r="O1105" s="489"/>
      <c r="P1105" s="489"/>
      <c r="Q1105" s="489"/>
      <c r="R1105" s="490"/>
      <c r="S1105" s="489"/>
      <c r="T1105" s="488" t="s">
        <v>268</v>
      </c>
    </row>
    <row r="1106" ht="34.5">
      <c r="A1106" s="488" t="s">
        <v>980</v>
      </c>
      <c r="B1106" s="488" t="s">
        <v>981</v>
      </c>
      <c r="C1106" s="488" t="s">
        <v>705</v>
      </c>
      <c r="D1106" s="488" t="s">
        <v>263</v>
      </c>
      <c r="E1106" s="488" t="s">
        <v>654</v>
      </c>
      <c r="F1106" s="489" t="s">
        <v>1153</v>
      </c>
      <c r="G1106" s="488" t="s">
        <v>686</v>
      </c>
      <c r="H1106" s="489"/>
      <c r="I1106" s="489"/>
      <c r="J1106" s="489" t="s">
        <v>1184</v>
      </c>
      <c r="K1106" s="491">
        <v>10300</v>
      </c>
      <c r="L1106" s="488" t="s">
        <v>429</v>
      </c>
      <c r="M1106" s="488"/>
      <c r="N1106" s="489"/>
      <c r="O1106" s="489"/>
      <c r="P1106" s="489"/>
      <c r="Q1106" s="489"/>
      <c r="R1106" s="490"/>
      <c r="S1106" s="489"/>
      <c r="T1106" s="488" t="s">
        <v>268</v>
      </c>
    </row>
    <row r="1107" ht="34.5">
      <c r="A1107" s="488" t="s">
        <v>980</v>
      </c>
      <c r="B1107" s="488" t="s">
        <v>981</v>
      </c>
      <c r="C1107" s="488" t="s">
        <v>705</v>
      </c>
      <c r="D1107" s="488" t="s">
        <v>263</v>
      </c>
      <c r="E1107" s="488" t="s">
        <v>654</v>
      </c>
      <c r="F1107" s="489" t="s">
        <v>1153</v>
      </c>
      <c r="G1107" s="488" t="s">
        <v>686</v>
      </c>
      <c r="H1107" s="489"/>
      <c r="I1107" s="489"/>
      <c r="J1107" s="489" t="s">
        <v>1185</v>
      </c>
      <c r="K1107" s="491"/>
      <c r="L1107" s="488"/>
      <c r="M1107" s="488"/>
      <c r="N1107" s="489"/>
      <c r="O1107" s="489"/>
      <c r="P1107" s="489"/>
      <c r="Q1107" s="489"/>
      <c r="R1107" s="490"/>
      <c r="S1107" s="489"/>
      <c r="T1107" s="488" t="s">
        <v>268</v>
      </c>
    </row>
    <row r="1108" ht="34.5">
      <c r="A1108" s="488" t="s">
        <v>980</v>
      </c>
      <c r="B1108" s="488" t="s">
        <v>981</v>
      </c>
      <c r="C1108" s="488" t="s">
        <v>705</v>
      </c>
      <c r="D1108" s="488" t="s">
        <v>263</v>
      </c>
      <c r="E1108" s="488" t="s">
        <v>654</v>
      </c>
      <c r="F1108" s="489" t="s">
        <v>1153</v>
      </c>
      <c r="G1108" s="488" t="s">
        <v>686</v>
      </c>
      <c r="H1108" s="489"/>
      <c r="I1108" s="489"/>
      <c r="J1108" s="489" t="s">
        <v>1186</v>
      </c>
      <c r="K1108" s="491">
        <v>12960</v>
      </c>
      <c r="L1108" s="488" t="s">
        <v>429</v>
      </c>
      <c r="M1108" s="488"/>
      <c r="N1108" s="489"/>
      <c r="O1108" s="489"/>
      <c r="P1108" s="489"/>
      <c r="Q1108" s="489"/>
      <c r="R1108" s="490"/>
      <c r="S1108" s="489"/>
      <c r="T1108" s="488" t="s">
        <v>268</v>
      </c>
    </row>
    <row r="1109" ht="34.5">
      <c r="A1109" s="488" t="s">
        <v>980</v>
      </c>
      <c r="B1109" s="488" t="s">
        <v>981</v>
      </c>
      <c r="C1109" s="488" t="s">
        <v>705</v>
      </c>
      <c r="D1109" s="488" t="s">
        <v>263</v>
      </c>
      <c r="E1109" s="488" t="s">
        <v>654</v>
      </c>
      <c r="F1109" s="489" t="s">
        <v>1153</v>
      </c>
      <c r="G1109" s="488" t="s">
        <v>686</v>
      </c>
      <c r="H1109" s="489"/>
      <c r="I1109" s="489"/>
      <c r="J1109" s="489" t="s">
        <v>1187</v>
      </c>
      <c r="K1109" s="491"/>
      <c r="L1109" s="488"/>
      <c r="M1109" s="488"/>
      <c r="N1109" s="489"/>
      <c r="O1109" s="489"/>
      <c r="P1109" s="489"/>
      <c r="Q1109" s="489"/>
      <c r="R1109" s="490"/>
      <c r="S1109" s="489"/>
      <c r="T1109" s="488" t="s">
        <v>268</v>
      </c>
    </row>
    <row r="1110" ht="34.5">
      <c r="A1110" s="488" t="s">
        <v>980</v>
      </c>
      <c r="B1110" s="488" t="s">
        <v>981</v>
      </c>
      <c r="C1110" s="488" t="s">
        <v>705</v>
      </c>
      <c r="D1110" s="488" t="s">
        <v>263</v>
      </c>
      <c r="E1110" s="488" t="s">
        <v>654</v>
      </c>
      <c r="F1110" s="489" t="s">
        <v>1153</v>
      </c>
      <c r="G1110" s="488" t="s">
        <v>686</v>
      </c>
      <c r="H1110" s="489"/>
      <c r="I1110" s="489"/>
      <c r="J1110" s="489" t="s">
        <v>746</v>
      </c>
      <c r="K1110" s="491"/>
      <c r="L1110" s="488"/>
      <c r="M1110" s="488"/>
      <c r="N1110" s="489"/>
      <c r="O1110" s="489"/>
      <c r="P1110" s="489"/>
      <c r="Q1110" s="489"/>
      <c r="R1110" s="490"/>
      <c r="S1110" s="489"/>
      <c r="T1110" s="488" t="s">
        <v>268</v>
      </c>
    </row>
    <row r="1111" ht="34.5">
      <c r="A1111" s="488" t="s">
        <v>980</v>
      </c>
      <c r="B1111" s="488" t="s">
        <v>981</v>
      </c>
      <c r="C1111" s="488" t="s">
        <v>705</v>
      </c>
      <c r="D1111" s="488" t="s">
        <v>263</v>
      </c>
      <c r="E1111" s="488" t="s">
        <v>654</v>
      </c>
      <c r="F1111" s="489" t="s">
        <v>1153</v>
      </c>
      <c r="G1111" s="488" t="s">
        <v>686</v>
      </c>
      <c r="H1111" s="489"/>
      <c r="I1111" s="489"/>
      <c r="J1111" s="489" t="s">
        <v>1188</v>
      </c>
      <c r="K1111" s="491"/>
      <c r="L1111" s="488"/>
      <c r="M1111" s="488"/>
      <c r="N1111" s="489"/>
      <c r="O1111" s="489"/>
      <c r="P1111" s="489"/>
      <c r="Q1111" s="489"/>
      <c r="R1111" s="490"/>
      <c r="S1111" s="489"/>
      <c r="T1111" s="488" t="s">
        <v>268</v>
      </c>
    </row>
    <row r="1112" ht="34.5">
      <c r="A1112" s="488" t="s">
        <v>980</v>
      </c>
      <c r="B1112" s="488" t="s">
        <v>981</v>
      </c>
      <c r="C1112" s="488" t="s">
        <v>720</v>
      </c>
      <c r="D1112" s="488" t="s">
        <v>263</v>
      </c>
      <c r="E1112" s="488" t="s">
        <v>654</v>
      </c>
      <c r="F1112" s="489" t="s">
        <v>1153</v>
      </c>
      <c r="G1112" s="488" t="s">
        <v>686</v>
      </c>
      <c r="H1112" s="489"/>
      <c r="I1112" s="489"/>
      <c r="J1112" s="489" t="s">
        <v>1189</v>
      </c>
      <c r="K1112" s="491">
        <v>42794</v>
      </c>
      <c r="L1112" s="488" t="s">
        <v>429</v>
      </c>
      <c r="M1112" s="488"/>
      <c r="N1112" s="489"/>
      <c r="O1112" s="489"/>
      <c r="P1112" s="489"/>
      <c r="Q1112" s="489"/>
      <c r="R1112" s="490"/>
      <c r="S1112" s="489"/>
      <c r="T1112" s="488" t="s">
        <v>268</v>
      </c>
    </row>
    <row r="1113" ht="34.5">
      <c r="A1113" s="488" t="s">
        <v>980</v>
      </c>
      <c r="B1113" s="488" t="s">
        <v>981</v>
      </c>
      <c r="C1113" s="488" t="s">
        <v>731</v>
      </c>
      <c r="D1113" s="488" t="s">
        <v>263</v>
      </c>
      <c r="E1113" s="488" t="s">
        <v>654</v>
      </c>
      <c r="F1113" s="489" t="s">
        <v>1153</v>
      </c>
      <c r="G1113" s="488" t="s">
        <v>686</v>
      </c>
      <c r="H1113" s="489"/>
      <c r="I1113" s="489"/>
      <c r="J1113" s="489" t="s">
        <v>1190</v>
      </c>
      <c r="K1113" s="491"/>
      <c r="L1113" s="488"/>
      <c r="M1113" s="488"/>
      <c r="N1113" s="489"/>
      <c r="O1113" s="489"/>
      <c r="P1113" s="489"/>
      <c r="Q1113" s="489"/>
      <c r="R1113" s="490"/>
      <c r="S1113" s="489"/>
      <c r="T1113" s="488" t="s">
        <v>268</v>
      </c>
    </row>
    <row r="1114" ht="34.5">
      <c r="A1114" s="488" t="s">
        <v>980</v>
      </c>
      <c r="B1114" s="488" t="s">
        <v>981</v>
      </c>
      <c r="C1114" s="488" t="s">
        <v>731</v>
      </c>
      <c r="D1114" s="488" t="s">
        <v>263</v>
      </c>
      <c r="E1114" s="488" t="s">
        <v>654</v>
      </c>
      <c r="F1114" s="489" t="s">
        <v>1153</v>
      </c>
      <c r="G1114" s="488" t="s">
        <v>686</v>
      </c>
      <c r="H1114" s="489"/>
      <c r="I1114" s="489"/>
      <c r="J1114" s="489" t="s">
        <v>752</v>
      </c>
      <c r="K1114" s="491"/>
      <c r="L1114" s="488"/>
      <c r="M1114" s="488"/>
      <c r="N1114" s="489"/>
      <c r="O1114" s="489"/>
      <c r="P1114" s="489"/>
      <c r="Q1114" s="489"/>
      <c r="R1114" s="490"/>
      <c r="S1114" s="489"/>
      <c r="T1114" s="488" t="s">
        <v>268</v>
      </c>
    </row>
    <row r="1115" ht="34.5">
      <c r="A1115" s="488" t="s">
        <v>980</v>
      </c>
      <c r="B1115" s="488" t="s">
        <v>981</v>
      </c>
      <c r="C1115" s="488" t="s">
        <v>731</v>
      </c>
      <c r="D1115" s="488" t="s">
        <v>263</v>
      </c>
      <c r="E1115" s="488" t="s">
        <v>654</v>
      </c>
      <c r="F1115" s="489" t="s">
        <v>1153</v>
      </c>
      <c r="G1115" s="488" t="s">
        <v>686</v>
      </c>
      <c r="H1115" s="489"/>
      <c r="I1115" s="489"/>
      <c r="J1115" s="489" t="s">
        <v>959</v>
      </c>
      <c r="K1115" s="491"/>
      <c r="L1115" s="488"/>
      <c r="M1115" s="488"/>
      <c r="N1115" s="489"/>
      <c r="O1115" s="489"/>
      <c r="P1115" s="489"/>
      <c r="Q1115" s="489"/>
      <c r="R1115" s="490"/>
      <c r="S1115" s="489"/>
      <c r="T1115" s="488" t="s">
        <v>268</v>
      </c>
    </row>
    <row r="1116" ht="34.5">
      <c r="A1116" s="488" t="s">
        <v>980</v>
      </c>
      <c r="B1116" s="488" t="s">
        <v>981</v>
      </c>
      <c r="C1116" s="488" t="s">
        <v>739</v>
      </c>
      <c r="D1116" s="488" t="s">
        <v>263</v>
      </c>
      <c r="E1116" s="488" t="s">
        <v>654</v>
      </c>
      <c r="F1116" s="489" t="s">
        <v>1153</v>
      </c>
      <c r="G1116" s="488" t="s">
        <v>686</v>
      </c>
      <c r="H1116" s="489"/>
      <c r="I1116" s="489"/>
      <c r="J1116" s="489" t="s">
        <v>755</v>
      </c>
      <c r="K1116" s="491"/>
      <c r="L1116" s="488"/>
      <c r="M1116" s="488"/>
      <c r="N1116" s="489"/>
      <c r="O1116" s="489"/>
      <c r="P1116" s="489"/>
      <c r="Q1116" s="489"/>
      <c r="R1116" s="490"/>
      <c r="S1116" s="489"/>
      <c r="T1116" s="488" t="s">
        <v>268</v>
      </c>
    </row>
    <row r="1117" ht="34.5">
      <c r="A1117" s="488" t="s">
        <v>980</v>
      </c>
      <c r="B1117" s="488" t="s">
        <v>981</v>
      </c>
      <c r="C1117" s="488" t="s">
        <v>739</v>
      </c>
      <c r="D1117" s="488" t="s">
        <v>263</v>
      </c>
      <c r="E1117" s="488" t="s">
        <v>654</v>
      </c>
      <c r="F1117" s="489" t="s">
        <v>1153</v>
      </c>
      <c r="G1117" s="488" t="s">
        <v>686</v>
      </c>
      <c r="H1117" s="489"/>
      <c r="I1117" s="489"/>
      <c r="J1117" s="489" t="s">
        <v>1191</v>
      </c>
      <c r="K1117" s="491"/>
      <c r="L1117" s="488"/>
      <c r="M1117" s="488"/>
      <c r="N1117" s="489"/>
      <c r="O1117" s="489"/>
      <c r="P1117" s="489"/>
      <c r="Q1117" s="489"/>
      <c r="R1117" s="490"/>
      <c r="S1117" s="489"/>
      <c r="T1117" s="488" t="s">
        <v>268</v>
      </c>
    </row>
    <row r="1118" ht="34.5">
      <c r="A1118" s="488" t="s">
        <v>980</v>
      </c>
      <c r="B1118" s="488" t="s">
        <v>981</v>
      </c>
      <c r="C1118" s="488" t="s">
        <v>739</v>
      </c>
      <c r="D1118" s="488" t="s">
        <v>263</v>
      </c>
      <c r="E1118" s="488" t="s">
        <v>654</v>
      </c>
      <c r="F1118" s="489" t="s">
        <v>1153</v>
      </c>
      <c r="G1118" s="488" t="s">
        <v>686</v>
      </c>
      <c r="H1118" s="489"/>
      <c r="I1118" s="489"/>
      <c r="J1118" s="489" t="s">
        <v>1192</v>
      </c>
      <c r="K1118" s="491">
        <v>14718</v>
      </c>
      <c r="L1118" s="488" t="s">
        <v>429</v>
      </c>
      <c r="M1118" s="488"/>
      <c r="N1118" s="489"/>
      <c r="O1118" s="489"/>
      <c r="P1118" s="489"/>
      <c r="Q1118" s="489"/>
      <c r="R1118" s="490"/>
      <c r="S1118" s="489"/>
      <c r="T1118" s="488" t="s">
        <v>268</v>
      </c>
    </row>
    <row r="1119" ht="34.5">
      <c r="A1119" s="488" t="s">
        <v>980</v>
      </c>
      <c r="B1119" s="488" t="s">
        <v>981</v>
      </c>
      <c r="C1119" s="488" t="s">
        <v>739</v>
      </c>
      <c r="D1119" s="488" t="s">
        <v>263</v>
      </c>
      <c r="E1119" s="488" t="s">
        <v>654</v>
      </c>
      <c r="F1119" s="489" t="s">
        <v>1153</v>
      </c>
      <c r="G1119" s="488" t="s">
        <v>686</v>
      </c>
      <c r="H1119" s="489"/>
      <c r="I1119" s="489"/>
      <c r="J1119" s="489" t="s">
        <v>1193</v>
      </c>
      <c r="K1119" s="491"/>
      <c r="L1119" s="488"/>
      <c r="M1119" s="488"/>
      <c r="N1119" s="489"/>
      <c r="O1119" s="489"/>
      <c r="P1119" s="489"/>
      <c r="Q1119" s="489"/>
      <c r="R1119" s="490"/>
      <c r="S1119" s="489"/>
      <c r="T1119" s="488" t="s">
        <v>268</v>
      </c>
    </row>
    <row r="1120" ht="34.5">
      <c r="A1120" s="488" t="s">
        <v>980</v>
      </c>
      <c r="B1120" s="488" t="s">
        <v>981</v>
      </c>
      <c r="C1120" s="488" t="s">
        <v>748</v>
      </c>
      <c r="D1120" s="488" t="s">
        <v>263</v>
      </c>
      <c r="E1120" s="488" t="s">
        <v>654</v>
      </c>
      <c r="F1120" s="489" t="s">
        <v>1153</v>
      </c>
      <c r="G1120" s="488" t="s">
        <v>686</v>
      </c>
      <c r="H1120" s="489"/>
      <c r="I1120" s="489"/>
      <c r="J1120" s="489" t="s">
        <v>759</v>
      </c>
      <c r="K1120" s="491"/>
      <c r="L1120" s="488"/>
      <c r="M1120" s="488"/>
      <c r="N1120" s="489"/>
      <c r="O1120" s="489"/>
      <c r="P1120" s="489"/>
      <c r="Q1120" s="489"/>
      <c r="R1120" s="490"/>
      <c r="S1120" s="489"/>
      <c r="T1120" s="488" t="s">
        <v>268</v>
      </c>
    </row>
    <row r="1121" ht="34.5">
      <c r="A1121" s="488" t="s">
        <v>980</v>
      </c>
      <c r="B1121" s="488" t="s">
        <v>981</v>
      </c>
      <c r="C1121" s="488" t="s">
        <v>748</v>
      </c>
      <c r="D1121" s="488" t="s">
        <v>263</v>
      </c>
      <c r="E1121" s="488" t="s">
        <v>654</v>
      </c>
      <c r="F1121" s="489" t="s">
        <v>1153</v>
      </c>
      <c r="G1121" s="488" t="s">
        <v>686</v>
      </c>
      <c r="H1121" s="489"/>
      <c r="I1121" s="489"/>
      <c r="J1121" s="489" t="s">
        <v>1194</v>
      </c>
      <c r="K1121" s="491">
        <v>53187</v>
      </c>
      <c r="L1121" s="488" t="s">
        <v>429</v>
      </c>
      <c r="M1121" s="488"/>
      <c r="N1121" s="489"/>
      <c r="O1121" s="489"/>
      <c r="P1121" s="489"/>
      <c r="Q1121" s="489"/>
      <c r="R1121" s="490"/>
      <c r="S1121" s="489"/>
      <c r="T1121" s="488" t="s">
        <v>268</v>
      </c>
    </row>
    <row r="1122" ht="34.5">
      <c r="A1122" s="488" t="s">
        <v>980</v>
      </c>
      <c r="B1122" s="488" t="s">
        <v>981</v>
      </c>
      <c r="C1122" s="488" t="s">
        <v>748</v>
      </c>
      <c r="D1122" s="488" t="s">
        <v>263</v>
      </c>
      <c r="E1122" s="488" t="s">
        <v>654</v>
      </c>
      <c r="F1122" s="489" t="s">
        <v>1153</v>
      </c>
      <c r="G1122" s="488" t="s">
        <v>686</v>
      </c>
      <c r="H1122" s="489"/>
      <c r="I1122" s="489"/>
      <c r="J1122" s="489" t="s">
        <v>1195</v>
      </c>
      <c r="K1122" s="491"/>
      <c r="L1122" s="488"/>
      <c r="M1122" s="488"/>
      <c r="N1122" s="489"/>
      <c r="O1122" s="489"/>
      <c r="P1122" s="489"/>
      <c r="Q1122" s="489"/>
      <c r="R1122" s="490"/>
      <c r="S1122" s="489"/>
      <c r="T1122" s="488" t="s">
        <v>268</v>
      </c>
    </row>
    <row r="1123" ht="34.5">
      <c r="A1123" s="488" t="s">
        <v>980</v>
      </c>
      <c r="B1123" s="488" t="s">
        <v>981</v>
      </c>
      <c r="C1123" s="488" t="s">
        <v>750</v>
      </c>
      <c r="D1123" s="488" t="s">
        <v>263</v>
      </c>
      <c r="E1123" s="488" t="s">
        <v>654</v>
      </c>
      <c r="F1123" s="489" t="s">
        <v>1153</v>
      </c>
      <c r="G1123" s="488" t="s">
        <v>686</v>
      </c>
      <c r="H1123" s="489"/>
      <c r="I1123" s="489"/>
      <c r="J1123" s="489" t="s">
        <v>762</v>
      </c>
      <c r="K1123" s="491"/>
      <c r="L1123" s="488"/>
      <c r="M1123" s="488"/>
      <c r="N1123" s="489"/>
      <c r="O1123" s="489"/>
      <c r="P1123" s="489"/>
      <c r="Q1123" s="489"/>
      <c r="R1123" s="490"/>
      <c r="S1123" s="489"/>
      <c r="T1123" s="488" t="s">
        <v>268</v>
      </c>
    </row>
    <row r="1124" ht="34.5">
      <c r="A1124" s="488" t="s">
        <v>980</v>
      </c>
      <c r="B1124" s="488" t="s">
        <v>981</v>
      </c>
      <c r="C1124" s="488" t="s">
        <v>750</v>
      </c>
      <c r="D1124" s="488" t="s">
        <v>263</v>
      </c>
      <c r="E1124" s="488" t="s">
        <v>654</v>
      </c>
      <c r="F1124" s="489" t="s">
        <v>1153</v>
      </c>
      <c r="G1124" s="488" t="s">
        <v>686</v>
      </c>
      <c r="H1124" s="489"/>
      <c r="I1124" s="489"/>
      <c r="J1124" s="489" t="s">
        <v>1196</v>
      </c>
      <c r="K1124" s="491">
        <v>53187</v>
      </c>
      <c r="L1124" s="488" t="s">
        <v>429</v>
      </c>
      <c r="M1124" s="488"/>
      <c r="N1124" s="489"/>
      <c r="O1124" s="489"/>
      <c r="P1124" s="489"/>
      <c r="Q1124" s="489"/>
      <c r="R1124" s="490"/>
      <c r="S1124" s="489"/>
      <c r="T1124" s="488" t="s">
        <v>268</v>
      </c>
    </row>
    <row r="1125" ht="34.5">
      <c r="A1125" s="488" t="s">
        <v>980</v>
      </c>
      <c r="B1125" s="488" t="s">
        <v>981</v>
      </c>
      <c r="C1125" s="488" t="s">
        <v>750</v>
      </c>
      <c r="D1125" s="488" t="s">
        <v>263</v>
      </c>
      <c r="E1125" s="488" t="s">
        <v>654</v>
      </c>
      <c r="F1125" s="489" t="s">
        <v>1153</v>
      </c>
      <c r="G1125" s="488" t="s">
        <v>686</v>
      </c>
      <c r="H1125" s="489"/>
      <c r="I1125" s="489"/>
      <c r="J1125" s="489" t="s">
        <v>1197</v>
      </c>
      <c r="K1125" s="491"/>
      <c r="L1125" s="488"/>
      <c r="M1125" s="488"/>
      <c r="N1125" s="489"/>
      <c r="O1125" s="489"/>
      <c r="P1125" s="489"/>
      <c r="Q1125" s="489"/>
      <c r="R1125" s="490"/>
      <c r="S1125" s="489"/>
      <c r="T1125" s="488" t="s">
        <v>268</v>
      </c>
    </row>
    <row r="1126" ht="34.5">
      <c r="A1126" s="488" t="s">
        <v>980</v>
      </c>
      <c r="B1126" s="488" t="s">
        <v>981</v>
      </c>
      <c r="C1126" s="488" t="s">
        <v>754</v>
      </c>
      <c r="D1126" s="488" t="s">
        <v>263</v>
      </c>
      <c r="E1126" s="488" t="s">
        <v>654</v>
      </c>
      <c r="F1126" s="489" t="s">
        <v>1153</v>
      </c>
      <c r="G1126" s="488" t="s">
        <v>686</v>
      </c>
      <c r="H1126" s="489"/>
      <c r="I1126" s="489"/>
      <c r="J1126" s="489" t="s">
        <v>970</v>
      </c>
      <c r="K1126" s="491"/>
      <c r="L1126" s="488"/>
      <c r="M1126" s="488"/>
      <c r="N1126" s="489"/>
      <c r="O1126" s="489"/>
      <c r="P1126" s="489"/>
      <c r="Q1126" s="489"/>
      <c r="R1126" s="490"/>
      <c r="S1126" s="489"/>
      <c r="T1126" s="488" t="s">
        <v>268</v>
      </c>
    </row>
    <row r="1127" ht="34.5">
      <c r="A1127" s="488" t="s">
        <v>980</v>
      </c>
      <c r="B1127" s="488" t="s">
        <v>981</v>
      </c>
      <c r="C1127" s="488" t="s">
        <v>754</v>
      </c>
      <c r="D1127" s="488" t="s">
        <v>263</v>
      </c>
      <c r="E1127" s="488" t="s">
        <v>654</v>
      </c>
      <c r="F1127" s="489" t="s">
        <v>1153</v>
      </c>
      <c r="G1127" s="488" t="s">
        <v>686</v>
      </c>
      <c r="H1127" s="489"/>
      <c r="I1127" s="489"/>
      <c r="J1127" s="489" t="s">
        <v>971</v>
      </c>
      <c r="K1127" s="491"/>
      <c r="L1127" s="488"/>
      <c r="M1127" s="488"/>
      <c r="N1127" s="489"/>
      <c r="O1127" s="489"/>
      <c r="P1127" s="489"/>
      <c r="Q1127" s="489"/>
      <c r="R1127" s="490"/>
      <c r="S1127" s="489"/>
      <c r="T1127" s="488" t="s">
        <v>268</v>
      </c>
    </row>
    <row r="1128" ht="34.5">
      <c r="A1128" s="488" t="s">
        <v>980</v>
      </c>
      <c r="B1128" s="488" t="s">
        <v>981</v>
      </c>
      <c r="C1128" s="488" t="s">
        <v>754</v>
      </c>
      <c r="D1128" s="488" t="s">
        <v>263</v>
      </c>
      <c r="E1128" s="488" t="s">
        <v>654</v>
      </c>
      <c r="F1128" s="489" t="s">
        <v>1153</v>
      </c>
      <c r="G1128" s="488" t="s">
        <v>686</v>
      </c>
      <c r="H1128" s="489"/>
      <c r="I1128" s="489"/>
      <c r="J1128" s="489" t="s">
        <v>972</v>
      </c>
      <c r="K1128" s="491"/>
      <c r="L1128" s="488"/>
      <c r="M1128" s="488"/>
      <c r="N1128" s="489"/>
      <c r="O1128" s="489"/>
      <c r="P1128" s="489"/>
      <c r="Q1128" s="489"/>
      <c r="R1128" s="490"/>
      <c r="S1128" s="489"/>
      <c r="T1128" s="488" t="s">
        <v>268</v>
      </c>
    </row>
    <row r="1129" ht="34.5">
      <c r="A1129" s="488" t="s">
        <v>980</v>
      </c>
      <c r="B1129" s="488" t="s">
        <v>981</v>
      </c>
      <c r="C1129" s="488" t="s">
        <v>754</v>
      </c>
      <c r="D1129" s="488" t="s">
        <v>263</v>
      </c>
      <c r="E1129" s="488" t="s">
        <v>654</v>
      </c>
      <c r="F1129" s="489" t="s">
        <v>1153</v>
      </c>
      <c r="G1129" s="488" t="s">
        <v>686</v>
      </c>
      <c r="H1129" s="489"/>
      <c r="I1129" s="489"/>
      <c r="J1129" s="489" t="s">
        <v>973</v>
      </c>
      <c r="K1129" s="491"/>
      <c r="L1129" s="488"/>
      <c r="M1129" s="488"/>
      <c r="N1129" s="489"/>
      <c r="O1129" s="489"/>
      <c r="P1129" s="489"/>
      <c r="Q1129" s="489"/>
      <c r="R1129" s="490"/>
      <c r="S1129" s="489"/>
      <c r="T1129" s="488" t="s">
        <v>268</v>
      </c>
    </row>
    <row r="1130" ht="34.5">
      <c r="A1130" s="488" t="s">
        <v>980</v>
      </c>
      <c r="B1130" s="488" t="s">
        <v>981</v>
      </c>
      <c r="C1130" s="488" t="s">
        <v>754</v>
      </c>
      <c r="D1130" s="488" t="s">
        <v>263</v>
      </c>
      <c r="E1130" s="488" t="s">
        <v>654</v>
      </c>
      <c r="F1130" s="489" t="s">
        <v>1153</v>
      </c>
      <c r="G1130" s="488" t="s">
        <v>686</v>
      </c>
      <c r="H1130" s="489"/>
      <c r="I1130" s="489"/>
      <c r="J1130" s="489" t="s">
        <v>1198</v>
      </c>
      <c r="K1130" s="491"/>
      <c r="L1130" s="488"/>
      <c r="M1130" s="488"/>
      <c r="N1130" s="489"/>
      <c r="O1130" s="489"/>
      <c r="P1130" s="489"/>
      <c r="Q1130" s="489"/>
      <c r="R1130" s="490"/>
      <c r="S1130" s="489"/>
      <c r="T1130" s="488" t="s">
        <v>268</v>
      </c>
    </row>
    <row r="1131" ht="34.5">
      <c r="A1131" s="488" t="s">
        <v>980</v>
      </c>
      <c r="B1131" s="488" t="s">
        <v>981</v>
      </c>
      <c r="C1131" s="488" t="s">
        <v>754</v>
      </c>
      <c r="D1131" s="488" t="s">
        <v>263</v>
      </c>
      <c r="E1131" s="488" t="s">
        <v>654</v>
      </c>
      <c r="F1131" s="489" t="s">
        <v>1153</v>
      </c>
      <c r="G1131" s="488" t="s">
        <v>686</v>
      </c>
      <c r="H1131" s="489"/>
      <c r="I1131" s="489"/>
      <c r="J1131" s="489" t="s">
        <v>975</v>
      </c>
      <c r="K1131" s="491"/>
      <c r="L1131" s="488"/>
      <c r="M1131" s="488"/>
      <c r="N1131" s="489"/>
      <c r="O1131" s="489"/>
      <c r="P1131" s="489"/>
      <c r="Q1131" s="489"/>
      <c r="R1131" s="490"/>
      <c r="S1131" s="489"/>
      <c r="T1131" s="488" t="s">
        <v>268</v>
      </c>
    </row>
    <row r="1132" ht="34.5">
      <c r="A1132" s="488" t="s">
        <v>980</v>
      </c>
      <c r="B1132" s="488" t="s">
        <v>981</v>
      </c>
      <c r="C1132" s="488" t="s">
        <v>754</v>
      </c>
      <c r="D1132" s="488" t="s">
        <v>263</v>
      </c>
      <c r="E1132" s="488" t="s">
        <v>654</v>
      </c>
      <c r="F1132" s="489" t="s">
        <v>1153</v>
      </c>
      <c r="G1132" s="488" t="s">
        <v>686</v>
      </c>
      <c r="H1132" s="489"/>
      <c r="I1132" s="489"/>
      <c r="J1132" s="489" t="s">
        <v>770</v>
      </c>
      <c r="K1132" s="491"/>
      <c r="L1132" s="488"/>
      <c r="M1132" s="488"/>
      <c r="N1132" s="489"/>
      <c r="O1132" s="489"/>
      <c r="P1132" s="489"/>
      <c r="Q1132" s="489"/>
      <c r="R1132" s="490"/>
      <c r="S1132" s="489"/>
      <c r="T1132" s="488" t="s">
        <v>268</v>
      </c>
    </row>
    <row r="1133" ht="34.5">
      <c r="A1133" s="488" t="s">
        <v>980</v>
      </c>
      <c r="B1133" s="488" t="s">
        <v>981</v>
      </c>
      <c r="C1133" s="488" t="s">
        <v>754</v>
      </c>
      <c r="D1133" s="488" t="s">
        <v>263</v>
      </c>
      <c r="E1133" s="488" t="s">
        <v>654</v>
      </c>
      <c r="F1133" s="489" t="s">
        <v>1153</v>
      </c>
      <c r="G1133" s="488" t="s">
        <v>686</v>
      </c>
      <c r="H1133" s="489"/>
      <c r="I1133" s="489"/>
      <c r="J1133" s="489" t="s">
        <v>1199</v>
      </c>
      <c r="K1133" s="491"/>
      <c r="L1133" s="488"/>
      <c r="M1133" s="488"/>
      <c r="N1133" s="489"/>
      <c r="O1133" s="489"/>
      <c r="P1133" s="489"/>
      <c r="Q1133" s="489"/>
      <c r="R1133" s="490"/>
      <c r="S1133" s="489"/>
      <c r="T1133" s="488" t="s">
        <v>268</v>
      </c>
    </row>
    <row r="1134" ht="34.5">
      <c r="A1134" s="488" t="s">
        <v>980</v>
      </c>
      <c r="B1134" s="488" t="s">
        <v>981</v>
      </c>
      <c r="C1134" s="488" t="s">
        <v>754</v>
      </c>
      <c r="D1134" s="488" t="s">
        <v>263</v>
      </c>
      <c r="E1134" s="488" t="s">
        <v>654</v>
      </c>
      <c r="F1134" s="489" t="s">
        <v>1153</v>
      </c>
      <c r="G1134" s="488" t="s">
        <v>686</v>
      </c>
      <c r="H1134" s="489"/>
      <c r="I1134" s="489"/>
      <c r="J1134" s="489" t="s">
        <v>977</v>
      </c>
      <c r="K1134" s="491"/>
      <c r="L1134" s="488"/>
      <c r="M1134" s="488"/>
      <c r="N1134" s="489"/>
      <c r="O1134" s="489"/>
      <c r="P1134" s="489"/>
      <c r="Q1134" s="489"/>
      <c r="R1134" s="490"/>
      <c r="S1134" s="489"/>
      <c r="T1134" s="488" t="s">
        <v>268</v>
      </c>
    </row>
    <row r="1135" ht="34.5">
      <c r="A1135" s="488" t="s">
        <v>980</v>
      </c>
      <c r="B1135" s="488" t="s">
        <v>981</v>
      </c>
      <c r="C1135" s="488" t="s">
        <v>754</v>
      </c>
      <c r="D1135" s="488" t="s">
        <v>263</v>
      </c>
      <c r="E1135" s="488" t="s">
        <v>654</v>
      </c>
      <c r="F1135" s="489" t="s">
        <v>1153</v>
      </c>
      <c r="G1135" s="488" t="s">
        <v>686</v>
      </c>
      <c r="H1135" s="489"/>
      <c r="I1135" s="489"/>
      <c r="J1135" s="489" t="s">
        <v>1200</v>
      </c>
      <c r="K1135" s="491"/>
      <c r="L1135" s="488"/>
      <c r="M1135" s="488"/>
      <c r="N1135" s="489"/>
      <c r="O1135" s="489"/>
      <c r="P1135" s="489"/>
      <c r="Q1135" s="489"/>
      <c r="R1135" s="490"/>
      <c r="S1135" s="489"/>
      <c r="T1135" s="488" t="s">
        <v>268</v>
      </c>
    </row>
    <row r="1136" ht="34.5">
      <c r="A1136" s="488" t="s">
        <v>1201</v>
      </c>
      <c r="B1136" s="488" t="s">
        <v>1202</v>
      </c>
      <c r="C1136" s="488" t="s">
        <v>1203</v>
      </c>
      <c r="D1136" s="488" t="s">
        <v>263</v>
      </c>
      <c r="E1136" s="488" t="s">
        <v>264</v>
      </c>
      <c r="F1136" s="489" t="s">
        <v>265</v>
      </c>
      <c r="G1136" s="488" t="s">
        <v>266</v>
      </c>
      <c r="H1136" s="489"/>
      <c r="I1136" s="489"/>
      <c r="J1136" s="489" t="s">
        <v>983</v>
      </c>
      <c r="K1136" s="491"/>
      <c r="L1136" s="488"/>
      <c r="M1136" s="488"/>
      <c r="N1136" s="489"/>
      <c r="O1136" s="489"/>
      <c r="P1136" s="489"/>
      <c r="Q1136" s="489"/>
      <c r="R1136" s="490"/>
      <c r="S1136" s="489"/>
      <c r="T1136" s="488" t="s">
        <v>268</v>
      </c>
    </row>
    <row r="1137" ht="34.5">
      <c r="A1137" s="488" t="s">
        <v>1201</v>
      </c>
      <c r="B1137" s="488" t="s">
        <v>1202</v>
      </c>
      <c r="C1137" s="488" t="s">
        <v>1203</v>
      </c>
      <c r="D1137" s="488" t="s">
        <v>263</v>
      </c>
      <c r="E1137" s="488" t="s">
        <v>264</v>
      </c>
      <c r="F1137" s="489" t="s">
        <v>265</v>
      </c>
      <c r="G1137" s="488" t="s">
        <v>266</v>
      </c>
      <c r="H1137" s="489"/>
      <c r="I1137" s="489"/>
      <c r="J1137" s="489" t="s">
        <v>1204</v>
      </c>
      <c r="K1137" s="491"/>
      <c r="L1137" s="488"/>
      <c r="M1137" s="488"/>
      <c r="N1137" s="489"/>
      <c r="O1137" s="489"/>
      <c r="P1137" s="489"/>
      <c r="Q1137" s="489"/>
      <c r="R1137" s="490"/>
      <c r="S1137" s="489"/>
      <c r="T1137" s="488" t="s">
        <v>268</v>
      </c>
    </row>
    <row r="1138" ht="34.5">
      <c r="A1138" s="488" t="s">
        <v>1201</v>
      </c>
      <c r="B1138" s="488" t="s">
        <v>1202</v>
      </c>
      <c r="C1138" s="488" t="s">
        <v>1203</v>
      </c>
      <c r="D1138" s="488" t="s">
        <v>263</v>
      </c>
      <c r="E1138" s="488" t="s">
        <v>264</v>
      </c>
      <c r="F1138" s="489" t="s">
        <v>265</v>
      </c>
      <c r="G1138" s="488" t="s">
        <v>266</v>
      </c>
      <c r="H1138" s="489"/>
      <c r="I1138" s="489"/>
      <c r="J1138" s="489" t="s">
        <v>781</v>
      </c>
      <c r="K1138" s="491"/>
      <c r="L1138" s="488"/>
      <c r="M1138" s="488"/>
      <c r="N1138" s="489"/>
      <c r="O1138" s="489"/>
      <c r="P1138" s="489"/>
      <c r="Q1138" s="489"/>
      <c r="R1138" s="490"/>
      <c r="S1138" s="489"/>
      <c r="T1138" s="488" t="s">
        <v>268</v>
      </c>
    </row>
    <row r="1139" ht="34.5">
      <c r="A1139" s="488" t="s">
        <v>1201</v>
      </c>
      <c r="B1139" s="488" t="s">
        <v>1202</v>
      </c>
      <c r="C1139" s="488" t="s">
        <v>1203</v>
      </c>
      <c r="D1139" s="488" t="s">
        <v>263</v>
      </c>
      <c r="E1139" s="488" t="s">
        <v>264</v>
      </c>
      <c r="F1139" s="489" t="s">
        <v>265</v>
      </c>
      <c r="G1139" s="488" t="s">
        <v>266</v>
      </c>
      <c r="H1139" s="489"/>
      <c r="I1139" s="489"/>
      <c r="J1139" s="489" t="s">
        <v>984</v>
      </c>
      <c r="K1139" s="491"/>
      <c r="L1139" s="488"/>
      <c r="M1139" s="488"/>
      <c r="N1139" s="489"/>
      <c r="O1139" s="489"/>
      <c r="P1139" s="489"/>
      <c r="Q1139" s="489"/>
      <c r="R1139" s="490"/>
      <c r="S1139" s="489"/>
      <c r="T1139" s="488" t="s">
        <v>268</v>
      </c>
    </row>
    <row r="1140" ht="34.5">
      <c r="A1140" s="488" t="s">
        <v>1201</v>
      </c>
      <c r="B1140" s="488" t="s">
        <v>1202</v>
      </c>
      <c r="C1140" s="488" t="s">
        <v>1203</v>
      </c>
      <c r="D1140" s="488" t="s">
        <v>263</v>
      </c>
      <c r="E1140" s="488" t="s">
        <v>264</v>
      </c>
      <c r="F1140" s="489" t="s">
        <v>265</v>
      </c>
      <c r="G1140" s="488" t="s">
        <v>266</v>
      </c>
      <c r="H1140" s="489"/>
      <c r="I1140" s="489"/>
      <c r="J1140" s="489" t="s">
        <v>1205</v>
      </c>
      <c r="K1140" s="491"/>
      <c r="L1140" s="488"/>
      <c r="M1140" s="488"/>
      <c r="N1140" s="489"/>
      <c r="O1140" s="489"/>
      <c r="P1140" s="489"/>
      <c r="Q1140" s="489"/>
      <c r="R1140" s="490"/>
      <c r="S1140" s="489"/>
      <c r="T1140" s="488" t="s">
        <v>268</v>
      </c>
    </row>
    <row r="1141" ht="34.5">
      <c r="A1141" s="488" t="s">
        <v>1201</v>
      </c>
      <c r="B1141" s="488" t="s">
        <v>1202</v>
      </c>
      <c r="C1141" s="488" t="s">
        <v>1203</v>
      </c>
      <c r="D1141" s="488" t="s">
        <v>263</v>
      </c>
      <c r="E1141" s="488" t="s">
        <v>264</v>
      </c>
      <c r="F1141" s="489" t="s">
        <v>265</v>
      </c>
      <c r="G1141" s="488" t="s">
        <v>266</v>
      </c>
      <c r="H1141" s="489"/>
      <c r="I1141" s="489"/>
      <c r="J1141" s="489" t="s">
        <v>1206</v>
      </c>
      <c r="K1141" s="491"/>
      <c r="L1141" s="488"/>
      <c r="M1141" s="488"/>
      <c r="N1141" s="489"/>
      <c r="O1141" s="489"/>
      <c r="P1141" s="489"/>
      <c r="Q1141" s="489"/>
      <c r="R1141" s="490"/>
      <c r="S1141" s="489"/>
      <c r="T1141" s="488" t="s">
        <v>268</v>
      </c>
    </row>
    <row r="1142" ht="34.5">
      <c r="A1142" s="488" t="s">
        <v>1201</v>
      </c>
      <c r="B1142" s="488" t="s">
        <v>1202</v>
      </c>
      <c r="C1142" s="488" t="s">
        <v>1203</v>
      </c>
      <c r="D1142" s="488" t="s">
        <v>263</v>
      </c>
      <c r="E1142" s="488" t="s">
        <v>264</v>
      </c>
      <c r="F1142" s="489" t="s">
        <v>265</v>
      </c>
      <c r="G1142" s="488" t="s">
        <v>266</v>
      </c>
      <c r="H1142" s="489"/>
      <c r="I1142" s="489"/>
      <c r="J1142" s="489" t="s">
        <v>1207</v>
      </c>
      <c r="K1142" s="491"/>
      <c r="L1142" s="488"/>
      <c r="M1142" s="488"/>
      <c r="N1142" s="489"/>
      <c r="O1142" s="489"/>
      <c r="P1142" s="489"/>
      <c r="Q1142" s="489"/>
      <c r="R1142" s="490"/>
      <c r="S1142" s="489"/>
      <c r="T1142" s="488" t="s">
        <v>268</v>
      </c>
    </row>
    <row r="1143" ht="34.5">
      <c r="A1143" s="488" t="s">
        <v>1201</v>
      </c>
      <c r="B1143" s="488" t="s">
        <v>1202</v>
      </c>
      <c r="C1143" s="488" t="s">
        <v>1203</v>
      </c>
      <c r="D1143" s="488" t="s">
        <v>263</v>
      </c>
      <c r="E1143" s="488" t="s">
        <v>264</v>
      </c>
      <c r="F1143" s="489" t="s">
        <v>265</v>
      </c>
      <c r="G1143" s="488" t="s">
        <v>266</v>
      </c>
      <c r="H1143" s="489"/>
      <c r="I1143" s="489"/>
      <c r="J1143" s="489" t="s">
        <v>1208</v>
      </c>
      <c r="K1143" s="491"/>
      <c r="L1143" s="488"/>
      <c r="M1143" s="488"/>
      <c r="N1143" s="489"/>
      <c r="O1143" s="489"/>
      <c r="P1143" s="489"/>
      <c r="Q1143" s="489"/>
      <c r="R1143" s="490"/>
      <c r="S1143" s="489"/>
      <c r="T1143" s="488" t="s">
        <v>268</v>
      </c>
    </row>
    <row r="1144" ht="34.5">
      <c r="A1144" s="488" t="s">
        <v>1201</v>
      </c>
      <c r="B1144" s="488" t="s">
        <v>1202</v>
      </c>
      <c r="C1144" s="488" t="s">
        <v>1203</v>
      </c>
      <c r="D1144" s="488" t="s">
        <v>263</v>
      </c>
      <c r="E1144" s="488" t="s">
        <v>264</v>
      </c>
      <c r="F1144" s="489" t="s">
        <v>265</v>
      </c>
      <c r="G1144" s="488" t="s">
        <v>266</v>
      </c>
      <c r="H1144" s="489"/>
      <c r="I1144" s="489"/>
      <c r="J1144" s="489" t="s">
        <v>1209</v>
      </c>
      <c r="K1144" s="491"/>
      <c r="L1144" s="488"/>
      <c r="M1144" s="488"/>
      <c r="N1144" s="489"/>
      <c r="O1144" s="489"/>
      <c r="P1144" s="489"/>
      <c r="Q1144" s="489"/>
      <c r="R1144" s="490"/>
      <c r="S1144" s="489"/>
      <c r="T1144" s="488" t="s">
        <v>268</v>
      </c>
    </row>
    <row r="1145" ht="34.5">
      <c r="A1145" s="488" t="s">
        <v>1201</v>
      </c>
      <c r="B1145" s="488" t="s">
        <v>1202</v>
      </c>
      <c r="C1145" s="488" t="s">
        <v>1203</v>
      </c>
      <c r="D1145" s="488" t="s">
        <v>263</v>
      </c>
      <c r="E1145" s="488" t="s">
        <v>264</v>
      </c>
      <c r="F1145" s="489" t="s">
        <v>265</v>
      </c>
      <c r="G1145" s="488" t="s">
        <v>266</v>
      </c>
      <c r="H1145" s="489"/>
      <c r="I1145" s="489"/>
      <c r="J1145" s="489" t="s">
        <v>1210</v>
      </c>
      <c r="K1145" s="491"/>
      <c r="L1145" s="488"/>
      <c r="M1145" s="488"/>
      <c r="N1145" s="489"/>
      <c r="O1145" s="489"/>
      <c r="P1145" s="489"/>
      <c r="Q1145" s="489"/>
      <c r="R1145" s="490"/>
      <c r="S1145" s="489"/>
      <c r="T1145" s="488" t="s">
        <v>268</v>
      </c>
    </row>
    <row r="1146" ht="34.5">
      <c r="A1146" s="488" t="s">
        <v>1201</v>
      </c>
      <c r="B1146" s="488" t="s">
        <v>1202</v>
      </c>
      <c r="C1146" s="488" t="s">
        <v>982</v>
      </c>
      <c r="D1146" s="488" t="s">
        <v>263</v>
      </c>
      <c r="E1146" s="488" t="s">
        <v>264</v>
      </c>
      <c r="F1146" s="489" t="s">
        <v>265</v>
      </c>
      <c r="G1146" s="488" t="s">
        <v>266</v>
      </c>
      <c r="H1146" s="489"/>
      <c r="I1146" s="489"/>
      <c r="J1146" s="489" t="s">
        <v>277</v>
      </c>
      <c r="K1146" s="491"/>
      <c r="L1146" s="488"/>
      <c r="M1146" s="488"/>
      <c r="N1146" s="489"/>
      <c r="O1146" s="489"/>
      <c r="P1146" s="489"/>
      <c r="Q1146" s="489"/>
      <c r="R1146" s="490"/>
      <c r="S1146" s="489"/>
      <c r="T1146" s="488" t="s">
        <v>268</v>
      </c>
    </row>
    <row r="1147" ht="34.5">
      <c r="A1147" s="488" t="s">
        <v>1201</v>
      </c>
      <c r="B1147" s="488" t="s">
        <v>1202</v>
      </c>
      <c r="C1147" s="488" t="s">
        <v>982</v>
      </c>
      <c r="D1147" s="488" t="s">
        <v>263</v>
      </c>
      <c r="E1147" s="488" t="s">
        <v>264</v>
      </c>
      <c r="F1147" s="489" t="s">
        <v>265</v>
      </c>
      <c r="G1147" s="488" t="s">
        <v>266</v>
      </c>
      <c r="H1147" s="489"/>
      <c r="I1147" s="489"/>
      <c r="J1147" s="489" t="s">
        <v>1211</v>
      </c>
      <c r="K1147" s="491"/>
      <c r="L1147" s="488"/>
      <c r="M1147" s="488"/>
      <c r="N1147" s="489"/>
      <c r="O1147" s="489"/>
      <c r="P1147" s="489"/>
      <c r="Q1147" s="489"/>
      <c r="R1147" s="490"/>
      <c r="S1147" s="489"/>
      <c r="T1147" s="488" t="s">
        <v>268</v>
      </c>
    </row>
    <row r="1148" ht="34.5">
      <c r="A1148" s="488" t="s">
        <v>1201</v>
      </c>
      <c r="B1148" s="488" t="s">
        <v>1202</v>
      </c>
      <c r="C1148" s="488" t="s">
        <v>982</v>
      </c>
      <c r="D1148" s="488" t="s">
        <v>263</v>
      </c>
      <c r="E1148" s="488" t="s">
        <v>264</v>
      </c>
      <c r="F1148" s="489" t="s">
        <v>265</v>
      </c>
      <c r="G1148" s="488" t="s">
        <v>266</v>
      </c>
      <c r="H1148" s="489"/>
      <c r="I1148" s="489"/>
      <c r="J1148" s="489" t="s">
        <v>1212</v>
      </c>
      <c r="K1148" s="491"/>
      <c r="L1148" s="488"/>
      <c r="M1148" s="488"/>
      <c r="N1148" s="489"/>
      <c r="O1148" s="489"/>
      <c r="P1148" s="489"/>
      <c r="Q1148" s="489"/>
      <c r="R1148" s="490"/>
      <c r="S1148" s="489"/>
      <c r="T1148" s="488" t="s">
        <v>268</v>
      </c>
    </row>
    <row r="1149" ht="34.5">
      <c r="A1149" s="488" t="s">
        <v>1201</v>
      </c>
      <c r="B1149" s="488" t="s">
        <v>1202</v>
      </c>
      <c r="C1149" s="488" t="s">
        <v>982</v>
      </c>
      <c r="D1149" s="488" t="s">
        <v>263</v>
      </c>
      <c r="E1149" s="488" t="s">
        <v>264</v>
      </c>
      <c r="F1149" s="489" t="s">
        <v>265</v>
      </c>
      <c r="G1149" s="488" t="s">
        <v>266</v>
      </c>
      <c r="H1149" s="489"/>
      <c r="I1149" s="489"/>
      <c r="J1149" s="489" t="s">
        <v>1213</v>
      </c>
      <c r="K1149" s="491"/>
      <c r="L1149" s="488"/>
      <c r="M1149" s="488"/>
      <c r="N1149" s="489"/>
      <c r="O1149" s="489"/>
      <c r="P1149" s="489"/>
      <c r="Q1149" s="489"/>
      <c r="R1149" s="490"/>
      <c r="S1149" s="489"/>
      <c r="T1149" s="488" t="s">
        <v>268</v>
      </c>
    </row>
    <row r="1150" ht="34.5">
      <c r="A1150" s="488" t="s">
        <v>1201</v>
      </c>
      <c r="B1150" s="488" t="s">
        <v>1202</v>
      </c>
      <c r="C1150" s="488" t="s">
        <v>982</v>
      </c>
      <c r="D1150" s="488" t="s">
        <v>263</v>
      </c>
      <c r="E1150" s="488" t="s">
        <v>264</v>
      </c>
      <c r="F1150" s="489" t="s">
        <v>265</v>
      </c>
      <c r="G1150" s="488" t="s">
        <v>266</v>
      </c>
      <c r="H1150" s="489"/>
      <c r="I1150" s="489"/>
      <c r="J1150" s="489" t="s">
        <v>1214</v>
      </c>
      <c r="K1150" s="491"/>
      <c r="L1150" s="488"/>
      <c r="M1150" s="488"/>
      <c r="N1150" s="489"/>
      <c r="O1150" s="489"/>
      <c r="P1150" s="489"/>
      <c r="Q1150" s="489"/>
      <c r="R1150" s="490"/>
      <c r="S1150" s="489"/>
      <c r="T1150" s="488" t="s">
        <v>268</v>
      </c>
    </row>
    <row r="1151" ht="34.5">
      <c r="A1151" s="488" t="s">
        <v>1201</v>
      </c>
      <c r="B1151" s="488" t="s">
        <v>1202</v>
      </c>
      <c r="C1151" s="488" t="s">
        <v>982</v>
      </c>
      <c r="D1151" s="488" t="s">
        <v>263</v>
      </c>
      <c r="E1151" s="488" t="s">
        <v>264</v>
      </c>
      <c r="F1151" s="489" t="s">
        <v>265</v>
      </c>
      <c r="G1151" s="488" t="s">
        <v>266</v>
      </c>
      <c r="H1151" s="489"/>
      <c r="I1151" s="489"/>
      <c r="J1151" s="489" t="s">
        <v>987</v>
      </c>
      <c r="K1151" s="491"/>
      <c r="L1151" s="488"/>
      <c r="M1151" s="488"/>
      <c r="N1151" s="489"/>
      <c r="O1151" s="489"/>
      <c r="P1151" s="489"/>
      <c r="Q1151" s="489"/>
      <c r="R1151" s="490"/>
      <c r="S1151" s="489"/>
      <c r="T1151" s="488" t="s">
        <v>268</v>
      </c>
    </row>
    <row r="1152" ht="34.5">
      <c r="A1152" s="488" t="s">
        <v>1201</v>
      </c>
      <c r="B1152" s="488" t="s">
        <v>1202</v>
      </c>
      <c r="C1152" s="488" t="s">
        <v>982</v>
      </c>
      <c r="D1152" s="488" t="s">
        <v>263</v>
      </c>
      <c r="E1152" s="488" t="s">
        <v>264</v>
      </c>
      <c r="F1152" s="489" t="s">
        <v>265</v>
      </c>
      <c r="G1152" s="488" t="s">
        <v>266</v>
      </c>
      <c r="H1152" s="489"/>
      <c r="I1152" s="489"/>
      <c r="J1152" s="489" t="s">
        <v>988</v>
      </c>
      <c r="K1152" s="491"/>
      <c r="L1152" s="488"/>
      <c r="M1152" s="488"/>
      <c r="N1152" s="489"/>
      <c r="O1152" s="489"/>
      <c r="P1152" s="489"/>
      <c r="Q1152" s="489"/>
      <c r="R1152" s="490"/>
      <c r="S1152" s="489"/>
      <c r="T1152" s="488" t="s">
        <v>268</v>
      </c>
    </row>
    <row r="1153" ht="34.5">
      <c r="A1153" s="488" t="s">
        <v>1201</v>
      </c>
      <c r="B1153" s="488" t="s">
        <v>1202</v>
      </c>
      <c r="C1153" s="488" t="s">
        <v>982</v>
      </c>
      <c r="D1153" s="488" t="s">
        <v>263</v>
      </c>
      <c r="E1153" s="488" t="s">
        <v>264</v>
      </c>
      <c r="F1153" s="489" t="s">
        <v>265</v>
      </c>
      <c r="G1153" s="488" t="s">
        <v>266</v>
      </c>
      <c r="H1153" s="489"/>
      <c r="I1153" s="489"/>
      <c r="J1153" s="489" t="s">
        <v>788</v>
      </c>
      <c r="K1153" s="491"/>
      <c r="L1153" s="488"/>
      <c r="M1153" s="488"/>
      <c r="N1153" s="489"/>
      <c r="O1153" s="489"/>
      <c r="P1153" s="489"/>
      <c r="Q1153" s="489"/>
      <c r="R1153" s="490"/>
      <c r="S1153" s="489"/>
      <c r="T1153" s="488" t="s">
        <v>268</v>
      </c>
    </row>
    <row r="1154" ht="34.5">
      <c r="A1154" s="488" t="s">
        <v>1201</v>
      </c>
      <c r="B1154" s="488" t="s">
        <v>1202</v>
      </c>
      <c r="C1154" s="488" t="s">
        <v>982</v>
      </c>
      <c r="D1154" s="488" t="s">
        <v>263</v>
      </c>
      <c r="E1154" s="488" t="s">
        <v>264</v>
      </c>
      <c r="F1154" s="489" t="s">
        <v>265</v>
      </c>
      <c r="G1154" s="488" t="s">
        <v>266</v>
      </c>
      <c r="H1154" s="489"/>
      <c r="I1154" s="489"/>
      <c r="J1154" s="489" t="s">
        <v>1215</v>
      </c>
      <c r="K1154" s="491"/>
      <c r="L1154" s="488"/>
      <c r="M1154" s="488"/>
      <c r="N1154" s="489"/>
      <c r="O1154" s="489"/>
      <c r="P1154" s="489"/>
      <c r="Q1154" s="489"/>
      <c r="R1154" s="490"/>
      <c r="S1154" s="489"/>
      <c r="T1154" s="488" t="s">
        <v>268</v>
      </c>
    </row>
    <row r="1155" ht="34.5">
      <c r="A1155" s="488" t="s">
        <v>1201</v>
      </c>
      <c r="B1155" s="488" t="s">
        <v>1202</v>
      </c>
      <c r="C1155" s="488" t="s">
        <v>982</v>
      </c>
      <c r="D1155" s="488" t="s">
        <v>263</v>
      </c>
      <c r="E1155" s="488" t="s">
        <v>264</v>
      </c>
      <c r="F1155" s="489" t="s">
        <v>265</v>
      </c>
      <c r="G1155" s="488" t="s">
        <v>266</v>
      </c>
      <c r="H1155" s="489"/>
      <c r="I1155" s="489"/>
      <c r="J1155" s="489" t="s">
        <v>1216</v>
      </c>
      <c r="K1155" s="491"/>
      <c r="L1155" s="488"/>
      <c r="M1155" s="488"/>
      <c r="N1155" s="489"/>
      <c r="O1155" s="489"/>
      <c r="P1155" s="489"/>
      <c r="Q1155" s="489"/>
      <c r="R1155" s="490"/>
      <c r="S1155" s="489"/>
      <c r="T1155" s="488" t="s">
        <v>268</v>
      </c>
    </row>
    <row r="1156" ht="34.5">
      <c r="A1156" s="488" t="s">
        <v>1201</v>
      </c>
      <c r="B1156" s="488" t="s">
        <v>1202</v>
      </c>
      <c r="C1156" s="488" t="s">
        <v>262</v>
      </c>
      <c r="D1156" s="488" t="s">
        <v>263</v>
      </c>
      <c r="E1156" s="488" t="s">
        <v>282</v>
      </c>
      <c r="F1156" s="489" t="s">
        <v>993</v>
      </c>
      <c r="G1156" s="488" t="s">
        <v>284</v>
      </c>
      <c r="H1156" s="489"/>
      <c r="I1156" s="489"/>
      <c r="J1156" s="489" t="s">
        <v>299</v>
      </c>
      <c r="K1156" s="491"/>
      <c r="L1156" s="488"/>
      <c r="M1156" s="488"/>
      <c r="N1156" s="489"/>
      <c r="O1156" s="489"/>
      <c r="P1156" s="489"/>
      <c r="Q1156" s="489"/>
      <c r="R1156" s="490"/>
      <c r="S1156" s="489"/>
      <c r="T1156" s="488" t="s">
        <v>268</v>
      </c>
    </row>
    <row r="1157" ht="34.5">
      <c r="A1157" s="488" t="s">
        <v>1201</v>
      </c>
      <c r="B1157" s="488" t="s">
        <v>1202</v>
      </c>
      <c r="C1157" s="488" t="s">
        <v>262</v>
      </c>
      <c r="D1157" s="488" t="s">
        <v>263</v>
      </c>
      <c r="E1157" s="488" t="s">
        <v>282</v>
      </c>
      <c r="F1157" s="489" t="s">
        <v>993</v>
      </c>
      <c r="G1157" s="488" t="s">
        <v>284</v>
      </c>
      <c r="H1157" s="489"/>
      <c r="I1157" s="489"/>
      <c r="J1157" s="489" t="s">
        <v>1217</v>
      </c>
      <c r="K1157" s="491"/>
      <c r="L1157" s="488"/>
      <c r="M1157" s="488"/>
      <c r="N1157" s="489"/>
      <c r="O1157" s="489"/>
      <c r="P1157" s="489"/>
      <c r="Q1157" s="489"/>
      <c r="R1157" s="490"/>
      <c r="S1157" s="489"/>
      <c r="T1157" s="488" t="s">
        <v>268</v>
      </c>
    </row>
    <row r="1158" ht="34.5">
      <c r="A1158" s="488" t="s">
        <v>1201</v>
      </c>
      <c r="B1158" s="488" t="s">
        <v>1202</v>
      </c>
      <c r="C1158" s="488" t="s">
        <v>262</v>
      </c>
      <c r="D1158" s="488" t="s">
        <v>263</v>
      </c>
      <c r="E1158" s="488" t="s">
        <v>282</v>
      </c>
      <c r="F1158" s="489" t="s">
        <v>993</v>
      </c>
      <c r="G1158" s="488" t="s">
        <v>284</v>
      </c>
      <c r="H1158" s="489"/>
      <c r="I1158" s="489"/>
      <c r="J1158" s="489" t="s">
        <v>1218</v>
      </c>
      <c r="K1158" s="491"/>
      <c r="L1158" s="488"/>
      <c r="M1158" s="488"/>
      <c r="N1158" s="489"/>
      <c r="O1158" s="489"/>
      <c r="P1158" s="489"/>
      <c r="Q1158" s="489"/>
      <c r="R1158" s="490"/>
      <c r="S1158" s="489"/>
      <c r="T1158" s="488" t="s">
        <v>268</v>
      </c>
    </row>
    <row r="1159" ht="34.5">
      <c r="A1159" s="488" t="s">
        <v>1201</v>
      </c>
      <c r="B1159" s="488" t="s">
        <v>1202</v>
      </c>
      <c r="C1159" s="488" t="s">
        <v>262</v>
      </c>
      <c r="D1159" s="488" t="s">
        <v>263</v>
      </c>
      <c r="E1159" s="488" t="s">
        <v>282</v>
      </c>
      <c r="F1159" s="489" t="s">
        <v>993</v>
      </c>
      <c r="G1159" s="488" t="s">
        <v>284</v>
      </c>
      <c r="H1159" s="489"/>
      <c r="I1159" s="489"/>
      <c r="J1159" s="489" t="s">
        <v>1219</v>
      </c>
      <c r="K1159" s="491"/>
      <c r="L1159" s="488"/>
      <c r="M1159" s="488"/>
      <c r="N1159" s="489"/>
      <c r="O1159" s="489"/>
      <c r="P1159" s="489"/>
      <c r="Q1159" s="489"/>
      <c r="R1159" s="490"/>
      <c r="S1159" s="489"/>
      <c r="T1159" s="488" t="s">
        <v>268</v>
      </c>
    </row>
    <row r="1160" ht="34.5">
      <c r="A1160" s="488" t="s">
        <v>1201</v>
      </c>
      <c r="B1160" s="488" t="s">
        <v>1202</v>
      </c>
      <c r="C1160" s="488" t="s">
        <v>262</v>
      </c>
      <c r="D1160" s="488" t="s">
        <v>263</v>
      </c>
      <c r="E1160" s="488" t="s">
        <v>282</v>
      </c>
      <c r="F1160" s="489" t="s">
        <v>993</v>
      </c>
      <c r="G1160" s="488" t="s">
        <v>284</v>
      </c>
      <c r="H1160" s="489"/>
      <c r="I1160" s="489"/>
      <c r="J1160" s="489" t="s">
        <v>1220</v>
      </c>
      <c r="K1160" s="491"/>
      <c r="L1160" s="488"/>
      <c r="M1160" s="488"/>
      <c r="N1160" s="489"/>
      <c r="O1160" s="489"/>
      <c r="P1160" s="489"/>
      <c r="Q1160" s="489"/>
      <c r="R1160" s="490"/>
      <c r="S1160" s="489"/>
      <c r="T1160" s="488" t="s">
        <v>268</v>
      </c>
    </row>
    <row r="1161" ht="34.5">
      <c r="A1161" s="488" t="s">
        <v>1201</v>
      </c>
      <c r="B1161" s="488" t="s">
        <v>1202</v>
      </c>
      <c r="C1161" s="488" t="s">
        <v>262</v>
      </c>
      <c r="D1161" s="488" t="s">
        <v>263</v>
      </c>
      <c r="E1161" s="488" t="s">
        <v>282</v>
      </c>
      <c r="F1161" s="489" t="s">
        <v>993</v>
      </c>
      <c r="G1161" s="488" t="s">
        <v>284</v>
      </c>
      <c r="H1161" s="489"/>
      <c r="I1161" s="489"/>
      <c r="J1161" s="489" t="s">
        <v>300</v>
      </c>
      <c r="K1161" s="491"/>
      <c r="L1161" s="488"/>
      <c r="M1161" s="488"/>
      <c r="N1161" s="489"/>
      <c r="O1161" s="489"/>
      <c r="P1161" s="489"/>
      <c r="Q1161" s="489"/>
      <c r="R1161" s="490"/>
      <c r="S1161" s="489"/>
      <c r="T1161" s="488" t="s">
        <v>268</v>
      </c>
    </row>
    <row r="1162" ht="34.5">
      <c r="A1162" s="488" t="s">
        <v>1201</v>
      </c>
      <c r="B1162" s="488" t="s">
        <v>1202</v>
      </c>
      <c r="C1162" s="488" t="s">
        <v>262</v>
      </c>
      <c r="D1162" s="488" t="s">
        <v>263</v>
      </c>
      <c r="E1162" s="488" t="s">
        <v>282</v>
      </c>
      <c r="F1162" s="489" t="s">
        <v>993</v>
      </c>
      <c r="G1162" s="488" t="s">
        <v>284</v>
      </c>
      <c r="H1162" s="489"/>
      <c r="I1162" s="489"/>
      <c r="J1162" s="489" t="s">
        <v>1221</v>
      </c>
      <c r="K1162" s="491"/>
      <c r="L1162" s="488"/>
      <c r="M1162" s="488"/>
      <c r="N1162" s="489"/>
      <c r="O1162" s="489"/>
      <c r="P1162" s="489"/>
      <c r="Q1162" s="489"/>
      <c r="R1162" s="490"/>
      <c r="S1162" s="489"/>
      <c r="T1162" s="488" t="s">
        <v>268</v>
      </c>
    </row>
    <row r="1163" ht="34.5">
      <c r="A1163" s="488" t="s">
        <v>1201</v>
      </c>
      <c r="B1163" s="488" t="s">
        <v>1202</v>
      </c>
      <c r="C1163" s="488" t="s">
        <v>262</v>
      </c>
      <c r="D1163" s="488" t="s">
        <v>263</v>
      </c>
      <c r="E1163" s="488" t="s">
        <v>282</v>
      </c>
      <c r="F1163" s="489" t="s">
        <v>993</v>
      </c>
      <c r="G1163" s="488" t="s">
        <v>284</v>
      </c>
      <c r="H1163" s="489"/>
      <c r="I1163" s="489"/>
      <c r="J1163" s="489" t="s">
        <v>1222</v>
      </c>
      <c r="K1163" s="491"/>
      <c r="L1163" s="488"/>
      <c r="M1163" s="488"/>
      <c r="N1163" s="489"/>
      <c r="O1163" s="489"/>
      <c r="P1163" s="489"/>
      <c r="Q1163" s="489"/>
      <c r="R1163" s="490"/>
      <c r="S1163" s="489"/>
      <c r="T1163" s="488" t="s">
        <v>268</v>
      </c>
    </row>
    <row r="1164" ht="34.5">
      <c r="A1164" s="488" t="s">
        <v>1201</v>
      </c>
      <c r="B1164" s="488" t="s">
        <v>1202</v>
      </c>
      <c r="C1164" s="488" t="s">
        <v>276</v>
      </c>
      <c r="D1164" s="488" t="s">
        <v>263</v>
      </c>
      <c r="E1164" s="488" t="s">
        <v>282</v>
      </c>
      <c r="F1164" s="489" t="s">
        <v>993</v>
      </c>
      <c r="G1164" s="488" t="s">
        <v>284</v>
      </c>
      <c r="H1164" s="489"/>
      <c r="I1164" s="489"/>
      <c r="J1164" s="489" t="s">
        <v>1223</v>
      </c>
      <c r="K1164" s="491"/>
      <c r="L1164" s="488"/>
      <c r="M1164" s="488"/>
      <c r="N1164" s="489"/>
      <c r="O1164" s="489"/>
      <c r="P1164" s="489"/>
      <c r="Q1164" s="489"/>
      <c r="R1164" s="490"/>
      <c r="S1164" s="489"/>
      <c r="T1164" s="488" t="s">
        <v>268</v>
      </c>
    </row>
    <row r="1165" ht="34.5">
      <c r="A1165" s="488" t="s">
        <v>1201</v>
      </c>
      <c r="B1165" s="488" t="s">
        <v>1202</v>
      </c>
      <c r="C1165" s="488" t="s">
        <v>276</v>
      </c>
      <c r="D1165" s="488" t="s">
        <v>263</v>
      </c>
      <c r="E1165" s="488" t="s">
        <v>282</v>
      </c>
      <c r="F1165" s="489" t="s">
        <v>993</v>
      </c>
      <c r="G1165" s="488" t="s">
        <v>284</v>
      </c>
      <c r="H1165" s="489"/>
      <c r="I1165" s="489"/>
      <c r="J1165" s="489" t="s">
        <v>1224</v>
      </c>
      <c r="K1165" s="491"/>
      <c r="L1165" s="488"/>
      <c r="M1165" s="488"/>
      <c r="N1165" s="489"/>
      <c r="O1165" s="489"/>
      <c r="P1165" s="489"/>
      <c r="Q1165" s="489"/>
      <c r="R1165" s="490"/>
      <c r="S1165" s="489"/>
      <c r="T1165" s="488" t="s">
        <v>268</v>
      </c>
    </row>
    <row r="1166" ht="34.5">
      <c r="A1166" s="488" t="s">
        <v>1201</v>
      </c>
      <c r="B1166" s="488" t="s">
        <v>1202</v>
      </c>
      <c r="C1166" s="488" t="s">
        <v>276</v>
      </c>
      <c r="D1166" s="488" t="s">
        <v>263</v>
      </c>
      <c r="E1166" s="488" t="s">
        <v>282</v>
      </c>
      <c r="F1166" s="489" t="s">
        <v>993</v>
      </c>
      <c r="G1166" s="488" t="s">
        <v>284</v>
      </c>
      <c r="H1166" s="489"/>
      <c r="I1166" s="489"/>
      <c r="J1166" s="489" t="s">
        <v>1225</v>
      </c>
      <c r="K1166" s="491"/>
      <c r="L1166" s="488"/>
      <c r="M1166" s="488"/>
      <c r="N1166" s="489"/>
      <c r="O1166" s="489"/>
      <c r="P1166" s="489"/>
      <c r="Q1166" s="489"/>
      <c r="R1166" s="490"/>
      <c r="S1166" s="489"/>
      <c r="T1166" s="488" t="s">
        <v>268</v>
      </c>
    </row>
    <row r="1167" ht="34.5">
      <c r="A1167" s="488" t="s">
        <v>1201</v>
      </c>
      <c r="B1167" s="488" t="s">
        <v>1202</v>
      </c>
      <c r="C1167" s="488" t="s">
        <v>276</v>
      </c>
      <c r="D1167" s="488" t="s">
        <v>263</v>
      </c>
      <c r="E1167" s="488" t="s">
        <v>282</v>
      </c>
      <c r="F1167" s="489" t="s">
        <v>993</v>
      </c>
      <c r="G1167" s="488" t="s">
        <v>284</v>
      </c>
      <c r="H1167" s="489"/>
      <c r="I1167" s="489"/>
      <c r="J1167" s="489" t="s">
        <v>1226</v>
      </c>
      <c r="K1167" s="491"/>
      <c r="L1167" s="488"/>
      <c r="M1167" s="488"/>
      <c r="N1167" s="489"/>
      <c r="O1167" s="489"/>
      <c r="P1167" s="489"/>
      <c r="Q1167" s="489"/>
      <c r="R1167" s="490"/>
      <c r="S1167" s="489"/>
      <c r="T1167" s="488" t="s">
        <v>268</v>
      </c>
    </row>
    <row r="1168" ht="34.5">
      <c r="A1168" s="488" t="s">
        <v>1201</v>
      </c>
      <c r="B1168" s="488" t="s">
        <v>1202</v>
      </c>
      <c r="C1168" s="488" t="s">
        <v>276</v>
      </c>
      <c r="D1168" s="488" t="s">
        <v>263</v>
      </c>
      <c r="E1168" s="488" t="s">
        <v>282</v>
      </c>
      <c r="F1168" s="489" t="s">
        <v>993</v>
      </c>
      <c r="G1168" s="488" t="s">
        <v>284</v>
      </c>
      <c r="H1168" s="489"/>
      <c r="I1168" s="489"/>
      <c r="J1168" s="489" t="s">
        <v>1227</v>
      </c>
      <c r="K1168" s="491"/>
      <c r="L1168" s="488"/>
      <c r="M1168" s="488"/>
      <c r="N1168" s="489"/>
      <c r="O1168" s="489"/>
      <c r="P1168" s="489"/>
      <c r="Q1168" s="489"/>
      <c r="R1168" s="490"/>
      <c r="S1168" s="489"/>
      <c r="T1168" s="488" t="s">
        <v>268</v>
      </c>
    </row>
    <row r="1169" ht="34.5">
      <c r="A1169" s="488" t="s">
        <v>1201</v>
      </c>
      <c r="B1169" s="488" t="s">
        <v>1202</v>
      </c>
      <c r="C1169" s="488" t="s">
        <v>276</v>
      </c>
      <c r="D1169" s="488" t="s">
        <v>263</v>
      </c>
      <c r="E1169" s="488" t="s">
        <v>282</v>
      </c>
      <c r="F1169" s="489" t="s">
        <v>993</v>
      </c>
      <c r="G1169" s="488" t="s">
        <v>284</v>
      </c>
      <c r="H1169" s="489"/>
      <c r="I1169" s="489"/>
      <c r="J1169" s="489" t="s">
        <v>1228</v>
      </c>
      <c r="K1169" s="491"/>
      <c r="L1169" s="488"/>
      <c r="M1169" s="488"/>
      <c r="N1169" s="489"/>
      <c r="O1169" s="489"/>
      <c r="P1169" s="489"/>
      <c r="Q1169" s="489"/>
      <c r="R1169" s="490"/>
      <c r="S1169" s="489"/>
      <c r="T1169" s="488" t="s">
        <v>268</v>
      </c>
    </row>
    <row r="1170" ht="34.5">
      <c r="A1170" s="488" t="s">
        <v>1201</v>
      </c>
      <c r="B1170" s="488" t="s">
        <v>1202</v>
      </c>
      <c r="C1170" s="488" t="s">
        <v>276</v>
      </c>
      <c r="D1170" s="488" t="s">
        <v>263</v>
      </c>
      <c r="E1170" s="488" t="s">
        <v>282</v>
      </c>
      <c r="F1170" s="489" t="s">
        <v>993</v>
      </c>
      <c r="G1170" s="488" t="s">
        <v>284</v>
      </c>
      <c r="H1170" s="489"/>
      <c r="I1170" s="489"/>
      <c r="J1170" s="489" t="s">
        <v>1229</v>
      </c>
      <c r="K1170" s="491"/>
      <c r="L1170" s="488"/>
      <c r="M1170" s="488"/>
      <c r="N1170" s="489"/>
      <c r="O1170" s="489"/>
      <c r="P1170" s="489"/>
      <c r="Q1170" s="489"/>
      <c r="R1170" s="490"/>
      <c r="S1170" s="489"/>
      <c r="T1170" s="488" t="s">
        <v>268</v>
      </c>
    </row>
    <row r="1171" ht="34.5">
      <c r="A1171" s="488" t="s">
        <v>1201</v>
      </c>
      <c r="B1171" s="488" t="s">
        <v>1202</v>
      </c>
      <c r="C1171" s="488" t="s">
        <v>276</v>
      </c>
      <c r="D1171" s="488" t="s">
        <v>263</v>
      </c>
      <c r="E1171" s="488" t="s">
        <v>282</v>
      </c>
      <c r="F1171" s="489" t="s">
        <v>993</v>
      </c>
      <c r="G1171" s="488" t="s">
        <v>284</v>
      </c>
      <c r="H1171" s="489"/>
      <c r="I1171" s="489"/>
      <c r="J1171" s="489" t="s">
        <v>1230</v>
      </c>
      <c r="K1171" s="491"/>
      <c r="L1171" s="488"/>
      <c r="M1171" s="488"/>
      <c r="N1171" s="489"/>
      <c r="O1171" s="489"/>
      <c r="P1171" s="489"/>
      <c r="Q1171" s="489"/>
      <c r="R1171" s="490"/>
      <c r="S1171" s="489"/>
      <c r="T1171" s="488" t="s">
        <v>268</v>
      </c>
    </row>
    <row r="1172" ht="34.5">
      <c r="A1172" s="488" t="s">
        <v>1201</v>
      </c>
      <c r="B1172" s="488" t="s">
        <v>1202</v>
      </c>
      <c r="C1172" s="488" t="s">
        <v>276</v>
      </c>
      <c r="D1172" s="488" t="s">
        <v>263</v>
      </c>
      <c r="E1172" s="488" t="s">
        <v>282</v>
      </c>
      <c r="F1172" s="489" t="s">
        <v>993</v>
      </c>
      <c r="G1172" s="488" t="s">
        <v>284</v>
      </c>
      <c r="H1172" s="489"/>
      <c r="I1172" s="489"/>
      <c r="J1172" s="489" t="s">
        <v>1231</v>
      </c>
      <c r="K1172" s="491"/>
      <c r="L1172" s="488"/>
      <c r="M1172" s="488"/>
      <c r="N1172" s="489"/>
      <c r="O1172" s="489"/>
      <c r="P1172" s="489"/>
      <c r="Q1172" s="489"/>
      <c r="R1172" s="490"/>
      <c r="S1172" s="489"/>
      <c r="T1172" s="488" t="s">
        <v>268</v>
      </c>
    </row>
    <row r="1173" ht="34.5">
      <c r="A1173" s="488" t="s">
        <v>1201</v>
      </c>
      <c r="B1173" s="488" t="s">
        <v>1202</v>
      </c>
      <c r="C1173" s="488" t="s">
        <v>276</v>
      </c>
      <c r="D1173" s="488" t="s">
        <v>263</v>
      </c>
      <c r="E1173" s="488" t="s">
        <v>282</v>
      </c>
      <c r="F1173" s="489" t="s">
        <v>993</v>
      </c>
      <c r="G1173" s="488" t="s">
        <v>284</v>
      </c>
      <c r="H1173" s="489"/>
      <c r="I1173" s="489"/>
      <c r="J1173" s="489" t="s">
        <v>1232</v>
      </c>
      <c r="K1173" s="491"/>
      <c r="L1173" s="488"/>
      <c r="M1173" s="488"/>
      <c r="N1173" s="489"/>
      <c r="O1173" s="489"/>
      <c r="P1173" s="489"/>
      <c r="Q1173" s="489"/>
      <c r="R1173" s="490"/>
      <c r="S1173" s="489"/>
      <c r="T1173" s="488" t="s">
        <v>268</v>
      </c>
    </row>
    <row r="1174" ht="34.5">
      <c r="A1174" s="488" t="s">
        <v>1201</v>
      </c>
      <c r="B1174" s="488" t="s">
        <v>1202</v>
      </c>
      <c r="C1174" s="488" t="s">
        <v>276</v>
      </c>
      <c r="D1174" s="488" t="s">
        <v>263</v>
      </c>
      <c r="E1174" s="488" t="s">
        <v>282</v>
      </c>
      <c r="F1174" s="489" t="s">
        <v>993</v>
      </c>
      <c r="G1174" s="488" t="s">
        <v>284</v>
      </c>
      <c r="H1174" s="489"/>
      <c r="I1174" s="489"/>
      <c r="J1174" s="489" t="s">
        <v>1233</v>
      </c>
      <c r="K1174" s="491"/>
      <c r="L1174" s="488"/>
      <c r="M1174" s="488"/>
      <c r="N1174" s="489"/>
      <c r="O1174" s="489"/>
      <c r="P1174" s="489"/>
      <c r="Q1174" s="489"/>
      <c r="R1174" s="490"/>
      <c r="S1174" s="489"/>
      <c r="T1174" s="488" t="s">
        <v>268</v>
      </c>
    </row>
    <row r="1175" ht="34.5">
      <c r="A1175" s="488" t="s">
        <v>1201</v>
      </c>
      <c r="B1175" s="488" t="s">
        <v>1202</v>
      </c>
      <c r="C1175" s="488" t="s">
        <v>276</v>
      </c>
      <c r="D1175" s="488" t="s">
        <v>263</v>
      </c>
      <c r="E1175" s="488" t="s">
        <v>282</v>
      </c>
      <c r="F1175" s="489" t="s">
        <v>993</v>
      </c>
      <c r="G1175" s="488" t="s">
        <v>284</v>
      </c>
      <c r="H1175" s="489"/>
      <c r="I1175" s="489"/>
      <c r="J1175" s="489" t="s">
        <v>1234</v>
      </c>
      <c r="K1175" s="491"/>
      <c r="L1175" s="488"/>
      <c r="M1175" s="488"/>
      <c r="N1175" s="489"/>
      <c r="O1175" s="489"/>
      <c r="P1175" s="489"/>
      <c r="Q1175" s="489"/>
      <c r="R1175" s="490"/>
      <c r="S1175" s="489"/>
      <c r="T1175" s="488" t="s">
        <v>268</v>
      </c>
    </row>
    <row r="1176" ht="34.5">
      <c r="A1176" s="488" t="s">
        <v>1201</v>
      </c>
      <c r="B1176" s="488" t="s">
        <v>1202</v>
      </c>
      <c r="C1176" s="488" t="s">
        <v>276</v>
      </c>
      <c r="D1176" s="488" t="s">
        <v>263</v>
      </c>
      <c r="E1176" s="488" t="s">
        <v>282</v>
      </c>
      <c r="F1176" s="489" t="s">
        <v>993</v>
      </c>
      <c r="G1176" s="488" t="s">
        <v>284</v>
      </c>
      <c r="H1176" s="489"/>
      <c r="I1176" s="489"/>
      <c r="J1176" s="489" t="s">
        <v>1235</v>
      </c>
      <c r="K1176" s="491"/>
      <c r="L1176" s="488"/>
      <c r="M1176" s="488"/>
      <c r="N1176" s="489"/>
      <c r="O1176" s="489"/>
      <c r="P1176" s="489"/>
      <c r="Q1176" s="489"/>
      <c r="R1176" s="490"/>
      <c r="S1176" s="489"/>
      <c r="T1176" s="488" t="s">
        <v>268</v>
      </c>
    </row>
    <row r="1177" ht="34.5">
      <c r="A1177" s="488" t="s">
        <v>1201</v>
      </c>
      <c r="B1177" s="488" t="s">
        <v>1202</v>
      </c>
      <c r="C1177" s="488" t="s">
        <v>287</v>
      </c>
      <c r="D1177" s="488" t="s">
        <v>263</v>
      </c>
      <c r="E1177" s="488" t="s">
        <v>282</v>
      </c>
      <c r="F1177" s="489" t="s">
        <v>993</v>
      </c>
      <c r="G1177" s="488" t="s">
        <v>284</v>
      </c>
      <c r="H1177" s="489"/>
      <c r="I1177" s="489"/>
      <c r="J1177" s="489" t="s">
        <v>801</v>
      </c>
      <c r="K1177" s="491"/>
      <c r="L1177" s="488"/>
      <c r="M1177" s="488"/>
      <c r="N1177" s="489"/>
      <c r="O1177" s="489"/>
      <c r="P1177" s="489"/>
      <c r="Q1177" s="489"/>
      <c r="R1177" s="490"/>
      <c r="S1177" s="489"/>
      <c r="T1177" s="488" t="s">
        <v>268</v>
      </c>
    </row>
    <row r="1178" ht="34.5">
      <c r="A1178" s="488" t="s">
        <v>1201</v>
      </c>
      <c r="B1178" s="488" t="s">
        <v>1202</v>
      </c>
      <c r="C1178" s="488" t="s">
        <v>287</v>
      </c>
      <c r="D1178" s="488" t="s">
        <v>263</v>
      </c>
      <c r="E1178" s="488" t="s">
        <v>282</v>
      </c>
      <c r="F1178" s="489" t="s">
        <v>993</v>
      </c>
      <c r="G1178" s="488" t="s">
        <v>284</v>
      </c>
      <c r="H1178" s="489"/>
      <c r="I1178" s="489"/>
      <c r="J1178" s="489" t="s">
        <v>1236</v>
      </c>
      <c r="K1178" s="491"/>
      <c r="L1178" s="488"/>
      <c r="M1178" s="488"/>
      <c r="N1178" s="489"/>
      <c r="O1178" s="489"/>
      <c r="P1178" s="489"/>
      <c r="Q1178" s="489"/>
      <c r="R1178" s="490"/>
      <c r="S1178" s="489"/>
      <c r="T1178" s="488" t="s">
        <v>268</v>
      </c>
    </row>
    <row r="1179" ht="34.5">
      <c r="A1179" s="488" t="s">
        <v>1201</v>
      </c>
      <c r="B1179" s="488" t="s">
        <v>1202</v>
      </c>
      <c r="C1179" s="488" t="s">
        <v>287</v>
      </c>
      <c r="D1179" s="488" t="s">
        <v>263</v>
      </c>
      <c r="E1179" s="488" t="s">
        <v>282</v>
      </c>
      <c r="F1179" s="489" t="s">
        <v>993</v>
      </c>
      <c r="G1179" s="488" t="s">
        <v>284</v>
      </c>
      <c r="H1179" s="489"/>
      <c r="I1179" s="489"/>
      <c r="J1179" s="489" t="s">
        <v>390</v>
      </c>
      <c r="K1179" s="491"/>
      <c r="L1179" s="488"/>
      <c r="M1179" s="488"/>
      <c r="N1179" s="489"/>
      <c r="O1179" s="489"/>
      <c r="P1179" s="489"/>
      <c r="Q1179" s="489"/>
      <c r="R1179" s="490"/>
      <c r="S1179" s="489"/>
      <c r="T1179" s="488" t="s">
        <v>268</v>
      </c>
    </row>
    <row r="1180" ht="34.5">
      <c r="A1180" s="488" t="s">
        <v>1201</v>
      </c>
      <c r="B1180" s="488" t="s">
        <v>1202</v>
      </c>
      <c r="C1180" s="488" t="s">
        <v>287</v>
      </c>
      <c r="D1180" s="488" t="s">
        <v>263</v>
      </c>
      <c r="E1180" s="488" t="s">
        <v>282</v>
      </c>
      <c r="F1180" s="489" t="s">
        <v>993</v>
      </c>
      <c r="G1180" s="488" t="s">
        <v>284</v>
      </c>
      <c r="H1180" s="489"/>
      <c r="I1180" s="489"/>
      <c r="J1180" s="489" t="s">
        <v>1237</v>
      </c>
      <c r="K1180" s="491"/>
      <c r="L1180" s="488"/>
      <c r="M1180" s="488"/>
      <c r="N1180" s="489"/>
      <c r="O1180" s="489"/>
      <c r="P1180" s="489"/>
      <c r="Q1180" s="489"/>
      <c r="R1180" s="490"/>
      <c r="S1180" s="489"/>
      <c r="T1180" s="488" t="s">
        <v>268</v>
      </c>
    </row>
    <row r="1181" ht="34.5">
      <c r="A1181" s="488" t="s">
        <v>1201</v>
      </c>
      <c r="B1181" s="488" t="s">
        <v>1202</v>
      </c>
      <c r="C1181" s="488" t="s">
        <v>287</v>
      </c>
      <c r="D1181" s="488" t="s">
        <v>263</v>
      </c>
      <c r="E1181" s="488" t="s">
        <v>282</v>
      </c>
      <c r="F1181" s="489" t="s">
        <v>993</v>
      </c>
      <c r="G1181" s="488" t="s">
        <v>284</v>
      </c>
      <c r="H1181" s="489"/>
      <c r="I1181" s="489"/>
      <c r="J1181" s="489" t="s">
        <v>802</v>
      </c>
      <c r="K1181" s="491"/>
      <c r="L1181" s="488"/>
      <c r="M1181" s="488"/>
      <c r="N1181" s="489"/>
      <c r="O1181" s="489"/>
      <c r="P1181" s="489"/>
      <c r="Q1181" s="489"/>
      <c r="R1181" s="490"/>
      <c r="S1181" s="489"/>
      <c r="T1181" s="488" t="s">
        <v>268</v>
      </c>
    </row>
    <row r="1182" ht="34.5">
      <c r="A1182" s="488" t="s">
        <v>1201</v>
      </c>
      <c r="B1182" s="488" t="s">
        <v>1202</v>
      </c>
      <c r="C1182" s="488" t="s">
        <v>287</v>
      </c>
      <c r="D1182" s="488" t="s">
        <v>263</v>
      </c>
      <c r="E1182" s="488" t="s">
        <v>282</v>
      </c>
      <c r="F1182" s="489" t="s">
        <v>993</v>
      </c>
      <c r="G1182" s="488" t="s">
        <v>284</v>
      </c>
      <c r="H1182" s="489"/>
      <c r="I1182" s="489"/>
      <c r="J1182" s="489" t="s">
        <v>1238</v>
      </c>
      <c r="K1182" s="491"/>
      <c r="L1182" s="488"/>
      <c r="M1182" s="488"/>
      <c r="N1182" s="489"/>
      <c r="O1182" s="489"/>
      <c r="P1182" s="489"/>
      <c r="Q1182" s="489"/>
      <c r="R1182" s="490"/>
      <c r="S1182" s="489"/>
      <c r="T1182" s="488" t="s">
        <v>268</v>
      </c>
    </row>
    <row r="1183" ht="34.5">
      <c r="A1183" s="488" t="s">
        <v>1201</v>
      </c>
      <c r="B1183" s="488" t="s">
        <v>1202</v>
      </c>
      <c r="C1183" s="488" t="s">
        <v>287</v>
      </c>
      <c r="D1183" s="488" t="s">
        <v>263</v>
      </c>
      <c r="E1183" s="488" t="s">
        <v>282</v>
      </c>
      <c r="F1183" s="489" t="s">
        <v>993</v>
      </c>
      <c r="G1183" s="488" t="s">
        <v>284</v>
      </c>
      <c r="H1183" s="489"/>
      <c r="I1183" s="489"/>
      <c r="J1183" s="489" t="s">
        <v>312</v>
      </c>
      <c r="K1183" s="491"/>
      <c r="L1183" s="488"/>
      <c r="M1183" s="488"/>
      <c r="N1183" s="489"/>
      <c r="O1183" s="489"/>
      <c r="P1183" s="489"/>
      <c r="Q1183" s="489"/>
      <c r="R1183" s="490"/>
      <c r="S1183" s="489"/>
      <c r="T1183" s="488" t="s">
        <v>268</v>
      </c>
    </row>
    <row r="1184" ht="34.5">
      <c r="A1184" s="488" t="s">
        <v>1201</v>
      </c>
      <c r="B1184" s="488" t="s">
        <v>1202</v>
      </c>
      <c r="C1184" s="488" t="s">
        <v>287</v>
      </c>
      <c r="D1184" s="488" t="s">
        <v>263</v>
      </c>
      <c r="E1184" s="488" t="s">
        <v>282</v>
      </c>
      <c r="F1184" s="489" t="s">
        <v>993</v>
      </c>
      <c r="G1184" s="488" t="s">
        <v>284</v>
      </c>
      <c r="H1184" s="489"/>
      <c r="I1184" s="489"/>
      <c r="J1184" s="489" t="s">
        <v>313</v>
      </c>
      <c r="K1184" s="491"/>
      <c r="L1184" s="488"/>
      <c r="M1184" s="488"/>
      <c r="N1184" s="489"/>
      <c r="O1184" s="489"/>
      <c r="P1184" s="489"/>
      <c r="Q1184" s="489"/>
      <c r="R1184" s="490"/>
      <c r="S1184" s="489"/>
      <c r="T1184" s="488" t="s">
        <v>268</v>
      </c>
    </row>
    <row r="1185" ht="34.5">
      <c r="A1185" s="488" t="s">
        <v>1201</v>
      </c>
      <c r="B1185" s="488" t="s">
        <v>1202</v>
      </c>
      <c r="C1185" s="488" t="s">
        <v>298</v>
      </c>
      <c r="D1185" s="488" t="s">
        <v>263</v>
      </c>
      <c r="E1185" s="488" t="s">
        <v>282</v>
      </c>
      <c r="F1185" s="489" t="s">
        <v>993</v>
      </c>
      <c r="G1185" s="488" t="s">
        <v>284</v>
      </c>
      <c r="H1185" s="489"/>
      <c r="I1185" s="489"/>
      <c r="J1185" s="489" t="s">
        <v>318</v>
      </c>
      <c r="K1185" s="491"/>
      <c r="L1185" s="488"/>
      <c r="M1185" s="488"/>
      <c r="N1185" s="489"/>
      <c r="O1185" s="489"/>
      <c r="P1185" s="489"/>
      <c r="Q1185" s="489"/>
      <c r="R1185" s="490"/>
      <c r="S1185" s="489"/>
      <c r="T1185" s="488" t="s">
        <v>268</v>
      </c>
    </row>
    <row r="1186" ht="34.5">
      <c r="A1186" s="488" t="s">
        <v>1201</v>
      </c>
      <c r="B1186" s="488" t="s">
        <v>1202</v>
      </c>
      <c r="C1186" s="488" t="s">
        <v>298</v>
      </c>
      <c r="D1186" s="488" t="s">
        <v>263</v>
      </c>
      <c r="E1186" s="488" t="s">
        <v>282</v>
      </c>
      <c r="F1186" s="489" t="s">
        <v>993</v>
      </c>
      <c r="G1186" s="488" t="s">
        <v>284</v>
      </c>
      <c r="H1186" s="489"/>
      <c r="I1186" s="489"/>
      <c r="J1186" s="489" t="s">
        <v>803</v>
      </c>
      <c r="K1186" s="491"/>
      <c r="L1186" s="488"/>
      <c r="M1186" s="488"/>
      <c r="N1186" s="489"/>
      <c r="O1186" s="489"/>
      <c r="P1186" s="489"/>
      <c r="Q1186" s="489"/>
      <c r="R1186" s="490"/>
      <c r="S1186" s="489"/>
      <c r="T1186" s="488" t="s">
        <v>268</v>
      </c>
    </row>
    <row r="1187" ht="34.5">
      <c r="A1187" s="488" t="s">
        <v>1201</v>
      </c>
      <c r="B1187" s="488" t="s">
        <v>1202</v>
      </c>
      <c r="C1187" s="488" t="s">
        <v>298</v>
      </c>
      <c r="D1187" s="488" t="s">
        <v>263</v>
      </c>
      <c r="E1187" s="488" t="s">
        <v>282</v>
      </c>
      <c r="F1187" s="489" t="s">
        <v>993</v>
      </c>
      <c r="G1187" s="488" t="s">
        <v>284</v>
      </c>
      <c r="H1187" s="489"/>
      <c r="I1187" s="489"/>
      <c r="J1187" s="489" t="s">
        <v>314</v>
      </c>
      <c r="K1187" s="491"/>
      <c r="L1187" s="488"/>
      <c r="M1187" s="488"/>
      <c r="N1187" s="489"/>
      <c r="O1187" s="489"/>
      <c r="P1187" s="489"/>
      <c r="Q1187" s="489"/>
      <c r="R1187" s="490"/>
      <c r="S1187" s="489"/>
      <c r="T1187" s="488" t="s">
        <v>268</v>
      </c>
    </row>
    <row r="1188" ht="34.5">
      <c r="A1188" s="488" t="s">
        <v>1201</v>
      </c>
      <c r="B1188" s="488" t="s">
        <v>1202</v>
      </c>
      <c r="C1188" s="488" t="s">
        <v>298</v>
      </c>
      <c r="D1188" s="488" t="s">
        <v>263</v>
      </c>
      <c r="E1188" s="488" t="s">
        <v>282</v>
      </c>
      <c r="F1188" s="489" t="s">
        <v>993</v>
      </c>
      <c r="G1188" s="488" t="s">
        <v>284</v>
      </c>
      <c r="H1188" s="489"/>
      <c r="I1188" s="489"/>
      <c r="J1188" s="489" t="s">
        <v>315</v>
      </c>
      <c r="K1188" s="491"/>
      <c r="L1188" s="488"/>
      <c r="M1188" s="488"/>
      <c r="N1188" s="489"/>
      <c r="O1188" s="489"/>
      <c r="P1188" s="489"/>
      <c r="Q1188" s="489"/>
      <c r="R1188" s="490"/>
      <c r="S1188" s="489"/>
      <c r="T1188" s="488" t="s">
        <v>268</v>
      </c>
    </row>
    <row r="1189" ht="34.5">
      <c r="A1189" s="488" t="s">
        <v>1201</v>
      </c>
      <c r="B1189" s="488" t="s">
        <v>1202</v>
      </c>
      <c r="C1189" s="488" t="s">
        <v>298</v>
      </c>
      <c r="D1189" s="488" t="s">
        <v>263</v>
      </c>
      <c r="E1189" s="488" t="s">
        <v>282</v>
      </c>
      <c r="F1189" s="489" t="s">
        <v>993</v>
      </c>
      <c r="G1189" s="488" t="s">
        <v>284</v>
      </c>
      <c r="H1189" s="489"/>
      <c r="I1189" s="489"/>
      <c r="J1189" s="489" t="s">
        <v>316</v>
      </c>
      <c r="K1189" s="491"/>
      <c r="L1189" s="488"/>
      <c r="M1189" s="488"/>
      <c r="N1189" s="489"/>
      <c r="O1189" s="489"/>
      <c r="P1189" s="489"/>
      <c r="Q1189" s="489"/>
      <c r="R1189" s="490"/>
      <c r="S1189" s="489"/>
      <c r="T1189" s="488" t="s">
        <v>268</v>
      </c>
    </row>
    <row r="1190" ht="34.5">
      <c r="A1190" s="488" t="s">
        <v>1201</v>
      </c>
      <c r="B1190" s="488" t="s">
        <v>1202</v>
      </c>
      <c r="C1190" s="488" t="s">
        <v>298</v>
      </c>
      <c r="D1190" s="488" t="s">
        <v>263</v>
      </c>
      <c r="E1190" s="488" t="s">
        <v>282</v>
      </c>
      <c r="F1190" s="489" t="s">
        <v>993</v>
      </c>
      <c r="G1190" s="488" t="s">
        <v>284</v>
      </c>
      <c r="H1190" s="489"/>
      <c r="I1190" s="489"/>
      <c r="J1190" s="489" t="s">
        <v>319</v>
      </c>
      <c r="K1190" s="491"/>
      <c r="L1190" s="488"/>
      <c r="M1190" s="488"/>
      <c r="N1190" s="489"/>
      <c r="O1190" s="489"/>
      <c r="P1190" s="489"/>
      <c r="Q1190" s="489"/>
      <c r="R1190" s="490"/>
      <c r="S1190" s="489"/>
      <c r="T1190" s="488" t="s">
        <v>268</v>
      </c>
    </row>
    <row r="1191" ht="34.5">
      <c r="A1191" s="488" t="s">
        <v>1201</v>
      </c>
      <c r="B1191" s="488" t="s">
        <v>1202</v>
      </c>
      <c r="C1191" s="488" t="s">
        <v>298</v>
      </c>
      <c r="D1191" s="488" t="s">
        <v>263</v>
      </c>
      <c r="E1191" s="488" t="s">
        <v>282</v>
      </c>
      <c r="F1191" s="489" t="s">
        <v>993</v>
      </c>
      <c r="G1191" s="488" t="s">
        <v>284</v>
      </c>
      <c r="H1191" s="489"/>
      <c r="I1191" s="489"/>
      <c r="J1191" s="489" t="s">
        <v>1018</v>
      </c>
      <c r="K1191" s="491"/>
      <c r="L1191" s="488"/>
      <c r="M1191" s="488"/>
      <c r="N1191" s="489"/>
      <c r="O1191" s="489"/>
      <c r="P1191" s="489"/>
      <c r="Q1191" s="489"/>
      <c r="R1191" s="490"/>
      <c r="S1191" s="489"/>
      <c r="T1191" s="488" t="s">
        <v>268</v>
      </c>
    </row>
    <row r="1192" ht="34.5">
      <c r="A1192" s="488" t="s">
        <v>1201</v>
      </c>
      <c r="B1192" s="488" t="s">
        <v>1202</v>
      </c>
      <c r="C1192" s="488" t="s">
        <v>298</v>
      </c>
      <c r="D1192" s="488" t="s">
        <v>263</v>
      </c>
      <c r="E1192" s="488" t="s">
        <v>282</v>
      </c>
      <c r="F1192" s="489" t="s">
        <v>993</v>
      </c>
      <c r="G1192" s="488" t="s">
        <v>284</v>
      </c>
      <c r="H1192" s="489"/>
      <c r="I1192" s="489"/>
      <c r="J1192" s="489" t="s">
        <v>321</v>
      </c>
      <c r="K1192" s="491"/>
      <c r="L1192" s="488"/>
      <c r="M1192" s="488"/>
      <c r="N1192" s="489"/>
      <c r="O1192" s="489"/>
      <c r="P1192" s="489"/>
      <c r="Q1192" s="489"/>
      <c r="R1192" s="490"/>
      <c r="S1192" s="489"/>
      <c r="T1192" s="488" t="s">
        <v>268</v>
      </c>
    </row>
    <row r="1193" ht="34.5">
      <c r="A1193" s="488" t="s">
        <v>1201</v>
      </c>
      <c r="B1193" s="488" t="s">
        <v>1202</v>
      </c>
      <c r="C1193" s="488" t="s">
        <v>298</v>
      </c>
      <c r="D1193" s="488" t="s">
        <v>263</v>
      </c>
      <c r="E1193" s="488" t="s">
        <v>282</v>
      </c>
      <c r="F1193" s="489" t="s">
        <v>993</v>
      </c>
      <c r="G1193" s="488" t="s">
        <v>284</v>
      </c>
      <c r="H1193" s="489"/>
      <c r="I1193" s="489"/>
      <c r="J1193" s="489" t="s">
        <v>322</v>
      </c>
      <c r="K1193" s="491"/>
      <c r="L1193" s="488"/>
      <c r="M1193" s="488"/>
      <c r="N1193" s="489"/>
      <c r="O1193" s="489"/>
      <c r="P1193" s="489"/>
      <c r="Q1193" s="489"/>
      <c r="R1193" s="490"/>
      <c r="S1193" s="489"/>
      <c r="T1193" s="488" t="s">
        <v>268</v>
      </c>
    </row>
    <row r="1194" ht="34.5">
      <c r="A1194" s="488" t="s">
        <v>1201</v>
      </c>
      <c r="B1194" s="488" t="s">
        <v>1202</v>
      </c>
      <c r="C1194" s="488" t="s">
        <v>298</v>
      </c>
      <c r="D1194" s="488" t="s">
        <v>263</v>
      </c>
      <c r="E1194" s="488" t="s">
        <v>282</v>
      </c>
      <c r="F1194" s="489" t="s">
        <v>993</v>
      </c>
      <c r="G1194" s="488" t="s">
        <v>284</v>
      </c>
      <c r="H1194" s="489"/>
      <c r="I1194" s="489"/>
      <c r="J1194" s="489" t="s">
        <v>1239</v>
      </c>
      <c r="K1194" s="491"/>
      <c r="L1194" s="488"/>
      <c r="M1194" s="488"/>
      <c r="N1194" s="489"/>
      <c r="O1194" s="489"/>
      <c r="P1194" s="489"/>
      <c r="Q1194" s="489"/>
      <c r="R1194" s="490"/>
      <c r="S1194" s="489"/>
      <c r="T1194" s="488" t="s">
        <v>268</v>
      </c>
    </row>
    <row r="1195" ht="34.5">
      <c r="A1195" s="488" t="s">
        <v>1201</v>
      </c>
      <c r="B1195" s="488" t="s">
        <v>1202</v>
      </c>
      <c r="C1195" s="488" t="s">
        <v>298</v>
      </c>
      <c r="D1195" s="488" t="s">
        <v>263</v>
      </c>
      <c r="E1195" s="488" t="s">
        <v>282</v>
      </c>
      <c r="F1195" s="489" t="s">
        <v>993</v>
      </c>
      <c r="G1195" s="488" t="s">
        <v>284</v>
      </c>
      <c r="H1195" s="489"/>
      <c r="I1195" s="489"/>
      <c r="J1195" s="489" t="s">
        <v>1240</v>
      </c>
      <c r="K1195" s="491"/>
      <c r="L1195" s="488"/>
      <c r="M1195" s="488"/>
      <c r="N1195" s="489"/>
      <c r="O1195" s="489"/>
      <c r="P1195" s="489"/>
      <c r="Q1195" s="489"/>
      <c r="R1195" s="490"/>
      <c r="S1195" s="489"/>
      <c r="T1195" s="488" t="s">
        <v>268</v>
      </c>
    </row>
    <row r="1196" ht="34.5">
      <c r="A1196" s="488" t="s">
        <v>1201</v>
      </c>
      <c r="B1196" s="488" t="s">
        <v>1202</v>
      </c>
      <c r="C1196" s="488" t="s">
        <v>298</v>
      </c>
      <c r="D1196" s="488" t="s">
        <v>263</v>
      </c>
      <c r="E1196" s="488" t="s">
        <v>282</v>
      </c>
      <c r="F1196" s="489" t="s">
        <v>993</v>
      </c>
      <c r="G1196" s="488" t="s">
        <v>284</v>
      </c>
      <c r="H1196" s="489"/>
      <c r="I1196" s="489"/>
      <c r="J1196" s="489" t="s">
        <v>1017</v>
      </c>
      <c r="K1196" s="491"/>
      <c r="L1196" s="488"/>
      <c r="M1196" s="488"/>
      <c r="N1196" s="489"/>
      <c r="O1196" s="489"/>
      <c r="P1196" s="489"/>
      <c r="Q1196" s="489"/>
      <c r="R1196" s="490"/>
      <c r="S1196" s="489"/>
      <c r="T1196" s="488" t="s">
        <v>268</v>
      </c>
    </row>
    <row r="1197" ht="34.5">
      <c r="A1197" s="488" t="s">
        <v>1201</v>
      </c>
      <c r="B1197" s="488" t="s">
        <v>1202</v>
      </c>
      <c r="C1197" s="488" t="s">
        <v>308</v>
      </c>
      <c r="D1197" s="488" t="s">
        <v>263</v>
      </c>
      <c r="E1197" s="488" t="s">
        <v>282</v>
      </c>
      <c r="F1197" s="489" t="s">
        <v>993</v>
      </c>
      <c r="G1197" s="488" t="s">
        <v>284</v>
      </c>
      <c r="H1197" s="489"/>
      <c r="I1197" s="489"/>
      <c r="J1197" s="489" t="s">
        <v>1019</v>
      </c>
      <c r="K1197" s="491"/>
      <c r="L1197" s="488"/>
      <c r="M1197" s="488"/>
      <c r="N1197" s="489"/>
      <c r="O1197" s="489"/>
      <c r="P1197" s="489"/>
      <c r="Q1197" s="489"/>
      <c r="R1197" s="490"/>
      <c r="S1197" s="489"/>
      <c r="T1197" s="488" t="s">
        <v>268</v>
      </c>
    </row>
    <row r="1198" ht="34.5">
      <c r="A1198" s="488" t="s">
        <v>1201</v>
      </c>
      <c r="B1198" s="488" t="s">
        <v>1202</v>
      </c>
      <c r="C1198" s="488" t="s">
        <v>308</v>
      </c>
      <c r="D1198" s="488" t="s">
        <v>263</v>
      </c>
      <c r="E1198" s="488" t="s">
        <v>282</v>
      </c>
      <c r="F1198" s="489" t="s">
        <v>993</v>
      </c>
      <c r="G1198" s="488" t="s">
        <v>284</v>
      </c>
      <c r="H1198" s="489"/>
      <c r="I1198" s="489"/>
      <c r="J1198" s="489" t="s">
        <v>1020</v>
      </c>
      <c r="K1198" s="491"/>
      <c r="L1198" s="488"/>
      <c r="M1198" s="488"/>
      <c r="N1198" s="489"/>
      <c r="O1198" s="489"/>
      <c r="P1198" s="489"/>
      <c r="Q1198" s="489"/>
      <c r="R1198" s="490"/>
      <c r="S1198" s="489"/>
      <c r="T1198" s="488" t="s">
        <v>268</v>
      </c>
    </row>
    <row r="1199" ht="34.5">
      <c r="A1199" s="488" t="s">
        <v>1201</v>
      </c>
      <c r="B1199" s="488" t="s">
        <v>1202</v>
      </c>
      <c r="C1199" s="488" t="s">
        <v>308</v>
      </c>
      <c r="D1199" s="488" t="s">
        <v>263</v>
      </c>
      <c r="E1199" s="488" t="s">
        <v>282</v>
      </c>
      <c r="F1199" s="489" t="s">
        <v>993</v>
      </c>
      <c r="G1199" s="488" t="s">
        <v>284</v>
      </c>
      <c r="H1199" s="489"/>
      <c r="I1199" s="489"/>
      <c r="J1199" s="489" t="s">
        <v>806</v>
      </c>
      <c r="K1199" s="491"/>
      <c r="L1199" s="488"/>
      <c r="M1199" s="488"/>
      <c r="N1199" s="489"/>
      <c r="O1199" s="489"/>
      <c r="P1199" s="489"/>
      <c r="Q1199" s="489"/>
      <c r="R1199" s="490"/>
      <c r="S1199" s="489"/>
      <c r="T1199" s="488" t="s">
        <v>268</v>
      </c>
    </row>
    <row r="1200" ht="34.5">
      <c r="A1200" s="488" t="s">
        <v>1201</v>
      </c>
      <c r="B1200" s="488" t="s">
        <v>1202</v>
      </c>
      <c r="C1200" s="488" t="s">
        <v>308</v>
      </c>
      <c r="D1200" s="488" t="s">
        <v>263</v>
      </c>
      <c r="E1200" s="488" t="s">
        <v>282</v>
      </c>
      <c r="F1200" s="489" t="s">
        <v>993</v>
      </c>
      <c r="G1200" s="488" t="s">
        <v>284</v>
      </c>
      <c r="H1200" s="489"/>
      <c r="I1200" s="489"/>
      <c r="J1200" s="489" t="s">
        <v>1024</v>
      </c>
      <c r="K1200" s="491"/>
      <c r="L1200" s="488"/>
      <c r="M1200" s="488"/>
      <c r="N1200" s="489"/>
      <c r="O1200" s="489"/>
      <c r="P1200" s="489"/>
      <c r="Q1200" s="489"/>
      <c r="R1200" s="490"/>
      <c r="S1200" s="489"/>
      <c r="T1200" s="488" t="s">
        <v>268</v>
      </c>
    </row>
    <row r="1201" ht="34.5">
      <c r="A1201" s="488" t="s">
        <v>1201</v>
      </c>
      <c r="B1201" s="488" t="s">
        <v>1202</v>
      </c>
      <c r="C1201" s="488" t="s">
        <v>308</v>
      </c>
      <c r="D1201" s="488" t="s">
        <v>263</v>
      </c>
      <c r="E1201" s="488" t="s">
        <v>282</v>
      </c>
      <c r="F1201" s="489" t="s">
        <v>993</v>
      </c>
      <c r="G1201" s="488" t="s">
        <v>284</v>
      </c>
      <c r="H1201" s="489"/>
      <c r="I1201" s="489"/>
      <c r="J1201" s="489" t="s">
        <v>809</v>
      </c>
      <c r="K1201" s="491"/>
      <c r="L1201" s="488"/>
      <c r="M1201" s="488"/>
      <c r="N1201" s="489"/>
      <c r="O1201" s="489"/>
      <c r="P1201" s="489"/>
      <c r="Q1201" s="489"/>
      <c r="R1201" s="490"/>
      <c r="S1201" s="489"/>
      <c r="T1201" s="488" t="s">
        <v>268</v>
      </c>
    </row>
    <row r="1202" ht="34.5">
      <c r="A1202" s="488" t="s">
        <v>1201</v>
      </c>
      <c r="B1202" s="488" t="s">
        <v>1202</v>
      </c>
      <c r="C1202" s="488" t="s">
        <v>308</v>
      </c>
      <c r="D1202" s="488" t="s">
        <v>263</v>
      </c>
      <c r="E1202" s="488" t="s">
        <v>282</v>
      </c>
      <c r="F1202" s="489" t="s">
        <v>993</v>
      </c>
      <c r="G1202" s="488" t="s">
        <v>284</v>
      </c>
      <c r="H1202" s="489"/>
      <c r="I1202" s="489"/>
      <c r="J1202" s="489" t="s">
        <v>1241</v>
      </c>
      <c r="K1202" s="491"/>
      <c r="L1202" s="488"/>
      <c r="M1202" s="488"/>
      <c r="N1202" s="489"/>
      <c r="O1202" s="489"/>
      <c r="P1202" s="489"/>
      <c r="Q1202" s="489"/>
      <c r="R1202" s="490"/>
      <c r="S1202" s="489"/>
      <c r="T1202" s="488" t="s">
        <v>268</v>
      </c>
    </row>
    <row r="1203" ht="34.5">
      <c r="A1203" s="488" t="s">
        <v>1201</v>
      </c>
      <c r="B1203" s="488" t="s">
        <v>1202</v>
      </c>
      <c r="C1203" s="488" t="s">
        <v>308</v>
      </c>
      <c r="D1203" s="488" t="s">
        <v>263</v>
      </c>
      <c r="E1203" s="488" t="s">
        <v>282</v>
      </c>
      <c r="F1203" s="489" t="s">
        <v>993</v>
      </c>
      <c r="G1203" s="488" t="s">
        <v>284</v>
      </c>
      <c r="H1203" s="489"/>
      <c r="I1203" s="489"/>
      <c r="J1203" s="489" t="s">
        <v>1242</v>
      </c>
      <c r="K1203" s="491"/>
      <c r="L1203" s="488"/>
      <c r="M1203" s="488"/>
      <c r="N1203" s="489"/>
      <c r="O1203" s="489"/>
      <c r="P1203" s="489"/>
      <c r="Q1203" s="489"/>
      <c r="R1203" s="490"/>
      <c r="S1203" s="489"/>
      <c r="T1203" s="488" t="s">
        <v>268</v>
      </c>
    </row>
    <row r="1204" ht="34.5">
      <c r="A1204" s="488" t="s">
        <v>1201</v>
      </c>
      <c r="B1204" s="488" t="s">
        <v>1202</v>
      </c>
      <c r="C1204" s="488" t="s">
        <v>308</v>
      </c>
      <c r="D1204" s="488" t="s">
        <v>263</v>
      </c>
      <c r="E1204" s="488" t="s">
        <v>282</v>
      </c>
      <c r="F1204" s="489" t="s">
        <v>993</v>
      </c>
      <c r="G1204" s="488" t="s">
        <v>284</v>
      </c>
      <c r="H1204" s="489"/>
      <c r="I1204" s="489"/>
      <c r="J1204" s="489" t="s">
        <v>1026</v>
      </c>
      <c r="K1204" s="491"/>
      <c r="L1204" s="488"/>
      <c r="M1204" s="488"/>
      <c r="N1204" s="489"/>
      <c r="O1204" s="489"/>
      <c r="P1204" s="489"/>
      <c r="Q1204" s="489"/>
      <c r="R1204" s="490"/>
      <c r="S1204" s="489"/>
      <c r="T1204" s="488" t="s">
        <v>268</v>
      </c>
    </row>
    <row r="1205" ht="34.5">
      <c r="A1205" s="488" t="s">
        <v>1201</v>
      </c>
      <c r="B1205" s="488" t="s">
        <v>1202</v>
      </c>
      <c r="C1205" s="488" t="s">
        <v>308</v>
      </c>
      <c r="D1205" s="488" t="s">
        <v>263</v>
      </c>
      <c r="E1205" s="488" t="s">
        <v>282</v>
      </c>
      <c r="F1205" s="489" t="s">
        <v>993</v>
      </c>
      <c r="G1205" s="488" t="s">
        <v>284</v>
      </c>
      <c r="H1205" s="489"/>
      <c r="I1205" s="489"/>
      <c r="J1205" s="489" t="s">
        <v>1243</v>
      </c>
      <c r="K1205" s="491"/>
      <c r="L1205" s="488"/>
      <c r="M1205" s="488"/>
      <c r="N1205" s="489"/>
      <c r="O1205" s="489"/>
      <c r="P1205" s="489"/>
      <c r="Q1205" s="489"/>
      <c r="R1205" s="490"/>
      <c r="S1205" s="489"/>
      <c r="T1205" s="488" t="s">
        <v>268</v>
      </c>
    </row>
    <row r="1206" ht="34.5">
      <c r="A1206" s="488" t="s">
        <v>1201</v>
      </c>
      <c r="B1206" s="488" t="s">
        <v>1202</v>
      </c>
      <c r="C1206" s="488" t="s">
        <v>308</v>
      </c>
      <c r="D1206" s="488" t="s">
        <v>263</v>
      </c>
      <c r="E1206" s="488" t="s">
        <v>282</v>
      </c>
      <c r="F1206" s="489" t="s">
        <v>993</v>
      </c>
      <c r="G1206" s="488" t="s">
        <v>284</v>
      </c>
      <c r="H1206" s="489"/>
      <c r="I1206" s="489"/>
      <c r="J1206" s="489" t="s">
        <v>1021</v>
      </c>
      <c r="K1206" s="491"/>
      <c r="L1206" s="488"/>
      <c r="M1206" s="488"/>
      <c r="N1206" s="489"/>
      <c r="O1206" s="489"/>
      <c r="P1206" s="489"/>
      <c r="Q1206" s="489"/>
      <c r="R1206" s="490"/>
      <c r="S1206" s="489"/>
      <c r="T1206" s="488" t="s">
        <v>268</v>
      </c>
    </row>
    <row r="1207" ht="34.5">
      <c r="A1207" s="488" t="s">
        <v>1201</v>
      </c>
      <c r="B1207" s="488" t="s">
        <v>1202</v>
      </c>
      <c r="C1207" s="488" t="s">
        <v>317</v>
      </c>
      <c r="D1207" s="488" t="s">
        <v>263</v>
      </c>
      <c r="E1207" s="488" t="s">
        <v>282</v>
      </c>
      <c r="F1207" s="489" t="s">
        <v>993</v>
      </c>
      <c r="G1207" s="488" t="s">
        <v>284</v>
      </c>
      <c r="H1207" s="489"/>
      <c r="I1207" s="489"/>
      <c r="J1207" s="489" t="s">
        <v>329</v>
      </c>
      <c r="K1207" s="491"/>
      <c r="L1207" s="488"/>
      <c r="M1207" s="488"/>
      <c r="N1207" s="489"/>
      <c r="O1207" s="489"/>
      <c r="P1207" s="489"/>
      <c r="Q1207" s="489"/>
      <c r="R1207" s="490"/>
      <c r="S1207" s="489"/>
      <c r="T1207" s="488" t="s">
        <v>268</v>
      </c>
    </row>
    <row r="1208" ht="34.5">
      <c r="A1208" s="488" t="s">
        <v>1201</v>
      </c>
      <c r="B1208" s="488" t="s">
        <v>1202</v>
      </c>
      <c r="C1208" s="488" t="s">
        <v>317</v>
      </c>
      <c r="D1208" s="488" t="s">
        <v>263</v>
      </c>
      <c r="E1208" s="488" t="s">
        <v>282</v>
      </c>
      <c r="F1208" s="489" t="s">
        <v>993</v>
      </c>
      <c r="G1208" s="488" t="s">
        <v>284</v>
      </c>
      <c r="H1208" s="489"/>
      <c r="I1208" s="489"/>
      <c r="J1208" s="489" t="s">
        <v>814</v>
      </c>
      <c r="K1208" s="491"/>
      <c r="L1208" s="488"/>
      <c r="M1208" s="488"/>
      <c r="N1208" s="489"/>
      <c r="O1208" s="489"/>
      <c r="P1208" s="489"/>
      <c r="Q1208" s="489"/>
      <c r="R1208" s="490"/>
      <c r="S1208" s="489"/>
      <c r="T1208" s="488" t="s">
        <v>268</v>
      </c>
    </row>
    <row r="1209" ht="34.5">
      <c r="A1209" s="488" t="s">
        <v>1201</v>
      </c>
      <c r="B1209" s="488" t="s">
        <v>1202</v>
      </c>
      <c r="C1209" s="488" t="s">
        <v>317</v>
      </c>
      <c r="D1209" s="488" t="s">
        <v>263</v>
      </c>
      <c r="E1209" s="488" t="s">
        <v>282</v>
      </c>
      <c r="F1209" s="489" t="s">
        <v>993</v>
      </c>
      <c r="G1209" s="488" t="s">
        <v>284</v>
      </c>
      <c r="H1209" s="489"/>
      <c r="I1209" s="489"/>
      <c r="J1209" s="489" t="s">
        <v>1244</v>
      </c>
      <c r="K1209" s="491"/>
      <c r="L1209" s="488"/>
      <c r="M1209" s="488"/>
      <c r="N1209" s="489"/>
      <c r="O1209" s="489"/>
      <c r="P1209" s="489"/>
      <c r="Q1209" s="489"/>
      <c r="R1209" s="490"/>
      <c r="S1209" s="489"/>
      <c r="T1209" s="488" t="s">
        <v>268</v>
      </c>
    </row>
    <row r="1210" ht="34.5">
      <c r="A1210" s="488" t="s">
        <v>1201</v>
      </c>
      <c r="B1210" s="488" t="s">
        <v>1202</v>
      </c>
      <c r="C1210" s="488" t="s">
        <v>317</v>
      </c>
      <c r="D1210" s="488" t="s">
        <v>263</v>
      </c>
      <c r="E1210" s="488" t="s">
        <v>282</v>
      </c>
      <c r="F1210" s="489" t="s">
        <v>993</v>
      </c>
      <c r="G1210" s="488" t="s">
        <v>284</v>
      </c>
      <c r="H1210" s="489"/>
      <c r="I1210" s="489"/>
      <c r="J1210" s="489" t="s">
        <v>1245</v>
      </c>
      <c r="K1210" s="491"/>
      <c r="L1210" s="488"/>
      <c r="M1210" s="488"/>
      <c r="N1210" s="489"/>
      <c r="O1210" s="489"/>
      <c r="P1210" s="489"/>
      <c r="Q1210" s="489"/>
      <c r="R1210" s="490"/>
      <c r="S1210" s="489"/>
      <c r="T1210" s="488" t="s">
        <v>268</v>
      </c>
    </row>
    <row r="1211" ht="34.5">
      <c r="A1211" s="488" t="s">
        <v>1201</v>
      </c>
      <c r="B1211" s="488" t="s">
        <v>1202</v>
      </c>
      <c r="C1211" s="488" t="s">
        <v>317</v>
      </c>
      <c r="D1211" s="488" t="s">
        <v>263</v>
      </c>
      <c r="E1211" s="488" t="s">
        <v>282</v>
      </c>
      <c r="F1211" s="489" t="s">
        <v>993</v>
      </c>
      <c r="G1211" s="488" t="s">
        <v>284</v>
      </c>
      <c r="H1211" s="489"/>
      <c r="I1211" s="489"/>
      <c r="J1211" s="489" t="s">
        <v>326</v>
      </c>
      <c r="K1211" s="491"/>
      <c r="L1211" s="488"/>
      <c r="M1211" s="488"/>
      <c r="N1211" s="489"/>
      <c r="O1211" s="489"/>
      <c r="P1211" s="489"/>
      <c r="Q1211" s="489"/>
      <c r="R1211" s="490"/>
      <c r="S1211" s="489"/>
      <c r="T1211" s="488" t="s">
        <v>268</v>
      </c>
    </row>
    <row r="1212" ht="34.5">
      <c r="A1212" s="488" t="s">
        <v>1201</v>
      </c>
      <c r="B1212" s="488" t="s">
        <v>1202</v>
      </c>
      <c r="C1212" s="488" t="s">
        <v>317</v>
      </c>
      <c r="D1212" s="488" t="s">
        <v>263</v>
      </c>
      <c r="E1212" s="488" t="s">
        <v>282</v>
      </c>
      <c r="F1212" s="489" t="s">
        <v>993</v>
      </c>
      <c r="G1212" s="488" t="s">
        <v>284</v>
      </c>
      <c r="H1212" s="489"/>
      <c r="I1212" s="489"/>
      <c r="J1212" s="489" t="s">
        <v>1246</v>
      </c>
      <c r="K1212" s="491"/>
      <c r="L1212" s="488"/>
      <c r="M1212" s="488"/>
      <c r="N1212" s="489"/>
      <c r="O1212" s="489"/>
      <c r="P1212" s="489"/>
      <c r="Q1212" s="489"/>
      <c r="R1212" s="490"/>
      <c r="S1212" s="489"/>
      <c r="T1212" s="488" t="s">
        <v>268</v>
      </c>
    </row>
    <row r="1213" ht="34.5">
      <c r="A1213" s="488" t="s">
        <v>1201</v>
      </c>
      <c r="B1213" s="488" t="s">
        <v>1202</v>
      </c>
      <c r="C1213" s="488" t="s">
        <v>317</v>
      </c>
      <c r="D1213" s="488" t="s">
        <v>263</v>
      </c>
      <c r="E1213" s="488" t="s">
        <v>282</v>
      </c>
      <c r="F1213" s="489" t="s">
        <v>993</v>
      </c>
      <c r="G1213" s="488" t="s">
        <v>284</v>
      </c>
      <c r="H1213" s="489"/>
      <c r="I1213" s="489"/>
      <c r="J1213" s="489" t="s">
        <v>1247</v>
      </c>
      <c r="K1213" s="491"/>
      <c r="L1213" s="488"/>
      <c r="M1213" s="488"/>
      <c r="N1213" s="489"/>
      <c r="O1213" s="489"/>
      <c r="P1213" s="489"/>
      <c r="Q1213" s="489"/>
      <c r="R1213" s="490"/>
      <c r="S1213" s="489"/>
      <c r="T1213" s="488" t="s">
        <v>268</v>
      </c>
    </row>
    <row r="1214" ht="34.5">
      <c r="A1214" s="488" t="s">
        <v>1201</v>
      </c>
      <c r="B1214" s="488" t="s">
        <v>1202</v>
      </c>
      <c r="C1214" s="488" t="s">
        <v>317</v>
      </c>
      <c r="D1214" s="488" t="s">
        <v>263</v>
      </c>
      <c r="E1214" s="488" t="s">
        <v>282</v>
      </c>
      <c r="F1214" s="489" t="s">
        <v>993</v>
      </c>
      <c r="G1214" s="488" t="s">
        <v>284</v>
      </c>
      <c r="H1214" s="489"/>
      <c r="I1214" s="489"/>
      <c r="J1214" s="489" t="s">
        <v>327</v>
      </c>
      <c r="K1214" s="491"/>
      <c r="L1214" s="488"/>
      <c r="M1214" s="488"/>
      <c r="N1214" s="489"/>
      <c r="O1214" s="489"/>
      <c r="P1214" s="489"/>
      <c r="Q1214" s="489"/>
      <c r="R1214" s="490"/>
      <c r="S1214" s="489"/>
      <c r="T1214" s="488" t="s">
        <v>268</v>
      </c>
    </row>
    <row r="1215" ht="34.5">
      <c r="A1215" s="488" t="s">
        <v>1201</v>
      </c>
      <c r="B1215" s="488" t="s">
        <v>1202</v>
      </c>
      <c r="C1215" s="488" t="s">
        <v>317</v>
      </c>
      <c r="D1215" s="488" t="s">
        <v>263</v>
      </c>
      <c r="E1215" s="488" t="s">
        <v>282</v>
      </c>
      <c r="F1215" s="489" t="s">
        <v>993</v>
      </c>
      <c r="G1215" s="488" t="s">
        <v>284</v>
      </c>
      <c r="H1215" s="489"/>
      <c r="I1215" s="489"/>
      <c r="J1215" s="489" t="s">
        <v>330</v>
      </c>
      <c r="K1215" s="491"/>
      <c r="L1215" s="488"/>
      <c r="M1215" s="488"/>
      <c r="N1215" s="489"/>
      <c r="O1215" s="489"/>
      <c r="P1215" s="489"/>
      <c r="Q1215" s="489"/>
      <c r="R1215" s="490"/>
      <c r="S1215" s="489"/>
      <c r="T1215" s="488" t="s">
        <v>268</v>
      </c>
    </row>
    <row r="1216" ht="34.5">
      <c r="A1216" s="488" t="s">
        <v>1201</v>
      </c>
      <c r="B1216" s="488" t="s">
        <v>1202</v>
      </c>
      <c r="C1216" s="488" t="s">
        <v>317</v>
      </c>
      <c r="D1216" s="488" t="s">
        <v>263</v>
      </c>
      <c r="E1216" s="488" t="s">
        <v>282</v>
      </c>
      <c r="F1216" s="489" t="s">
        <v>993</v>
      </c>
      <c r="G1216" s="488" t="s">
        <v>284</v>
      </c>
      <c r="H1216" s="489"/>
      <c r="I1216" s="489"/>
      <c r="J1216" s="489" t="s">
        <v>331</v>
      </c>
      <c r="K1216" s="491"/>
      <c r="L1216" s="488"/>
      <c r="M1216" s="488"/>
      <c r="N1216" s="489"/>
      <c r="O1216" s="489"/>
      <c r="P1216" s="489"/>
      <c r="Q1216" s="489"/>
      <c r="R1216" s="490"/>
      <c r="S1216" s="489"/>
      <c r="T1216" s="488" t="s">
        <v>268</v>
      </c>
    </row>
    <row r="1217" ht="34.5">
      <c r="A1217" s="488" t="s">
        <v>1201</v>
      </c>
      <c r="B1217" s="488" t="s">
        <v>1202</v>
      </c>
      <c r="C1217" s="488" t="s">
        <v>317</v>
      </c>
      <c r="D1217" s="488" t="s">
        <v>263</v>
      </c>
      <c r="E1217" s="488" t="s">
        <v>282</v>
      </c>
      <c r="F1217" s="489" t="s">
        <v>993</v>
      </c>
      <c r="G1217" s="488" t="s">
        <v>284</v>
      </c>
      <c r="H1217" s="489"/>
      <c r="I1217" s="489"/>
      <c r="J1217" s="489" t="s">
        <v>1248</v>
      </c>
      <c r="K1217" s="491"/>
      <c r="L1217" s="488"/>
      <c r="M1217" s="488"/>
      <c r="N1217" s="489"/>
      <c r="O1217" s="489"/>
      <c r="P1217" s="489"/>
      <c r="Q1217" s="489"/>
      <c r="R1217" s="490"/>
      <c r="S1217" s="489"/>
      <c r="T1217" s="488" t="s">
        <v>268</v>
      </c>
    </row>
    <row r="1218" ht="34.5">
      <c r="A1218" s="488" t="s">
        <v>1201</v>
      </c>
      <c r="B1218" s="488" t="s">
        <v>1202</v>
      </c>
      <c r="C1218" s="488" t="s">
        <v>317</v>
      </c>
      <c r="D1218" s="488" t="s">
        <v>263</v>
      </c>
      <c r="E1218" s="488" t="s">
        <v>282</v>
      </c>
      <c r="F1218" s="489" t="s">
        <v>993</v>
      </c>
      <c r="G1218" s="488" t="s">
        <v>284</v>
      </c>
      <c r="H1218" s="489"/>
      <c r="I1218" s="489"/>
      <c r="J1218" s="489" t="s">
        <v>1030</v>
      </c>
      <c r="K1218" s="491"/>
      <c r="L1218" s="488"/>
      <c r="M1218" s="488"/>
      <c r="N1218" s="489"/>
      <c r="O1218" s="489"/>
      <c r="P1218" s="489"/>
      <c r="Q1218" s="489"/>
      <c r="R1218" s="490"/>
      <c r="S1218" s="489"/>
      <c r="T1218" s="488" t="s">
        <v>268</v>
      </c>
    </row>
    <row r="1219" ht="34.5">
      <c r="A1219" s="488" t="s">
        <v>1201</v>
      </c>
      <c r="B1219" s="488" t="s">
        <v>1202</v>
      </c>
      <c r="C1219" s="488" t="s">
        <v>328</v>
      </c>
      <c r="D1219" s="488" t="s">
        <v>263</v>
      </c>
      <c r="E1219" s="488" t="s">
        <v>282</v>
      </c>
      <c r="F1219" s="489" t="s">
        <v>993</v>
      </c>
      <c r="G1219" s="488" t="s">
        <v>284</v>
      </c>
      <c r="H1219" s="489"/>
      <c r="I1219" s="489"/>
      <c r="J1219" s="489" t="s">
        <v>333</v>
      </c>
      <c r="K1219" s="491"/>
      <c r="L1219" s="488"/>
      <c r="M1219" s="488"/>
      <c r="N1219" s="489"/>
      <c r="O1219" s="489"/>
      <c r="P1219" s="489"/>
      <c r="Q1219" s="489"/>
      <c r="R1219" s="490"/>
      <c r="S1219" s="489"/>
      <c r="T1219" s="488" t="s">
        <v>268</v>
      </c>
    </row>
    <row r="1220" ht="34.5">
      <c r="A1220" s="488" t="s">
        <v>1201</v>
      </c>
      <c r="B1220" s="488" t="s">
        <v>1202</v>
      </c>
      <c r="C1220" s="488" t="s">
        <v>328</v>
      </c>
      <c r="D1220" s="488" t="s">
        <v>263</v>
      </c>
      <c r="E1220" s="488" t="s">
        <v>282</v>
      </c>
      <c r="F1220" s="489" t="s">
        <v>993</v>
      </c>
      <c r="G1220" s="488" t="s">
        <v>284</v>
      </c>
      <c r="H1220" s="489"/>
      <c r="I1220" s="489"/>
      <c r="J1220" s="489" t="s">
        <v>334</v>
      </c>
      <c r="K1220" s="491"/>
      <c r="L1220" s="488"/>
      <c r="M1220" s="488"/>
      <c r="N1220" s="489"/>
      <c r="O1220" s="489"/>
      <c r="P1220" s="489"/>
      <c r="Q1220" s="489"/>
      <c r="R1220" s="490"/>
      <c r="S1220" s="489"/>
      <c r="T1220" s="488" t="s">
        <v>268</v>
      </c>
    </row>
    <row r="1221" ht="34.5">
      <c r="A1221" s="488" t="s">
        <v>1201</v>
      </c>
      <c r="B1221" s="488" t="s">
        <v>1202</v>
      </c>
      <c r="C1221" s="488" t="s">
        <v>328</v>
      </c>
      <c r="D1221" s="488" t="s">
        <v>263</v>
      </c>
      <c r="E1221" s="488" t="s">
        <v>282</v>
      </c>
      <c r="F1221" s="489" t="s">
        <v>993</v>
      </c>
      <c r="G1221" s="488" t="s">
        <v>284</v>
      </c>
      <c r="H1221" s="489"/>
      <c r="I1221" s="489"/>
      <c r="J1221" s="489" t="s">
        <v>337</v>
      </c>
      <c r="K1221" s="491"/>
      <c r="L1221" s="488"/>
      <c r="M1221" s="488"/>
      <c r="N1221" s="489"/>
      <c r="O1221" s="489"/>
      <c r="P1221" s="489"/>
      <c r="Q1221" s="489"/>
      <c r="R1221" s="490"/>
      <c r="S1221" s="489"/>
      <c r="T1221" s="488" t="s">
        <v>268</v>
      </c>
    </row>
    <row r="1222" ht="34.5">
      <c r="A1222" s="488" t="s">
        <v>1201</v>
      </c>
      <c r="B1222" s="488" t="s">
        <v>1202</v>
      </c>
      <c r="C1222" s="488" t="s">
        <v>328</v>
      </c>
      <c r="D1222" s="488" t="s">
        <v>263</v>
      </c>
      <c r="E1222" s="488" t="s">
        <v>282</v>
      </c>
      <c r="F1222" s="489" t="s">
        <v>993</v>
      </c>
      <c r="G1222" s="488" t="s">
        <v>284</v>
      </c>
      <c r="H1222" s="489"/>
      <c r="I1222" s="489"/>
      <c r="J1222" s="489" t="s">
        <v>1249</v>
      </c>
      <c r="K1222" s="491"/>
      <c r="L1222" s="488"/>
      <c r="M1222" s="488"/>
      <c r="N1222" s="489"/>
      <c r="O1222" s="489"/>
      <c r="P1222" s="489"/>
      <c r="Q1222" s="489"/>
      <c r="R1222" s="490"/>
      <c r="S1222" s="489"/>
      <c r="T1222" s="488" t="s">
        <v>268</v>
      </c>
    </row>
    <row r="1223" ht="34.5">
      <c r="A1223" s="488" t="s">
        <v>1201</v>
      </c>
      <c r="B1223" s="488" t="s">
        <v>1202</v>
      </c>
      <c r="C1223" s="488" t="s">
        <v>328</v>
      </c>
      <c r="D1223" s="488" t="s">
        <v>263</v>
      </c>
      <c r="E1223" s="488" t="s">
        <v>282</v>
      </c>
      <c r="F1223" s="489" t="s">
        <v>993</v>
      </c>
      <c r="G1223" s="488" t="s">
        <v>284</v>
      </c>
      <c r="H1223" s="489"/>
      <c r="I1223" s="489"/>
      <c r="J1223" s="489" t="s">
        <v>339</v>
      </c>
      <c r="K1223" s="491"/>
      <c r="L1223" s="488"/>
      <c r="M1223" s="488"/>
      <c r="N1223" s="489"/>
      <c r="O1223" s="489"/>
      <c r="P1223" s="489"/>
      <c r="Q1223" s="489"/>
      <c r="R1223" s="490"/>
      <c r="S1223" s="489"/>
      <c r="T1223" s="488" t="s">
        <v>268</v>
      </c>
    </row>
    <row r="1224" ht="34.5">
      <c r="A1224" s="488" t="s">
        <v>1201</v>
      </c>
      <c r="B1224" s="488" t="s">
        <v>1202</v>
      </c>
      <c r="C1224" s="488" t="s">
        <v>328</v>
      </c>
      <c r="D1224" s="488" t="s">
        <v>263</v>
      </c>
      <c r="E1224" s="488" t="s">
        <v>282</v>
      </c>
      <c r="F1224" s="489" t="s">
        <v>993</v>
      </c>
      <c r="G1224" s="488" t="s">
        <v>284</v>
      </c>
      <c r="H1224" s="489"/>
      <c r="I1224" s="489"/>
      <c r="J1224" s="489" t="s">
        <v>1033</v>
      </c>
      <c r="K1224" s="491"/>
      <c r="L1224" s="488"/>
      <c r="M1224" s="488"/>
      <c r="N1224" s="489"/>
      <c r="O1224" s="489"/>
      <c r="P1224" s="489"/>
      <c r="Q1224" s="489"/>
      <c r="R1224" s="490"/>
      <c r="S1224" s="489"/>
      <c r="T1224" s="488" t="s">
        <v>268</v>
      </c>
    </row>
    <row r="1225" ht="34.5">
      <c r="A1225" s="488" t="s">
        <v>1201</v>
      </c>
      <c r="B1225" s="488" t="s">
        <v>1202</v>
      </c>
      <c r="C1225" s="488" t="s">
        <v>328</v>
      </c>
      <c r="D1225" s="488" t="s">
        <v>263</v>
      </c>
      <c r="E1225" s="488" t="s">
        <v>282</v>
      </c>
      <c r="F1225" s="489" t="s">
        <v>993</v>
      </c>
      <c r="G1225" s="488" t="s">
        <v>284</v>
      </c>
      <c r="H1225" s="489"/>
      <c r="I1225" s="489"/>
      <c r="J1225" s="489" t="s">
        <v>1250</v>
      </c>
      <c r="K1225" s="491"/>
      <c r="L1225" s="488"/>
      <c r="M1225" s="488"/>
      <c r="N1225" s="489"/>
      <c r="O1225" s="489"/>
      <c r="P1225" s="489"/>
      <c r="Q1225" s="489"/>
      <c r="R1225" s="490"/>
      <c r="S1225" s="489"/>
      <c r="T1225" s="488" t="s">
        <v>268</v>
      </c>
    </row>
    <row r="1226" ht="34.5">
      <c r="A1226" s="488" t="s">
        <v>1201</v>
      </c>
      <c r="B1226" s="488" t="s">
        <v>1202</v>
      </c>
      <c r="C1226" s="488" t="s">
        <v>335</v>
      </c>
      <c r="D1226" s="488" t="s">
        <v>263</v>
      </c>
      <c r="E1226" s="488" t="s">
        <v>282</v>
      </c>
      <c r="F1226" s="489" t="s">
        <v>993</v>
      </c>
      <c r="G1226" s="488" t="s">
        <v>284</v>
      </c>
      <c r="H1226" s="489"/>
      <c r="I1226" s="489"/>
      <c r="J1226" s="489" t="s">
        <v>1251</v>
      </c>
      <c r="K1226" s="491"/>
      <c r="L1226" s="488"/>
      <c r="M1226" s="488"/>
      <c r="N1226" s="489"/>
      <c r="O1226" s="489"/>
      <c r="P1226" s="489"/>
      <c r="Q1226" s="489"/>
      <c r="R1226" s="490"/>
      <c r="S1226" s="489"/>
      <c r="T1226" s="488" t="s">
        <v>268</v>
      </c>
    </row>
    <row r="1227" ht="34.5">
      <c r="A1227" s="488" t="s">
        <v>1201</v>
      </c>
      <c r="B1227" s="488" t="s">
        <v>1202</v>
      </c>
      <c r="C1227" s="488" t="s">
        <v>335</v>
      </c>
      <c r="D1227" s="488" t="s">
        <v>263</v>
      </c>
      <c r="E1227" s="488" t="s">
        <v>282</v>
      </c>
      <c r="F1227" s="489" t="s">
        <v>993</v>
      </c>
      <c r="G1227" s="488" t="s">
        <v>284</v>
      </c>
      <c r="H1227" s="489"/>
      <c r="I1227" s="489"/>
      <c r="J1227" s="489" t="s">
        <v>1252</v>
      </c>
      <c r="K1227" s="491"/>
      <c r="L1227" s="488"/>
      <c r="M1227" s="488"/>
      <c r="N1227" s="489"/>
      <c r="O1227" s="489"/>
      <c r="P1227" s="489"/>
      <c r="Q1227" s="489"/>
      <c r="R1227" s="490"/>
      <c r="S1227" s="489"/>
      <c r="T1227" s="488" t="s">
        <v>268</v>
      </c>
    </row>
    <row r="1228" ht="34.5">
      <c r="A1228" s="488" t="s">
        <v>1201</v>
      </c>
      <c r="B1228" s="488" t="s">
        <v>1202</v>
      </c>
      <c r="C1228" s="488" t="s">
        <v>335</v>
      </c>
      <c r="D1228" s="488" t="s">
        <v>263</v>
      </c>
      <c r="E1228" s="488" t="s">
        <v>282</v>
      </c>
      <c r="F1228" s="489" t="s">
        <v>993</v>
      </c>
      <c r="G1228" s="488" t="s">
        <v>284</v>
      </c>
      <c r="H1228" s="489"/>
      <c r="I1228" s="489"/>
      <c r="J1228" s="489" t="s">
        <v>1253</v>
      </c>
      <c r="K1228" s="491"/>
      <c r="L1228" s="488"/>
      <c r="M1228" s="488"/>
      <c r="N1228" s="489"/>
      <c r="O1228" s="489"/>
      <c r="P1228" s="489"/>
      <c r="Q1228" s="489"/>
      <c r="R1228" s="490"/>
      <c r="S1228" s="489"/>
      <c r="T1228" s="488" t="s">
        <v>268</v>
      </c>
    </row>
    <row r="1229" ht="34.5">
      <c r="A1229" s="488" t="s">
        <v>1201</v>
      </c>
      <c r="B1229" s="488" t="s">
        <v>1202</v>
      </c>
      <c r="C1229" s="488" t="s">
        <v>335</v>
      </c>
      <c r="D1229" s="488" t="s">
        <v>263</v>
      </c>
      <c r="E1229" s="488" t="s">
        <v>282</v>
      </c>
      <c r="F1229" s="489" t="s">
        <v>993</v>
      </c>
      <c r="G1229" s="488" t="s">
        <v>284</v>
      </c>
      <c r="H1229" s="489"/>
      <c r="I1229" s="489"/>
      <c r="J1229" s="489" t="s">
        <v>344</v>
      </c>
      <c r="K1229" s="491"/>
      <c r="L1229" s="488"/>
      <c r="M1229" s="488"/>
      <c r="N1229" s="489"/>
      <c r="O1229" s="489"/>
      <c r="P1229" s="489"/>
      <c r="Q1229" s="489"/>
      <c r="R1229" s="490"/>
      <c r="S1229" s="489"/>
      <c r="T1229" s="488" t="s">
        <v>268</v>
      </c>
    </row>
    <row r="1230" ht="34.5">
      <c r="A1230" s="488" t="s">
        <v>1201</v>
      </c>
      <c r="B1230" s="488" t="s">
        <v>1202</v>
      </c>
      <c r="C1230" s="488" t="s">
        <v>335</v>
      </c>
      <c r="D1230" s="488" t="s">
        <v>263</v>
      </c>
      <c r="E1230" s="488" t="s">
        <v>282</v>
      </c>
      <c r="F1230" s="489" t="s">
        <v>993</v>
      </c>
      <c r="G1230" s="488" t="s">
        <v>284</v>
      </c>
      <c r="H1230" s="489"/>
      <c r="I1230" s="489"/>
      <c r="J1230" s="489" t="s">
        <v>345</v>
      </c>
      <c r="K1230" s="491"/>
      <c r="L1230" s="488"/>
      <c r="M1230" s="488"/>
      <c r="N1230" s="489"/>
      <c r="O1230" s="489"/>
      <c r="P1230" s="489"/>
      <c r="Q1230" s="489"/>
      <c r="R1230" s="490"/>
      <c r="S1230" s="489"/>
      <c r="T1230" s="488" t="s">
        <v>268</v>
      </c>
    </row>
    <row r="1231" ht="34.5">
      <c r="A1231" s="488" t="s">
        <v>1201</v>
      </c>
      <c r="B1231" s="488" t="s">
        <v>1202</v>
      </c>
      <c r="C1231" s="488" t="s">
        <v>335</v>
      </c>
      <c r="D1231" s="488" t="s">
        <v>263</v>
      </c>
      <c r="E1231" s="488" t="s">
        <v>282</v>
      </c>
      <c r="F1231" s="489" t="s">
        <v>993</v>
      </c>
      <c r="G1231" s="488" t="s">
        <v>284</v>
      </c>
      <c r="H1231" s="489"/>
      <c r="I1231" s="489"/>
      <c r="J1231" s="489" t="s">
        <v>1035</v>
      </c>
      <c r="K1231" s="491"/>
      <c r="L1231" s="488"/>
      <c r="M1231" s="488"/>
      <c r="N1231" s="489"/>
      <c r="O1231" s="489"/>
      <c r="P1231" s="489"/>
      <c r="Q1231" s="489"/>
      <c r="R1231" s="490"/>
      <c r="S1231" s="489"/>
      <c r="T1231" s="488" t="s">
        <v>268</v>
      </c>
    </row>
    <row r="1232" ht="34.5">
      <c r="A1232" s="488" t="s">
        <v>1201</v>
      </c>
      <c r="B1232" s="488" t="s">
        <v>1202</v>
      </c>
      <c r="C1232" s="488" t="s">
        <v>335</v>
      </c>
      <c r="D1232" s="488" t="s">
        <v>263</v>
      </c>
      <c r="E1232" s="488" t="s">
        <v>282</v>
      </c>
      <c r="F1232" s="489" t="s">
        <v>993</v>
      </c>
      <c r="G1232" s="488" t="s">
        <v>284</v>
      </c>
      <c r="H1232" s="489"/>
      <c r="I1232" s="489"/>
      <c r="J1232" s="489" t="s">
        <v>1254</v>
      </c>
      <c r="K1232" s="491"/>
      <c r="L1232" s="488"/>
      <c r="M1232" s="488"/>
      <c r="N1232" s="489"/>
      <c r="O1232" s="489"/>
      <c r="P1232" s="489"/>
      <c r="Q1232" s="489"/>
      <c r="R1232" s="490"/>
      <c r="S1232" s="489"/>
      <c r="T1232" s="488" t="s">
        <v>268</v>
      </c>
    </row>
    <row r="1233" ht="34.5">
      <c r="A1233" s="488" t="s">
        <v>1201</v>
      </c>
      <c r="B1233" s="488" t="s">
        <v>1202</v>
      </c>
      <c r="C1233" s="488" t="s">
        <v>335</v>
      </c>
      <c r="D1233" s="488" t="s">
        <v>263</v>
      </c>
      <c r="E1233" s="488" t="s">
        <v>282</v>
      </c>
      <c r="F1233" s="489" t="s">
        <v>993</v>
      </c>
      <c r="G1233" s="488" t="s">
        <v>284</v>
      </c>
      <c r="H1233" s="489"/>
      <c r="I1233" s="489"/>
      <c r="J1233" s="489" t="s">
        <v>1037</v>
      </c>
      <c r="K1233" s="491"/>
      <c r="L1233" s="488"/>
      <c r="M1233" s="488"/>
      <c r="N1233" s="489"/>
      <c r="O1233" s="489"/>
      <c r="P1233" s="489"/>
      <c r="Q1233" s="489"/>
      <c r="R1233" s="490"/>
      <c r="S1233" s="489"/>
      <c r="T1233" s="488" t="s">
        <v>268</v>
      </c>
    </row>
    <row r="1234" ht="34.5">
      <c r="A1234" s="488" t="s">
        <v>1201</v>
      </c>
      <c r="B1234" s="488" t="s">
        <v>1202</v>
      </c>
      <c r="C1234" s="488" t="s">
        <v>335</v>
      </c>
      <c r="D1234" s="488" t="s">
        <v>263</v>
      </c>
      <c r="E1234" s="488" t="s">
        <v>282</v>
      </c>
      <c r="F1234" s="489" t="s">
        <v>993</v>
      </c>
      <c r="G1234" s="488" t="s">
        <v>284</v>
      </c>
      <c r="H1234" s="489"/>
      <c r="I1234" s="489"/>
      <c r="J1234" s="489" t="s">
        <v>817</v>
      </c>
      <c r="K1234" s="491"/>
      <c r="L1234" s="488"/>
      <c r="M1234" s="488"/>
      <c r="N1234" s="489"/>
      <c r="O1234" s="489"/>
      <c r="P1234" s="489"/>
      <c r="Q1234" s="489"/>
      <c r="R1234" s="490"/>
      <c r="S1234" s="489"/>
      <c r="T1234" s="488" t="s">
        <v>268</v>
      </c>
    </row>
    <row r="1235" ht="34.5">
      <c r="A1235" s="488" t="s">
        <v>1201</v>
      </c>
      <c r="B1235" s="488" t="s">
        <v>1202</v>
      </c>
      <c r="C1235" s="488" t="s">
        <v>335</v>
      </c>
      <c r="D1235" s="488" t="s">
        <v>263</v>
      </c>
      <c r="E1235" s="488" t="s">
        <v>282</v>
      </c>
      <c r="F1235" s="489" t="s">
        <v>993</v>
      </c>
      <c r="G1235" s="488" t="s">
        <v>284</v>
      </c>
      <c r="H1235" s="489"/>
      <c r="I1235" s="489"/>
      <c r="J1235" s="489" t="s">
        <v>1038</v>
      </c>
      <c r="K1235" s="491"/>
      <c r="L1235" s="488"/>
      <c r="M1235" s="488"/>
      <c r="N1235" s="489"/>
      <c r="O1235" s="489"/>
      <c r="P1235" s="489"/>
      <c r="Q1235" s="489"/>
      <c r="R1235" s="490"/>
      <c r="S1235" s="489"/>
      <c r="T1235" s="488" t="s">
        <v>268</v>
      </c>
    </row>
    <row r="1236" ht="34.5">
      <c r="A1236" s="488" t="s">
        <v>1201</v>
      </c>
      <c r="B1236" s="488" t="s">
        <v>1202</v>
      </c>
      <c r="C1236" s="488" t="s">
        <v>335</v>
      </c>
      <c r="D1236" s="488" t="s">
        <v>263</v>
      </c>
      <c r="E1236" s="488" t="s">
        <v>282</v>
      </c>
      <c r="F1236" s="489" t="s">
        <v>993</v>
      </c>
      <c r="G1236" s="488" t="s">
        <v>284</v>
      </c>
      <c r="H1236" s="489"/>
      <c r="I1236" s="489"/>
      <c r="J1236" s="489" t="s">
        <v>1039</v>
      </c>
      <c r="K1236" s="491"/>
      <c r="L1236" s="488"/>
      <c r="M1236" s="488"/>
      <c r="N1236" s="489"/>
      <c r="O1236" s="489"/>
      <c r="P1236" s="489"/>
      <c r="Q1236" s="489"/>
      <c r="R1236" s="490"/>
      <c r="S1236" s="489"/>
      <c r="T1236" s="488" t="s">
        <v>268</v>
      </c>
    </row>
    <row r="1237" ht="34.5">
      <c r="A1237" s="488" t="s">
        <v>1201</v>
      </c>
      <c r="B1237" s="488" t="s">
        <v>1202</v>
      </c>
      <c r="C1237" s="488" t="s">
        <v>335</v>
      </c>
      <c r="D1237" s="488" t="s">
        <v>263</v>
      </c>
      <c r="E1237" s="488" t="s">
        <v>282</v>
      </c>
      <c r="F1237" s="489" t="s">
        <v>993</v>
      </c>
      <c r="G1237" s="488" t="s">
        <v>284</v>
      </c>
      <c r="H1237" s="489"/>
      <c r="I1237" s="489"/>
      <c r="J1237" s="489" t="s">
        <v>1040</v>
      </c>
      <c r="K1237" s="491"/>
      <c r="L1237" s="488"/>
      <c r="M1237" s="488"/>
      <c r="N1237" s="489"/>
      <c r="O1237" s="489"/>
      <c r="P1237" s="489"/>
      <c r="Q1237" s="489"/>
      <c r="R1237" s="490"/>
      <c r="S1237" s="489"/>
      <c r="T1237" s="488" t="s">
        <v>268</v>
      </c>
    </row>
    <row r="1238" ht="34.5">
      <c r="A1238" s="488" t="s">
        <v>1201</v>
      </c>
      <c r="B1238" s="488" t="s">
        <v>1202</v>
      </c>
      <c r="C1238" s="488" t="s">
        <v>335</v>
      </c>
      <c r="D1238" s="488" t="s">
        <v>263</v>
      </c>
      <c r="E1238" s="488" t="s">
        <v>282</v>
      </c>
      <c r="F1238" s="489" t="s">
        <v>993</v>
      </c>
      <c r="G1238" s="488" t="s">
        <v>284</v>
      </c>
      <c r="H1238" s="489"/>
      <c r="I1238" s="489"/>
      <c r="J1238" s="489" t="s">
        <v>1255</v>
      </c>
      <c r="K1238" s="491"/>
      <c r="L1238" s="488"/>
      <c r="M1238" s="488"/>
      <c r="N1238" s="489"/>
      <c r="O1238" s="489"/>
      <c r="P1238" s="489"/>
      <c r="Q1238" s="489"/>
      <c r="R1238" s="490"/>
      <c r="S1238" s="489"/>
      <c r="T1238" s="488" t="s">
        <v>268</v>
      </c>
    </row>
    <row r="1239" ht="34.5">
      <c r="A1239" s="488" t="s">
        <v>1201</v>
      </c>
      <c r="B1239" s="488" t="s">
        <v>1202</v>
      </c>
      <c r="C1239" s="488" t="s">
        <v>346</v>
      </c>
      <c r="D1239" s="488" t="s">
        <v>263</v>
      </c>
      <c r="E1239" s="488" t="s">
        <v>282</v>
      </c>
      <c r="F1239" s="489" t="s">
        <v>993</v>
      </c>
      <c r="G1239" s="488" t="s">
        <v>284</v>
      </c>
      <c r="H1239" s="489"/>
      <c r="I1239" s="489"/>
      <c r="J1239" s="489" t="s">
        <v>357</v>
      </c>
      <c r="K1239" s="491"/>
      <c r="L1239" s="488"/>
      <c r="M1239" s="488"/>
      <c r="N1239" s="489"/>
      <c r="O1239" s="489"/>
      <c r="P1239" s="489"/>
      <c r="Q1239" s="489"/>
      <c r="R1239" s="490"/>
      <c r="S1239" s="489"/>
      <c r="T1239" s="488" t="s">
        <v>268</v>
      </c>
    </row>
    <row r="1240" ht="34.5">
      <c r="A1240" s="488" t="s">
        <v>1201</v>
      </c>
      <c r="B1240" s="488" t="s">
        <v>1202</v>
      </c>
      <c r="C1240" s="488" t="s">
        <v>346</v>
      </c>
      <c r="D1240" s="488" t="s">
        <v>263</v>
      </c>
      <c r="E1240" s="488" t="s">
        <v>282</v>
      </c>
      <c r="F1240" s="489" t="s">
        <v>993</v>
      </c>
      <c r="G1240" s="488" t="s">
        <v>284</v>
      </c>
      <c r="H1240" s="489"/>
      <c r="I1240" s="489"/>
      <c r="J1240" s="489" t="s">
        <v>1256</v>
      </c>
      <c r="K1240" s="491"/>
      <c r="L1240" s="488"/>
      <c r="M1240" s="488"/>
      <c r="N1240" s="489"/>
      <c r="O1240" s="489"/>
      <c r="P1240" s="489"/>
      <c r="Q1240" s="489"/>
      <c r="R1240" s="490"/>
      <c r="S1240" s="489"/>
      <c r="T1240" s="488" t="s">
        <v>268</v>
      </c>
    </row>
    <row r="1241" ht="34.5">
      <c r="A1241" s="488" t="s">
        <v>1201</v>
      </c>
      <c r="B1241" s="488" t="s">
        <v>1202</v>
      </c>
      <c r="C1241" s="488" t="s">
        <v>346</v>
      </c>
      <c r="D1241" s="488" t="s">
        <v>263</v>
      </c>
      <c r="E1241" s="488" t="s">
        <v>282</v>
      </c>
      <c r="F1241" s="489" t="s">
        <v>993</v>
      </c>
      <c r="G1241" s="488" t="s">
        <v>284</v>
      </c>
      <c r="H1241" s="489"/>
      <c r="I1241" s="489"/>
      <c r="J1241" s="489" t="s">
        <v>358</v>
      </c>
      <c r="K1241" s="491"/>
      <c r="L1241" s="488"/>
      <c r="M1241" s="488"/>
      <c r="N1241" s="489"/>
      <c r="O1241" s="489"/>
      <c r="P1241" s="489"/>
      <c r="Q1241" s="489"/>
      <c r="R1241" s="490"/>
      <c r="S1241" s="489"/>
      <c r="T1241" s="488" t="s">
        <v>268</v>
      </c>
    </row>
    <row r="1242" ht="34.5">
      <c r="A1242" s="488" t="s">
        <v>1201</v>
      </c>
      <c r="B1242" s="488" t="s">
        <v>1202</v>
      </c>
      <c r="C1242" s="488" t="s">
        <v>346</v>
      </c>
      <c r="D1242" s="488" t="s">
        <v>263</v>
      </c>
      <c r="E1242" s="488" t="s">
        <v>282</v>
      </c>
      <c r="F1242" s="489" t="s">
        <v>993</v>
      </c>
      <c r="G1242" s="488" t="s">
        <v>284</v>
      </c>
      <c r="H1242" s="489"/>
      <c r="I1242" s="489"/>
      <c r="J1242" s="489" t="s">
        <v>359</v>
      </c>
      <c r="K1242" s="491"/>
      <c r="L1242" s="488"/>
      <c r="M1242" s="488"/>
      <c r="N1242" s="489"/>
      <c r="O1242" s="489"/>
      <c r="P1242" s="489"/>
      <c r="Q1242" s="489"/>
      <c r="R1242" s="490"/>
      <c r="S1242" s="489"/>
      <c r="T1242" s="488" t="s">
        <v>268</v>
      </c>
    </row>
    <row r="1243" ht="34.5">
      <c r="A1243" s="488" t="s">
        <v>1201</v>
      </c>
      <c r="B1243" s="488" t="s">
        <v>1202</v>
      </c>
      <c r="C1243" s="488" t="s">
        <v>346</v>
      </c>
      <c r="D1243" s="488" t="s">
        <v>263</v>
      </c>
      <c r="E1243" s="488" t="s">
        <v>282</v>
      </c>
      <c r="F1243" s="489" t="s">
        <v>993</v>
      </c>
      <c r="G1243" s="488" t="s">
        <v>284</v>
      </c>
      <c r="H1243" s="489"/>
      <c r="I1243" s="489"/>
      <c r="J1243" s="489" t="s">
        <v>362</v>
      </c>
      <c r="K1243" s="491"/>
      <c r="L1243" s="488"/>
      <c r="M1243" s="488"/>
      <c r="N1243" s="489"/>
      <c r="O1243" s="489"/>
      <c r="P1243" s="489"/>
      <c r="Q1243" s="489"/>
      <c r="R1243" s="490"/>
      <c r="S1243" s="489"/>
      <c r="T1243" s="488" t="s">
        <v>268</v>
      </c>
    </row>
    <row r="1244" ht="34.5">
      <c r="A1244" s="488" t="s">
        <v>1201</v>
      </c>
      <c r="B1244" s="488" t="s">
        <v>1202</v>
      </c>
      <c r="C1244" s="488" t="s">
        <v>346</v>
      </c>
      <c r="D1244" s="488" t="s">
        <v>263</v>
      </c>
      <c r="E1244" s="488" t="s">
        <v>282</v>
      </c>
      <c r="F1244" s="489" t="s">
        <v>993</v>
      </c>
      <c r="G1244" s="488" t="s">
        <v>284</v>
      </c>
      <c r="H1244" s="489"/>
      <c r="I1244" s="489"/>
      <c r="J1244" s="489" t="s">
        <v>363</v>
      </c>
      <c r="K1244" s="491"/>
      <c r="L1244" s="488"/>
      <c r="M1244" s="488"/>
      <c r="N1244" s="489"/>
      <c r="O1244" s="489"/>
      <c r="P1244" s="489"/>
      <c r="Q1244" s="489"/>
      <c r="R1244" s="490"/>
      <c r="S1244" s="489"/>
      <c r="T1244" s="488" t="s">
        <v>268</v>
      </c>
    </row>
    <row r="1245" ht="34.5">
      <c r="A1245" s="488" t="s">
        <v>1201</v>
      </c>
      <c r="B1245" s="488" t="s">
        <v>1202</v>
      </c>
      <c r="C1245" s="488" t="s">
        <v>346</v>
      </c>
      <c r="D1245" s="488" t="s">
        <v>263</v>
      </c>
      <c r="E1245" s="488" t="s">
        <v>282</v>
      </c>
      <c r="F1245" s="489" t="s">
        <v>993</v>
      </c>
      <c r="G1245" s="488" t="s">
        <v>284</v>
      </c>
      <c r="H1245" s="489"/>
      <c r="I1245" s="489"/>
      <c r="J1245" s="489" t="s">
        <v>364</v>
      </c>
      <c r="K1245" s="491"/>
      <c r="L1245" s="488"/>
      <c r="M1245" s="488"/>
      <c r="N1245" s="489"/>
      <c r="O1245" s="489"/>
      <c r="P1245" s="489"/>
      <c r="Q1245" s="489"/>
      <c r="R1245" s="490"/>
      <c r="S1245" s="489"/>
      <c r="T1245" s="488" t="s">
        <v>268</v>
      </c>
    </row>
    <row r="1246" ht="34.5">
      <c r="A1246" s="488" t="s">
        <v>1201</v>
      </c>
      <c r="B1246" s="488" t="s">
        <v>1202</v>
      </c>
      <c r="C1246" s="488" t="s">
        <v>346</v>
      </c>
      <c r="D1246" s="488" t="s">
        <v>263</v>
      </c>
      <c r="E1246" s="488" t="s">
        <v>282</v>
      </c>
      <c r="F1246" s="489" t="s">
        <v>993</v>
      </c>
      <c r="G1246" s="488" t="s">
        <v>284</v>
      </c>
      <c r="H1246" s="489"/>
      <c r="I1246" s="489"/>
      <c r="J1246" s="489" t="s">
        <v>1257</v>
      </c>
      <c r="K1246" s="491"/>
      <c r="L1246" s="488"/>
      <c r="M1246" s="488"/>
      <c r="N1246" s="489"/>
      <c r="O1246" s="489"/>
      <c r="P1246" s="489"/>
      <c r="Q1246" s="489"/>
      <c r="R1246" s="490"/>
      <c r="S1246" s="489"/>
      <c r="T1246" s="488" t="s">
        <v>268</v>
      </c>
    </row>
    <row r="1247" ht="34.5">
      <c r="A1247" s="488" t="s">
        <v>1201</v>
      </c>
      <c r="B1247" s="488" t="s">
        <v>1202</v>
      </c>
      <c r="C1247" s="488" t="s">
        <v>346</v>
      </c>
      <c r="D1247" s="488" t="s">
        <v>263</v>
      </c>
      <c r="E1247" s="488" t="s">
        <v>282</v>
      </c>
      <c r="F1247" s="489" t="s">
        <v>993</v>
      </c>
      <c r="G1247" s="488" t="s">
        <v>284</v>
      </c>
      <c r="H1247" s="489"/>
      <c r="I1247" s="489"/>
      <c r="J1247" s="489" t="s">
        <v>1041</v>
      </c>
      <c r="K1247" s="491"/>
      <c r="L1247" s="488"/>
      <c r="M1247" s="488"/>
      <c r="N1247" s="489"/>
      <c r="O1247" s="489"/>
      <c r="P1247" s="489"/>
      <c r="Q1247" s="489"/>
      <c r="R1247" s="490"/>
      <c r="S1247" s="489"/>
      <c r="T1247" s="488" t="s">
        <v>268</v>
      </c>
    </row>
    <row r="1248" ht="34.5">
      <c r="A1248" s="488" t="s">
        <v>1201</v>
      </c>
      <c r="B1248" s="488" t="s">
        <v>1202</v>
      </c>
      <c r="C1248" s="488" t="s">
        <v>356</v>
      </c>
      <c r="D1248" s="488" t="s">
        <v>263</v>
      </c>
      <c r="E1248" s="488" t="s">
        <v>282</v>
      </c>
      <c r="F1248" s="489" t="s">
        <v>993</v>
      </c>
      <c r="G1248" s="488" t="s">
        <v>284</v>
      </c>
      <c r="H1248" s="489"/>
      <c r="I1248" s="489"/>
      <c r="J1248" s="489" t="s">
        <v>1043</v>
      </c>
      <c r="K1248" s="491"/>
      <c r="L1248" s="488"/>
      <c r="M1248" s="488"/>
      <c r="N1248" s="489"/>
      <c r="O1248" s="489"/>
      <c r="P1248" s="489"/>
      <c r="Q1248" s="489"/>
      <c r="R1248" s="490"/>
      <c r="S1248" s="489"/>
      <c r="T1248" s="488" t="s">
        <v>268</v>
      </c>
    </row>
    <row r="1249" ht="34.5">
      <c r="A1249" s="488" t="s">
        <v>1201</v>
      </c>
      <c r="B1249" s="488" t="s">
        <v>1202</v>
      </c>
      <c r="C1249" s="488" t="s">
        <v>356</v>
      </c>
      <c r="D1249" s="488" t="s">
        <v>263</v>
      </c>
      <c r="E1249" s="488" t="s">
        <v>282</v>
      </c>
      <c r="F1249" s="489" t="s">
        <v>993</v>
      </c>
      <c r="G1249" s="488" t="s">
        <v>284</v>
      </c>
      <c r="H1249" s="489"/>
      <c r="I1249" s="489"/>
      <c r="J1249" s="489" t="s">
        <v>569</v>
      </c>
      <c r="K1249" s="491"/>
      <c r="L1249" s="488"/>
      <c r="M1249" s="488"/>
      <c r="N1249" s="489"/>
      <c r="O1249" s="489"/>
      <c r="P1249" s="489"/>
      <c r="Q1249" s="489"/>
      <c r="R1249" s="490"/>
      <c r="S1249" s="489"/>
      <c r="T1249" s="488" t="s">
        <v>268</v>
      </c>
    </row>
    <row r="1250" ht="34.5">
      <c r="A1250" s="488" t="s">
        <v>1201</v>
      </c>
      <c r="B1250" s="488" t="s">
        <v>1202</v>
      </c>
      <c r="C1250" s="488" t="s">
        <v>356</v>
      </c>
      <c r="D1250" s="488" t="s">
        <v>263</v>
      </c>
      <c r="E1250" s="488" t="s">
        <v>282</v>
      </c>
      <c r="F1250" s="489" t="s">
        <v>993</v>
      </c>
      <c r="G1250" s="488" t="s">
        <v>284</v>
      </c>
      <c r="H1250" s="489"/>
      <c r="I1250" s="489"/>
      <c r="J1250" s="489" t="s">
        <v>570</v>
      </c>
      <c r="K1250" s="491">
        <v>22500000</v>
      </c>
      <c r="L1250" s="488" t="s">
        <v>429</v>
      </c>
      <c r="M1250" s="488"/>
      <c r="N1250" s="489"/>
      <c r="O1250" s="489"/>
      <c r="P1250" s="489"/>
      <c r="Q1250" s="489"/>
      <c r="R1250" s="490"/>
      <c r="S1250" s="489"/>
      <c r="T1250" s="488" t="s">
        <v>268</v>
      </c>
    </row>
    <row r="1251" ht="34.5">
      <c r="A1251" s="488" t="s">
        <v>1201</v>
      </c>
      <c r="B1251" s="488" t="s">
        <v>1202</v>
      </c>
      <c r="C1251" s="488" t="s">
        <v>356</v>
      </c>
      <c r="D1251" s="488" t="s">
        <v>263</v>
      </c>
      <c r="E1251" s="488" t="s">
        <v>282</v>
      </c>
      <c r="F1251" s="489" t="s">
        <v>993</v>
      </c>
      <c r="G1251" s="488" t="s">
        <v>284</v>
      </c>
      <c r="H1251" s="489"/>
      <c r="I1251" s="489"/>
      <c r="J1251" s="489" t="s">
        <v>370</v>
      </c>
      <c r="K1251" s="491"/>
      <c r="L1251" s="488"/>
      <c r="M1251" s="488"/>
      <c r="N1251" s="489"/>
      <c r="O1251" s="489"/>
      <c r="P1251" s="489"/>
      <c r="Q1251" s="489"/>
      <c r="R1251" s="490"/>
      <c r="S1251" s="489"/>
      <c r="T1251" s="488" t="s">
        <v>268</v>
      </c>
    </row>
    <row r="1252" ht="34.5">
      <c r="A1252" s="488" t="s">
        <v>1201</v>
      </c>
      <c r="B1252" s="488" t="s">
        <v>1202</v>
      </c>
      <c r="C1252" s="488" t="s">
        <v>356</v>
      </c>
      <c r="D1252" s="488" t="s">
        <v>263</v>
      </c>
      <c r="E1252" s="488" t="s">
        <v>282</v>
      </c>
      <c r="F1252" s="489" t="s">
        <v>993</v>
      </c>
      <c r="G1252" s="488" t="s">
        <v>284</v>
      </c>
      <c r="H1252" s="489"/>
      <c r="I1252" s="489"/>
      <c r="J1252" s="489" t="s">
        <v>1258</v>
      </c>
      <c r="K1252" s="491"/>
      <c r="L1252" s="488"/>
      <c r="M1252" s="488"/>
      <c r="N1252" s="489"/>
      <c r="O1252" s="489"/>
      <c r="P1252" s="489"/>
      <c r="Q1252" s="489"/>
      <c r="R1252" s="490"/>
      <c r="S1252" s="489"/>
      <c r="T1252" s="488" t="s">
        <v>268</v>
      </c>
    </row>
    <row r="1253" ht="34.5">
      <c r="A1253" s="488" t="s">
        <v>1201</v>
      </c>
      <c r="B1253" s="488" t="s">
        <v>1202</v>
      </c>
      <c r="C1253" s="488" t="s">
        <v>356</v>
      </c>
      <c r="D1253" s="488" t="s">
        <v>263</v>
      </c>
      <c r="E1253" s="488" t="s">
        <v>282</v>
      </c>
      <c r="F1253" s="489" t="s">
        <v>993</v>
      </c>
      <c r="G1253" s="488" t="s">
        <v>284</v>
      </c>
      <c r="H1253" s="489"/>
      <c r="I1253" s="489"/>
      <c r="J1253" s="489" t="s">
        <v>1259</v>
      </c>
      <c r="K1253" s="491"/>
      <c r="L1253" s="488"/>
      <c r="M1253" s="488"/>
      <c r="N1253" s="489"/>
      <c r="O1253" s="489"/>
      <c r="P1253" s="489"/>
      <c r="Q1253" s="489"/>
      <c r="R1253" s="490"/>
      <c r="S1253" s="489"/>
      <c r="T1253" s="488" t="s">
        <v>268</v>
      </c>
    </row>
    <row r="1254" ht="34.5">
      <c r="A1254" s="488" t="s">
        <v>1201</v>
      </c>
      <c r="B1254" s="488" t="s">
        <v>1202</v>
      </c>
      <c r="C1254" s="488" t="s">
        <v>356</v>
      </c>
      <c r="D1254" s="488" t="s">
        <v>263</v>
      </c>
      <c r="E1254" s="488" t="s">
        <v>282</v>
      </c>
      <c r="F1254" s="489" t="s">
        <v>993</v>
      </c>
      <c r="G1254" s="488" t="s">
        <v>284</v>
      </c>
      <c r="H1254" s="489"/>
      <c r="I1254" s="489"/>
      <c r="J1254" s="489" t="s">
        <v>1260</v>
      </c>
      <c r="K1254" s="491"/>
      <c r="L1254" s="488"/>
      <c r="M1254" s="488"/>
      <c r="N1254" s="489"/>
      <c r="O1254" s="489"/>
      <c r="P1254" s="489"/>
      <c r="Q1254" s="489"/>
      <c r="R1254" s="490"/>
      <c r="S1254" s="489"/>
      <c r="T1254" s="488" t="s">
        <v>268</v>
      </c>
    </row>
    <row r="1255" ht="34.5">
      <c r="A1255" s="488" t="s">
        <v>1201</v>
      </c>
      <c r="B1255" s="488" t="s">
        <v>1202</v>
      </c>
      <c r="C1255" s="488" t="s">
        <v>365</v>
      </c>
      <c r="D1255" s="488" t="s">
        <v>263</v>
      </c>
      <c r="E1255" s="488" t="s">
        <v>282</v>
      </c>
      <c r="F1255" s="489" t="s">
        <v>993</v>
      </c>
      <c r="G1255" s="488" t="s">
        <v>284</v>
      </c>
      <c r="H1255" s="489"/>
      <c r="I1255" s="489"/>
      <c r="J1255" s="489" t="s">
        <v>1261</v>
      </c>
      <c r="K1255" s="491"/>
      <c r="L1255" s="488"/>
      <c r="M1255" s="488"/>
      <c r="N1255" s="489"/>
      <c r="O1255" s="489"/>
      <c r="P1255" s="489"/>
      <c r="Q1255" s="489"/>
      <c r="R1255" s="490"/>
      <c r="S1255" s="489"/>
      <c r="T1255" s="488" t="s">
        <v>268</v>
      </c>
    </row>
    <row r="1256" ht="34.5">
      <c r="A1256" s="488" t="s">
        <v>1201</v>
      </c>
      <c r="B1256" s="488" t="s">
        <v>1202</v>
      </c>
      <c r="C1256" s="488" t="s">
        <v>365</v>
      </c>
      <c r="D1256" s="488" t="s">
        <v>263</v>
      </c>
      <c r="E1256" s="488" t="s">
        <v>282</v>
      </c>
      <c r="F1256" s="489" t="s">
        <v>993</v>
      </c>
      <c r="G1256" s="488" t="s">
        <v>284</v>
      </c>
      <c r="H1256" s="489"/>
      <c r="I1256" s="489"/>
      <c r="J1256" s="489" t="s">
        <v>1262</v>
      </c>
      <c r="K1256" s="491"/>
      <c r="L1256" s="488"/>
      <c r="M1256" s="488"/>
      <c r="N1256" s="489"/>
      <c r="O1256" s="489"/>
      <c r="P1256" s="489"/>
      <c r="Q1256" s="489"/>
      <c r="R1256" s="490"/>
      <c r="S1256" s="489"/>
      <c r="T1256" s="488" t="s">
        <v>268</v>
      </c>
    </row>
    <row r="1257" ht="34.5">
      <c r="A1257" s="488" t="s">
        <v>1201</v>
      </c>
      <c r="B1257" s="488" t="s">
        <v>1202</v>
      </c>
      <c r="C1257" s="488" t="s">
        <v>365</v>
      </c>
      <c r="D1257" s="488" t="s">
        <v>263</v>
      </c>
      <c r="E1257" s="488" t="s">
        <v>282</v>
      </c>
      <c r="F1257" s="489" t="s">
        <v>993</v>
      </c>
      <c r="G1257" s="488" t="s">
        <v>284</v>
      </c>
      <c r="H1257" s="489"/>
      <c r="I1257" s="489"/>
      <c r="J1257" s="489" t="s">
        <v>373</v>
      </c>
      <c r="K1257" s="491"/>
      <c r="L1257" s="488"/>
      <c r="M1257" s="488"/>
      <c r="N1257" s="489"/>
      <c r="O1257" s="489"/>
      <c r="P1257" s="489"/>
      <c r="Q1257" s="489"/>
      <c r="R1257" s="490"/>
      <c r="S1257" s="489"/>
      <c r="T1257" s="488" t="s">
        <v>268</v>
      </c>
    </row>
    <row r="1258" ht="34.5">
      <c r="A1258" s="488" t="s">
        <v>1201</v>
      </c>
      <c r="B1258" s="488" t="s">
        <v>1202</v>
      </c>
      <c r="C1258" s="488" t="s">
        <v>365</v>
      </c>
      <c r="D1258" s="488" t="s">
        <v>263</v>
      </c>
      <c r="E1258" s="488" t="s">
        <v>282</v>
      </c>
      <c r="F1258" s="489" t="s">
        <v>993</v>
      </c>
      <c r="G1258" s="488" t="s">
        <v>284</v>
      </c>
      <c r="H1258" s="489"/>
      <c r="I1258" s="489"/>
      <c r="J1258" s="489" t="s">
        <v>374</v>
      </c>
      <c r="K1258" s="491"/>
      <c r="L1258" s="488"/>
      <c r="M1258" s="488"/>
      <c r="N1258" s="489"/>
      <c r="O1258" s="489"/>
      <c r="P1258" s="489"/>
      <c r="Q1258" s="489"/>
      <c r="R1258" s="490"/>
      <c r="S1258" s="489"/>
      <c r="T1258" s="488" t="s">
        <v>268</v>
      </c>
    </row>
    <row r="1259" ht="34.5">
      <c r="A1259" s="488" t="s">
        <v>1201</v>
      </c>
      <c r="B1259" s="488" t="s">
        <v>1202</v>
      </c>
      <c r="C1259" s="488" t="s">
        <v>365</v>
      </c>
      <c r="D1259" s="488" t="s">
        <v>263</v>
      </c>
      <c r="E1259" s="488" t="s">
        <v>282</v>
      </c>
      <c r="F1259" s="489" t="s">
        <v>993</v>
      </c>
      <c r="G1259" s="488" t="s">
        <v>284</v>
      </c>
      <c r="H1259" s="489"/>
      <c r="I1259" s="489"/>
      <c r="J1259" s="489" t="s">
        <v>819</v>
      </c>
      <c r="K1259" s="491"/>
      <c r="L1259" s="488"/>
      <c r="M1259" s="488"/>
      <c r="N1259" s="489"/>
      <c r="O1259" s="489"/>
      <c r="P1259" s="489"/>
      <c r="Q1259" s="489"/>
      <c r="R1259" s="490"/>
      <c r="S1259" s="489"/>
      <c r="T1259" s="488" t="s">
        <v>268</v>
      </c>
    </row>
    <row r="1260" ht="34.5">
      <c r="A1260" s="488" t="s">
        <v>1201</v>
      </c>
      <c r="B1260" s="488" t="s">
        <v>1202</v>
      </c>
      <c r="C1260" s="488" t="s">
        <v>365</v>
      </c>
      <c r="D1260" s="488" t="s">
        <v>263</v>
      </c>
      <c r="E1260" s="488" t="s">
        <v>282</v>
      </c>
      <c r="F1260" s="489" t="s">
        <v>993</v>
      </c>
      <c r="G1260" s="488" t="s">
        <v>284</v>
      </c>
      <c r="H1260" s="489"/>
      <c r="I1260" s="489"/>
      <c r="J1260" s="489" t="s">
        <v>376</v>
      </c>
      <c r="K1260" s="491"/>
      <c r="L1260" s="488"/>
      <c r="M1260" s="488"/>
      <c r="N1260" s="489"/>
      <c r="O1260" s="489"/>
      <c r="P1260" s="489"/>
      <c r="Q1260" s="489"/>
      <c r="R1260" s="490"/>
      <c r="S1260" s="489"/>
      <c r="T1260" s="488" t="s">
        <v>268</v>
      </c>
    </row>
    <row r="1261" ht="34.5">
      <c r="A1261" s="488" t="s">
        <v>1201</v>
      </c>
      <c r="B1261" s="488" t="s">
        <v>1202</v>
      </c>
      <c r="C1261" s="488" t="s">
        <v>365</v>
      </c>
      <c r="D1261" s="488" t="s">
        <v>263</v>
      </c>
      <c r="E1261" s="488" t="s">
        <v>282</v>
      </c>
      <c r="F1261" s="489" t="s">
        <v>993</v>
      </c>
      <c r="G1261" s="488" t="s">
        <v>284</v>
      </c>
      <c r="H1261" s="489"/>
      <c r="I1261" s="489"/>
      <c r="J1261" s="489" t="s">
        <v>377</v>
      </c>
      <c r="K1261" s="491"/>
      <c r="L1261" s="488"/>
      <c r="M1261" s="488"/>
      <c r="N1261" s="489"/>
      <c r="O1261" s="489"/>
      <c r="P1261" s="489"/>
      <c r="Q1261" s="489"/>
      <c r="R1261" s="490"/>
      <c r="S1261" s="489"/>
      <c r="T1261" s="488" t="s">
        <v>268</v>
      </c>
    </row>
    <row r="1262" ht="34.5">
      <c r="A1262" s="488" t="s">
        <v>1201</v>
      </c>
      <c r="B1262" s="488" t="s">
        <v>1202</v>
      </c>
      <c r="C1262" s="488" t="s">
        <v>365</v>
      </c>
      <c r="D1262" s="488" t="s">
        <v>263</v>
      </c>
      <c r="E1262" s="488" t="s">
        <v>282</v>
      </c>
      <c r="F1262" s="489" t="s">
        <v>993</v>
      </c>
      <c r="G1262" s="488" t="s">
        <v>284</v>
      </c>
      <c r="H1262" s="489"/>
      <c r="I1262" s="489"/>
      <c r="J1262" s="489" t="s">
        <v>378</v>
      </c>
      <c r="K1262" s="491"/>
      <c r="L1262" s="488"/>
      <c r="M1262" s="488"/>
      <c r="N1262" s="489"/>
      <c r="O1262" s="489"/>
      <c r="P1262" s="489"/>
      <c r="Q1262" s="489"/>
      <c r="R1262" s="490"/>
      <c r="S1262" s="489"/>
      <c r="T1262" s="488" t="s">
        <v>268</v>
      </c>
    </row>
    <row r="1263" ht="34.5">
      <c r="A1263" s="488" t="s">
        <v>1201</v>
      </c>
      <c r="B1263" s="488" t="s">
        <v>1202</v>
      </c>
      <c r="C1263" s="488" t="s">
        <v>365</v>
      </c>
      <c r="D1263" s="488" t="s">
        <v>263</v>
      </c>
      <c r="E1263" s="488" t="s">
        <v>282</v>
      </c>
      <c r="F1263" s="489" t="s">
        <v>993</v>
      </c>
      <c r="G1263" s="488" t="s">
        <v>284</v>
      </c>
      <c r="H1263" s="489"/>
      <c r="I1263" s="489"/>
      <c r="J1263" s="489" t="s">
        <v>820</v>
      </c>
      <c r="K1263" s="491"/>
      <c r="L1263" s="488"/>
      <c r="M1263" s="488"/>
      <c r="N1263" s="489"/>
      <c r="O1263" s="489"/>
      <c r="P1263" s="489"/>
      <c r="Q1263" s="489"/>
      <c r="R1263" s="490"/>
      <c r="S1263" s="489"/>
      <c r="T1263" s="488" t="s">
        <v>268</v>
      </c>
    </row>
    <row r="1264" ht="34.5">
      <c r="A1264" s="488" t="s">
        <v>1201</v>
      </c>
      <c r="B1264" s="488" t="s">
        <v>1202</v>
      </c>
      <c r="C1264" s="488" t="s">
        <v>372</v>
      </c>
      <c r="D1264" s="488" t="s">
        <v>263</v>
      </c>
      <c r="E1264" s="488" t="s">
        <v>282</v>
      </c>
      <c r="F1264" s="489" t="s">
        <v>993</v>
      </c>
      <c r="G1264" s="488" t="s">
        <v>284</v>
      </c>
      <c r="H1264" s="489"/>
      <c r="I1264" s="489"/>
      <c r="J1264" s="489" t="s">
        <v>379</v>
      </c>
      <c r="K1264" s="491"/>
      <c r="L1264" s="488"/>
      <c r="M1264" s="488"/>
      <c r="N1264" s="489"/>
      <c r="O1264" s="489"/>
      <c r="P1264" s="489"/>
      <c r="Q1264" s="489"/>
      <c r="R1264" s="490"/>
      <c r="S1264" s="489"/>
      <c r="T1264" s="488" t="s">
        <v>268</v>
      </c>
    </row>
    <row r="1265" ht="34.5">
      <c r="A1265" s="488" t="s">
        <v>1201</v>
      </c>
      <c r="B1265" s="488" t="s">
        <v>1202</v>
      </c>
      <c r="C1265" s="488" t="s">
        <v>372</v>
      </c>
      <c r="D1265" s="488" t="s">
        <v>263</v>
      </c>
      <c r="E1265" s="488" t="s">
        <v>282</v>
      </c>
      <c r="F1265" s="489" t="s">
        <v>993</v>
      </c>
      <c r="G1265" s="488" t="s">
        <v>284</v>
      </c>
      <c r="H1265" s="489"/>
      <c r="I1265" s="489"/>
      <c r="J1265" s="489" t="s">
        <v>380</v>
      </c>
      <c r="K1265" s="491"/>
      <c r="L1265" s="488"/>
      <c r="M1265" s="488"/>
      <c r="N1265" s="489"/>
      <c r="O1265" s="489"/>
      <c r="P1265" s="489"/>
      <c r="Q1265" s="489"/>
      <c r="R1265" s="490"/>
      <c r="S1265" s="489"/>
      <c r="T1265" s="488" t="s">
        <v>268</v>
      </c>
    </row>
    <row r="1266" ht="34.5">
      <c r="A1266" s="488" t="s">
        <v>1201</v>
      </c>
      <c r="B1266" s="488" t="s">
        <v>1202</v>
      </c>
      <c r="C1266" s="488" t="s">
        <v>372</v>
      </c>
      <c r="D1266" s="488" t="s">
        <v>263</v>
      </c>
      <c r="E1266" s="488" t="s">
        <v>282</v>
      </c>
      <c r="F1266" s="489" t="s">
        <v>993</v>
      </c>
      <c r="G1266" s="488" t="s">
        <v>284</v>
      </c>
      <c r="H1266" s="489"/>
      <c r="I1266" s="489"/>
      <c r="J1266" s="489" t="s">
        <v>1263</v>
      </c>
      <c r="K1266" s="491"/>
      <c r="L1266" s="488"/>
      <c r="M1266" s="488"/>
      <c r="N1266" s="489"/>
      <c r="O1266" s="489"/>
      <c r="P1266" s="489"/>
      <c r="Q1266" s="489"/>
      <c r="R1266" s="490"/>
      <c r="S1266" s="489"/>
      <c r="T1266" s="488" t="s">
        <v>268</v>
      </c>
    </row>
    <row r="1267" ht="34.5">
      <c r="A1267" s="488" t="s">
        <v>1201</v>
      </c>
      <c r="B1267" s="488" t="s">
        <v>1202</v>
      </c>
      <c r="C1267" s="488" t="s">
        <v>372</v>
      </c>
      <c r="D1267" s="488" t="s">
        <v>263</v>
      </c>
      <c r="E1267" s="488" t="s">
        <v>282</v>
      </c>
      <c r="F1267" s="489" t="s">
        <v>993</v>
      </c>
      <c r="G1267" s="488" t="s">
        <v>284</v>
      </c>
      <c r="H1267" s="489"/>
      <c r="I1267" s="489"/>
      <c r="J1267" s="489" t="s">
        <v>1264</v>
      </c>
      <c r="K1267" s="491"/>
      <c r="L1267" s="488"/>
      <c r="M1267" s="488"/>
      <c r="N1267" s="489"/>
      <c r="O1267" s="489"/>
      <c r="P1267" s="489"/>
      <c r="Q1267" s="489"/>
      <c r="R1267" s="490"/>
      <c r="S1267" s="489"/>
      <c r="T1267" s="488" t="s">
        <v>268</v>
      </c>
    </row>
    <row r="1268" ht="34.5">
      <c r="A1268" s="488" t="s">
        <v>1201</v>
      </c>
      <c r="B1268" s="488" t="s">
        <v>1202</v>
      </c>
      <c r="C1268" s="488" t="s">
        <v>372</v>
      </c>
      <c r="D1268" s="488" t="s">
        <v>263</v>
      </c>
      <c r="E1268" s="488" t="s">
        <v>282</v>
      </c>
      <c r="F1268" s="489" t="s">
        <v>993</v>
      </c>
      <c r="G1268" s="488" t="s">
        <v>284</v>
      </c>
      <c r="H1268" s="489"/>
      <c r="I1268" s="489"/>
      <c r="J1268" s="489" t="s">
        <v>383</v>
      </c>
      <c r="K1268" s="491"/>
      <c r="L1268" s="488"/>
      <c r="M1268" s="488"/>
      <c r="N1268" s="489"/>
      <c r="O1268" s="489"/>
      <c r="P1268" s="489"/>
      <c r="Q1268" s="489"/>
      <c r="R1268" s="490"/>
      <c r="S1268" s="489"/>
      <c r="T1268" s="488" t="s">
        <v>268</v>
      </c>
    </row>
    <row r="1269" ht="34.5">
      <c r="A1269" s="488" t="s">
        <v>1201</v>
      </c>
      <c r="B1269" s="488" t="s">
        <v>1202</v>
      </c>
      <c r="C1269" s="488" t="s">
        <v>372</v>
      </c>
      <c r="D1269" s="488" t="s">
        <v>263</v>
      </c>
      <c r="E1269" s="488" t="s">
        <v>282</v>
      </c>
      <c r="F1269" s="489" t="s">
        <v>993</v>
      </c>
      <c r="G1269" s="488" t="s">
        <v>284</v>
      </c>
      <c r="H1269" s="489"/>
      <c r="I1269" s="489"/>
      <c r="J1269" s="489" t="s">
        <v>384</v>
      </c>
      <c r="K1269" s="491"/>
      <c r="L1269" s="488"/>
      <c r="M1269" s="488"/>
      <c r="N1269" s="489"/>
      <c r="O1269" s="489"/>
      <c r="P1269" s="489"/>
      <c r="Q1269" s="489"/>
      <c r="R1269" s="490"/>
      <c r="S1269" s="489"/>
      <c r="T1269" s="488" t="s">
        <v>268</v>
      </c>
    </row>
    <row r="1270" ht="34.5">
      <c r="A1270" s="488" t="s">
        <v>1201</v>
      </c>
      <c r="B1270" s="488" t="s">
        <v>1202</v>
      </c>
      <c r="C1270" s="488" t="s">
        <v>372</v>
      </c>
      <c r="D1270" s="488" t="s">
        <v>263</v>
      </c>
      <c r="E1270" s="488" t="s">
        <v>282</v>
      </c>
      <c r="F1270" s="489" t="s">
        <v>993</v>
      </c>
      <c r="G1270" s="488" t="s">
        <v>284</v>
      </c>
      <c r="H1270" s="489"/>
      <c r="I1270" s="489"/>
      <c r="J1270" s="489" t="s">
        <v>385</v>
      </c>
      <c r="K1270" s="491"/>
      <c r="L1270" s="488"/>
      <c r="M1270" s="488"/>
      <c r="N1270" s="489"/>
      <c r="O1270" s="489"/>
      <c r="P1270" s="489"/>
      <c r="Q1270" s="489"/>
      <c r="R1270" s="490"/>
      <c r="S1270" s="489"/>
      <c r="T1270" s="488" t="s">
        <v>268</v>
      </c>
    </row>
    <row r="1271" ht="34.5">
      <c r="A1271" s="488" t="s">
        <v>1201</v>
      </c>
      <c r="B1271" s="488" t="s">
        <v>1202</v>
      </c>
      <c r="C1271" s="488" t="s">
        <v>372</v>
      </c>
      <c r="D1271" s="488" t="s">
        <v>263</v>
      </c>
      <c r="E1271" s="488" t="s">
        <v>282</v>
      </c>
      <c r="F1271" s="489" t="s">
        <v>993</v>
      </c>
      <c r="G1271" s="488" t="s">
        <v>284</v>
      </c>
      <c r="H1271" s="489"/>
      <c r="I1271" s="489"/>
      <c r="J1271" s="489" t="s">
        <v>386</v>
      </c>
      <c r="K1271" s="491"/>
      <c r="L1271" s="488"/>
      <c r="M1271" s="488"/>
      <c r="N1271" s="489"/>
      <c r="O1271" s="489"/>
      <c r="P1271" s="489"/>
      <c r="Q1271" s="489"/>
      <c r="R1271" s="490"/>
      <c r="S1271" s="489"/>
      <c r="T1271" s="488" t="s">
        <v>268</v>
      </c>
    </row>
    <row r="1272" ht="34.5">
      <c r="A1272" s="488" t="s">
        <v>1201</v>
      </c>
      <c r="B1272" s="488" t="s">
        <v>1202</v>
      </c>
      <c r="C1272" s="488" t="s">
        <v>372</v>
      </c>
      <c r="D1272" s="488" t="s">
        <v>263</v>
      </c>
      <c r="E1272" s="488" t="s">
        <v>282</v>
      </c>
      <c r="F1272" s="489" t="s">
        <v>993</v>
      </c>
      <c r="G1272" s="488" t="s">
        <v>284</v>
      </c>
      <c r="H1272" s="489"/>
      <c r="I1272" s="489"/>
      <c r="J1272" s="489" t="s">
        <v>387</v>
      </c>
      <c r="K1272" s="491"/>
      <c r="L1272" s="488"/>
      <c r="M1272" s="488"/>
      <c r="N1272" s="489"/>
      <c r="O1272" s="489"/>
      <c r="P1272" s="489"/>
      <c r="Q1272" s="489"/>
      <c r="R1272" s="490"/>
      <c r="S1272" s="489"/>
      <c r="T1272" s="488" t="s">
        <v>268</v>
      </c>
    </row>
    <row r="1273" ht="34.5">
      <c r="A1273" s="488" t="s">
        <v>1201</v>
      </c>
      <c r="B1273" s="488" t="s">
        <v>1202</v>
      </c>
      <c r="C1273" s="488" t="s">
        <v>372</v>
      </c>
      <c r="D1273" s="488" t="s">
        <v>263</v>
      </c>
      <c r="E1273" s="488" t="s">
        <v>282</v>
      </c>
      <c r="F1273" s="489" t="s">
        <v>993</v>
      </c>
      <c r="G1273" s="488" t="s">
        <v>284</v>
      </c>
      <c r="H1273" s="489"/>
      <c r="I1273" s="489"/>
      <c r="J1273" s="489" t="s">
        <v>388</v>
      </c>
      <c r="K1273" s="491"/>
      <c r="L1273" s="488"/>
      <c r="M1273" s="488"/>
      <c r="N1273" s="489"/>
      <c r="O1273" s="489"/>
      <c r="P1273" s="489"/>
      <c r="Q1273" s="489"/>
      <c r="R1273" s="490"/>
      <c r="S1273" s="489"/>
      <c r="T1273" s="488" t="s">
        <v>268</v>
      </c>
    </row>
    <row r="1274" ht="34.5">
      <c r="A1274" s="488" t="s">
        <v>1201</v>
      </c>
      <c r="B1274" s="488" t="s">
        <v>1202</v>
      </c>
      <c r="C1274" s="488" t="s">
        <v>372</v>
      </c>
      <c r="D1274" s="488" t="s">
        <v>263</v>
      </c>
      <c r="E1274" s="488" t="s">
        <v>282</v>
      </c>
      <c r="F1274" s="489" t="s">
        <v>993</v>
      </c>
      <c r="G1274" s="488" t="s">
        <v>284</v>
      </c>
      <c r="H1274" s="489"/>
      <c r="I1274" s="489"/>
      <c r="J1274" s="489" t="s">
        <v>821</v>
      </c>
      <c r="K1274" s="491"/>
      <c r="L1274" s="488"/>
      <c r="M1274" s="488"/>
      <c r="N1274" s="489"/>
      <c r="O1274" s="489"/>
      <c r="P1274" s="489"/>
      <c r="Q1274" s="489"/>
      <c r="R1274" s="490"/>
      <c r="S1274" s="489"/>
      <c r="T1274" s="488" t="s">
        <v>268</v>
      </c>
    </row>
    <row r="1275" ht="34.5">
      <c r="A1275" s="488" t="s">
        <v>1201</v>
      </c>
      <c r="B1275" s="488" t="s">
        <v>1202</v>
      </c>
      <c r="C1275" s="488" t="s">
        <v>381</v>
      </c>
      <c r="D1275" s="488" t="s">
        <v>263</v>
      </c>
      <c r="E1275" s="488" t="s">
        <v>282</v>
      </c>
      <c r="F1275" s="489" t="s">
        <v>993</v>
      </c>
      <c r="G1275" s="488" t="s">
        <v>284</v>
      </c>
      <c r="H1275" s="489"/>
      <c r="I1275" s="489"/>
      <c r="J1275" s="489" t="s">
        <v>392</v>
      </c>
      <c r="K1275" s="491"/>
      <c r="L1275" s="488"/>
      <c r="M1275" s="488"/>
      <c r="N1275" s="489"/>
      <c r="O1275" s="489"/>
      <c r="P1275" s="489"/>
      <c r="Q1275" s="489"/>
      <c r="R1275" s="490"/>
      <c r="S1275" s="489"/>
      <c r="T1275" s="488" t="s">
        <v>268</v>
      </c>
    </row>
    <row r="1276" ht="34.5">
      <c r="A1276" s="488" t="s">
        <v>1201</v>
      </c>
      <c r="B1276" s="488" t="s">
        <v>1202</v>
      </c>
      <c r="C1276" s="488" t="s">
        <v>381</v>
      </c>
      <c r="D1276" s="488" t="s">
        <v>263</v>
      </c>
      <c r="E1276" s="488" t="s">
        <v>282</v>
      </c>
      <c r="F1276" s="489" t="s">
        <v>993</v>
      </c>
      <c r="G1276" s="488" t="s">
        <v>284</v>
      </c>
      <c r="H1276" s="489"/>
      <c r="I1276" s="489"/>
      <c r="J1276" s="489" t="s">
        <v>393</v>
      </c>
      <c r="K1276" s="491"/>
      <c r="L1276" s="488"/>
      <c r="M1276" s="488"/>
      <c r="N1276" s="489"/>
      <c r="O1276" s="489"/>
      <c r="P1276" s="489"/>
      <c r="Q1276" s="489"/>
      <c r="R1276" s="490"/>
      <c r="S1276" s="489"/>
      <c r="T1276" s="488" t="s">
        <v>268</v>
      </c>
    </row>
    <row r="1277" ht="34.5">
      <c r="A1277" s="488" t="s">
        <v>1201</v>
      </c>
      <c r="B1277" s="488" t="s">
        <v>1202</v>
      </c>
      <c r="C1277" s="488" t="s">
        <v>381</v>
      </c>
      <c r="D1277" s="488" t="s">
        <v>263</v>
      </c>
      <c r="E1277" s="488" t="s">
        <v>394</v>
      </c>
      <c r="F1277" s="489" t="s">
        <v>1265</v>
      </c>
      <c r="G1277" s="488" t="s">
        <v>409</v>
      </c>
      <c r="H1277" s="489"/>
      <c r="I1277" s="489"/>
      <c r="J1277" s="489" t="s">
        <v>827</v>
      </c>
      <c r="K1277" s="491"/>
      <c r="L1277" s="488"/>
      <c r="M1277" s="488"/>
      <c r="N1277" s="489"/>
      <c r="O1277" s="489"/>
      <c r="P1277" s="489"/>
      <c r="Q1277" s="489"/>
      <c r="R1277" s="490"/>
      <c r="S1277" s="489"/>
      <c r="T1277" s="488" t="s">
        <v>268</v>
      </c>
    </row>
    <row r="1278" ht="34.5">
      <c r="A1278" s="488" t="s">
        <v>1201</v>
      </c>
      <c r="B1278" s="488" t="s">
        <v>1202</v>
      </c>
      <c r="C1278" s="488" t="s">
        <v>381</v>
      </c>
      <c r="D1278" s="488" t="s">
        <v>263</v>
      </c>
      <c r="E1278" s="488" t="s">
        <v>394</v>
      </c>
      <c r="F1278" s="489" t="s">
        <v>1265</v>
      </c>
      <c r="G1278" s="488" t="s">
        <v>409</v>
      </c>
      <c r="H1278" s="489"/>
      <c r="I1278" s="489"/>
      <c r="J1278" s="489" t="s">
        <v>1045</v>
      </c>
      <c r="K1278" s="491"/>
      <c r="L1278" s="488"/>
      <c r="M1278" s="488"/>
      <c r="N1278" s="489"/>
      <c r="O1278" s="489"/>
      <c r="P1278" s="489"/>
      <c r="Q1278" s="489"/>
      <c r="R1278" s="490"/>
      <c r="S1278" s="489"/>
      <c r="T1278" s="488" t="s">
        <v>268</v>
      </c>
    </row>
    <row r="1279" ht="34.5">
      <c r="A1279" s="488" t="s">
        <v>1201</v>
      </c>
      <c r="B1279" s="488" t="s">
        <v>1202</v>
      </c>
      <c r="C1279" s="488" t="s">
        <v>381</v>
      </c>
      <c r="D1279" s="488" t="s">
        <v>263</v>
      </c>
      <c r="E1279" s="488" t="s">
        <v>394</v>
      </c>
      <c r="F1279" s="489" t="s">
        <v>1265</v>
      </c>
      <c r="G1279" s="488" t="s">
        <v>409</v>
      </c>
      <c r="H1279" s="489"/>
      <c r="I1279" s="489"/>
      <c r="J1279" s="489" t="s">
        <v>1266</v>
      </c>
      <c r="K1279" s="491"/>
      <c r="L1279" s="488"/>
      <c r="M1279" s="488"/>
      <c r="N1279" s="489"/>
      <c r="O1279" s="489"/>
      <c r="P1279" s="489"/>
      <c r="Q1279" s="489"/>
      <c r="R1279" s="490"/>
      <c r="S1279" s="489"/>
      <c r="T1279" s="488" t="s">
        <v>268</v>
      </c>
    </row>
    <row r="1280" ht="34.5">
      <c r="A1280" s="488" t="s">
        <v>1201</v>
      </c>
      <c r="B1280" s="488" t="s">
        <v>1202</v>
      </c>
      <c r="C1280" s="488" t="s">
        <v>381</v>
      </c>
      <c r="D1280" s="488" t="s">
        <v>263</v>
      </c>
      <c r="E1280" s="488" t="s">
        <v>394</v>
      </c>
      <c r="F1280" s="489" t="s">
        <v>1265</v>
      </c>
      <c r="G1280" s="488" t="s">
        <v>409</v>
      </c>
      <c r="H1280" s="489"/>
      <c r="I1280" s="489"/>
      <c r="J1280" s="489" t="s">
        <v>1267</v>
      </c>
      <c r="K1280" s="491"/>
      <c r="L1280" s="488"/>
      <c r="M1280" s="488"/>
      <c r="N1280" s="489"/>
      <c r="O1280" s="489"/>
      <c r="P1280" s="489"/>
      <c r="Q1280" s="489"/>
      <c r="R1280" s="490"/>
      <c r="S1280" s="489"/>
      <c r="T1280" s="488" t="s">
        <v>268</v>
      </c>
    </row>
    <row r="1281" ht="34.5">
      <c r="A1281" s="488" t="s">
        <v>1201</v>
      </c>
      <c r="B1281" s="488" t="s">
        <v>1202</v>
      </c>
      <c r="C1281" s="488" t="s">
        <v>381</v>
      </c>
      <c r="D1281" s="488" t="s">
        <v>263</v>
      </c>
      <c r="E1281" s="488" t="s">
        <v>394</v>
      </c>
      <c r="F1281" s="489" t="s">
        <v>1265</v>
      </c>
      <c r="G1281" s="488" t="s">
        <v>409</v>
      </c>
      <c r="H1281" s="489"/>
      <c r="I1281" s="489"/>
      <c r="J1281" s="489" t="s">
        <v>1268</v>
      </c>
      <c r="K1281" s="491"/>
      <c r="L1281" s="488"/>
      <c r="M1281" s="488"/>
      <c r="N1281" s="489"/>
      <c r="O1281" s="489"/>
      <c r="P1281" s="489"/>
      <c r="Q1281" s="489"/>
      <c r="R1281" s="490"/>
      <c r="S1281" s="489"/>
      <c r="T1281" s="488" t="s">
        <v>268</v>
      </c>
    </row>
    <row r="1282" ht="34.5">
      <c r="A1282" s="488" t="s">
        <v>1201</v>
      </c>
      <c r="B1282" s="488" t="s">
        <v>1202</v>
      </c>
      <c r="C1282" s="488" t="s">
        <v>381</v>
      </c>
      <c r="D1282" s="488" t="s">
        <v>263</v>
      </c>
      <c r="E1282" s="488" t="s">
        <v>394</v>
      </c>
      <c r="F1282" s="489" t="s">
        <v>1265</v>
      </c>
      <c r="G1282" s="488" t="s">
        <v>409</v>
      </c>
      <c r="H1282" s="489"/>
      <c r="I1282" s="489"/>
      <c r="J1282" s="489" t="s">
        <v>1269</v>
      </c>
      <c r="K1282" s="491"/>
      <c r="L1282" s="488"/>
      <c r="M1282" s="488"/>
      <c r="N1282" s="489"/>
      <c r="O1282" s="489"/>
      <c r="P1282" s="489"/>
      <c r="Q1282" s="489"/>
      <c r="R1282" s="490"/>
      <c r="S1282" s="489"/>
      <c r="T1282" s="488" t="s">
        <v>268</v>
      </c>
    </row>
    <row r="1283" ht="34.5">
      <c r="A1283" s="488" t="s">
        <v>1201</v>
      </c>
      <c r="B1283" s="488" t="s">
        <v>1202</v>
      </c>
      <c r="C1283" s="488" t="s">
        <v>381</v>
      </c>
      <c r="D1283" s="488" t="s">
        <v>263</v>
      </c>
      <c r="E1283" s="488" t="s">
        <v>394</v>
      </c>
      <c r="F1283" s="489" t="s">
        <v>1265</v>
      </c>
      <c r="G1283" s="488" t="s">
        <v>409</v>
      </c>
      <c r="H1283" s="489"/>
      <c r="I1283" s="489"/>
      <c r="J1283" s="489" t="s">
        <v>401</v>
      </c>
      <c r="K1283" s="491"/>
      <c r="L1283" s="488"/>
      <c r="M1283" s="488"/>
      <c r="N1283" s="489"/>
      <c r="O1283" s="489"/>
      <c r="P1283" s="489"/>
      <c r="Q1283" s="489"/>
      <c r="R1283" s="490"/>
      <c r="S1283" s="489"/>
      <c r="T1283" s="488" t="s">
        <v>268</v>
      </c>
    </row>
    <row r="1284" ht="34.5">
      <c r="A1284" s="488" t="s">
        <v>1201</v>
      </c>
      <c r="B1284" s="488" t="s">
        <v>1202</v>
      </c>
      <c r="C1284" s="488" t="s">
        <v>389</v>
      </c>
      <c r="D1284" s="488" t="s">
        <v>263</v>
      </c>
      <c r="E1284" s="488" t="s">
        <v>394</v>
      </c>
      <c r="F1284" s="489" t="s">
        <v>1270</v>
      </c>
      <c r="G1284" s="488" t="s">
        <v>409</v>
      </c>
      <c r="H1284" s="489"/>
      <c r="I1284" s="489"/>
      <c r="J1284" s="489" t="s">
        <v>425</v>
      </c>
      <c r="K1284" s="491"/>
      <c r="L1284" s="488"/>
      <c r="M1284" s="488"/>
      <c r="N1284" s="489"/>
      <c r="O1284" s="489"/>
      <c r="P1284" s="489"/>
      <c r="Q1284" s="489"/>
      <c r="R1284" s="490"/>
      <c r="S1284" s="489"/>
      <c r="T1284" s="488" t="s">
        <v>268</v>
      </c>
    </row>
    <row r="1285" ht="34.5">
      <c r="A1285" s="488" t="s">
        <v>1201</v>
      </c>
      <c r="B1285" s="488" t="s">
        <v>1202</v>
      </c>
      <c r="C1285" s="488" t="s">
        <v>389</v>
      </c>
      <c r="D1285" s="488" t="s">
        <v>263</v>
      </c>
      <c r="E1285" s="488" t="s">
        <v>394</v>
      </c>
      <c r="F1285" s="489" t="s">
        <v>1270</v>
      </c>
      <c r="G1285" s="488" t="s">
        <v>409</v>
      </c>
      <c r="H1285" s="489"/>
      <c r="I1285" s="489"/>
      <c r="J1285" s="489" t="s">
        <v>1271</v>
      </c>
      <c r="K1285" s="491"/>
      <c r="L1285" s="488"/>
      <c r="M1285" s="488"/>
      <c r="N1285" s="489"/>
      <c r="O1285" s="489"/>
      <c r="P1285" s="489"/>
      <c r="Q1285" s="489"/>
      <c r="R1285" s="490"/>
      <c r="S1285" s="489"/>
      <c r="T1285" s="488" t="s">
        <v>268</v>
      </c>
    </row>
    <row r="1286" ht="34.5">
      <c r="A1286" s="488" t="s">
        <v>1201</v>
      </c>
      <c r="B1286" s="488" t="s">
        <v>1202</v>
      </c>
      <c r="C1286" s="488" t="s">
        <v>389</v>
      </c>
      <c r="D1286" s="488" t="s">
        <v>263</v>
      </c>
      <c r="E1286" s="488" t="s">
        <v>394</v>
      </c>
      <c r="F1286" s="489" t="s">
        <v>1270</v>
      </c>
      <c r="G1286" s="488" t="s">
        <v>409</v>
      </c>
      <c r="H1286" s="489"/>
      <c r="I1286" s="489"/>
      <c r="J1286" s="489" t="s">
        <v>1272</v>
      </c>
      <c r="K1286" s="491"/>
      <c r="L1286" s="488"/>
      <c r="M1286" s="488"/>
      <c r="N1286" s="489"/>
      <c r="O1286" s="489"/>
      <c r="P1286" s="489"/>
      <c r="Q1286" s="489"/>
      <c r="R1286" s="490"/>
      <c r="S1286" s="489"/>
      <c r="T1286" s="488" t="s">
        <v>268</v>
      </c>
    </row>
    <row r="1287" ht="34.5">
      <c r="A1287" s="488" t="s">
        <v>1201</v>
      </c>
      <c r="B1287" s="488" t="s">
        <v>1202</v>
      </c>
      <c r="C1287" s="488" t="s">
        <v>389</v>
      </c>
      <c r="D1287" s="488" t="s">
        <v>263</v>
      </c>
      <c r="E1287" s="488" t="s">
        <v>394</v>
      </c>
      <c r="F1287" s="489" t="s">
        <v>1270</v>
      </c>
      <c r="G1287" s="488" t="s">
        <v>409</v>
      </c>
      <c r="H1287" s="489"/>
      <c r="I1287" s="489"/>
      <c r="J1287" s="489" t="s">
        <v>420</v>
      </c>
      <c r="K1287" s="491"/>
      <c r="L1287" s="488"/>
      <c r="M1287" s="488"/>
      <c r="N1287" s="489"/>
      <c r="O1287" s="489"/>
      <c r="P1287" s="489"/>
      <c r="Q1287" s="489"/>
      <c r="R1287" s="490"/>
      <c r="S1287" s="489"/>
      <c r="T1287" s="488" t="s">
        <v>268</v>
      </c>
    </row>
    <row r="1288" ht="34.5">
      <c r="A1288" s="488" t="s">
        <v>1201</v>
      </c>
      <c r="B1288" s="488" t="s">
        <v>1202</v>
      </c>
      <c r="C1288" s="488" t="s">
        <v>389</v>
      </c>
      <c r="D1288" s="488" t="s">
        <v>263</v>
      </c>
      <c r="E1288" s="488" t="s">
        <v>394</v>
      </c>
      <c r="F1288" s="489" t="s">
        <v>1270</v>
      </c>
      <c r="G1288" s="488" t="s">
        <v>409</v>
      </c>
      <c r="H1288" s="489"/>
      <c r="I1288" s="489"/>
      <c r="J1288" s="489" t="s">
        <v>1273</v>
      </c>
      <c r="K1288" s="491"/>
      <c r="L1288" s="488"/>
      <c r="M1288" s="488"/>
      <c r="N1288" s="489"/>
      <c r="O1288" s="489"/>
      <c r="P1288" s="489"/>
      <c r="Q1288" s="489"/>
      <c r="R1288" s="490"/>
      <c r="S1288" s="489"/>
      <c r="T1288" s="488" t="s">
        <v>268</v>
      </c>
    </row>
    <row r="1289" ht="34.5">
      <c r="A1289" s="488" t="s">
        <v>1201</v>
      </c>
      <c r="B1289" s="488" t="s">
        <v>1202</v>
      </c>
      <c r="C1289" s="488" t="s">
        <v>389</v>
      </c>
      <c r="D1289" s="488" t="s">
        <v>263</v>
      </c>
      <c r="E1289" s="488" t="s">
        <v>394</v>
      </c>
      <c r="F1289" s="489" t="s">
        <v>1270</v>
      </c>
      <c r="G1289" s="488" t="s">
        <v>409</v>
      </c>
      <c r="H1289" s="489"/>
      <c r="I1289" s="489"/>
      <c r="J1289" s="489" t="s">
        <v>1274</v>
      </c>
      <c r="K1289" s="491"/>
      <c r="L1289" s="488"/>
      <c r="M1289" s="488"/>
      <c r="N1289" s="489"/>
      <c r="O1289" s="489"/>
      <c r="P1289" s="489"/>
      <c r="Q1289" s="489"/>
      <c r="R1289" s="490"/>
      <c r="S1289" s="489"/>
      <c r="T1289" s="488" t="s">
        <v>268</v>
      </c>
    </row>
    <row r="1290" ht="34.5">
      <c r="A1290" s="488" t="s">
        <v>1201</v>
      </c>
      <c r="B1290" s="488" t="s">
        <v>1202</v>
      </c>
      <c r="C1290" s="488" t="s">
        <v>389</v>
      </c>
      <c r="D1290" s="488" t="s">
        <v>263</v>
      </c>
      <c r="E1290" s="488" t="s">
        <v>394</v>
      </c>
      <c r="F1290" s="489" t="s">
        <v>1270</v>
      </c>
      <c r="G1290" s="488" t="s">
        <v>409</v>
      </c>
      <c r="H1290" s="489"/>
      <c r="I1290" s="489"/>
      <c r="J1290" s="489" t="s">
        <v>1275</v>
      </c>
      <c r="K1290" s="491"/>
      <c r="L1290" s="488"/>
      <c r="M1290" s="488"/>
      <c r="N1290" s="489"/>
      <c r="O1290" s="489"/>
      <c r="P1290" s="489"/>
      <c r="Q1290" s="489"/>
      <c r="R1290" s="490"/>
      <c r="S1290" s="489"/>
      <c r="T1290" s="488" t="s">
        <v>268</v>
      </c>
    </row>
    <row r="1291" ht="34.5">
      <c r="A1291" s="488" t="s">
        <v>1201</v>
      </c>
      <c r="B1291" s="488" t="s">
        <v>1202</v>
      </c>
      <c r="C1291" s="488" t="s">
        <v>389</v>
      </c>
      <c r="D1291" s="488" t="s">
        <v>263</v>
      </c>
      <c r="E1291" s="488" t="s">
        <v>394</v>
      </c>
      <c r="F1291" s="489" t="s">
        <v>1270</v>
      </c>
      <c r="G1291" s="488" t="s">
        <v>409</v>
      </c>
      <c r="H1291" s="489"/>
      <c r="I1291" s="489"/>
      <c r="J1291" s="489" t="s">
        <v>1050</v>
      </c>
      <c r="K1291" s="491"/>
      <c r="L1291" s="488"/>
      <c r="M1291" s="488"/>
      <c r="N1291" s="489"/>
      <c r="O1291" s="489"/>
      <c r="P1291" s="489"/>
      <c r="Q1291" s="489"/>
      <c r="R1291" s="490"/>
      <c r="S1291" s="489"/>
      <c r="T1291" s="488" t="s">
        <v>268</v>
      </c>
    </row>
    <row r="1292" ht="34.5">
      <c r="A1292" s="488" t="s">
        <v>1201</v>
      </c>
      <c r="B1292" s="488" t="s">
        <v>1202</v>
      </c>
      <c r="C1292" s="488" t="s">
        <v>389</v>
      </c>
      <c r="D1292" s="488" t="s">
        <v>263</v>
      </c>
      <c r="E1292" s="488" t="s">
        <v>394</v>
      </c>
      <c r="F1292" s="489" t="s">
        <v>1270</v>
      </c>
      <c r="G1292" s="488" t="s">
        <v>409</v>
      </c>
      <c r="H1292" s="489"/>
      <c r="I1292" s="489"/>
      <c r="J1292" s="489" t="s">
        <v>423</v>
      </c>
      <c r="K1292" s="491"/>
      <c r="L1292" s="488"/>
      <c r="M1292" s="488"/>
      <c r="N1292" s="489"/>
      <c r="O1292" s="489"/>
      <c r="P1292" s="489"/>
      <c r="Q1292" s="489"/>
      <c r="R1292" s="490"/>
      <c r="S1292" s="489"/>
      <c r="T1292" s="488" t="s">
        <v>268</v>
      </c>
    </row>
    <row r="1293" ht="34.5">
      <c r="A1293" s="488" t="s">
        <v>1201</v>
      </c>
      <c r="B1293" s="488" t="s">
        <v>1202</v>
      </c>
      <c r="C1293" s="488" t="s">
        <v>389</v>
      </c>
      <c r="D1293" s="488" t="s">
        <v>263</v>
      </c>
      <c r="E1293" s="488" t="s">
        <v>394</v>
      </c>
      <c r="F1293" s="489" t="s">
        <v>1270</v>
      </c>
      <c r="G1293" s="488" t="s">
        <v>409</v>
      </c>
      <c r="H1293" s="489"/>
      <c r="I1293" s="489"/>
      <c r="J1293" s="489" t="s">
        <v>829</v>
      </c>
      <c r="K1293" s="491"/>
      <c r="L1293" s="488"/>
      <c r="M1293" s="488"/>
      <c r="N1293" s="489"/>
      <c r="O1293" s="489"/>
      <c r="P1293" s="489"/>
      <c r="Q1293" s="489"/>
      <c r="R1293" s="490"/>
      <c r="S1293" s="489"/>
      <c r="T1293" s="488" t="s">
        <v>268</v>
      </c>
    </row>
    <row r="1294" ht="34.5">
      <c r="A1294" s="488" t="s">
        <v>1201</v>
      </c>
      <c r="B1294" s="488" t="s">
        <v>1202</v>
      </c>
      <c r="C1294" s="488" t="s">
        <v>389</v>
      </c>
      <c r="D1294" s="488" t="s">
        <v>263</v>
      </c>
      <c r="E1294" s="488" t="s">
        <v>394</v>
      </c>
      <c r="F1294" s="489" t="s">
        <v>1270</v>
      </c>
      <c r="G1294" s="488" t="s">
        <v>409</v>
      </c>
      <c r="H1294" s="489"/>
      <c r="I1294" s="489"/>
      <c r="J1294" s="489" t="s">
        <v>1276</v>
      </c>
      <c r="K1294" s="491">
        <v>2275211</v>
      </c>
      <c r="L1294" s="488" t="s">
        <v>429</v>
      </c>
      <c r="M1294" s="488"/>
      <c r="N1294" s="489"/>
      <c r="O1294" s="489"/>
      <c r="P1294" s="489"/>
      <c r="Q1294" s="489"/>
      <c r="R1294" s="490"/>
      <c r="S1294" s="489"/>
      <c r="T1294" s="488" t="s">
        <v>268</v>
      </c>
    </row>
    <row r="1295" ht="34.5">
      <c r="A1295" s="488" t="s">
        <v>1201</v>
      </c>
      <c r="B1295" s="488" t="s">
        <v>1202</v>
      </c>
      <c r="C1295" s="488" t="s">
        <v>389</v>
      </c>
      <c r="D1295" s="488" t="s">
        <v>263</v>
      </c>
      <c r="E1295" s="488" t="s">
        <v>394</v>
      </c>
      <c r="F1295" s="489" t="s">
        <v>1270</v>
      </c>
      <c r="G1295" s="488" t="s">
        <v>409</v>
      </c>
      <c r="H1295" s="489"/>
      <c r="I1295" s="489"/>
      <c r="J1295" s="489" t="s">
        <v>1277</v>
      </c>
      <c r="K1295" s="491"/>
      <c r="L1295" s="488"/>
      <c r="M1295" s="488"/>
      <c r="N1295" s="489"/>
      <c r="O1295" s="489"/>
      <c r="P1295" s="489"/>
      <c r="Q1295" s="489"/>
      <c r="R1295" s="490"/>
      <c r="S1295" s="489"/>
      <c r="T1295" s="488" t="s">
        <v>268</v>
      </c>
    </row>
    <row r="1296" ht="34.5">
      <c r="A1296" s="488" t="s">
        <v>1201</v>
      </c>
      <c r="B1296" s="488" t="s">
        <v>1202</v>
      </c>
      <c r="C1296" s="488" t="s">
        <v>402</v>
      </c>
      <c r="D1296" s="488" t="s">
        <v>263</v>
      </c>
      <c r="E1296" s="488" t="s">
        <v>394</v>
      </c>
      <c r="F1296" s="489" t="s">
        <v>1270</v>
      </c>
      <c r="G1296" s="488" t="s">
        <v>409</v>
      </c>
      <c r="H1296" s="489"/>
      <c r="I1296" s="489"/>
      <c r="J1296" s="489" t="s">
        <v>431</v>
      </c>
      <c r="K1296" s="491"/>
      <c r="L1296" s="488"/>
      <c r="M1296" s="488"/>
      <c r="N1296" s="489"/>
      <c r="O1296" s="489"/>
      <c r="P1296" s="489"/>
      <c r="Q1296" s="489"/>
      <c r="R1296" s="490"/>
      <c r="S1296" s="489"/>
      <c r="T1296" s="488" t="s">
        <v>268</v>
      </c>
    </row>
    <row r="1297" ht="34.5">
      <c r="A1297" s="488" t="s">
        <v>1201</v>
      </c>
      <c r="B1297" s="488" t="s">
        <v>1202</v>
      </c>
      <c r="C1297" s="488" t="s">
        <v>402</v>
      </c>
      <c r="D1297" s="488" t="s">
        <v>263</v>
      </c>
      <c r="E1297" s="488" t="s">
        <v>394</v>
      </c>
      <c r="F1297" s="489" t="s">
        <v>1270</v>
      </c>
      <c r="G1297" s="488" t="s">
        <v>409</v>
      </c>
      <c r="H1297" s="489"/>
      <c r="I1297" s="489"/>
      <c r="J1297" s="489" t="s">
        <v>432</v>
      </c>
      <c r="K1297" s="491"/>
      <c r="L1297" s="488"/>
      <c r="M1297" s="488"/>
      <c r="N1297" s="489"/>
      <c r="O1297" s="489"/>
      <c r="P1297" s="489"/>
      <c r="Q1297" s="489"/>
      <c r="R1297" s="490"/>
      <c r="S1297" s="489"/>
      <c r="T1297" s="488" t="s">
        <v>268</v>
      </c>
    </row>
    <row r="1298" ht="34.5">
      <c r="A1298" s="488" t="s">
        <v>1201</v>
      </c>
      <c r="B1298" s="488" t="s">
        <v>1202</v>
      </c>
      <c r="C1298" s="488" t="s">
        <v>402</v>
      </c>
      <c r="D1298" s="488" t="s">
        <v>263</v>
      </c>
      <c r="E1298" s="488" t="s">
        <v>394</v>
      </c>
      <c r="F1298" s="489" t="s">
        <v>1270</v>
      </c>
      <c r="G1298" s="488" t="s">
        <v>409</v>
      </c>
      <c r="H1298" s="489"/>
      <c r="I1298" s="489"/>
      <c r="J1298" s="489" t="s">
        <v>1052</v>
      </c>
      <c r="K1298" s="491"/>
      <c r="L1298" s="488"/>
      <c r="M1298" s="488"/>
      <c r="N1298" s="489"/>
      <c r="O1298" s="489"/>
      <c r="P1298" s="489"/>
      <c r="Q1298" s="489"/>
      <c r="R1298" s="490"/>
      <c r="S1298" s="489"/>
      <c r="T1298" s="488" t="s">
        <v>268</v>
      </c>
    </row>
    <row r="1299" ht="34.5">
      <c r="A1299" s="488" t="s">
        <v>1201</v>
      </c>
      <c r="B1299" s="488" t="s">
        <v>1202</v>
      </c>
      <c r="C1299" s="488" t="s">
        <v>402</v>
      </c>
      <c r="D1299" s="488" t="s">
        <v>263</v>
      </c>
      <c r="E1299" s="488" t="s">
        <v>394</v>
      </c>
      <c r="F1299" s="489" t="s">
        <v>1270</v>
      </c>
      <c r="G1299" s="488" t="s">
        <v>409</v>
      </c>
      <c r="H1299" s="489"/>
      <c r="I1299" s="489"/>
      <c r="J1299" s="489" t="s">
        <v>831</v>
      </c>
      <c r="K1299" s="491"/>
      <c r="L1299" s="488"/>
      <c r="M1299" s="488"/>
      <c r="N1299" s="489"/>
      <c r="O1299" s="489"/>
      <c r="P1299" s="489"/>
      <c r="Q1299" s="489"/>
      <c r="R1299" s="490"/>
      <c r="S1299" s="489"/>
      <c r="T1299" s="488" t="s">
        <v>268</v>
      </c>
    </row>
    <row r="1300" ht="34.5">
      <c r="A1300" s="488" t="s">
        <v>1201</v>
      </c>
      <c r="B1300" s="488" t="s">
        <v>1202</v>
      </c>
      <c r="C1300" s="488" t="s">
        <v>402</v>
      </c>
      <c r="D1300" s="488" t="s">
        <v>263</v>
      </c>
      <c r="E1300" s="488" t="s">
        <v>394</v>
      </c>
      <c r="F1300" s="489" t="s">
        <v>1270</v>
      </c>
      <c r="G1300" s="488" t="s">
        <v>409</v>
      </c>
      <c r="H1300" s="489"/>
      <c r="I1300" s="489"/>
      <c r="J1300" s="489" t="s">
        <v>1278</v>
      </c>
      <c r="K1300" s="491">
        <v>142997326</v>
      </c>
      <c r="L1300" s="488" t="s">
        <v>429</v>
      </c>
      <c r="M1300" s="488"/>
      <c r="N1300" s="489"/>
      <c r="O1300" s="489"/>
      <c r="P1300" s="489"/>
      <c r="Q1300" s="489"/>
      <c r="R1300" s="490"/>
      <c r="S1300" s="489"/>
      <c r="T1300" s="488" t="s">
        <v>268</v>
      </c>
    </row>
    <row r="1301" ht="34.5">
      <c r="A1301" s="488" t="s">
        <v>1201</v>
      </c>
      <c r="B1301" s="488" t="s">
        <v>1202</v>
      </c>
      <c r="C1301" s="488" t="s">
        <v>402</v>
      </c>
      <c r="D1301" s="488" t="s">
        <v>263</v>
      </c>
      <c r="E1301" s="488" t="s">
        <v>394</v>
      </c>
      <c r="F1301" s="489" t="s">
        <v>1270</v>
      </c>
      <c r="G1301" s="488" t="s">
        <v>409</v>
      </c>
      <c r="H1301" s="489"/>
      <c r="I1301" s="489"/>
      <c r="J1301" s="489" t="s">
        <v>1279</v>
      </c>
      <c r="K1301" s="491"/>
      <c r="L1301" s="488"/>
      <c r="M1301" s="488"/>
      <c r="N1301" s="489"/>
      <c r="O1301" s="489"/>
      <c r="P1301" s="489"/>
      <c r="Q1301" s="489"/>
      <c r="R1301" s="490"/>
      <c r="S1301" s="489"/>
      <c r="T1301" s="488" t="s">
        <v>268</v>
      </c>
    </row>
    <row r="1302" ht="34.5">
      <c r="A1302" s="488" t="s">
        <v>1201</v>
      </c>
      <c r="B1302" s="488" t="s">
        <v>1202</v>
      </c>
      <c r="C1302" s="488" t="s">
        <v>402</v>
      </c>
      <c r="D1302" s="488" t="s">
        <v>263</v>
      </c>
      <c r="E1302" s="488" t="s">
        <v>394</v>
      </c>
      <c r="F1302" s="489" t="s">
        <v>1270</v>
      </c>
      <c r="G1302" s="488" t="s">
        <v>409</v>
      </c>
      <c r="H1302" s="489"/>
      <c r="I1302" s="489"/>
      <c r="J1302" s="489" t="s">
        <v>1280</v>
      </c>
      <c r="K1302" s="491"/>
      <c r="L1302" s="488"/>
      <c r="M1302" s="488"/>
      <c r="N1302" s="489"/>
      <c r="O1302" s="489"/>
      <c r="P1302" s="489"/>
      <c r="Q1302" s="489"/>
      <c r="R1302" s="490"/>
      <c r="S1302" s="489"/>
      <c r="T1302" s="488" t="s">
        <v>268</v>
      </c>
    </row>
    <row r="1303" ht="34.5">
      <c r="A1303" s="488" t="s">
        <v>1201</v>
      </c>
      <c r="B1303" s="488" t="s">
        <v>1202</v>
      </c>
      <c r="C1303" s="488" t="s">
        <v>402</v>
      </c>
      <c r="D1303" s="488" t="s">
        <v>263</v>
      </c>
      <c r="E1303" s="488" t="s">
        <v>394</v>
      </c>
      <c r="F1303" s="489" t="s">
        <v>1270</v>
      </c>
      <c r="G1303" s="488" t="s">
        <v>409</v>
      </c>
      <c r="H1303" s="489"/>
      <c r="I1303" s="489"/>
      <c r="J1303" s="489" t="s">
        <v>1281</v>
      </c>
      <c r="K1303" s="491"/>
      <c r="L1303" s="488"/>
      <c r="M1303" s="488"/>
      <c r="N1303" s="489"/>
      <c r="O1303" s="489"/>
      <c r="P1303" s="489"/>
      <c r="Q1303" s="489"/>
      <c r="R1303" s="490"/>
      <c r="S1303" s="489"/>
      <c r="T1303" s="488" t="s">
        <v>268</v>
      </c>
    </row>
    <row r="1304" ht="34.5">
      <c r="A1304" s="488" t="s">
        <v>1201</v>
      </c>
      <c r="B1304" s="488" t="s">
        <v>1202</v>
      </c>
      <c r="C1304" s="488" t="s">
        <v>415</v>
      </c>
      <c r="D1304" s="488" t="s">
        <v>263</v>
      </c>
      <c r="E1304" s="488" t="s">
        <v>394</v>
      </c>
      <c r="F1304" s="489" t="s">
        <v>1270</v>
      </c>
      <c r="G1304" s="488" t="s">
        <v>409</v>
      </c>
      <c r="H1304" s="489"/>
      <c r="I1304" s="489"/>
      <c r="J1304" s="489" t="s">
        <v>1282</v>
      </c>
      <c r="K1304" s="491"/>
      <c r="L1304" s="488"/>
      <c r="M1304" s="488"/>
      <c r="N1304" s="489"/>
      <c r="O1304" s="489"/>
      <c r="P1304" s="489"/>
      <c r="Q1304" s="489"/>
      <c r="R1304" s="490"/>
      <c r="S1304" s="489"/>
      <c r="T1304" s="488" t="s">
        <v>268</v>
      </c>
    </row>
    <row r="1305" ht="34.5">
      <c r="A1305" s="488" t="s">
        <v>1201</v>
      </c>
      <c r="B1305" s="488" t="s">
        <v>1202</v>
      </c>
      <c r="C1305" s="488" t="s">
        <v>415</v>
      </c>
      <c r="D1305" s="488" t="s">
        <v>263</v>
      </c>
      <c r="E1305" s="488" t="s">
        <v>394</v>
      </c>
      <c r="F1305" s="489" t="s">
        <v>1270</v>
      </c>
      <c r="G1305" s="488" t="s">
        <v>409</v>
      </c>
      <c r="H1305" s="489"/>
      <c r="I1305" s="489"/>
      <c r="J1305" s="489" t="s">
        <v>1283</v>
      </c>
      <c r="K1305" s="491"/>
      <c r="L1305" s="488"/>
      <c r="M1305" s="488"/>
      <c r="N1305" s="489"/>
      <c r="O1305" s="489"/>
      <c r="P1305" s="489"/>
      <c r="Q1305" s="489"/>
      <c r="R1305" s="490"/>
      <c r="S1305" s="489"/>
      <c r="T1305" s="488" t="s">
        <v>268</v>
      </c>
    </row>
    <row r="1306" ht="34.5">
      <c r="A1306" s="488" t="s">
        <v>1201</v>
      </c>
      <c r="B1306" s="488" t="s">
        <v>1202</v>
      </c>
      <c r="C1306" s="488" t="s">
        <v>415</v>
      </c>
      <c r="D1306" s="488" t="s">
        <v>263</v>
      </c>
      <c r="E1306" s="488" t="s">
        <v>407</v>
      </c>
      <c r="F1306" s="489" t="s">
        <v>1284</v>
      </c>
      <c r="G1306" s="488" t="s">
        <v>284</v>
      </c>
      <c r="H1306" s="489"/>
      <c r="I1306" s="489"/>
      <c r="J1306" s="489" t="s">
        <v>396</v>
      </c>
      <c r="K1306" s="491"/>
      <c r="L1306" s="488"/>
      <c r="M1306" s="488"/>
      <c r="N1306" s="489"/>
      <c r="O1306" s="489"/>
      <c r="P1306" s="489"/>
      <c r="Q1306" s="489"/>
      <c r="R1306" s="490"/>
      <c r="S1306" s="489"/>
      <c r="T1306" s="488" t="s">
        <v>268</v>
      </c>
    </row>
    <row r="1307" ht="34.5">
      <c r="A1307" s="488" t="s">
        <v>1201</v>
      </c>
      <c r="B1307" s="488" t="s">
        <v>1202</v>
      </c>
      <c r="C1307" s="488" t="s">
        <v>415</v>
      </c>
      <c r="D1307" s="488" t="s">
        <v>263</v>
      </c>
      <c r="E1307" s="488" t="s">
        <v>407</v>
      </c>
      <c r="F1307" s="489" t="s">
        <v>1284</v>
      </c>
      <c r="G1307" s="488" t="s">
        <v>284</v>
      </c>
      <c r="H1307" s="489"/>
      <c r="I1307" s="489"/>
      <c r="J1307" s="489" t="s">
        <v>398</v>
      </c>
      <c r="K1307" s="491"/>
      <c r="L1307" s="488"/>
      <c r="M1307" s="488"/>
      <c r="N1307" s="489"/>
      <c r="O1307" s="489"/>
      <c r="P1307" s="489"/>
      <c r="Q1307" s="489"/>
      <c r="R1307" s="490"/>
      <c r="S1307" s="489"/>
      <c r="T1307" s="488" t="s">
        <v>268</v>
      </c>
    </row>
    <row r="1308" ht="34.5">
      <c r="A1308" s="488" t="s">
        <v>1201</v>
      </c>
      <c r="B1308" s="488" t="s">
        <v>1202</v>
      </c>
      <c r="C1308" s="488" t="s">
        <v>415</v>
      </c>
      <c r="D1308" s="488" t="s">
        <v>263</v>
      </c>
      <c r="E1308" s="488" t="s">
        <v>407</v>
      </c>
      <c r="F1308" s="489" t="s">
        <v>1284</v>
      </c>
      <c r="G1308" s="488" t="s">
        <v>284</v>
      </c>
      <c r="H1308" s="489"/>
      <c r="I1308" s="489"/>
      <c r="J1308" s="489" t="s">
        <v>1285</v>
      </c>
      <c r="K1308" s="491"/>
      <c r="L1308" s="488"/>
      <c r="M1308" s="488"/>
      <c r="N1308" s="489"/>
      <c r="O1308" s="489"/>
      <c r="P1308" s="489"/>
      <c r="Q1308" s="489"/>
      <c r="R1308" s="490"/>
      <c r="S1308" s="489"/>
      <c r="T1308" s="488" t="s">
        <v>268</v>
      </c>
    </row>
    <row r="1309" ht="34.5">
      <c r="A1309" s="488" t="s">
        <v>1201</v>
      </c>
      <c r="B1309" s="488" t="s">
        <v>1202</v>
      </c>
      <c r="C1309" s="488" t="s">
        <v>415</v>
      </c>
      <c r="D1309" s="488" t="s">
        <v>263</v>
      </c>
      <c r="E1309" s="488" t="s">
        <v>407</v>
      </c>
      <c r="F1309" s="489" t="s">
        <v>1284</v>
      </c>
      <c r="G1309" s="488" t="s">
        <v>284</v>
      </c>
      <c r="H1309" s="489"/>
      <c r="I1309" s="489"/>
      <c r="J1309" s="489" t="s">
        <v>1286</v>
      </c>
      <c r="K1309" s="491"/>
      <c r="L1309" s="488"/>
      <c r="M1309" s="488"/>
      <c r="N1309" s="489"/>
      <c r="O1309" s="489"/>
      <c r="P1309" s="489"/>
      <c r="Q1309" s="489"/>
      <c r="R1309" s="490"/>
      <c r="S1309" s="489"/>
      <c r="T1309" s="488" t="s">
        <v>268</v>
      </c>
    </row>
    <row r="1310" ht="34.5">
      <c r="A1310" s="488" t="s">
        <v>1201</v>
      </c>
      <c r="B1310" s="488" t="s">
        <v>1202</v>
      </c>
      <c r="C1310" s="488" t="s">
        <v>415</v>
      </c>
      <c r="D1310" s="488" t="s">
        <v>263</v>
      </c>
      <c r="E1310" s="488" t="s">
        <v>407</v>
      </c>
      <c r="F1310" s="489" t="s">
        <v>1284</v>
      </c>
      <c r="G1310" s="488" t="s">
        <v>284</v>
      </c>
      <c r="H1310" s="489"/>
      <c r="I1310" s="489"/>
      <c r="J1310" s="489" t="s">
        <v>1287</v>
      </c>
      <c r="K1310" s="491"/>
      <c r="L1310" s="488"/>
      <c r="M1310" s="488"/>
      <c r="N1310" s="489"/>
      <c r="O1310" s="489"/>
      <c r="P1310" s="489"/>
      <c r="Q1310" s="489"/>
      <c r="R1310" s="490"/>
      <c r="S1310" s="489"/>
      <c r="T1310" s="488" t="s">
        <v>268</v>
      </c>
    </row>
    <row r="1311" ht="34.5">
      <c r="A1311" s="488" t="s">
        <v>1201</v>
      </c>
      <c r="B1311" s="488" t="s">
        <v>1202</v>
      </c>
      <c r="C1311" s="488" t="s">
        <v>415</v>
      </c>
      <c r="D1311" s="488" t="s">
        <v>263</v>
      </c>
      <c r="E1311" s="488" t="s">
        <v>407</v>
      </c>
      <c r="F1311" s="489" t="s">
        <v>1284</v>
      </c>
      <c r="G1311" s="488" t="s">
        <v>284</v>
      </c>
      <c r="H1311" s="489"/>
      <c r="I1311" s="489"/>
      <c r="J1311" s="489" t="s">
        <v>1288</v>
      </c>
      <c r="K1311" s="491"/>
      <c r="L1311" s="488"/>
      <c r="M1311" s="488"/>
      <c r="N1311" s="489"/>
      <c r="O1311" s="489"/>
      <c r="P1311" s="489"/>
      <c r="Q1311" s="489"/>
      <c r="R1311" s="490"/>
      <c r="S1311" s="489"/>
      <c r="T1311" s="488" t="s">
        <v>268</v>
      </c>
    </row>
    <row r="1312" ht="34.5">
      <c r="A1312" s="488" t="s">
        <v>1201</v>
      </c>
      <c r="B1312" s="488" t="s">
        <v>1202</v>
      </c>
      <c r="C1312" s="488" t="s">
        <v>415</v>
      </c>
      <c r="D1312" s="488" t="s">
        <v>263</v>
      </c>
      <c r="E1312" s="488" t="s">
        <v>407</v>
      </c>
      <c r="F1312" s="489" t="s">
        <v>1284</v>
      </c>
      <c r="G1312" s="488" t="s">
        <v>284</v>
      </c>
      <c r="H1312" s="489"/>
      <c r="I1312" s="489"/>
      <c r="J1312" s="489" t="s">
        <v>404</v>
      </c>
      <c r="K1312" s="491"/>
      <c r="L1312" s="488"/>
      <c r="M1312" s="488"/>
      <c r="N1312" s="489"/>
      <c r="O1312" s="489"/>
      <c r="P1312" s="489"/>
      <c r="Q1312" s="489"/>
      <c r="R1312" s="490"/>
      <c r="S1312" s="489"/>
      <c r="T1312" s="488" t="s">
        <v>268</v>
      </c>
    </row>
    <row r="1313" ht="34.5">
      <c r="A1313" s="488" t="s">
        <v>1201</v>
      </c>
      <c r="B1313" s="488" t="s">
        <v>1202</v>
      </c>
      <c r="C1313" s="488" t="s">
        <v>415</v>
      </c>
      <c r="D1313" s="488" t="s">
        <v>263</v>
      </c>
      <c r="E1313" s="488" t="s">
        <v>407</v>
      </c>
      <c r="F1313" s="489" t="s">
        <v>1284</v>
      </c>
      <c r="G1313" s="488" t="s">
        <v>284</v>
      </c>
      <c r="H1313" s="489"/>
      <c r="I1313" s="489"/>
      <c r="J1313" s="489" t="s">
        <v>1289</v>
      </c>
      <c r="K1313" s="491"/>
      <c r="L1313" s="488"/>
      <c r="M1313" s="488"/>
      <c r="N1313" s="489"/>
      <c r="O1313" s="489"/>
      <c r="P1313" s="489"/>
      <c r="Q1313" s="489"/>
      <c r="R1313" s="490"/>
      <c r="S1313" s="489"/>
      <c r="T1313" s="488" t="s">
        <v>268</v>
      </c>
    </row>
    <row r="1314" ht="34.5">
      <c r="A1314" s="488" t="s">
        <v>1201</v>
      </c>
      <c r="B1314" s="488" t="s">
        <v>1202</v>
      </c>
      <c r="C1314" s="488" t="s">
        <v>415</v>
      </c>
      <c r="D1314" s="488" t="s">
        <v>263</v>
      </c>
      <c r="E1314" s="488" t="s">
        <v>407</v>
      </c>
      <c r="F1314" s="489" t="s">
        <v>1284</v>
      </c>
      <c r="G1314" s="488" t="s">
        <v>284</v>
      </c>
      <c r="H1314" s="489"/>
      <c r="I1314" s="489"/>
      <c r="J1314" s="489" t="s">
        <v>1290</v>
      </c>
      <c r="K1314" s="491"/>
      <c r="L1314" s="488"/>
      <c r="M1314" s="488"/>
      <c r="N1314" s="489"/>
      <c r="O1314" s="489"/>
      <c r="P1314" s="489"/>
      <c r="Q1314" s="489"/>
      <c r="R1314" s="490"/>
      <c r="S1314" s="489"/>
      <c r="T1314" s="488" t="s">
        <v>268</v>
      </c>
    </row>
    <row r="1315" ht="34.5">
      <c r="A1315" s="488" t="s">
        <v>1201</v>
      </c>
      <c r="B1315" s="488" t="s">
        <v>1202</v>
      </c>
      <c r="C1315" s="488" t="s">
        <v>424</v>
      </c>
      <c r="D1315" s="488" t="s">
        <v>263</v>
      </c>
      <c r="E1315" s="488" t="s">
        <v>442</v>
      </c>
      <c r="F1315" s="489" t="s">
        <v>1291</v>
      </c>
      <c r="G1315" s="488" t="s">
        <v>444</v>
      </c>
      <c r="H1315" s="489"/>
      <c r="I1315" s="489"/>
      <c r="J1315" s="489" t="s">
        <v>1292</v>
      </c>
      <c r="K1315" s="491"/>
      <c r="L1315" s="488"/>
      <c r="M1315" s="488"/>
      <c r="N1315" s="489"/>
      <c r="O1315" s="489"/>
      <c r="P1315" s="489"/>
      <c r="Q1315" s="489"/>
      <c r="R1315" s="490"/>
      <c r="S1315" s="489"/>
      <c r="T1315" s="488" t="s">
        <v>268</v>
      </c>
    </row>
    <row r="1316" ht="34.5">
      <c r="A1316" s="488" t="s">
        <v>1201</v>
      </c>
      <c r="B1316" s="488" t="s">
        <v>1202</v>
      </c>
      <c r="C1316" s="488" t="s">
        <v>424</v>
      </c>
      <c r="D1316" s="488" t="s">
        <v>263</v>
      </c>
      <c r="E1316" s="488" t="s">
        <v>442</v>
      </c>
      <c r="F1316" s="489" t="s">
        <v>1291</v>
      </c>
      <c r="G1316" s="488" t="s">
        <v>444</v>
      </c>
      <c r="H1316" s="489"/>
      <c r="I1316" s="489"/>
      <c r="J1316" s="489" t="s">
        <v>1293</v>
      </c>
      <c r="K1316" s="491">
        <v>1107</v>
      </c>
      <c r="L1316" s="488" t="s">
        <v>429</v>
      </c>
      <c r="M1316" s="488"/>
      <c r="N1316" s="489"/>
      <c r="O1316" s="489"/>
      <c r="P1316" s="489"/>
      <c r="Q1316" s="489"/>
      <c r="R1316" s="490"/>
      <c r="S1316" s="489"/>
      <c r="T1316" s="488" t="s">
        <v>268</v>
      </c>
    </row>
    <row r="1317" ht="34.5">
      <c r="A1317" s="488" t="s">
        <v>1201</v>
      </c>
      <c r="B1317" s="488" t="s">
        <v>1202</v>
      </c>
      <c r="C1317" s="488" t="s">
        <v>424</v>
      </c>
      <c r="D1317" s="488" t="s">
        <v>263</v>
      </c>
      <c r="E1317" s="488" t="s">
        <v>442</v>
      </c>
      <c r="F1317" s="489" t="s">
        <v>1291</v>
      </c>
      <c r="G1317" s="488" t="s">
        <v>444</v>
      </c>
      <c r="H1317" s="489"/>
      <c r="I1317" s="489"/>
      <c r="J1317" s="489" t="s">
        <v>1294</v>
      </c>
      <c r="K1317" s="491"/>
      <c r="L1317" s="488"/>
      <c r="M1317" s="488"/>
      <c r="N1317" s="489"/>
      <c r="O1317" s="489"/>
      <c r="P1317" s="489"/>
      <c r="Q1317" s="489"/>
      <c r="R1317" s="490"/>
      <c r="S1317" s="489"/>
      <c r="T1317" s="488" t="s">
        <v>268</v>
      </c>
    </row>
    <row r="1318" ht="34.5">
      <c r="A1318" s="488" t="s">
        <v>1201</v>
      </c>
      <c r="B1318" s="488" t="s">
        <v>1202</v>
      </c>
      <c r="C1318" s="488" t="s">
        <v>424</v>
      </c>
      <c r="D1318" s="488" t="s">
        <v>263</v>
      </c>
      <c r="E1318" s="488" t="s">
        <v>447</v>
      </c>
      <c r="F1318" s="489" t="s">
        <v>448</v>
      </c>
      <c r="G1318" s="488" t="s">
        <v>37</v>
      </c>
      <c r="H1318" s="489"/>
      <c r="I1318" s="489"/>
      <c r="J1318" s="489" t="s">
        <v>449</v>
      </c>
      <c r="K1318" s="491"/>
      <c r="L1318" s="488"/>
      <c r="M1318" s="488"/>
      <c r="N1318" s="489"/>
      <c r="O1318" s="489"/>
      <c r="P1318" s="489"/>
      <c r="Q1318" s="489"/>
      <c r="R1318" s="490"/>
      <c r="S1318" s="489"/>
      <c r="T1318" s="488" t="s">
        <v>268</v>
      </c>
    </row>
    <row r="1319" ht="34.5">
      <c r="A1319" s="488" t="s">
        <v>1201</v>
      </c>
      <c r="B1319" s="488" t="s">
        <v>1202</v>
      </c>
      <c r="C1319" s="488" t="s">
        <v>424</v>
      </c>
      <c r="D1319" s="488" t="s">
        <v>263</v>
      </c>
      <c r="E1319" s="488" t="s">
        <v>447</v>
      </c>
      <c r="F1319" s="489" t="s">
        <v>448</v>
      </c>
      <c r="G1319" s="488" t="s">
        <v>37</v>
      </c>
      <c r="H1319" s="489"/>
      <c r="I1319" s="489"/>
      <c r="J1319" s="489" t="s">
        <v>1295</v>
      </c>
      <c r="K1319" s="491">
        <v>4168422</v>
      </c>
      <c r="L1319" s="488" t="s">
        <v>429</v>
      </c>
      <c r="M1319" s="488"/>
      <c r="N1319" s="489"/>
      <c r="O1319" s="489"/>
      <c r="P1319" s="489"/>
      <c r="Q1319" s="489"/>
      <c r="R1319" s="490"/>
      <c r="S1319" s="489"/>
      <c r="T1319" s="488" t="s">
        <v>268</v>
      </c>
    </row>
    <row r="1320" ht="34.5">
      <c r="A1320" s="488" t="s">
        <v>1201</v>
      </c>
      <c r="B1320" s="488" t="s">
        <v>1202</v>
      </c>
      <c r="C1320" s="488" t="s">
        <v>424</v>
      </c>
      <c r="D1320" s="488" t="s">
        <v>263</v>
      </c>
      <c r="E1320" s="488" t="s">
        <v>447</v>
      </c>
      <c r="F1320" s="489" t="s">
        <v>448</v>
      </c>
      <c r="G1320" s="488" t="s">
        <v>37</v>
      </c>
      <c r="H1320" s="489"/>
      <c r="I1320" s="489"/>
      <c r="J1320" s="489" t="s">
        <v>1296</v>
      </c>
      <c r="K1320" s="491"/>
      <c r="L1320" s="488"/>
      <c r="M1320" s="488"/>
      <c r="N1320" s="489"/>
      <c r="O1320" s="489"/>
      <c r="P1320" s="489"/>
      <c r="Q1320" s="489"/>
      <c r="R1320" s="490"/>
      <c r="S1320" s="489"/>
      <c r="T1320" s="488" t="s">
        <v>268</v>
      </c>
    </row>
    <row r="1321" ht="34.5">
      <c r="A1321" s="488" t="s">
        <v>1201</v>
      </c>
      <c r="B1321" s="488" t="s">
        <v>1202</v>
      </c>
      <c r="C1321" s="488" t="s">
        <v>434</v>
      </c>
      <c r="D1321" s="488" t="s">
        <v>263</v>
      </c>
      <c r="E1321" s="488" t="s">
        <v>462</v>
      </c>
      <c r="F1321" s="489" t="s">
        <v>1297</v>
      </c>
      <c r="G1321" s="488" t="s">
        <v>1298</v>
      </c>
      <c r="H1321" s="489"/>
      <c r="I1321" s="489"/>
      <c r="J1321" s="489" t="s">
        <v>1299</v>
      </c>
      <c r="K1321" s="491"/>
      <c r="L1321" s="488"/>
      <c r="M1321" s="488"/>
      <c r="N1321" s="489"/>
      <c r="O1321" s="489"/>
      <c r="P1321" s="489"/>
      <c r="Q1321" s="489"/>
      <c r="R1321" s="490"/>
      <c r="S1321" s="489"/>
      <c r="T1321" s="488" t="s">
        <v>268</v>
      </c>
    </row>
    <row r="1322" ht="34.5">
      <c r="A1322" s="488" t="s">
        <v>1201</v>
      </c>
      <c r="B1322" s="488" t="s">
        <v>1202</v>
      </c>
      <c r="C1322" s="488" t="s">
        <v>434</v>
      </c>
      <c r="D1322" s="488" t="s">
        <v>263</v>
      </c>
      <c r="E1322" s="488" t="s">
        <v>462</v>
      </c>
      <c r="F1322" s="489" t="s">
        <v>1297</v>
      </c>
      <c r="G1322" s="488" t="s">
        <v>1298</v>
      </c>
      <c r="H1322" s="489"/>
      <c r="I1322" s="489"/>
      <c r="J1322" s="489" t="s">
        <v>1300</v>
      </c>
      <c r="K1322" s="491">
        <v>2205135</v>
      </c>
      <c r="L1322" s="488" t="s">
        <v>429</v>
      </c>
      <c r="M1322" s="488"/>
      <c r="N1322" s="489"/>
      <c r="O1322" s="489"/>
      <c r="P1322" s="489"/>
      <c r="Q1322" s="489"/>
      <c r="R1322" s="490"/>
      <c r="S1322" s="489"/>
      <c r="T1322" s="488" t="s">
        <v>268</v>
      </c>
    </row>
    <row r="1323" ht="34.5">
      <c r="A1323" s="488" t="s">
        <v>1201</v>
      </c>
      <c r="B1323" s="488" t="s">
        <v>1202</v>
      </c>
      <c r="C1323" s="488" t="s">
        <v>434</v>
      </c>
      <c r="D1323" s="488" t="s">
        <v>263</v>
      </c>
      <c r="E1323" s="488" t="s">
        <v>468</v>
      </c>
      <c r="F1323" s="489" t="s">
        <v>1301</v>
      </c>
      <c r="G1323" s="488" t="s">
        <v>464</v>
      </c>
      <c r="H1323" s="489"/>
      <c r="I1323" s="489"/>
      <c r="J1323" s="489" t="s">
        <v>465</v>
      </c>
      <c r="K1323" s="491"/>
      <c r="L1323" s="488"/>
      <c r="M1323" s="488"/>
      <c r="N1323" s="489"/>
      <c r="O1323" s="489"/>
      <c r="P1323" s="489"/>
      <c r="Q1323" s="489"/>
      <c r="R1323" s="490"/>
      <c r="S1323" s="489"/>
      <c r="T1323" s="488" t="s">
        <v>268</v>
      </c>
    </row>
    <row r="1324" ht="34.5">
      <c r="A1324" s="488" t="s">
        <v>1201</v>
      </c>
      <c r="B1324" s="488" t="s">
        <v>1202</v>
      </c>
      <c r="C1324" s="488" t="s">
        <v>434</v>
      </c>
      <c r="D1324" s="488" t="s">
        <v>263</v>
      </c>
      <c r="E1324" s="488" t="s">
        <v>468</v>
      </c>
      <c r="F1324" s="489" t="s">
        <v>1301</v>
      </c>
      <c r="G1324" s="488" t="s">
        <v>464</v>
      </c>
      <c r="H1324" s="489"/>
      <c r="I1324" s="489"/>
      <c r="J1324" s="489" t="s">
        <v>1302</v>
      </c>
      <c r="K1324" s="491">
        <v>417667</v>
      </c>
      <c r="L1324" s="488" t="s">
        <v>429</v>
      </c>
      <c r="M1324" s="488"/>
      <c r="N1324" s="489"/>
      <c r="O1324" s="489"/>
      <c r="P1324" s="489"/>
      <c r="Q1324" s="489"/>
      <c r="R1324" s="490"/>
      <c r="S1324" s="489"/>
      <c r="T1324" s="488" t="s">
        <v>268</v>
      </c>
    </row>
    <row r="1325" ht="34.5">
      <c r="A1325" s="488" t="s">
        <v>1201</v>
      </c>
      <c r="B1325" s="488" t="s">
        <v>1202</v>
      </c>
      <c r="C1325" s="488" t="s">
        <v>434</v>
      </c>
      <c r="D1325" s="488" t="s">
        <v>263</v>
      </c>
      <c r="E1325" s="488" t="s">
        <v>468</v>
      </c>
      <c r="F1325" s="489" t="s">
        <v>1301</v>
      </c>
      <c r="G1325" s="488" t="s">
        <v>464</v>
      </c>
      <c r="H1325" s="489"/>
      <c r="I1325" s="489"/>
      <c r="J1325" s="489" t="s">
        <v>1303</v>
      </c>
      <c r="K1325" s="491"/>
      <c r="L1325" s="488"/>
      <c r="M1325" s="488"/>
      <c r="N1325" s="489"/>
      <c r="O1325" s="489"/>
      <c r="P1325" s="489"/>
      <c r="Q1325" s="489"/>
      <c r="R1325" s="490"/>
      <c r="S1325" s="489"/>
      <c r="T1325" s="488" t="s">
        <v>268</v>
      </c>
    </row>
    <row r="1326" ht="34.5">
      <c r="A1326" s="488" t="s">
        <v>1201</v>
      </c>
      <c r="B1326" s="488" t="s">
        <v>1202</v>
      </c>
      <c r="C1326" s="488" t="s">
        <v>441</v>
      </c>
      <c r="D1326" s="488" t="s">
        <v>263</v>
      </c>
      <c r="E1326" s="488" t="s">
        <v>468</v>
      </c>
      <c r="F1326" s="489" t="s">
        <v>1301</v>
      </c>
      <c r="G1326" s="488" t="s">
        <v>464</v>
      </c>
      <c r="H1326" s="489"/>
      <c r="I1326" s="489"/>
      <c r="J1326" s="489" t="s">
        <v>0</v>
      </c>
      <c r="K1326" s="491"/>
      <c r="L1326" s="488"/>
      <c r="M1326" s="488"/>
      <c r="N1326" s="489"/>
      <c r="O1326" s="489"/>
      <c r="P1326" s="489"/>
      <c r="Q1326" s="489"/>
      <c r="R1326" s="490"/>
      <c r="S1326" s="489"/>
      <c r="T1326" s="488" t="s">
        <v>268</v>
      </c>
    </row>
    <row r="1327" ht="34.5">
      <c r="A1327" s="488" t="s">
        <v>1201</v>
      </c>
      <c r="B1327" s="488" t="s">
        <v>1202</v>
      </c>
      <c r="C1327" s="488" t="s">
        <v>441</v>
      </c>
      <c r="D1327" s="488" t="s">
        <v>263</v>
      </c>
      <c r="E1327" s="488" t="s">
        <v>468</v>
      </c>
      <c r="F1327" s="489" t="s">
        <v>1301</v>
      </c>
      <c r="G1327" s="488" t="s">
        <v>464</v>
      </c>
      <c r="H1327" s="489"/>
      <c r="I1327" s="489"/>
      <c r="J1327" s="489" t="s">
        <v>1304</v>
      </c>
      <c r="K1327" s="491"/>
      <c r="L1327" s="488"/>
      <c r="M1327" s="488"/>
      <c r="N1327" s="489"/>
      <c r="O1327" s="489"/>
      <c r="P1327" s="489"/>
      <c r="Q1327" s="489"/>
      <c r="R1327" s="490"/>
      <c r="S1327" s="489"/>
      <c r="T1327" s="488" t="s">
        <v>268</v>
      </c>
    </row>
    <row r="1328" ht="34.5">
      <c r="A1328" s="488" t="s">
        <v>1201</v>
      </c>
      <c r="B1328" s="488" t="s">
        <v>1202</v>
      </c>
      <c r="C1328" s="488" t="s">
        <v>441</v>
      </c>
      <c r="D1328" s="488" t="s">
        <v>263</v>
      </c>
      <c r="E1328" s="488" t="s">
        <v>468</v>
      </c>
      <c r="F1328" s="489" t="s">
        <v>1301</v>
      </c>
      <c r="G1328" s="488" t="s">
        <v>464</v>
      </c>
      <c r="H1328" s="489"/>
      <c r="I1328" s="489"/>
      <c r="J1328" s="489" t="s">
        <v>1305</v>
      </c>
      <c r="K1328" s="491"/>
      <c r="L1328" s="488"/>
      <c r="M1328" s="488"/>
      <c r="N1328" s="489"/>
      <c r="O1328" s="489"/>
      <c r="P1328" s="489"/>
      <c r="Q1328" s="489"/>
      <c r="R1328" s="490"/>
      <c r="S1328" s="489"/>
      <c r="T1328" s="488" t="s">
        <v>268</v>
      </c>
    </row>
    <row r="1329" ht="34.5">
      <c r="A1329" s="488" t="s">
        <v>1201</v>
      </c>
      <c r="B1329" s="488" t="s">
        <v>1202</v>
      </c>
      <c r="C1329" s="488" t="s">
        <v>441</v>
      </c>
      <c r="D1329" s="488" t="s">
        <v>263</v>
      </c>
      <c r="E1329" s="488" t="s">
        <v>468</v>
      </c>
      <c r="F1329" s="489" t="s">
        <v>1301</v>
      </c>
      <c r="G1329" s="488" t="s">
        <v>464</v>
      </c>
      <c r="H1329" s="489"/>
      <c r="I1329" s="489"/>
      <c r="J1329" s="489" t="s">
        <v>1306</v>
      </c>
      <c r="K1329" s="491"/>
      <c r="L1329" s="488"/>
      <c r="M1329" s="488"/>
      <c r="N1329" s="489"/>
      <c r="O1329" s="489"/>
      <c r="P1329" s="489"/>
      <c r="Q1329" s="489"/>
      <c r="R1329" s="490"/>
      <c r="S1329" s="489"/>
      <c r="T1329" s="488" t="s">
        <v>268</v>
      </c>
    </row>
    <row r="1330" ht="34.5">
      <c r="A1330" s="488" t="s">
        <v>1201</v>
      </c>
      <c r="B1330" s="488" t="s">
        <v>1202</v>
      </c>
      <c r="C1330" s="488" t="s">
        <v>441</v>
      </c>
      <c r="D1330" s="488" t="s">
        <v>263</v>
      </c>
      <c r="E1330" s="488" t="s">
        <v>468</v>
      </c>
      <c r="F1330" s="489" t="s">
        <v>1301</v>
      </c>
      <c r="G1330" s="488" t="s">
        <v>464</v>
      </c>
      <c r="H1330" s="489"/>
      <c r="I1330" s="489"/>
      <c r="J1330" s="489" t="s">
        <v>1307</v>
      </c>
      <c r="K1330" s="491"/>
      <c r="L1330" s="488"/>
      <c r="M1330" s="488"/>
      <c r="N1330" s="489"/>
      <c r="O1330" s="489"/>
      <c r="P1330" s="489"/>
      <c r="Q1330" s="489"/>
      <c r="R1330" s="490"/>
      <c r="S1330" s="489"/>
      <c r="T1330" s="488" t="s">
        <v>268</v>
      </c>
    </row>
    <row r="1331" ht="34.5">
      <c r="A1331" s="488" t="s">
        <v>1201</v>
      </c>
      <c r="B1331" s="488" t="s">
        <v>1202</v>
      </c>
      <c r="C1331" s="488" t="s">
        <v>441</v>
      </c>
      <c r="D1331" s="488" t="s">
        <v>263</v>
      </c>
      <c r="E1331" s="488" t="s">
        <v>468</v>
      </c>
      <c r="F1331" s="489" t="s">
        <v>1301</v>
      </c>
      <c r="G1331" s="488" t="s">
        <v>464</v>
      </c>
      <c r="H1331" s="489"/>
      <c r="I1331" s="489"/>
      <c r="J1331" s="489" t="s">
        <v>1308</v>
      </c>
      <c r="K1331" s="491">
        <v>13271214</v>
      </c>
      <c r="L1331" s="488" t="s">
        <v>429</v>
      </c>
      <c r="M1331" s="488"/>
      <c r="N1331" s="489"/>
      <c r="O1331" s="489"/>
      <c r="P1331" s="489"/>
      <c r="Q1331" s="489"/>
      <c r="R1331" s="490"/>
      <c r="S1331" s="489"/>
      <c r="T1331" s="488" t="s">
        <v>268</v>
      </c>
    </row>
    <row r="1332" ht="34.5">
      <c r="A1332" s="488" t="s">
        <v>1201</v>
      </c>
      <c r="B1332" s="488" t="s">
        <v>1202</v>
      </c>
      <c r="C1332" s="488" t="s">
        <v>441</v>
      </c>
      <c r="D1332" s="488" t="s">
        <v>263</v>
      </c>
      <c r="E1332" s="488" t="s">
        <v>468</v>
      </c>
      <c r="F1332" s="489" t="s">
        <v>1301</v>
      </c>
      <c r="G1332" s="488" t="s">
        <v>464</v>
      </c>
      <c r="H1332" s="489"/>
      <c r="I1332" s="489"/>
      <c r="J1332" s="489" t="s">
        <v>1309</v>
      </c>
      <c r="K1332" s="491"/>
      <c r="L1332" s="488"/>
      <c r="M1332" s="488"/>
      <c r="N1332" s="489"/>
      <c r="O1332" s="489"/>
      <c r="P1332" s="489"/>
      <c r="Q1332" s="489"/>
      <c r="R1332" s="490"/>
      <c r="S1332" s="489"/>
      <c r="T1332" s="488" t="s">
        <v>268</v>
      </c>
    </row>
    <row r="1333" ht="34.5">
      <c r="A1333" s="488" t="s">
        <v>1201</v>
      </c>
      <c r="B1333" s="488" t="s">
        <v>1202</v>
      </c>
      <c r="C1333" s="488" t="s">
        <v>441</v>
      </c>
      <c r="D1333" s="488" t="s">
        <v>263</v>
      </c>
      <c r="E1333" s="488" t="s">
        <v>468</v>
      </c>
      <c r="F1333" s="489" t="s">
        <v>1301</v>
      </c>
      <c r="G1333" s="488" t="s">
        <v>464</v>
      </c>
      <c r="H1333" s="489"/>
      <c r="I1333" s="489"/>
      <c r="J1333" s="489" t="s">
        <v>1310</v>
      </c>
      <c r="K1333" s="491"/>
      <c r="L1333" s="488"/>
      <c r="M1333" s="488"/>
      <c r="N1333" s="489"/>
      <c r="O1333" s="489"/>
      <c r="P1333" s="489"/>
      <c r="Q1333" s="489"/>
      <c r="R1333" s="490"/>
      <c r="S1333" s="489"/>
      <c r="T1333" s="488" t="s">
        <v>268</v>
      </c>
    </row>
    <row r="1334" ht="34.5">
      <c r="A1334" s="488" t="s">
        <v>1201</v>
      </c>
      <c r="B1334" s="488" t="s">
        <v>1202</v>
      </c>
      <c r="C1334" s="488" t="s">
        <v>455</v>
      </c>
      <c r="D1334" s="488" t="s">
        <v>263</v>
      </c>
      <c r="E1334" s="488" t="s">
        <v>475</v>
      </c>
      <c r="F1334" s="489" t="s">
        <v>1311</v>
      </c>
      <c r="G1334" s="488" t="s">
        <v>470</v>
      </c>
      <c r="H1334" s="489"/>
      <c r="I1334" s="489"/>
      <c r="J1334" s="489" t="s">
        <v>1062</v>
      </c>
      <c r="K1334" s="491">
        <v>3638005</v>
      </c>
      <c r="L1334" s="488" t="s">
        <v>429</v>
      </c>
      <c r="M1334" s="488"/>
      <c r="N1334" s="489"/>
      <c r="O1334" s="489"/>
      <c r="P1334" s="489"/>
      <c r="Q1334" s="489"/>
      <c r="R1334" s="490"/>
      <c r="S1334" s="489"/>
      <c r="T1334" s="488" t="s">
        <v>268</v>
      </c>
    </row>
    <row r="1335" ht="34.5">
      <c r="A1335" s="488" t="s">
        <v>1201</v>
      </c>
      <c r="B1335" s="488" t="s">
        <v>1202</v>
      </c>
      <c r="C1335" s="488" t="s">
        <v>455</v>
      </c>
      <c r="D1335" s="488" t="s">
        <v>263</v>
      </c>
      <c r="E1335" s="488" t="s">
        <v>487</v>
      </c>
      <c r="F1335" s="489" t="s">
        <v>1312</v>
      </c>
      <c r="G1335" s="488" t="s">
        <v>266</v>
      </c>
      <c r="H1335" s="489"/>
      <c r="I1335" s="489"/>
      <c r="J1335" s="489" t="s">
        <v>477</v>
      </c>
      <c r="K1335" s="491"/>
      <c r="L1335" s="488"/>
      <c r="M1335" s="488"/>
      <c r="N1335" s="489"/>
      <c r="O1335" s="489"/>
      <c r="P1335" s="489"/>
      <c r="Q1335" s="489"/>
      <c r="R1335" s="490"/>
      <c r="S1335" s="489"/>
      <c r="T1335" s="488" t="s">
        <v>268</v>
      </c>
    </row>
    <row r="1336" ht="34.5">
      <c r="A1336" s="488" t="s">
        <v>1201</v>
      </c>
      <c r="B1336" s="488" t="s">
        <v>1202</v>
      </c>
      <c r="C1336" s="488" t="s">
        <v>455</v>
      </c>
      <c r="D1336" s="488" t="s">
        <v>263</v>
      </c>
      <c r="E1336" s="488" t="s">
        <v>487</v>
      </c>
      <c r="F1336" s="489" t="s">
        <v>1312</v>
      </c>
      <c r="G1336" s="488" t="s">
        <v>266</v>
      </c>
      <c r="H1336" s="489"/>
      <c r="I1336" s="489"/>
      <c r="J1336" s="489" t="s">
        <v>1313</v>
      </c>
      <c r="K1336" s="491">
        <v>304815</v>
      </c>
      <c r="L1336" s="488" t="s">
        <v>429</v>
      </c>
      <c r="M1336" s="488"/>
      <c r="N1336" s="489"/>
      <c r="O1336" s="489"/>
      <c r="P1336" s="489"/>
      <c r="Q1336" s="489"/>
      <c r="R1336" s="490"/>
      <c r="S1336" s="489"/>
      <c r="T1336" s="488" t="s">
        <v>268</v>
      </c>
    </row>
    <row r="1337" ht="34.5">
      <c r="A1337" s="488" t="s">
        <v>1201</v>
      </c>
      <c r="B1337" s="488" t="s">
        <v>1202</v>
      </c>
      <c r="C1337" s="488" t="s">
        <v>455</v>
      </c>
      <c r="D1337" s="488" t="s">
        <v>263</v>
      </c>
      <c r="E1337" s="488" t="s">
        <v>493</v>
      </c>
      <c r="F1337" s="489" t="s">
        <v>1314</v>
      </c>
      <c r="G1337" s="488" t="s">
        <v>266</v>
      </c>
      <c r="H1337" s="489"/>
      <c r="I1337" s="489"/>
      <c r="J1337" s="489" t="s">
        <v>1315</v>
      </c>
      <c r="K1337" s="491">
        <v>4260349</v>
      </c>
      <c r="L1337" s="488" t="s">
        <v>429</v>
      </c>
      <c r="M1337" s="488"/>
      <c r="N1337" s="489"/>
      <c r="O1337" s="489"/>
      <c r="P1337" s="489"/>
      <c r="Q1337" s="489"/>
      <c r="R1337" s="490"/>
      <c r="S1337" s="489"/>
      <c r="T1337" s="488" t="s">
        <v>268</v>
      </c>
    </row>
    <row r="1338" ht="34.5">
      <c r="A1338" s="488" t="s">
        <v>1201</v>
      </c>
      <c r="B1338" s="488" t="s">
        <v>1202</v>
      </c>
      <c r="C1338" s="488" t="s">
        <v>455</v>
      </c>
      <c r="D1338" s="488" t="s">
        <v>263</v>
      </c>
      <c r="E1338" s="488" t="s">
        <v>493</v>
      </c>
      <c r="F1338" s="489" t="s">
        <v>1314</v>
      </c>
      <c r="G1338" s="488" t="s">
        <v>266</v>
      </c>
      <c r="H1338" s="489"/>
      <c r="I1338" s="489"/>
      <c r="J1338" s="489" t="s">
        <v>848</v>
      </c>
      <c r="K1338" s="491"/>
      <c r="L1338" s="488"/>
      <c r="M1338" s="488"/>
      <c r="N1338" s="489"/>
      <c r="O1338" s="489"/>
      <c r="P1338" s="489"/>
      <c r="Q1338" s="489"/>
      <c r="R1338" s="490"/>
      <c r="S1338" s="489"/>
      <c r="T1338" s="488" t="s">
        <v>268</v>
      </c>
    </row>
    <row r="1339" ht="34.5">
      <c r="A1339" s="488" t="s">
        <v>1201</v>
      </c>
      <c r="B1339" s="488" t="s">
        <v>1202</v>
      </c>
      <c r="C1339" s="488" t="s">
        <v>467</v>
      </c>
      <c r="D1339" s="488" t="s">
        <v>263</v>
      </c>
      <c r="E1339" s="488" t="s">
        <v>506</v>
      </c>
      <c r="F1339" s="489" t="s">
        <v>1316</v>
      </c>
      <c r="G1339" s="488" t="s">
        <v>495</v>
      </c>
      <c r="H1339" s="489"/>
      <c r="I1339" s="489"/>
      <c r="J1339" s="489" t="s">
        <v>496</v>
      </c>
      <c r="K1339" s="491"/>
      <c r="L1339" s="488"/>
      <c r="M1339" s="488"/>
      <c r="N1339" s="489"/>
      <c r="O1339" s="489"/>
      <c r="P1339" s="489"/>
      <c r="Q1339" s="489"/>
      <c r="R1339" s="490"/>
      <c r="S1339" s="489"/>
      <c r="T1339" s="488" t="s">
        <v>268</v>
      </c>
    </row>
    <row r="1340" ht="34.5">
      <c r="A1340" s="488" t="s">
        <v>1201</v>
      </c>
      <c r="B1340" s="488" t="s">
        <v>1202</v>
      </c>
      <c r="C1340" s="488" t="s">
        <v>467</v>
      </c>
      <c r="D1340" s="488" t="s">
        <v>263</v>
      </c>
      <c r="E1340" s="488" t="s">
        <v>506</v>
      </c>
      <c r="F1340" s="489" t="s">
        <v>1316</v>
      </c>
      <c r="G1340" s="488" t="s">
        <v>495</v>
      </c>
      <c r="H1340" s="489"/>
      <c r="I1340" s="489"/>
      <c r="J1340" s="489" t="s">
        <v>1068</v>
      </c>
      <c r="K1340" s="491"/>
      <c r="L1340" s="488"/>
      <c r="M1340" s="488"/>
      <c r="N1340" s="489"/>
      <c r="O1340" s="489"/>
      <c r="P1340" s="489"/>
      <c r="Q1340" s="489"/>
      <c r="R1340" s="490"/>
      <c r="S1340" s="489"/>
      <c r="T1340" s="488" t="s">
        <v>268</v>
      </c>
    </row>
    <row r="1341" ht="34.5">
      <c r="A1341" s="488" t="s">
        <v>1201</v>
      </c>
      <c r="B1341" s="488" t="s">
        <v>1202</v>
      </c>
      <c r="C1341" s="488" t="s">
        <v>467</v>
      </c>
      <c r="D1341" s="488" t="s">
        <v>263</v>
      </c>
      <c r="E1341" s="488" t="s">
        <v>506</v>
      </c>
      <c r="F1341" s="489" t="s">
        <v>1316</v>
      </c>
      <c r="G1341" s="488" t="s">
        <v>495</v>
      </c>
      <c r="H1341" s="489"/>
      <c r="I1341" s="489"/>
      <c r="J1341" s="489" t="s">
        <v>1317</v>
      </c>
      <c r="K1341" s="491">
        <v>723071</v>
      </c>
      <c r="L1341" s="488" t="s">
        <v>429</v>
      </c>
      <c r="M1341" s="488"/>
      <c r="N1341" s="489"/>
      <c r="O1341" s="489"/>
      <c r="P1341" s="489"/>
      <c r="Q1341" s="489"/>
      <c r="R1341" s="490"/>
      <c r="S1341" s="489"/>
      <c r="T1341" s="488" t="s">
        <v>268</v>
      </c>
    </row>
    <row r="1342" ht="34.5">
      <c r="A1342" s="488" t="s">
        <v>1201</v>
      </c>
      <c r="B1342" s="488" t="s">
        <v>1202</v>
      </c>
      <c r="C1342" s="488" t="s">
        <v>467</v>
      </c>
      <c r="D1342" s="488" t="s">
        <v>263</v>
      </c>
      <c r="E1342" s="488" t="s">
        <v>506</v>
      </c>
      <c r="F1342" s="489" t="s">
        <v>1316</v>
      </c>
      <c r="G1342" s="488" t="s">
        <v>495</v>
      </c>
      <c r="H1342" s="489"/>
      <c r="I1342" s="489"/>
      <c r="J1342" s="489" t="s">
        <v>499</v>
      </c>
      <c r="K1342" s="491"/>
      <c r="L1342" s="488"/>
      <c r="M1342" s="488"/>
      <c r="N1342" s="489"/>
      <c r="O1342" s="489"/>
      <c r="P1342" s="489"/>
      <c r="Q1342" s="489"/>
      <c r="R1342" s="490"/>
      <c r="S1342" s="489"/>
      <c r="T1342" s="488" t="s">
        <v>268</v>
      </c>
    </row>
    <row r="1343" ht="34.5">
      <c r="A1343" s="488" t="s">
        <v>1201</v>
      </c>
      <c r="B1343" s="488" t="s">
        <v>1202</v>
      </c>
      <c r="C1343" s="488" t="s">
        <v>467</v>
      </c>
      <c r="D1343" s="488" t="s">
        <v>263</v>
      </c>
      <c r="E1343" s="488" t="s">
        <v>506</v>
      </c>
      <c r="F1343" s="489" t="s">
        <v>1316</v>
      </c>
      <c r="G1343" s="488" t="s">
        <v>495</v>
      </c>
      <c r="H1343" s="489"/>
      <c r="I1343" s="489"/>
      <c r="J1343" s="489" t="s">
        <v>1318</v>
      </c>
      <c r="K1343" s="491"/>
      <c r="L1343" s="488"/>
      <c r="M1343" s="488"/>
      <c r="N1343" s="489"/>
      <c r="O1343" s="489"/>
      <c r="P1343" s="489"/>
      <c r="Q1343" s="489"/>
      <c r="R1343" s="490"/>
      <c r="S1343" s="489"/>
      <c r="T1343" s="488" t="s">
        <v>268</v>
      </c>
    </row>
    <row r="1344" ht="34.5">
      <c r="A1344" s="488" t="s">
        <v>1201</v>
      </c>
      <c r="B1344" s="488" t="s">
        <v>1202</v>
      </c>
      <c r="C1344" s="488" t="s">
        <v>467</v>
      </c>
      <c r="D1344" s="488" t="s">
        <v>263</v>
      </c>
      <c r="E1344" s="488" t="s">
        <v>506</v>
      </c>
      <c r="F1344" s="489" t="s">
        <v>1316</v>
      </c>
      <c r="G1344" s="488" t="s">
        <v>495</v>
      </c>
      <c r="H1344" s="489"/>
      <c r="I1344" s="489"/>
      <c r="J1344" s="489" t="s">
        <v>1319</v>
      </c>
      <c r="K1344" s="491"/>
      <c r="L1344" s="488"/>
      <c r="M1344" s="488"/>
      <c r="N1344" s="489"/>
      <c r="O1344" s="489"/>
      <c r="P1344" s="489"/>
      <c r="Q1344" s="489"/>
      <c r="R1344" s="490"/>
      <c r="S1344" s="489"/>
      <c r="T1344" s="488" t="s">
        <v>268</v>
      </c>
    </row>
    <row r="1345" ht="34.5">
      <c r="A1345" s="488" t="s">
        <v>1201</v>
      </c>
      <c r="B1345" s="488" t="s">
        <v>1202</v>
      </c>
      <c r="C1345" s="488" t="s">
        <v>467</v>
      </c>
      <c r="D1345" s="488" t="s">
        <v>263</v>
      </c>
      <c r="E1345" s="488" t="s">
        <v>506</v>
      </c>
      <c r="F1345" s="489" t="s">
        <v>1316</v>
      </c>
      <c r="G1345" s="488" t="s">
        <v>495</v>
      </c>
      <c r="H1345" s="489"/>
      <c r="I1345" s="489"/>
      <c r="J1345" s="489" t="s">
        <v>1320</v>
      </c>
      <c r="K1345" s="491"/>
      <c r="L1345" s="488"/>
      <c r="M1345" s="488"/>
      <c r="N1345" s="489"/>
      <c r="O1345" s="489"/>
      <c r="P1345" s="489"/>
      <c r="Q1345" s="489"/>
      <c r="R1345" s="490"/>
      <c r="S1345" s="489"/>
      <c r="T1345" s="488" t="s">
        <v>268</v>
      </c>
    </row>
    <row r="1346" ht="34.5">
      <c r="A1346" s="488" t="s">
        <v>1201</v>
      </c>
      <c r="B1346" s="488" t="s">
        <v>1202</v>
      </c>
      <c r="C1346" s="488" t="s">
        <v>467</v>
      </c>
      <c r="D1346" s="488" t="s">
        <v>263</v>
      </c>
      <c r="E1346" s="488" t="s">
        <v>506</v>
      </c>
      <c r="F1346" s="489" t="s">
        <v>1316</v>
      </c>
      <c r="G1346" s="488" t="s">
        <v>495</v>
      </c>
      <c r="H1346" s="489"/>
      <c r="I1346" s="489"/>
      <c r="J1346" s="489" t="s">
        <v>505</v>
      </c>
      <c r="K1346" s="491"/>
      <c r="L1346" s="488"/>
      <c r="M1346" s="488"/>
      <c r="N1346" s="489"/>
      <c r="O1346" s="489"/>
      <c r="P1346" s="489"/>
      <c r="Q1346" s="489"/>
      <c r="R1346" s="490"/>
      <c r="S1346" s="489"/>
      <c r="T1346" s="488" t="s">
        <v>268</v>
      </c>
    </row>
    <row r="1347" ht="34.5">
      <c r="A1347" s="488" t="s">
        <v>1201</v>
      </c>
      <c r="B1347" s="488" t="s">
        <v>1202</v>
      </c>
      <c r="C1347" s="488" t="s">
        <v>474</v>
      </c>
      <c r="D1347" s="488" t="s">
        <v>263</v>
      </c>
      <c r="E1347" s="488" t="s">
        <v>511</v>
      </c>
      <c r="F1347" s="489" t="s">
        <v>512</v>
      </c>
      <c r="G1347" s="488" t="s">
        <v>495</v>
      </c>
      <c r="H1347" s="489"/>
      <c r="I1347" s="489"/>
      <c r="J1347" s="489" t="s">
        <v>1073</v>
      </c>
      <c r="K1347" s="491"/>
      <c r="L1347" s="488"/>
      <c r="M1347" s="488"/>
      <c r="N1347" s="489"/>
      <c r="O1347" s="489"/>
      <c r="P1347" s="489"/>
      <c r="Q1347" s="489"/>
      <c r="R1347" s="490"/>
      <c r="S1347" s="489"/>
      <c r="T1347" s="488" t="s">
        <v>268</v>
      </c>
    </row>
    <row r="1348" ht="34.5">
      <c r="A1348" s="488" t="s">
        <v>1201</v>
      </c>
      <c r="B1348" s="488" t="s">
        <v>1202</v>
      </c>
      <c r="C1348" s="488" t="s">
        <v>474</v>
      </c>
      <c r="D1348" s="488" t="s">
        <v>263</v>
      </c>
      <c r="E1348" s="488" t="s">
        <v>511</v>
      </c>
      <c r="F1348" s="489" t="s">
        <v>512</v>
      </c>
      <c r="G1348" s="488" t="s">
        <v>495</v>
      </c>
      <c r="H1348" s="489"/>
      <c r="I1348" s="489"/>
      <c r="J1348" s="489" t="s">
        <v>1321</v>
      </c>
      <c r="K1348" s="491">
        <v>499640</v>
      </c>
      <c r="L1348" s="488" t="s">
        <v>429</v>
      </c>
      <c r="M1348" s="488"/>
      <c r="N1348" s="489"/>
      <c r="O1348" s="489"/>
      <c r="P1348" s="489"/>
      <c r="Q1348" s="489"/>
      <c r="R1348" s="490"/>
      <c r="S1348" s="489"/>
      <c r="T1348" s="488" t="s">
        <v>268</v>
      </c>
    </row>
    <row r="1349" ht="34.5">
      <c r="A1349" s="488" t="s">
        <v>1201</v>
      </c>
      <c r="B1349" s="488" t="s">
        <v>1202</v>
      </c>
      <c r="C1349" s="488" t="s">
        <v>474</v>
      </c>
      <c r="D1349" s="488" t="s">
        <v>263</v>
      </c>
      <c r="E1349" s="488" t="s">
        <v>515</v>
      </c>
      <c r="F1349" s="489" t="s">
        <v>1322</v>
      </c>
      <c r="G1349" s="488" t="s">
        <v>535</v>
      </c>
      <c r="H1349" s="489"/>
      <c r="I1349" s="489"/>
      <c r="J1349" s="489" t="s">
        <v>1323</v>
      </c>
      <c r="K1349" s="491"/>
      <c r="L1349" s="488"/>
      <c r="M1349" s="488"/>
      <c r="N1349" s="489"/>
      <c r="O1349" s="489"/>
      <c r="P1349" s="489"/>
      <c r="Q1349" s="489"/>
      <c r="R1349" s="490"/>
      <c r="S1349" s="489"/>
      <c r="T1349" s="488" t="s">
        <v>268</v>
      </c>
    </row>
    <row r="1350" ht="34.5">
      <c r="A1350" s="488" t="s">
        <v>1201</v>
      </c>
      <c r="B1350" s="488" t="s">
        <v>1202</v>
      </c>
      <c r="C1350" s="488" t="s">
        <v>474</v>
      </c>
      <c r="D1350" s="488" t="s">
        <v>263</v>
      </c>
      <c r="E1350" s="488" t="s">
        <v>515</v>
      </c>
      <c r="F1350" s="489" t="s">
        <v>1322</v>
      </c>
      <c r="G1350" s="488" t="s">
        <v>535</v>
      </c>
      <c r="H1350" s="489"/>
      <c r="I1350" s="489"/>
      <c r="J1350" s="489" t="s">
        <v>518</v>
      </c>
      <c r="K1350" s="491"/>
      <c r="L1350" s="488"/>
      <c r="M1350" s="488"/>
      <c r="N1350" s="489"/>
      <c r="O1350" s="489"/>
      <c r="P1350" s="489"/>
      <c r="Q1350" s="489"/>
      <c r="R1350" s="490"/>
      <c r="S1350" s="489"/>
      <c r="T1350" s="488" t="s">
        <v>268</v>
      </c>
    </row>
    <row r="1351" ht="34.5">
      <c r="A1351" s="488" t="s">
        <v>1201</v>
      </c>
      <c r="B1351" s="488" t="s">
        <v>1202</v>
      </c>
      <c r="C1351" s="488" t="s">
        <v>484</v>
      </c>
      <c r="D1351" s="488" t="s">
        <v>263</v>
      </c>
      <c r="E1351" s="488" t="s">
        <v>515</v>
      </c>
      <c r="F1351" s="489" t="s">
        <v>1324</v>
      </c>
      <c r="G1351" s="488" t="s">
        <v>535</v>
      </c>
      <c r="H1351" s="489"/>
      <c r="I1351" s="489"/>
      <c r="J1351" s="489" t="s">
        <v>1077</v>
      </c>
      <c r="K1351" s="491"/>
      <c r="L1351" s="488"/>
      <c r="M1351" s="488"/>
      <c r="N1351" s="489"/>
      <c r="O1351" s="489"/>
      <c r="P1351" s="489"/>
      <c r="Q1351" s="489"/>
      <c r="R1351" s="490"/>
      <c r="S1351" s="489"/>
      <c r="T1351" s="488" t="s">
        <v>268</v>
      </c>
    </row>
    <row r="1352" ht="34.5">
      <c r="A1352" s="488" t="s">
        <v>1201</v>
      </c>
      <c r="B1352" s="488" t="s">
        <v>1202</v>
      </c>
      <c r="C1352" s="488" t="s">
        <v>484</v>
      </c>
      <c r="D1352" s="488" t="s">
        <v>263</v>
      </c>
      <c r="E1352" s="488" t="s">
        <v>515</v>
      </c>
      <c r="F1352" s="489" t="s">
        <v>1324</v>
      </c>
      <c r="G1352" s="488" t="s">
        <v>535</v>
      </c>
      <c r="H1352" s="489"/>
      <c r="I1352" s="489"/>
      <c r="J1352" s="489" t="s">
        <v>1325</v>
      </c>
      <c r="K1352" s="491">
        <v>36682</v>
      </c>
      <c r="L1352" s="488" t="s">
        <v>429</v>
      </c>
      <c r="M1352" s="488"/>
      <c r="N1352" s="489"/>
      <c r="O1352" s="489"/>
      <c r="P1352" s="489"/>
      <c r="Q1352" s="489"/>
      <c r="R1352" s="490"/>
      <c r="S1352" s="489"/>
      <c r="T1352" s="488" t="s">
        <v>268</v>
      </c>
    </row>
    <row r="1353" ht="34.5">
      <c r="A1353" s="488" t="s">
        <v>1201</v>
      </c>
      <c r="B1353" s="488" t="s">
        <v>1202</v>
      </c>
      <c r="C1353" s="488" t="s">
        <v>484</v>
      </c>
      <c r="D1353" s="488" t="s">
        <v>263</v>
      </c>
      <c r="E1353" s="488" t="s">
        <v>515</v>
      </c>
      <c r="F1353" s="489" t="s">
        <v>1324</v>
      </c>
      <c r="G1353" s="488" t="s">
        <v>535</v>
      </c>
      <c r="H1353" s="489"/>
      <c r="I1353" s="489"/>
      <c r="J1353" s="489" t="s">
        <v>1079</v>
      </c>
      <c r="K1353" s="491"/>
      <c r="L1353" s="488"/>
      <c r="M1353" s="488"/>
      <c r="N1353" s="489"/>
      <c r="O1353" s="489"/>
      <c r="P1353" s="489"/>
      <c r="Q1353" s="489"/>
      <c r="R1353" s="490"/>
      <c r="S1353" s="489"/>
      <c r="T1353" s="488" t="s">
        <v>268</v>
      </c>
    </row>
    <row r="1354" ht="34.5">
      <c r="A1354" s="488" t="s">
        <v>1201</v>
      </c>
      <c r="B1354" s="488" t="s">
        <v>1202</v>
      </c>
      <c r="C1354" s="488" t="s">
        <v>484</v>
      </c>
      <c r="D1354" s="488" t="s">
        <v>263</v>
      </c>
      <c r="E1354" s="488" t="s">
        <v>515</v>
      </c>
      <c r="F1354" s="489" t="s">
        <v>1324</v>
      </c>
      <c r="G1354" s="488" t="s">
        <v>535</v>
      </c>
      <c r="H1354" s="489"/>
      <c r="I1354" s="489"/>
      <c r="J1354" s="489" t="s">
        <v>1326</v>
      </c>
      <c r="K1354" s="491">
        <v>314345</v>
      </c>
      <c r="L1354" s="488" t="s">
        <v>429</v>
      </c>
      <c r="M1354" s="488"/>
      <c r="N1354" s="489"/>
      <c r="O1354" s="489"/>
      <c r="P1354" s="489"/>
      <c r="Q1354" s="489"/>
      <c r="R1354" s="490"/>
      <c r="S1354" s="489"/>
      <c r="T1354" s="488" t="s">
        <v>268</v>
      </c>
    </row>
    <row r="1355" ht="34.5">
      <c r="A1355" s="488" t="s">
        <v>1201</v>
      </c>
      <c r="B1355" s="488" t="s">
        <v>1202</v>
      </c>
      <c r="C1355" s="488" t="s">
        <v>484</v>
      </c>
      <c r="D1355" s="488" t="s">
        <v>263</v>
      </c>
      <c r="E1355" s="488" t="s">
        <v>515</v>
      </c>
      <c r="F1355" s="489" t="s">
        <v>1324</v>
      </c>
      <c r="G1355" s="488" t="s">
        <v>535</v>
      </c>
      <c r="H1355" s="489"/>
      <c r="I1355" s="489"/>
      <c r="J1355" s="489" t="s">
        <v>525</v>
      </c>
      <c r="K1355" s="491"/>
      <c r="L1355" s="488"/>
      <c r="M1355" s="488"/>
      <c r="N1355" s="489"/>
      <c r="O1355" s="489"/>
      <c r="P1355" s="489"/>
      <c r="Q1355" s="489"/>
      <c r="R1355" s="490"/>
      <c r="S1355" s="489"/>
      <c r="T1355" s="488" t="s">
        <v>268</v>
      </c>
    </row>
    <row r="1356" ht="34.5">
      <c r="A1356" s="488" t="s">
        <v>1201</v>
      </c>
      <c r="B1356" s="488" t="s">
        <v>1202</v>
      </c>
      <c r="C1356" s="488" t="s">
        <v>484</v>
      </c>
      <c r="D1356" s="488" t="s">
        <v>263</v>
      </c>
      <c r="E1356" s="488" t="s">
        <v>515</v>
      </c>
      <c r="F1356" s="489" t="s">
        <v>1324</v>
      </c>
      <c r="G1356" s="488" t="s">
        <v>535</v>
      </c>
      <c r="H1356" s="489"/>
      <c r="I1356" s="489"/>
      <c r="J1356" s="489" t="s">
        <v>1327</v>
      </c>
      <c r="K1356" s="491">
        <v>36000</v>
      </c>
      <c r="L1356" s="488" t="s">
        <v>429</v>
      </c>
      <c r="M1356" s="488"/>
      <c r="N1356" s="489"/>
      <c r="O1356" s="489"/>
      <c r="P1356" s="489"/>
      <c r="Q1356" s="489"/>
      <c r="R1356" s="490"/>
      <c r="S1356" s="489"/>
      <c r="T1356" s="488" t="s">
        <v>268</v>
      </c>
    </row>
    <row r="1357" ht="34.5">
      <c r="A1357" s="488" t="s">
        <v>1201</v>
      </c>
      <c r="B1357" s="488" t="s">
        <v>1202</v>
      </c>
      <c r="C1357" s="488" t="s">
        <v>500</v>
      </c>
      <c r="D1357" s="488" t="s">
        <v>263</v>
      </c>
      <c r="E1357" s="488" t="s">
        <v>528</v>
      </c>
      <c r="F1357" s="489" t="s">
        <v>529</v>
      </c>
      <c r="G1357" s="488" t="s">
        <v>55</v>
      </c>
      <c r="H1357" s="489"/>
      <c r="I1357" s="489"/>
      <c r="J1357" s="489" t="s">
        <v>530</v>
      </c>
      <c r="K1357" s="491"/>
      <c r="L1357" s="488"/>
      <c r="M1357" s="488"/>
      <c r="N1357" s="489"/>
      <c r="O1357" s="489"/>
      <c r="P1357" s="489"/>
      <c r="Q1357" s="489"/>
      <c r="R1357" s="490"/>
      <c r="S1357" s="489"/>
      <c r="T1357" s="488" t="s">
        <v>268</v>
      </c>
    </row>
    <row r="1358" ht="34.5">
      <c r="A1358" s="488" t="s">
        <v>1201</v>
      </c>
      <c r="B1358" s="488" t="s">
        <v>1202</v>
      </c>
      <c r="C1358" s="488" t="s">
        <v>500</v>
      </c>
      <c r="D1358" s="488" t="s">
        <v>263</v>
      </c>
      <c r="E1358" s="488" t="s">
        <v>528</v>
      </c>
      <c r="F1358" s="489" t="s">
        <v>529</v>
      </c>
      <c r="G1358" s="488" t="s">
        <v>55</v>
      </c>
      <c r="H1358" s="489"/>
      <c r="I1358" s="489"/>
      <c r="J1358" s="489" t="s">
        <v>1328</v>
      </c>
      <c r="K1358" s="491">
        <v>1142597</v>
      </c>
      <c r="L1358" s="488" t="s">
        <v>429</v>
      </c>
      <c r="M1358" s="488"/>
      <c r="N1358" s="489"/>
      <c r="O1358" s="489"/>
      <c r="P1358" s="489"/>
      <c r="Q1358" s="489"/>
      <c r="R1358" s="490"/>
      <c r="S1358" s="489"/>
      <c r="T1358" s="488" t="s">
        <v>268</v>
      </c>
    </row>
    <row r="1359" ht="34.5">
      <c r="A1359" s="488" t="s">
        <v>1201</v>
      </c>
      <c r="B1359" s="488" t="s">
        <v>1202</v>
      </c>
      <c r="C1359" s="488" t="s">
        <v>500</v>
      </c>
      <c r="D1359" s="488" t="s">
        <v>263</v>
      </c>
      <c r="E1359" s="488" t="s">
        <v>533</v>
      </c>
      <c r="F1359" s="489" t="s">
        <v>534</v>
      </c>
      <c r="G1359" s="488" t="s">
        <v>535</v>
      </c>
      <c r="H1359" s="489"/>
      <c r="I1359" s="489"/>
      <c r="J1359" s="489" t="s">
        <v>536</v>
      </c>
      <c r="K1359" s="491"/>
      <c r="L1359" s="488"/>
      <c r="M1359" s="488"/>
      <c r="N1359" s="489"/>
      <c r="O1359" s="489"/>
      <c r="P1359" s="489"/>
      <c r="Q1359" s="489"/>
      <c r="R1359" s="490"/>
      <c r="S1359" s="489"/>
      <c r="T1359" s="488" t="s">
        <v>268</v>
      </c>
    </row>
    <row r="1360" ht="34.5">
      <c r="A1360" s="488" t="s">
        <v>1201</v>
      </c>
      <c r="B1360" s="488" t="s">
        <v>1202</v>
      </c>
      <c r="C1360" s="488" t="s">
        <v>500</v>
      </c>
      <c r="D1360" s="488" t="s">
        <v>263</v>
      </c>
      <c r="E1360" s="488" t="s">
        <v>533</v>
      </c>
      <c r="F1360" s="489" t="s">
        <v>534</v>
      </c>
      <c r="G1360" s="488" t="s">
        <v>535</v>
      </c>
      <c r="H1360" s="489"/>
      <c r="I1360" s="489"/>
      <c r="J1360" s="489" t="s">
        <v>1329</v>
      </c>
      <c r="K1360" s="491">
        <v>131250000</v>
      </c>
      <c r="L1360" s="488" t="s">
        <v>429</v>
      </c>
      <c r="M1360" s="488"/>
      <c r="N1360" s="489"/>
      <c r="O1360" s="489"/>
      <c r="P1360" s="489"/>
      <c r="Q1360" s="489"/>
      <c r="R1360" s="490"/>
      <c r="S1360" s="489"/>
      <c r="T1360" s="488" t="s">
        <v>268</v>
      </c>
    </row>
    <row r="1361" ht="34.5">
      <c r="A1361" s="488" t="s">
        <v>1201</v>
      </c>
      <c r="B1361" s="488" t="s">
        <v>1202</v>
      </c>
      <c r="C1361" s="488" t="s">
        <v>500</v>
      </c>
      <c r="D1361" s="488" t="s">
        <v>263</v>
      </c>
      <c r="E1361" s="488" t="s">
        <v>533</v>
      </c>
      <c r="F1361" s="489" t="s">
        <v>534</v>
      </c>
      <c r="G1361" s="488" t="s">
        <v>535</v>
      </c>
      <c r="H1361" s="489"/>
      <c r="I1361" s="489"/>
      <c r="J1361" s="489" t="s">
        <v>1330</v>
      </c>
      <c r="K1361" s="491"/>
      <c r="L1361" s="488"/>
      <c r="M1361" s="488"/>
      <c r="N1361" s="489"/>
      <c r="O1361" s="489"/>
      <c r="P1361" s="489"/>
      <c r="Q1361" s="489"/>
      <c r="R1361" s="490"/>
      <c r="S1361" s="489"/>
      <c r="T1361" s="488" t="s">
        <v>268</v>
      </c>
    </row>
    <row r="1362" ht="34.5">
      <c r="A1362" s="488" t="s">
        <v>1201</v>
      </c>
      <c r="B1362" s="488" t="s">
        <v>1202</v>
      </c>
      <c r="C1362" s="488" t="s">
        <v>500</v>
      </c>
      <c r="D1362" s="488" t="s">
        <v>263</v>
      </c>
      <c r="E1362" s="488" t="s">
        <v>533</v>
      </c>
      <c r="F1362" s="489" t="s">
        <v>534</v>
      </c>
      <c r="G1362" s="488" t="s">
        <v>535</v>
      </c>
      <c r="H1362" s="489"/>
      <c r="I1362" s="489"/>
      <c r="J1362" s="489" t="s">
        <v>1331</v>
      </c>
      <c r="K1362" s="491">
        <v>139056207</v>
      </c>
      <c r="L1362" s="488" t="s">
        <v>429</v>
      </c>
      <c r="M1362" s="488"/>
      <c r="N1362" s="489"/>
      <c r="O1362" s="489"/>
      <c r="P1362" s="489"/>
      <c r="Q1362" s="489"/>
      <c r="R1362" s="490"/>
      <c r="S1362" s="489"/>
      <c r="T1362" s="488" t="s">
        <v>268</v>
      </c>
    </row>
    <row r="1363" ht="34.5">
      <c r="A1363" s="488" t="s">
        <v>1201</v>
      </c>
      <c r="B1363" s="488" t="s">
        <v>1202</v>
      </c>
      <c r="C1363" s="488" t="s">
        <v>510</v>
      </c>
      <c r="D1363" s="488" t="s">
        <v>263</v>
      </c>
      <c r="E1363" s="488" t="s">
        <v>533</v>
      </c>
      <c r="F1363" s="489" t="s">
        <v>541</v>
      </c>
      <c r="G1363" s="488" t="s">
        <v>535</v>
      </c>
      <c r="H1363" s="489"/>
      <c r="I1363" s="489"/>
      <c r="J1363" s="489" t="s">
        <v>538</v>
      </c>
      <c r="K1363" s="491"/>
      <c r="L1363" s="488"/>
      <c r="M1363" s="488"/>
      <c r="N1363" s="489"/>
      <c r="O1363" s="489"/>
      <c r="P1363" s="489"/>
      <c r="Q1363" s="489"/>
      <c r="R1363" s="490"/>
      <c r="S1363" s="489"/>
      <c r="T1363" s="488" t="s">
        <v>268</v>
      </c>
    </row>
    <row r="1364" ht="34.5">
      <c r="A1364" s="488" t="s">
        <v>1201</v>
      </c>
      <c r="B1364" s="488" t="s">
        <v>1202</v>
      </c>
      <c r="C1364" s="488" t="s">
        <v>510</v>
      </c>
      <c r="D1364" s="488" t="s">
        <v>263</v>
      </c>
      <c r="E1364" s="488" t="s">
        <v>533</v>
      </c>
      <c r="F1364" s="489" t="s">
        <v>541</v>
      </c>
      <c r="G1364" s="488" t="s">
        <v>535</v>
      </c>
      <c r="H1364" s="489"/>
      <c r="I1364" s="489"/>
      <c r="J1364" s="489" t="s">
        <v>1332</v>
      </c>
      <c r="K1364" s="491">
        <v>1216713</v>
      </c>
      <c r="L1364" s="488" t="s">
        <v>429</v>
      </c>
      <c r="M1364" s="488"/>
      <c r="N1364" s="489"/>
      <c r="O1364" s="489"/>
      <c r="P1364" s="489"/>
      <c r="Q1364" s="489"/>
      <c r="R1364" s="490"/>
      <c r="S1364" s="489"/>
      <c r="T1364" s="488" t="s">
        <v>268</v>
      </c>
    </row>
    <row r="1365" ht="34.5">
      <c r="A1365" s="488" t="s">
        <v>1201</v>
      </c>
      <c r="B1365" s="488" t="s">
        <v>1202</v>
      </c>
      <c r="C1365" s="488" t="s">
        <v>510</v>
      </c>
      <c r="D1365" s="488" t="s">
        <v>263</v>
      </c>
      <c r="E1365" s="488" t="s">
        <v>533</v>
      </c>
      <c r="F1365" s="489" t="s">
        <v>541</v>
      </c>
      <c r="G1365" s="488" t="s">
        <v>535</v>
      </c>
      <c r="H1365" s="489"/>
      <c r="I1365" s="489"/>
      <c r="J1365" s="489" t="s">
        <v>1333</v>
      </c>
      <c r="K1365" s="491">
        <v>21419</v>
      </c>
      <c r="L1365" s="488" t="s">
        <v>429</v>
      </c>
      <c r="M1365" s="488"/>
      <c r="N1365" s="489"/>
      <c r="O1365" s="489"/>
      <c r="P1365" s="489"/>
      <c r="Q1365" s="489"/>
      <c r="R1365" s="490"/>
      <c r="S1365" s="489"/>
      <c r="T1365" s="488" t="s">
        <v>268</v>
      </c>
    </row>
    <row r="1366" ht="34.5">
      <c r="A1366" s="488" t="s">
        <v>1201</v>
      </c>
      <c r="B1366" s="488" t="s">
        <v>1202</v>
      </c>
      <c r="C1366" s="488" t="s">
        <v>510</v>
      </c>
      <c r="D1366" s="488" t="s">
        <v>263</v>
      </c>
      <c r="E1366" s="488" t="s">
        <v>533</v>
      </c>
      <c r="F1366" s="489" t="s">
        <v>541</v>
      </c>
      <c r="G1366" s="488" t="s">
        <v>535</v>
      </c>
      <c r="H1366" s="489"/>
      <c r="I1366" s="489"/>
      <c r="J1366" s="489" t="s">
        <v>542</v>
      </c>
      <c r="K1366" s="491"/>
      <c r="L1366" s="488"/>
      <c r="M1366" s="488"/>
      <c r="N1366" s="489"/>
      <c r="O1366" s="489"/>
      <c r="P1366" s="489"/>
      <c r="Q1366" s="489"/>
      <c r="R1366" s="490"/>
      <c r="S1366" s="489"/>
      <c r="T1366" s="488" t="s">
        <v>268</v>
      </c>
    </row>
    <row r="1367" ht="34.5">
      <c r="A1367" s="488" t="s">
        <v>1201</v>
      </c>
      <c r="B1367" s="488" t="s">
        <v>1202</v>
      </c>
      <c r="C1367" s="488" t="s">
        <v>510</v>
      </c>
      <c r="D1367" s="488" t="s">
        <v>263</v>
      </c>
      <c r="E1367" s="488" t="s">
        <v>533</v>
      </c>
      <c r="F1367" s="489" t="s">
        <v>541</v>
      </c>
      <c r="G1367" s="488" t="s">
        <v>535</v>
      </c>
      <c r="H1367" s="489"/>
      <c r="I1367" s="489"/>
      <c r="J1367" s="489" t="s">
        <v>1334</v>
      </c>
      <c r="K1367" s="491">
        <v>9000000</v>
      </c>
      <c r="L1367" s="488" t="s">
        <v>429</v>
      </c>
      <c r="M1367" s="488"/>
      <c r="N1367" s="489"/>
      <c r="O1367" s="489"/>
      <c r="P1367" s="489"/>
      <c r="Q1367" s="489"/>
      <c r="R1367" s="490"/>
      <c r="S1367" s="489"/>
      <c r="T1367" s="488" t="s">
        <v>268</v>
      </c>
    </row>
    <row r="1368" ht="34.5">
      <c r="A1368" s="488" t="s">
        <v>1201</v>
      </c>
      <c r="B1368" s="488" t="s">
        <v>1202</v>
      </c>
      <c r="C1368" s="488" t="s">
        <v>510</v>
      </c>
      <c r="D1368" s="488" t="s">
        <v>263</v>
      </c>
      <c r="E1368" s="488" t="s">
        <v>533</v>
      </c>
      <c r="F1368" s="489" t="s">
        <v>541</v>
      </c>
      <c r="G1368" s="488" t="s">
        <v>535</v>
      </c>
      <c r="H1368" s="489"/>
      <c r="I1368" s="489"/>
      <c r="J1368" s="489" t="s">
        <v>1335</v>
      </c>
      <c r="K1368" s="491"/>
      <c r="L1368" s="488"/>
      <c r="M1368" s="488"/>
      <c r="N1368" s="489"/>
      <c r="O1368" s="489"/>
      <c r="P1368" s="489"/>
      <c r="Q1368" s="489"/>
      <c r="R1368" s="490"/>
      <c r="S1368" s="489"/>
      <c r="T1368" s="488" t="s">
        <v>268</v>
      </c>
    </row>
    <row r="1369" ht="34.5">
      <c r="A1369" s="488" t="s">
        <v>1201</v>
      </c>
      <c r="B1369" s="488" t="s">
        <v>1202</v>
      </c>
      <c r="C1369" s="488" t="s">
        <v>510</v>
      </c>
      <c r="D1369" s="488" t="s">
        <v>263</v>
      </c>
      <c r="E1369" s="488" t="s">
        <v>533</v>
      </c>
      <c r="F1369" s="489" t="s">
        <v>541</v>
      </c>
      <c r="G1369" s="488" t="s">
        <v>535</v>
      </c>
      <c r="H1369" s="489"/>
      <c r="I1369" s="489"/>
      <c r="J1369" s="489" t="s">
        <v>1090</v>
      </c>
      <c r="K1369" s="491"/>
      <c r="L1369" s="488"/>
      <c r="M1369" s="488"/>
      <c r="N1369" s="489"/>
      <c r="O1369" s="489"/>
      <c r="P1369" s="489"/>
      <c r="Q1369" s="489"/>
      <c r="R1369" s="490"/>
      <c r="S1369" s="489"/>
      <c r="T1369" s="488" t="s">
        <v>268</v>
      </c>
    </row>
    <row r="1370" ht="34.5">
      <c r="A1370" s="488" t="s">
        <v>1201</v>
      </c>
      <c r="B1370" s="488" t="s">
        <v>1202</v>
      </c>
      <c r="C1370" s="488" t="s">
        <v>510</v>
      </c>
      <c r="D1370" s="488" t="s">
        <v>263</v>
      </c>
      <c r="E1370" s="488" t="s">
        <v>533</v>
      </c>
      <c r="F1370" s="489" t="s">
        <v>541</v>
      </c>
      <c r="G1370" s="488" t="s">
        <v>535</v>
      </c>
      <c r="H1370" s="489"/>
      <c r="I1370" s="489"/>
      <c r="J1370" s="489" t="s">
        <v>1336</v>
      </c>
      <c r="K1370" s="491"/>
      <c r="L1370" s="488"/>
      <c r="M1370" s="488"/>
      <c r="N1370" s="489"/>
      <c r="O1370" s="489"/>
      <c r="P1370" s="489"/>
      <c r="Q1370" s="489"/>
      <c r="R1370" s="490"/>
      <c r="S1370" s="489"/>
      <c r="T1370" s="488" t="s">
        <v>268</v>
      </c>
    </row>
    <row r="1371" ht="34.5">
      <c r="A1371" s="488" t="s">
        <v>1201</v>
      </c>
      <c r="B1371" s="488" t="s">
        <v>1202</v>
      </c>
      <c r="C1371" s="488" t="s">
        <v>510</v>
      </c>
      <c r="D1371" s="488" t="s">
        <v>263</v>
      </c>
      <c r="E1371" s="488" t="s">
        <v>533</v>
      </c>
      <c r="F1371" s="489" t="s">
        <v>541</v>
      </c>
      <c r="G1371" s="488" t="s">
        <v>535</v>
      </c>
      <c r="H1371" s="489"/>
      <c r="I1371" s="489"/>
      <c r="J1371" s="489" t="s">
        <v>547</v>
      </c>
      <c r="K1371" s="491"/>
      <c r="L1371" s="488"/>
      <c r="M1371" s="488"/>
      <c r="N1371" s="489"/>
      <c r="O1371" s="489"/>
      <c r="P1371" s="489"/>
      <c r="Q1371" s="489"/>
      <c r="R1371" s="490"/>
      <c r="S1371" s="489"/>
      <c r="T1371" s="488" t="s">
        <v>268</v>
      </c>
    </row>
    <row r="1372" ht="34.5">
      <c r="A1372" s="488" t="s">
        <v>1201</v>
      </c>
      <c r="B1372" s="488" t="s">
        <v>1202</v>
      </c>
      <c r="C1372" s="488" t="s">
        <v>519</v>
      </c>
      <c r="D1372" s="488" t="s">
        <v>263</v>
      </c>
      <c r="E1372" s="488" t="s">
        <v>533</v>
      </c>
      <c r="F1372" s="489" t="s">
        <v>541</v>
      </c>
      <c r="G1372" s="488" t="s">
        <v>535</v>
      </c>
      <c r="H1372" s="489"/>
      <c r="I1372" s="489"/>
      <c r="J1372" s="489" t="s">
        <v>548</v>
      </c>
      <c r="K1372" s="491">
        <v>1750000</v>
      </c>
      <c r="L1372" s="488" t="s">
        <v>429</v>
      </c>
      <c r="M1372" s="488"/>
      <c r="N1372" s="489"/>
      <c r="O1372" s="489"/>
      <c r="P1372" s="489"/>
      <c r="Q1372" s="489"/>
      <c r="R1372" s="490"/>
      <c r="S1372" s="489"/>
      <c r="T1372" s="488" t="s">
        <v>268</v>
      </c>
    </row>
    <row r="1373" ht="34.5">
      <c r="A1373" s="488" t="s">
        <v>1201</v>
      </c>
      <c r="B1373" s="488" t="s">
        <v>1202</v>
      </c>
      <c r="C1373" s="488" t="s">
        <v>519</v>
      </c>
      <c r="D1373" s="488" t="s">
        <v>263</v>
      </c>
      <c r="E1373" s="488" t="s">
        <v>533</v>
      </c>
      <c r="F1373" s="489" t="s">
        <v>541</v>
      </c>
      <c r="G1373" s="488" t="s">
        <v>535</v>
      </c>
      <c r="H1373" s="489"/>
      <c r="I1373" s="489"/>
      <c r="J1373" s="489" t="s">
        <v>1337</v>
      </c>
      <c r="K1373" s="491"/>
      <c r="L1373" s="488"/>
      <c r="M1373" s="488"/>
      <c r="N1373" s="489"/>
      <c r="O1373" s="489"/>
      <c r="P1373" s="489"/>
      <c r="Q1373" s="489"/>
      <c r="R1373" s="490"/>
      <c r="S1373" s="489"/>
      <c r="T1373" s="488" t="s">
        <v>268</v>
      </c>
    </row>
    <row r="1374" ht="34.5">
      <c r="A1374" s="488" t="s">
        <v>1201</v>
      </c>
      <c r="B1374" s="488" t="s">
        <v>1202</v>
      </c>
      <c r="C1374" s="488" t="s">
        <v>519</v>
      </c>
      <c r="D1374" s="488" t="s">
        <v>263</v>
      </c>
      <c r="E1374" s="488" t="s">
        <v>533</v>
      </c>
      <c r="F1374" s="489" t="s">
        <v>541</v>
      </c>
      <c r="G1374" s="488" t="s">
        <v>535</v>
      </c>
      <c r="H1374" s="489"/>
      <c r="I1374" s="489"/>
      <c r="J1374" s="489" t="s">
        <v>1092</v>
      </c>
      <c r="K1374" s="491"/>
      <c r="L1374" s="488"/>
      <c r="M1374" s="488"/>
      <c r="N1374" s="489"/>
      <c r="O1374" s="489"/>
      <c r="P1374" s="489"/>
      <c r="Q1374" s="489"/>
      <c r="R1374" s="490"/>
      <c r="S1374" s="489"/>
      <c r="T1374" s="488" t="s">
        <v>268</v>
      </c>
    </row>
    <row r="1375" ht="34.5">
      <c r="A1375" s="488" t="s">
        <v>1201</v>
      </c>
      <c r="B1375" s="488" t="s">
        <v>1202</v>
      </c>
      <c r="C1375" s="488" t="s">
        <v>519</v>
      </c>
      <c r="D1375" s="488" t="s">
        <v>263</v>
      </c>
      <c r="E1375" s="488" t="s">
        <v>533</v>
      </c>
      <c r="F1375" s="489" t="s">
        <v>541</v>
      </c>
      <c r="G1375" s="488" t="s">
        <v>535</v>
      </c>
      <c r="H1375" s="489"/>
      <c r="I1375" s="489"/>
      <c r="J1375" s="489" t="s">
        <v>1093</v>
      </c>
      <c r="K1375" s="491"/>
      <c r="L1375" s="488"/>
      <c r="M1375" s="488"/>
      <c r="N1375" s="489"/>
      <c r="O1375" s="489"/>
      <c r="P1375" s="489"/>
      <c r="Q1375" s="489"/>
      <c r="R1375" s="490"/>
      <c r="S1375" s="489"/>
      <c r="T1375" s="488" t="s">
        <v>268</v>
      </c>
    </row>
    <row r="1376" ht="34.5">
      <c r="A1376" s="488" t="s">
        <v>1201</v>
      </c>
      <c r="B1376" s="488" t="s">
        <v>1202</v>
      </c>
      <c r="C1376" s="488" t="s">
        <v>519</v>
      </c>
      <c r="D1376" s="488" t="s">
        <v>263</v>
      </c>
      <c r="E1376" s="488" t="s">
        <v>533</v>
      </c>
      <c r="F1376" s="489" t="s">
        <v>541</v>
      </c>
      <c r="G1376" s="488" t="s">
        <v>535</v>
      </c>
      <c r="H1376" s="489"/>
      <c r="I1376" s="489"/>
      <c r="J1376" s="489" t="s">
        <v>1338</v>
      </c>
      <c r="K1376" s="491">
        <v>115955351</v>
      </c>
      <c r="L1376" s="488" t="s">
        <v>429</v>
      </c>
      <c r="M1376" s="488"/>
      <c r="N1376" s="489"/>
      <c r="O1376" s="489"/>
      <c r="P1376" s="489"/>
      <c r="Q1376" s="489"/>
      <c r="R1376" s="490"/>
      <c r="S1376" s="489"/>
      <c r="T1376" s="488" t="s">
        <v>268</v>
      </c>
    </row>
    <row r="1377" ht="34.5">
      <c r="A1377" s="488" t="s">
        <v>1201</v>
      </c>
      <c r="B1377" s="488" t="s">
        <v>1202</v>
      </c>
      <c r="C1377" s="488" t="s">
        <v>519</v>
      </c>
      <c r="D1377" s="488" t="s">
        <v>263</v>
      </c>
      <c r="E1377" s="488" t="s">
        <v>533</v>
      </c>
      <c r="F1377" s="489" t="s">
        <v>541</v>
      </c>
      <c r="G1377" s="488" t="s">
        <v>535</v>
      </c>
      <c r="H1377" s="489"/>
      <c r="I1377" s="489"/>
      <c r="J1377" s="489" t="s">
        <v>1339</v>
      </c>
      <c r="K1377" s="491"/>
      <c r="L1377" s="488"/>
      <c r="M1377" s="488"/>
      <c r="N1377" s="489"/>
      <c r="O1377" s="489"/>
      <c r="P1377" s="489"/>
      <c r="Q1377" s="489"/>
      <c r="R1377" s="490"/>
      <c r="S1377" s="489"/>
      <c r="T1377" s="488" t="s">
        <v>268</v>
      </c>
    </row>
    <row r="1378" ht="34.5">
      <c r="A1378" s="488" t="s">
        <v>1201</v>
      </c>
      <c r="B1378" s="488" t="s">
        <v>1202</v>
      </c>
      <c r="C1378" s="488" t="s">
        <v>527</v>
      </c>
      <c r="D1378" s="488" t="s">
        <v>263</v>
      </c>
      <c r="E1378" s="488" t="s">
        <v>555</v>
      </c>
      <c r="F1378" s="489" t="s">
        <v>867</v>
      </c>
      <c r="G1378" s="488" t="s">
        <v>535</v>
      </c>
      <c r="H1378" s="489"/>
      <c r="I1378" s="489"/>
      <c r="J1378" s="489" t="s">
        <v>1340</v>
      </c>
      <c r="K1378" s="491">
        <v>2490452</v>
      </c>
      <c r="L1378" s="488" t="s">
        <v>429</v>
      </c>
      <c r="M1378" s="488"/>
      <c r="N1378" s="489"/>
      <c r="O1378" s="489"/>
      <c r="P1378" s="489"/>
      <c r="Q1378" s="489"/>
      <c r="R1378" s="490"/>
      <c r="S1378" s="489"/>
      <c r="T1378" s="488" t="s">
        <v>268</v>
      </c>
    </row>
    <row r="1379" ht="34.5">
      <c r="A1379" s="488" t="s">
        <v>1201</v>
      </c>
      <c r="B1379" s="488" t="s">
        <v>1202</v>
      </c>
      <c r="C1379" s="488" t="s">
        <v>527</v>
      </c>
      <c r="D1379" s="488" t="s">
        <v>263</v>
      </c>
      <c r="E1379" s="488" t="s">
        <v>555</v>
      </c>
      <c r="F1379" s="489" t="s">
        <v>867</v>
      </c>
      <c r="G1379" s="488" t="s">
        <v>535</v>
      </c>
      <c r="H1379" s="489"/>
      <c r="I1379" s="489"/>
      <c r="J1379" s="489" t="s">
        <v>870</v>
      </c>
      <c r="K1379" s="491"/>
      <c r="L1379" s="488"/>
      <c r="M1379" s="488"/>
      <c r="N1379" s="489"/>
      <c r="O1379" s="489"/>
      <c r="P1379" s="489"/>
      <c r="Q1379" s="489"/>
      <c r="R1379" s="490"/>
      <c r="S1379" s="489"/>
      <c r="T1379" s="488" t="s">
        <v>268</v>
      </c>
    </row>
    <row r="1380" ht="34.5">
      <c r="A1380" s="488" t="s">
        <v>1201</v>
      </c>
      <c r="B1380" s="488" t="s">
        <v>1202</v>
      </c>
      <c r="C1380" s="488" t="s">
        <v>527</v>
      </c>
      <c r="D1380" s="488" t="s">
        <v>263</v>
      </c>
      <c r="E1380" s="488" t="s">
        <v>555</v>
      </c>
      <c r="F1380" s="489" t="s">
        <v>867</v>
      </c>
      <c r="G1380" s="488" t="s">
        <v>535</v>
      </c>
      <c r="H1380" s="489"/>
      <c r="I1380" s="489"/>
      <c r="J1380" s="489" t="s">
        <v>1341</v>
      </c>
      <c r="K1380" s="491">
        <v>215241</v>
      </c>
      <c r="L1380" s="488" t="s">
        <v>429</v>
      </c>
      <c r="M1380" s="488"/>
      <c r="N1380" s="489"/>
      <c r="O1380" s="489"/>
      <c r="P1380" s="489"/>
      <c r="Q1380" s="489"/>
      <c r="R1380" s="490"/>
      <c r="S1380" s="489"/>
      <c r="T1380" s="488" t="s">
        <v>268</v>
      </c>
    </row>
    <row r="1381" ht="34.5">
      <c r="A1381" s="488" t="s">
        <v>1201</v>
      </c>
      <c r="B1381" s="488" t="s">
        <v>1202</v>
      </c>
      <c r="C1381" s="488" t="s">
        <v>527</v>
      </c>
      <c r="D1381" s="488" t="s">
        <v>263</v>
      </c>
      <c r="E1381" s="488" t="s">
        <v>555</v>
      </c>
      <c r="F1381" s="489" t="s">
        <v>867</v>
      </c>
      <c r="G1381" s="488" t="s">
        <v>535</v>
      </c>
      <c r="H1381" s="489"/>
      <c r="I1381" s="489"/>
      <c r="J1381" s="489" t="s">
        <v>872</v>
      </c>
      <c r="K1381" s="491"/>
      <c r="L1381" s="488"/>
      <c r="M1381" s="488"/>
      <c r="N1381" s="489"/>
      <c r="O1381" s="489"/>
      <c r="P1381" s="489"/>
      <c r="Q1381" s="489"/>
      <c r="R1381" s="490"/>
      <c r="S1381" s="489"/>
      <c r="T1381" s="488" t="s">
        <v>268</v>
      </c>
    </row>
    <row r="1382" ht="34.5">
      <c r="A1382" s="488" t="s">
        <v>1201</v>
      </c>
      <c r="B1382" s="488" t="s">
        <v>1202</v>
      </c>
      <c r="C1382" s="488" t="s">
        <v>527</v>
      </c>
      <c r="D1382" s="488" t="s">
        <v>263</v>
      </c>
      <c r="E1382" s="488" t="s">
        <v>555</v>
      </c>
      <c r="F1382" s="489" t="s">
        <v>867</v>
      </c>
      <c r="G1382" s="488" t="s">
        <v>535</v>
      </c>
      <c r="H1382" s="489"/>
      <c r="I1382" s="489"/>
      <c r="J1382" s="489" t="s">
        <v>1342</v>
      </c>
      <c r="K1382" s="491"/>
      <c r="L1382" s="488"/>
      <c r="M1382" s="488"/>
      <c r="N1382" s="489"/>
      <c r="O1382" s="489"/>
      <c r="P1382" s="489"/>
      <c r="Q1382" s="489"/>
      <c r="R1382" s="490"/>
      <c r="S1382" s="489"/>
      <c r="T1382" s="488" t="s">
        <v>268</v>
      </c>
    </row>
    <row r="1383" ht="34.5">
      <c r="A1383" s="488" t="s">
        <v>1201</v>
      </c>
      <c r="B1383" s="488" t="s">
        <v>1202</v>
      </c>
      <c r="C1383" s="488" t="s">
        <v>527</v>
      </c>
      <c r="D1383" s="488" t="s">
        <v>263</v>
      </c>
      <c r="E1383" s="488" t="s">
        <v>562</v>
      </c>
      <c r="F1383" s="489" t="s">
        <v>563</v>
      </c>
      <c r="G1383" s="488" t="s">
        <v>266</v>
      </c>
      <c r="H1383" s="489"/>
      <c r="I1383" s="489"/>
      <c r="J1383" s="489" t="s">
        <v>564</v>
      </c>
      <c r="K1383" s="491"/>
      <c r="L1383" s="488"/>
      <c r="M1383" s="488"/>
      <c r="N1383" s="489"/>
      <c r="O1383" s="489"/>
      <c r="P1383" s="489"/>
      <c r="Q1383" s="489"/>
      <c r="R1383" s="490"/>
      <c r="S1383" s="489"/>
      <c r="T1383" s="488" t="s">
        <v>268</v>
      </c>
    </row>
    <row r="1384" ht="34.5">
      <c r="A1384" s="488" t="s">
        <v>1201</v>
      </c>
      <c r="B1384" s="488" t="s">
        <v>1202</v>
      </c>
      <c r="C1384" s="488" t="s">
        <v>527</v>
      </c>
      <c r="D1384" s="488" t="s">
        <v>263</v>
      </c>
      <c r="E1384" s="488" t="s">
        <v>562</v>
      </c>
      <c r="F1384" s="489" t="s">
        <v>563</v>
      </c>
      <c r="G1384" s="488" t="s">
        <v>266</v>
      </c>
      <c r="H1384" s="489"/>
      <c r="I1384" s="489"/>
      <c r="J1384" s="489" t="s">
        <v>1343</v>
      </c>
      <c r="K1384" s="491">
        <v>737865</v>
      </c>
      <c r="L1384" s="488" t="s">
        <v>429</v>
      </c>
      <c r="M1384" s="488"/>
      <c r="N1384" s="489"/>
      <c r="O1384" s="489"/>
      <c r="P1384" s="489"/>
      <c r="Q1384" s="489"/>
      <c r="R1384" s="490"/>
      <c r="S1384" s="489"/>
      <c r="T1384" s="488" t="s">
        <v>268</v>
      </c>
    </row>
    <row r="1385" ht="34.5">
      <c r="A1385" s="488" t="s">
        <v>1201</v>
      </c>
      <c r="B1385" s="488" t="s">
        <v>1202</v>
      </c>
      <c r="C1385" s="488" t="s">
        <v>527</v>
      </c>
      <c r="D1385" s="488" t="s">
        <v>263</v>
      </c>
      <c r="E1385" s="488" t="s">
        <v>562</v>
      </c>
      <c r="F1385" s="489" t="s">
        <v>563</v>
      </c>
      <c r="G1385" s="488" t="s">
        <v>266</v>
      </c>
      <c r="H1385" s="489"/>
      <c r="I1385" s="489"/>
      <c r="J1385" s="489" t="s">
        <v>1344</v>
      </c>
      <c r="K1385" s="491"/>
      <c r="L1385" s="488"/>
      <c r="M1385" s="488"/>
      <c r="N1385" s="489"/>
      <c r="O1385" s="489"/>
      <c r="P1385" s="489"/>
      <c r="Q1385" s="489"/>
      <c r="R1385" s="490"/>
      <c r="S1385" s="489"/>
      <c r="T1385" s="488" t="s">
        <v>268</v>
      </c>
    </row>
    <row r="1386" ht="34.5">
      <c r="A1386" s="488" t="s">
        <v>1201</v>
      </c>
      <c r="B1386" s="488" t="s">
        <v>1202</v>
      </c>
      <c r="C1386" s="488" t="s">
        <v>540</v>
      </c>
      <c r="D1386" s="488" t="s">
        <v>263</v>
      </c>
      <c r="E1386" s="488" t="s">
        <v>566</v>
      </c>
      <c r="F1386" s="489" t="s">
        <v>567</v>
      </c>
      <c r="G1386" s="488" t="s">
        <v>568</v>
      </c>
      <c r="H1386" s="489"/>
      <c r="I1386" s="489"/>
      <c r="J1386" s="489" t="s">
        <v>570</v>
      </c>
      <c r="K1386" s="491">
        <v>22500000</v>
      </c>
      <c r="L1386" s="488" t="s">
        <v>429</v>
      </c>
      <c r="M1386" s="488"/>
      <c r="N1386" s="489"/>
      <c r="O1386" s="489"/>
      <c r="P1386" s="489"/>
      <c r="Q1386" s="489"/>
      <c r="R1386" s="490"/>
      <c r="S1386" s="489"/>
      <c r="T1386" s="488" t="s">
        <v>268</v>
      </c>
    </row>
    <row r="1387" ht="34.5">
      <c r="A1387" s="488" t="s">
        <v>1201</v>
      </c>
      <c r="B1387" s="488" t="s">
        <v>1202</v>
      </c>
      <c r="C1387" s="488" t="s">
        <v>540</v>
      </c>
      <c r="D1387" s="488" t="s">
        <v>263</v>
      </c>
      <c r="E1387" s="488" t="s">
        <v>566</v>
      </c>
      <c r="F1387" s="489" t="s">
        <v>567</v>
      </c>
      <c r="G1387" s="488" t="s">
        <v>568</v>
      </c>
      <c r="H1387" s="489"/>
      <c r="I1387" s="489"/>
      <c r="J1387" s="489" t="s">
        <v>571</v>
      </c>
      <c r="K1387" s="491"/>
      <c r="L1387" s="488"/>
      <c r="M1387" s="488"/>
      <c r="N1387" s="489"/>
      <c r="O1387" s="489"/>
      <c r="P1387" s="489"/>
      <c r="Q1387" s="489"/>
      <c r="R1387" s="490"/>
      <c r="S1387" s="489"/>
      <c r="T1387" s="488" t="s">
        <v>268</v>
      </c>
    </row>
    <row r="1388" ht="34.5">
      <c r="A1388" s="488" t="s">
        <v>1201</v>
      </c>
      <c r="B1388" s="488" t="s">
        <v>1202</v>
      </c>
      <c r="C1388" s="488" t="s">
        <v>540</v>
      </c>
      <c r="D1388" s="488" t="s">
        <v>263</v>
      </c>
      <c r="E1388" s="488" t="s">
        <v>566</v>
      </c>
      <c r="F1388" s="489" t="s">
        <v>567</v>
      </c>
      <c r="G1388" s="488" t="s">
        <v>568</v>
      </c>
      <c r="H1388" s="489"/>
      <c r="I1388" s="489"/>
      <c r="J1388" s="489" t="s">
        <v>1345</v>
      </c>
      <c r="K1388" s="491">
        <v>26250000</v>
      </c>
      <c r="L1388" s="488" t="s">
        <v>429</v>
      </c>
      <c r="M1388" s="488"/>
      <c r="N1388" s="489"/>
      <c r="O1388" s="489"/>
      <c r="P1388" s="489"/>
      <c r="Q1388" s="489"/>
      <c r="R1388" s="490"/>
      <c r="S1388" s="489"/>
      <c r="T1388" s="488" t="s">
        <v>268</v>
      </c>
    </row>
    <row r="1389" ht="34.5">
      <c r="A1389" s="488" t="s">
        <v>1201</v>
      </c>
      <c r="B1389" s="488" t="s">
        <v>1202</v>
      </c>
      <c r="C1389" s="488" t="s">
        <v>540</v>
      </c>
      <c r="D1389" s="488" t="s">
        <v>263</v>
      </c>
      <c r="E1389" s="488" t="s">
        <v>566</v>
      </c>
      <c r="F1389" s="489" t="s">
        <v>567</v>
      </c>
      <c r="G1389" s="488" t="s">
        <v>568</v>
      </c>
      <c r="H1389" s="489"/>
      <c r="I1389" s="489"/>
      <c r="J1389" s="489" t="s">
        <v>577</v>
      </c>
      <c r="K1389" s="491"/>
      <c r="L1389" s="488"/>
      <c r="M1389" s="488"/>
      <c r="N1389" s="489"/>
      <c r="O1389" s="489"/>
      <c r="P1389" s="489"/>
      <c r="Q1389" s="489"/>
      <c r="R1389" s="490"/>
      <c r="S1389" s="489"/>
      <c r="T1389" s="488" t="s">
        <v>268</v>
      </c>
    </row>
    <row r="1390" ht="34.5">
      <c r="A1390" s="488" t="s">
        <v>1201</v>
      </c>
      <c r="B1390" s="488" t="s">
        <v>1202</v>
      </c>
      <c r="C1390" s="488" t="s">
        <v>540</v>
      </c>
      <c r="D1390" s="488" t="s">
        <v>263</v>
      </c>
      <c r="E1390" s="488" t="s">
        <v>566</v>
      </c>
      <c r="F1390" s="489" t="s">
        <v>567</v>
      </c>
      <c r="G1390" s="488" t="s">
        <v>568</v>
      </c>
      <c r="H1390" s="489"/>
      <c r="I1390" s="489"/>
      <c r="J1390" s="489" t="s">
        <v>573</v>
      </c>
      <c r="K1390" s="491"/>
      <c r="L1390" s="488"/>
      <c r="M1390" s="488"/>
      <c r="N1390" s="489"/>
      <c r="O1390" s="489"/>
      <c r="P1390" s="489"/>
      <c r="Q1390" s="489"/>
      <c r="R1390" s="490"/>
      <c r="S1390" s="489"/>
      <c r="T1390" s="488" t="s">
        <v>268</v>
      </c>
    </row>
    <row r="1391" ht="34.5">
      <c r="A1391" s="488" t="s">
        <v>1201</v>
      </c>
      <c r="B1391" s="488" t="s">
        <v>1202</v>
      </c>
      <c r="C1391" s="488" t="s">
        <v>540</v>
      </c>
      <c r="D1391" s="488" t="s">
        <v>263</v>
      </c>
      <c r="E1391" s="488" t="s">
        <v>566</v>
      </c>
      <c r="F1391" s="489" t="s">
        <v>567</v>
      </c>
      <c r="G1391" s="488" t="s">
        <v>568</v>
      </c>
      <c r="H1391" s="489"/>
      <c r="I1391" s="489"/>
      <c r="J1391" s="489" t="s">
        <v>1346</v>
      </c>
      <c r="K1391" s="491"/>
      <c r="L1391" s="488"/>
      <c r="M1391" s="488"/>
      <c r="N1391" s="489"/>
      <c r="O1391" s="489"/>
      <c r="P1391" s="489"/>
      <c r="Q1391" s="489"/>
      <c r="R1391" s="490"/>
      <c r="S1391" s="489"/>
      <c r="T1391" s="488" t="s">
        <v>268</v>
      </c>
    </row>
    <row r="1392" ht="34.5">
      <c r="A1392" s="488" t="s">
        <v>1201</v>
      </c>
      <c r="B1392" s="488" t="s">
        <v>1202</v>
      </c>
      <c r="C1392" s="488" t="s">
        <v>540</v>
      </c>
      <c r="D1392" s="488" t="s">
        <v>263</v>
      </c>
      <c r="E1392" s="488" t="s">
        <v>566</v>
      </c>
      <c r="F1392" s="489" t="s">
        <v>567</v>
      </c>
      <c r="G1392" s="488" t="s">
        <v>568</v>
      </c>
      <c r="H1392" s="489"/>
      <c r="I1392" s="489"/>
      <c r="J1392" s="489" t="s">
        <v>579</v>
      </c>
      <c r="K1392" s="491"/>
      <c r="L1392" s="488"/>
      <c r="M1392" s="488"/>
      <c r="N1392" s="489"/>
      <c r="O1392" s="489"/>
      <c r="P1392" s="489"/>
      <c r="Q1392" s="489"/>
      <c r="R1392" s="490"/>
      <c r="S1392" s="489"/>
      <c r="T1392" s="488" t="s">
        <v>268</v>
      </c>
    </row>
    <row r="1393" ht="34.5">
      <c r="A1393" s="488" t="s">
        <v>1201</v>
      </c>
      <c r="B1393" s="488" t="s">
        <v>1202</v>
      </c>
      <c r="C1393" s="488" t="s">
        <v>540</v>
      </c>
      <c r="D1393" s="488" t="s">
        <v>263</v>
      </c>
      <c r="E1393" s="488" t="s">
        <v>566</v>
      </c>
      <c r="F1393" s="489" t="s">
        <v>567</v>
      </c>
      <c r="G1393" s="488" t="s">
        <v>568</v>
      </c>
      <c r="H1393" s="489"/>
      <c r="I1393" s="489"/>
      <c r="J1393" s="489" t="s">
        <v>580</v>
      </c>
      <c r="K1393" s="491"/>
      <c r="L1393" s="488"/>
      <c r="M1393" s="488"/>
      <c r="N1393" s="489"/>
      <c r="O1393" s="489"/>
      <c r="P1393" s="489"/>
      <c r="Q1393" s="489"/>
      <c r="R1393" s="490"/>
      <c r="S1393" s="489"/>
      <c r="T1393" s="488" t="s">
        <v>268</v>
      </c>
    </row>
    <row r="1394" ht="34.5">
      <c r="A1394" s="488" t="s">
        <v>1201</v>
      </c>
      <c r="B1394" s="488" t="s">
        <v>1202</v>
      </c>
      <c r="C1394" s="488" t="s">
        <v>540</v>
      </c>
      <c r="D1394" s="488" t="s">
        <v>263</v>
      </c>
      <c r="E1394" s="488" t="s">
        <v>566</v>
      </c>
      <c r="F1394" s="489" t="s">
        <v>567</v>
      </c>
      <c r="G1394" s="488" t="s">
        <v>568</v>
      </c>
      <c r="H1394" s="489"/>
      <c r="I1394" s="489"/>
      <c r="J1394" s="489" t="s">
        <v>1347</v>
      </c>
      <c r="K1394" s="491"/>
      <c r="L1394" s="488"/>
      <c r="M1394" s="488"/>
      <c r="N1394" s="489"/>
      <c r="O1394" s="489"/>
      <c r="P1394" s="489"/>
      <c r="Q1394" s="489"/>
      <c r="R1394" s="490"/>
      <c r="S1394" s="489"/>
      <c r="T1394" s="488" t="s">
        <v>268</v>
      </c>
    </row>
    <row r="1395" ht="34.5">
      <c r="A1395" s="488" t="s">
        <v>1201</v>
      </c>
      <c r="B1395" s="488" t="s">
        <v>1202</v>
      </c>
      <c r="C1395" s="488" t="s">
        <v>549</v>
      </c>
      <c r="D1395" s="488" t="s">
        <v>263</v>
      </c>
      <c r="E1395" s="488" t="s">
        <v>566</v>
      </c>
      <c r="F1395" s="489" t="s">
        <v>575</v>
      </c>
      <c r="G1395" s="488" t="s">
        <v>568</v>
      </c>
      <c r="H1395" s="489"/>
      <c r="I1395" s="489"/>
      <c r="J1395" s="489" t="s">
        <v>881</v>
      </c>
      <c r="K1395" s="491"/>
      <c r="L1395" s="488"/>
      <c r="M1395" s="488"/>
      <c r="N1395" s="489"/>
      <c r="O1395" s="489"/>
      <c r="P1395" s="489"/>
      <c r="Q1395" s="489"/>
      <c r="R1395" s="490"/>
      <c r="S1395" s="489"/>
      <c r="T1395" s="488" t="s">
        <v>268</v>
      </c>
    </row>
    <row r="1396" ht="34.5">
      <c r="A1396" s="488" t="s">
        <v>1201</v>
      </c>
      <c r="B1396" s="488" t="s">
        <v>1202</v>
      </c>
      <c r="C1396" s="488" t="s">
        <v>549</v>
      </c>
      <c r="D1396" s="488" t="s">
        <v>263</v>
      </c>
      <c r="E1396" s="488" t="s">
        <v>566</v>
      </c>
      <c r="F1396" s="489" t="s">
        <v>575</v>
      </c>
      <c r="G1396" s="488" t="s">
        <v>568</v>
      </c>
      <c r="H1396" s="489"/>
      <c r="I1396" s="489"/>
      <c r="J1396" s="489" t="s">
        <v>1348</v>
      </c>
      <c r="K1396" s="491"/>
      <c r="L1396" s="488"/>
      <c r="M1396" s="488"/>
      <c r="N1396" s="489"/>
      <c r="O1396" s="489"/>
      <c r="P1396" s="489"/>
      <c r="Q1396" s="489"/>
      <c r="R1396" s="490"/>
      <c r="S1396" s="489"/>
      <c r="T1396" s="488" t="s">
        <v>268</v>
      </c>
    </row>
    <row r="1397" ht="34.5">
      <c r="A1397" s="488" t="s">
        <v>1201</v>
      </c>
      <c r="B1397" s="488" t="s">
        <v>1202</v>
      </c>
      <c r="C1397" s="488" t="s">
        <v>549</v>
      </c>
      <c r="D1397" s="488" t="s">
        <v>263</v>
      </c>
      <c r="E1397" s="488" t="s">
        <v>566</v>
      </c>
      <c r="F1397" s="489" t="s">
        <v>575</v>
      </c>
      <c r="G1397" s="488" t="s">
        <v>568</v>
      </c>
      <c r="H1397" s="489"/>
      <c r="I1397" s="489"/>
      <c r="J1397" s="489" t="s">
        <v>581</v>
      </c>
      <c r="K1397" s="491"/>
      <c r="L1397" s="488"/>
      <c r="M1397" s="488"/>
      <c r="N1397" s="489"/>
      <c r="O1397" s="489"/>
      <c r="P1397" s="489"/>
      <c r="Q1397" s="489"/>
      <c r="R1397" s="490"/>
      <c r="S1397" s="489"/>
      <c r="T1397" s="488" t="s">
        <v>268</v>
      </c>
    </row>
    <row r="1398" ht="34.5">
      <c r="A1398" s="488" t="s">
        <v>1201</v>
      </c>
      <c r="B1398" s="488" t="s">
        <v>1202</v>
      </c>
      <c r="C1398" s="488" t="s">
        <v>549</v>
      </c>
      <c r="D1398" s="488" t="s">
        <v>263</v>
      </c>
      <c r="E1398" s="488" t="s">
        <v>566</v>
      </c>
      <c r="F1398" s="489" t="s">
        <v>575</v>
      </c>
      <c r="G1398" s="488" t="s">
        <v>568</v>
      </c>
      <c r="H1398" s="489"/>
      <c r="I1398" s="489"/>
      <c r="J1398" s="489" t="s">
        <v>1349</v>
      </c>
      <c r="K1398" s="491">
        <v>134477692</v>
      </c>
      <c r="L1398" s="488" t="s">
        <v>429</v>
      </c>
      <c r="M1398" s="488"/>
      <c r="N1398" s="489"/>
      <c r="O1398" s="489"/>
      <c r="P1398" s="489"/>
      <c r="Q1398" s="489"/>
      <c r="R1398" s="490"/>
      <c r="S1398" s="489"/>
      <c r="T1398" s="488" t="s">
        <v>268</v>
      </c>
    </row>
    <row r="1399" ht="34.5">
      <c r="A1399" s="488" t="s">
        <v>1201</v>
      </c>
      <c r="B1399" s="488" t="s">
        <v>1202</v>
      </c>
      <c r="C1399" s="488" t="s">
        <v>549</v>
      </c>
      <c r="D1399" s="488" t="s">
        <v>263</v>
      </c>
      <c r="E1399" s="488" t="s">
        <v>566</v>
      </c>
      <c r="F1399" s="489" t="s">
        <v>575</v>
      </c>
      <c r="G1399" s="488" t="s">
        <v>568</v>
      </c>
      <c r="H1399" s="489"/>
      <c r="I1399" s="489"/>
      <c r="J1399" s="489" t="s">
        <v>1350</v>
      </c>
      <c r="K1399" s="491">
        <v>0.15</v>
      </c>
      <c r="L1399" s="488" t="s">
        <v>429</v>
      </c>
      <c r="M1399" s="488"/>
      <c r="N1399" s="489"/>
      <c r="O1399" s="489"/>
      <c r="P1399" s="489"/>
      <c r="Q1399" s="489"/>
      <c r="R1399" s="490"/>
      <c r="S1399" s="489"/>
      <c r="T1399" s="488" t="s">
        <v>268</v>
      </c>
    </row>
    <row r="1400" ht="34.5">
      <c r="A1400" s="488" t="s">
        <v>1201</v>
      </c>
      <c r="B1400" s="488" t="s">
        <v>1202</v>
      </c>
      <c r="C1400" s="488" t="s">
        <v>549</v>
      </c>
      <c r="D1400" s="488" t="s">
        <v>263</v>
      </c>
      <c r="E1400" s="488" t="s">
        <v>566</v>
      </c>
      <c r="F1400" s="489" t="s">
        <v>575</v>
      </c>
      <c r="G1400" s="488" t="s">
        <v>568</v>
      </c>
      <c r="H1400" s="489"/>
      <c r="I1400" s="489"/>
      <c r="J1400" s="489" t="s">
        <v>1351</v>
      </c>
      <c r="K1400" s="491">
        <v>3750000</v>
      </c>
      <c r="L1400" s="488" t="s">
        <v>429</v>
      </c>
      <c r="M1400" s="488"/>
      <c r="N1400" s="489"/>
      <c r="O1400" s="489"/>
      <c r="P1400" s="489"/>
      <c r="Q1400" s="489"/>
      <c r="R1400" s="490"/>
      <c r="S1400" s="489"/>
      <c r="T1400" s="488" t="s">
        <v>268</v>
      </c>
    </row>
    <row r="1401" ht="34.5">
      <c r="A1401" s="488" t="s">
        <v>1201</v>
      </c>
      <c r="B1401" s="488" t="s">
        <v>1202</v>
      </c>
      <c r="C1401" s="488" t="s">
        <v>549</v>
      </c>
      <c r="D1401" s="488" t="s">
        <v>263</v>
      </c>
      <c r="E1401" s="488" t="s">
        <v>566</v>
      </c>
      <c r="F1401" s="489" t="s">
        <v>575</v>
      </c>
      <c r="G1401" s="488" t="s">
        <v>568</v>
      </c>
      <c r="H1401" s="489"/>
      <c r="I1401" s="489"/>
      <c r="J1401" s="489" t="s">
        <v>588</v>
      </c>
      <c r="K1401" s="491"/>
      <c r="L1401" s="488"/>
      <c r="M1401" s="488"/>
      <c r="N1401" s="489"/>
      <c r="O1401" s="489"/>
      <c r="P1401" s="489"/>
      <c r="Q1401" s="489"/>
      <c r="R1401" s="490"/>
      <c r="S1401" s="489"/>
      <c r="T1401" s="488" t="s">
        <v>268</v>
      </c>
    </row>
    <row r="1402" ht="34.5">
      <c r="A1402" s="488" t="s">
        <v>1201</v>
      </c>
      <c r="B1402" s="488" t="s">
        <v>1202</v>
      </c>
      <c r="C1402" s="488" t="s">
        <v>549</v>
      </c>
      <c r="D1402" s="488" t="s">
        <v>263</v>
      </c>
      <c r="E1402" s="488" t="s">
        <v>566</v>
      </c>
      <c r="F1402" s="489" t="s">
        <v>575</v>
      </c>
      <c r="G1402" s="488" t="s">
        <v>568</v>
      </c>
      <c r="H1402" s="489"/>
      <c r="I1402" s="489"/>
      <c r="J1402" s="489" t="s">
        <v>589</v>
      </c>
      <c r="K1402" s="491"/>
      <c r="L1402" s="488"/>
      <c r="M1402" s="488"/>
      <c r="N1402" s="489"/>
      <c r="O1402" s="489"/>
      <c r="P1402" s="489"/>
      <c r="Q1402" s="489"/>
      <c r="R1402" s="490"/>
      <c r="S1402" s="489"/>
      <c r="T1402" s="488" t="s">
        <v>268</v>
      </c>
    </row>
    <row r="1403" ht="34.5">
      <c r="A1403" s="488" t="s">
        <v>1201</v>
      </c>
      <c r="B1403" s="488" t="s">
        <v>1202</v>
      </c>
      <c r="C1403" s="488" t="s">
        <v>561</v>
      </c>
      <c r="D1403" s="488" t="s">
        <v>263</v>
      </c>
      <c r="E1403" s="488" t="s">
        <v>566</v>
      </c>
      <c r="F1403" s="489" t="s">
        <v>575</v>
      </c>
      <c r="G1403" s="488" t="s">
        <v>568</v>
      </c>
      <c r="H1403" s="489"/>
      <c r="I1403" s="489"/>
      <c r="J1403" s="489" t="s">
        <v>587</v>
      </c>
      <c r="K1403" s="491"/>
      <c r="L1403" s="488"/>
      <c r="M1403" s="488"/>
      <c r="N1403" s="489"/>
      <c r="O1403" s="489"/>
      <c r="P1403" s="489"/>
      <c r="Q1403" s="489"/>
      <c r="R1403" s="490"/>
      <c r="S1403" s="489"/>
      <c r="T1403" s="488" t="s">
        <v>268</v>
      </c>
    </row>
    <row r="1404" ht="34.5">
      <c r="A1404" s="488" t="s">
        <v>1201</v>
      </c>
      <c r="B1404" s="488" t="s">
        <v>1202</v>
      </c>
      <c r="C1404" s="488" t="s">
        <v>561</v>
      </c>
      <c r="D1404" s="488" t="s">
        <v>263</v>
      </c>
      <c r="E1404" s="488" t="s">
        <v>566</v>
      </c>
      <c r="F1404" s="489" t="s">
        <v>575</v>
      </c>
      <c r="G1404" s="488" t="s">
        <v>568</v>
      </c>
      <c r="H1404" s="489"/>
      <c r="I1404" s="489"/>
      <c r="J1404" s="489" t="s">
        <v>590</v>
      </c>
      <c r="K1404" s="491"/>
      <c r="L1404" s="488"/>
      <c r="M1404" s="488"/>
      <c r="N1404" s="489"/>
      <c r="O1404" s="489"/>
      <c r="P1404" s="489"/>
      <c r="Q1404" s="489"/>
      <c r="R1404" s="490"/>
      <c r="S1404" s="489"/>
      <c r="T1404" s="488" t="s">
        <v>268</v>
      </c>
    </row>
    <row r="1405" ht="34.5">
      <c r="A1405" s="488" t="s">
        <v>1201</v>
      </c>
      <c r="B1405" s="488" t="s">
        <v>1202</v>
      </c>
      <c r="C1405" s="488" t="s">
        <v>561</v>
      </c>
      <c r="D1405" s="488" t="s">
        <v>263</v>
      </c>
      <c r="E1405" s="488" t="s">
        <v>591</v>
      </c>
      <c r="F1405" s="489" t="s">
        <v>592</v>
      </c>
      <c r="G1405" s="488" t="s">
        <v>593</v>
      </c>
      <c r="H1405" s="489"/>
      <c r="I1405" s="489"/>
      <c r="J1405" s="489" t="s">
        <v>594</v>
      </c>
      <c r="K1405" s="491"/>
      <c r="L1405" s="488"/>
      <c r="M1405" s="488"/>
      <c r="N1405" s="489"/>
      <c r="O1405" s="489"/>
      <c r="P1405" s="489"/>
      <c r="Q1405" s="489"/>
      <c r="R1405" s="490"/>
      <c r="S1405" s="489"/>
      <c r="T1405" s="488" t="s">
        <v>268</v>
      </c>
    </row>
    <row r="1406" ht="34.5">
      <c r="A1406" s="488" t="s">
        <v>1201</v>
      </c>
      <c r="B1406" s="488" t="s">
        <v>1202</v>
      </c>
      <c r="C1406" s="488" t="s">
        <v>561</v>
      </c>
      <c r="D1406" s="488" t="s">
        <v>263</v>
      </c>
      <c r="E1406" s="488" t="s">
        <v>591</v>
      </c>
      <c r="F1406" s="489" t="s">
        <v>592</v>
      </c>
      <c r="G1406" s="488" t="s">
        <v>593</v>
      </c>
      <c r="H1406" s="489"/>
      <c r="I1406" s="489"/>
      <c r="J1406" s="489" t="s">
        <v>1352</v>
      </c>
      <c r="K1406" s="491"/>
      <c r="L1406" s="488"/>
      <c r="M1406" s="488"/>
      <c r="N1406" s="489"/>
      <c r="O1406" s="489"/>
      <c r="P1406" s="489"/>
      <c r="Q1406" s="489"/>
      <c r="R1406" s="490"/>
      <c r="S1406" s="489"/>
      <c r="T1406" s="488" t="s">
        <v>268</v>
      </c>
    </row>
    <row r="1407" ht="34.5">
      <c r="A1407" s="488" t="s">
        <v>1201</v>
      </c>
      <c r="B1407" s="488" t="s">
        <v>1202</v>
      </c>
      <c r="C1407" s="488" t="s">
        <v>561</v>
      </c>
      <c r="D1407" s="488" t="s">
        <v>263</v>
      </c>
      <c r="E1407" s="488" t="s">
        <v>591</v>
      </c>
      <c r="F1407" s="489" t="s">
        <v>592</v>
      </c>
      <c r="G1407" s="488" t="s">
        <v>593</v>
      </c>
      <c r="H1407" s="489"/>
      <c r="I1407" s="489"/>
      <c r="J1407" s="489" t="s">
        <v>1353</v>
      </c>
      <c r="K1407" s="491">
        <v>20082345</v>
      </c>
      <c r="L1407" s="488" t="s">
        <v>429</v>
      </c>
      <c r="M1407" s="488"/>
      <c r="N1407" s="489"/>
      <c r="O1407" s="489"/>
      <c r="P1407" s="489"/>
      <c r="Q1407" s="489"/>
      <c r="R1407" s="490"/>
      <c r="S1407" s="489"/>
      <c r="T1407" s="488" t="s">
        <v>268</v>
      </c>
    </row>
    <row r="1408" ht="34.5">
      <c r="A1408" s="488" t="s">
        <v>1201</v>
      </c>
      <c r="B1408" s="488" t="s">
        <v>1202</v>
      </c>
      <c r="C1408" s="488" t="s">
        <v>574</v>
      </c>
      <c r="D1408" s="488" t="s">
        <v>263</v>
      </c>
      <c r="E1408" s="488" t="s">
        <v>601</v>
      </c>
      <c r="F1408" s="489" t="s">
        <v>602</v>
      </c>
      <c r="G1408" s="488" t="s">
        <v>603</v>
      </c>
      <c r="H1408" s="489"/>
      <c r="I1408" s="489"/>
      <c r="J1408" s="489" t="s">
        <v>604</v>
      </c>
      <c r="K1408" s="491"/>
      <c r="L1408" s="488"/>
      <c r="M1408" s="488"/>
      <c r="N1408" s="489"/>
      <c r="O1408" s="489"/>
      <c r="P1408" s="489"/>
      <c r="Q1408" s="489"/>
      <c r="R1408" s="490"/>
      <c r="S1408" s="489"/>
      <c r="T1408" s="488" t="s">
        <v>268</v>
      </c>
    </row>
    <row r="1409" ht="34.5">
      <c r="A1409" s="488" t="s">
        <v>1201</v>
      </c>
      <c r="B1409" s="488" t="s">
        <v>1202</v>
      </c>
      <c r="C1409" s="488" t="s">
        <v>574</v>
      </c>
      <c r="D1409" s="488" t="s">
        <v>263</v>
      </c>
      <c r="E1409" s="488" t="s">
        <v>601</v>
      </c>
      <c r="F1409" s="489" t="s">
        <v>602</v>
      </c>
      <c r="G1409" s="488" t="s">
        <v>603</v>
      </c>
      <c r="H1409" s="489"/>
      <c r="I1409" s="489"/>
      <c r="J1409" s="489" t="s">
        <v>1354</v>
      </c>
      <c r="K1409" s="491">
        <v>1278900</v>
      </c>
      <c r="L1409" s="488" t="s">
        <v>429</v>
      </c>
      <c r="M1409" s="488"/>
      <c r="N1409" s="489"/>
      <c r="O1409" s="489"/>
      <c r="P1409" s="489"/>
      <c r="Q1409" s="489"/>
      <c r="R1409" s="490"/>
      <c r="S1409" s="489"/>
      <c r="T1409" s="488" t="s">
        <v>268</v>
      </c>
    </row>
    <row r="1410" ht="34.5">
      <c r="A1410" s="488" t="s">
        <v>1201</v>
      </c>
      <c r="B1410" s="488" t="s">
        <v>1202</v>
      </c>
      <c r="C1410" s="488" t="s">
        <v>574</v>
      </c>
      <c r="D1410" s="488" t="s">
        <v>263</v>
      </c>
      <c r="E1410" s="488" t="s">
        <v>601</v>
      </c>
      <c r="F1410" s="489" t="s">
        <v>602</v>
      </c>
      <c r="G1410" s="488" t="s">
        <v>603</v>
      </c>
      <c r="H1410" s="489"/>
      <c r="I1410" s="489"/>
      <c r="J1410" s="489" t="s">
        <v>1355</v>
      </c>
      <c r="K1410" s="491">
        <v>369797</v>
      </c>
      <c r="L1410" s="488" t="s">
        <v>429</v>
      </c>
      <c r="M1410" s="488"/>
      <c r="N1410" s="489"/>
      <c r="O1410" s="489"/>
      <c r="P1410" s="489"/>
      <c r="Q1410" s="489"/>
      <c r="R1410" s="490"/>
      <c r="S1410" s="489"/>
      <c r="T1410" s="488" t="s">
        <v>268</v>
      </c>
    </row>
    <row r="1411" ht="34.5">
      <c r="A1411" s="488" t="s">
        <v>1201</v>
      </c>
      <c r="B1411" s="488" t="s">
        <v>1202</v>
      </c>
      <c r="C1411" s="488" t="s">
        <v>574</v>
      </c>
      <c r="D1411" s="488" t="s">
        <v>263</v>
      </c>
      <c r="E1411" s="488" t="s">
        <v>607</v>
      </c>
      <c r="F1411" s="489" t="s">
        <v>608</v>
      </c>
      <c r="G1411" s="488" t="s">
        <v>464</v>
      </c>
      <c r="H1411" s="489"/>
      <c r="I1411" s="489"/>
      <c r="J1411" s="489" t="s">
        <v>609</v>
      </c>
      <c r="K1411" s="491"/>
      <c r="L1411" s="488"/>
      <c r="M1411" s="488"/>
      <c r="N1411" s="489"/>
      <c r="O1411" s="489"/>
      <c r="P1411" s="489"/>
      <c r="Q1411" s="489"/>
      <c r="R1411" s="490"/>
      <c r="S1411" s="489"/>
      <c r="T1411" s="488" t="s">
        <v>268</v>
      </c>
    </row>
    <row r="1412" ht="34.5">
      <c r="A1412" s="488" t="s">
        <v>1201</v>
      </c>
      <c r="B1412" s="488" t="s">
        <v>1202</v>
      </c>
      <c r="C1412" s="488" t="s">
        <v>574</v>
      </c>
      <c r="D1412" s="488" t="s">
        <v>263</v>
      </c>
      <c r="E1412" s="488" t="s">
        <v>607</v>
      </c>
      <c r="F1412" s="489" t="s">
        <v>608</v>
      </c>
      <c r="G1412" s="488" t="s">
        <v>464</v>
      </c>
      <c r="H1412" s="489"/>
      <c r="I1412" s="489"/>
      <c r="J1412" s="489" t="s">
        <v>1356</v>
      </c>
      <c r="K1412" s="491">
        <v>12521408</v>
      </c>
      <c r="L1412" s="488" t="s">
        <v>429</v>
      </c>
      <c r="M1412" s="488"/>
      <c r="N1412" s="489"/>
      <c r="O1412" s="489"/>
      <c r="P1412" s="489"/>
      <c r="Q1412" s="489"/>
      <c r="R1412" s="490"/>
      <c r="S1412" s="489"/>
      <c r="T1412" s="488" t="s">
        <v>268</v>
      </c>
    </row>
    <row r="1413" ht="34.5">
      <c r="A1413" s="488" t="s">
        <v>1201</v>
      </c>
      <c r="B1413" s="488" t="s">
        <v>1202</v>
      </c>
      <c r="C1413" s="488" t="s">
        <v>574</v>
      </c>
      <c r="D1413" s="488" t="s">
        <v>263</v>
      </c>
      <c r="E1413" s="488" t="s">
        <v>607</v>
      </c>
      <c r="F1413" s="489" t="s">
        <v>608</v>
      </c>
      <c r="G1413" s="488" t="s">
        <v>464</v>
      </c>
      <c r="H1413" s="489"/>
      <c r="I1413" s="489"/>
      <c r="J1413" s="489" t="s">
        <v>1357</v>
      </c>
      <c r="K1413" s="491"/>
      <c r="L1413" s="488"/>
      <c r="M1413" s="488"/>
      <c r="N1413" s="489"/>
      <c r="O1413" s="489"/>
      <c r="P1413" s="489"/>
      <c r="Q1413" s="489"/>
      <c r="R1413" s="490"/>
      <c r="S1413" s="489"/>
      <c r="T1413" s="488" t="s">
        <v>268</v>
      </c>
    </row>
    <row r="1414" ht="34.5">
      <c r="A1414" s="488" t="s">
        <v>1201</v>
      </c>
      <c r="B1414" s="488" t="s">
        <v>1202</v>
      </c>
      <c r="C1414" s="488" t="s">
        <v>586</v>
      </c>
      <c r="D1414" s="488" t="s">
        <v>263</v>
      </c>
      <c r="E1414" s="488" t="s">
        <v>613</v>
      </c>
      <c r="F1414" s="489" t="s">
        <v>614</v>
      </c>
      <c r="G1414" s="488" t="s">
        <v>568</v>
      </c>
      <c r="H1414" s="489"/>
      <c r="I1414" s="489"/>
      <c r="J1414" s="489" t="s">
        <v>616</v>
      </c>
      <c r="K1414" s="491"/>
      <c r="L1414" s="488"/>
      <c r="M1414" s="488"/>
      <c r="N1414" s="489"/>
      <c r="O1414" s="489"/>
      <c r="P1414" s="489"/>
      <c r="Q1414" s="489"/>
      <c r="R1414" s="490"/>
      <c r="S1414" s="489"/>
      <c r="T1414" s="488" t="s">
        <v>268</v>
      </c>
    </row>
    <row r="1415" ht="34.5">
      <c r="A1415" s="488" t="s">
        <v>1201</v>
      </c>
      <c r="B1415" s="488" t="s">
        <v>1202</v>
      </c>
      <c r="C1415" s="488" t="s">
        <v>586</v>
      </c>
      <c r="D1415" s="488" t="s">
        <v>263</v>
      </c>
      <c r="E1415" s="488" t="s">
        <v>613</v>
      </c>
      <c r="F1415" s="489" t="s">
        <v>614</v>
      </c>
      <c r="G1415" s="488" t="s">
        <v>568</v>
      </c>
      <c r="H1415" s="489"/>
      <c r="I1415" s="489"/>
      <c r="J1415" s="489" t="s">
        <v>1358</v>
      </c>
      <c r="K1415" s="491">
        <v>9300804</v>
      </c>
      <c r="L1415" s="488" t="s">
        <v>429</v>
      </c>
      <c r="M1415" s="488"/>
      <c r="N1415" s="489"/>
      <c r="O1415" s="489"/>
      <c r="P1415" s="489"/>
      <c r="Q1415" s="489"/>
      <c r="R1415" s="490"/>
      <c r="S1415" s="489"/>
      <c r="T1415" s="488" t="s">
        <v>268</v>
      </c>
    </row>
    <row r="1416" ht="34.5">
      <c r="A1416" s="488" t="s">
        <v>1201</v>
      </c>
      <c r="B1416" s="488" t="s">
        <v>1202</v>
      </c>
      <c r="C1416" s="488" t="s">
        <v>586</v>
      </c>
      <c r="D1416" s="488" t="s">
        <v>263</v>
      </c>
      <c r="E1416" s="488" t="s">
        <v>618</v>
      </c>
      <c r="F1416" s="489" t="s">
        <v>619</v>
      </c>
      <c r="G1416" s="488" t="s">
        <v>620</v>
      </c>
      <c r="H1416" s="489"/>
      <c r="I1416" s="489"/>
      <c r="J1416" s="489" t="s">
        <v>1359</v>
      </c>
      <c r="K1416" s="491">
        <v>13544255</v>
      </c>
      <c r="L1416" s="488" t="s">
        <v>429</v>
      </c>
      <c r="M1416" s="488"/>
      <c r="N1416" s="489"/>
      <c r="O1416" s="489"/>
      <c r="P1416" s="489"/>
      <c r="Q1416" s="489"/>
      <c r="R1416" s="490"/>
      <c r="S1416" s="489"/>
      <c r="T1416" s="488" t="s">
        <v>268</v>
      </c>
    </row>
    <row r="1417" ht="34.5">
      <c r="A1417" s="488" t="s">
        <v>1201</v>
      </c>
      <c r="B1417" s="488" t="s">
        <v>1202</v>
      </c>
      <c r="C1417" s="488" t="s">
        <v>586</v>
      </c>
      <c r="D1417" s="488" t="s">
        <v>263</v>
      </c>
      <c r="E1417" s="488" t="s">
        <v>618</v>
      </c>
      <c r="F1417" s="489" t="s">
        <v>619</v>
      </c>
      <c r="G1417" s="488" t="s">
        <v>620</v>
      </c>
      <c r="H1417" s="489"/>
      <c r="I1417" s="489"/>
      <c r="J1417" s="489" t="s">
        <v>622</v>
      </c>
      <c r="K1417" s="491"/>
      <c r="L1417" s="488"/>
      <c r="M1417" s="488"/>
      <c r="N1417" s="489"/>
      <c r="O1417" s="489"/>
      <c r="P1417" s="489"/>
      <c r="Q1417" s="489"/>
      <c r="R1417" s="490"/>
      <c r="S1417" s="489"/>
      <c r="T1417" s="488" t="s">
        <v>268</v>
      </c>
    </row>
    <row r="1418" ht="34.5">
      <c r="A1418" s="488" t="s">
        <v>1201</v>
      </c>
      <c r="B1418" s="488" t="s">
        <v>1202</v>
      </c>
      <c r="C1418" s="488" t="s">
        <v>586</v>
      </c>
      <c r="D1418" s="488" t="s">
        <v>263</v>
      </c>
      <c r="E1418" s="488" t="s">
        <v>618</v>
      </c>
      <c r="F1418" s="489" t="s">
        <v>619</v>
      </c>
      <c r="G1418" s="488" t="s">
        <v>620</v>
      </c>
      <c r="H1418" s="489"/>
      <c r="I1418" s="489"/>
      <c r="J1418" s="489" t="s">
        <v>1360</v>
      </c>
      <c r="K1418" s="491"/>
      <c r="L1418" s="488"/>
      <c r="M1418" s="488"/>
      <c r="N1418" s="489"/>
      <c r="O1418" s="489"/>
      <c r="P1418" s="489"/>
      <c r="Q1418" s="489"/>
      <c r="R1418" s="490"/>
      <c r="S1418" s="489"/>
      <c r="T1418" s="488" t="s">
        <v>268</v>
      </c>
    </row>
    <row r="1419" ht="34.5">
      <c r="A1419" s="488" t="s">
        <v>1201</v>
      </c>
      <c r="B1419" s="488" t="s">
        <v>1202</v>
      </c>
      <c r="C1419" s="488" t="s">
        <v>586</v>
      </c>
      <c r="D1419" s="488" t="s">
        <v>263</v>
      </c>
      <c r="E1419" s="488" t="s">
        <v>618</v>
      </c>
      <c r="F1419" s="489" t="s">
        <v>619</v>
      </c>
      <c r="G1419" s="488" t="s">
        <v>620</v>
      </c>
      <c r="H1419" s="489"/>
      <c r="I1419" s="489"/>
      <c r="J1419" s="489" t="s">
        <v>1361</v>
      </c>
      <c r="K1419" s="491"/>
      <c r="L1419" s="488"/>
      <c r="M1419" s="488"/>
      <c r="N1419" s="489"/>
      <c r="O1419" s="489"/>
      <c r="P1419" s="489"/>
      <c r="Q1419" s="489"/>
      <c r="R1419" s="490"/>
      <c r="S1419" s="489"/>
      <c r="T1419" s="488" t="s">
        <v>268</v>
      </c>
    </row>
    <row r="1420" ht="34.5">
      <c r="A1420" s="488" t="s">
        <v>1201</v>
      </c>
      <c r="B1420" s="488" t="s">
        <v>1202</v>
      </c>
      <c r="C1420" s="488" t="s">
        <v>586</v>
      </c>
      <c r="D1420" s="488" t="s">
        <v>263</v>
      </c>
      <c r="E1420" s="488" t="s">
        <v>618</v>
      </c>
      <c r="F1420" s="489" t="s">
        <v>619</v>
      </c>
      <c r="G1420" s="488" t="s">
        <v>620</v>
      </c>
      <c r="H1420" s="489"/>
      <c r="I1420" s="489"/>
      <c r="J1420" s="489" t="s">
        <v>624</v>
      </c>
      <c r="K1420" s="491"/>
      <c r="L1420" s="488"/>
      <c r="M1420" s="488"/>
      <c r="N1420" s="489"/>
      <c r="O1420" s="489"/>
      <c r="P1420" s="489"/>
      <c r="Q1420" s="489"/>
      <c r="R1420" s="490"/>
      <c r="S1420" s="489"/>
      <c r="T1420" s="488" t="s">
        <v>268</v>
      </c>
    </row>
    <row r="1421" ht="34.5">
      <c r="A1421" s="488" t="s">
        <v>1201</v>
      </c>
      <c r="B1421" s="488" t="s">
        <v>1202</v>
      </c>
      <c r="C1421" s="488" t="s">
        <v>586</v>
      </c>
      <c r="D1421" s="488" t="s">
        <v>263</v>
      </c>
      <c r="E1421" s="488" t="s">
        <v>618</v>
      </c>
      <c r="F1421" s="489" t="s">
        <v>619</v>
      </c>
      <c r="G1421" s="488" t="s">
        <v>620</v>
      </c>
      <c r="H1421" s="489"/>
      <c r="I1421" s="489"/>
      <c r="J1421" s="489" t="s">
        <v>1362</v>
      </c>
      <c r="K1421" s="491"/>
      <c r="L1421" s="488"/>
      <c r="M1421" s="488"/>
      <c r="N1421" s="489"/>
      <c r="O1421" s="489"/>
      <c r="P1421" s="489"/>
      <c r="Q1421" s="489"/>
      <c r="R1421" s="490"/>
      <c r="S1421" s="489"/>
      <c r="T1421" s="488" t="s">
        <v>268</v>
      </c>
    </row>
    <row r="1422" ht="34.5">
      <c r="A1422" s="488" t="s">
        <v>1201</v>
      </c>
      <c r="B1422" s="488" t="s">
        <v>1202</v>
      </c>
      <c r="C1422" s="488" t="s">
        <v>597</v>
      </c>
      <c r="D1422" s="488" t="s">
        <v>263</v>
      </c>
      <c r="E1422" s="488" t="s">
        <v>618</v>
      </c>
      <c r="F1422" s="489" t="s">
        <v>627</v>
      </c>
      <c r="G1422" s="488" t="s">
        <v>620</v>
      </c>
      <c r="H1422" s="489"/>
      <c r="I1422" s="489"/>
      <c r="J1422" s="489" t="s">
        <v>628</v>
      </c>
      <c r="K1422" s="491"/>
      <c r="L1422" s="488"/>
      <c r="M1422" s="488"/>
      <c r="N1422" s="489"/>
      <c r="O1422" s="489"/>
      <c r="P1422" s="489"/>
      <c r="Q1422" s="489"/>
      <c r="R1422" s="490"/>
      <c r="S1422" s="489"/>
      <c r="T1422" s="488" t="s">
        <v>268</v>
      </c>
    </row>
    <row r="1423" ht="34.5">
      <c r="A1423" s="488" t="s">
        <v>1201</v>
      </c>
      <c r="B1423" s="488" t="s">
        <v>1202</v>
      </c>
      <c r="C1423" s="488" t="s">
        <v>597</v>
      </c>
      <c r="D1423" s="488" t="s">
        <v>263</v>
      </c>
      <c r="E1423" s="488" t="s">
        <v>618</v>
      </c>
      <c r="F1423" s="489" t="s">
        <v>627</v>
      </c>
      <c r="G1423" s="488" t="s">
        <v>620</v>
      </c>
      <c r="H1423" s="489"/>
      <c r="I1423" s="489"/>
      <c r="J1423" s="489" t="s">
        <v>1363</v>
      </c>
      <c r="K1423" s="491"/>
      <c r="L1423" s="488"/>
      <c r="M1423" s="488"/>
      <c r="N1423" s="489"/>
      <c r="O1423" s="489"/>
      <c r="P1423" s="489"/>
      <c r="Q1423" s="489"/>
      <c r="R1423" s="490"/>
      <c r="S1423" s="489"/>
      <c r="T1423" s="488" t="s">
        <v>268</v>
      </c>
    </row>
    <row r="1424" ht="34.5">
      <c r="A1424" s="488" t="s">
        <v>1201</v>
      </c>
      <c r="B1424" s="488" t="s">
        <v>1202</v>
      </c>
      <c r="C1424" s="488" t="s">
        <v>597</v>
      </c>
      <c r="D1424" s="488" t="s">
        <v>263</v>
      </c>
      <c r="E1424" s="488" t="s">
        <v>618</v>
      </c>
      <c r="F1424" s="489" t="s">
        <v>627</v>
      </c>
      <c r="G1424" s="488" t="s">
        <v>620</v>
      </c>
      <c r="H1424" s="489"/>
      <c r="I1424" s="489"/>
      <c r="J1424" s="489" t="s">
        <v>1364</v>
      </c>
      <c r="K1424" s="491"/>
      <c r="L1424" s="488"/>
      <c r="M1424" s="488"/>
      <c r="N1424" s="489"/>
      <c r="O1424" s="489"/>
      <c r="P1424" s="489"/>
      <c r="Q1424" s="489"/>
      <c r="R1424" s="490"/>
      <c r="S1424" s="489"/>
      <c r="T1424" s="488" t="s">
        <v>268</v>
      </c>
    </row>
    <row r="1425" ht="34.5">
      <c r="A1425" s="488" t="s">
        <v>1201</v>
      </c>
      <c r="B1425" s="488" t="s">
        <v>1202</v>
      </c>
      <c r="C1425" s="488" t="s">
        <v>597</v>
      </c>
      <c r="D1425" s="488" t="s">
        <v>263</v>
      </c>
      <c r="E1425" s="488" t="s">
        <v>618</v>
      </c>
      <c r="F1425" s="489" t="s">
        <v>627</v>
      </c>
      <c r="G1425" s="488" t="s">
        <v>620</v>
      </c>
      <c r="H1425" s="489"/>
      <c r="I1425" s="489"/>
      <c r="J1425" s="489" t="s">
        <v>1365</v>
      </c>
      <c r="K1425" s="491">
        <v>125000</v>
      </c>
      <c r="L1425" s="488" t="s">
        <v>429</v>
      </c>
      <c r="M1425" s="488"/>
      <c r="N1425" s="489"/>
      <c r="O1425" s="489"/>
      <c r="P1425" s="489"/>
      <c r="Q1425" s="489"/>
      <c r="R1425" s="490"/>
      <c r="S1425" s="489"/>
      <c r="T1425" s="488" t="s">
        <v>268</v>
      </c>
    </row>
    <row r="1426" ht="34.5">
      <c r="A1426" s="488" t="s">
        <v>1201</v>
      </c>
      <c r="B1426" s="488" t="s">
        <v>1202</v>
      </c>
      <c r="C1426" s="488" t="s">
        <v>597</v>
      </c>
      <c r="D1426" s="488" t="s">
        <v>263</v>
      </c>
      <c r="E1426" s="488" t="s">
        <v>618</v>
      </c>
      <c r="F1426" s="489" t="s">
        <v>627</v>
      </c>
      <c r="G1426" s="488" t="s">
        <v>620</v>
      </c>
      <c r="H1426" s="489"/>
      <c r="I1426" s="489"/>
      <c r="J1426" s="489" t="s">
        <v>1366</v>
      </c>
      <c r="K1426" s="491"/>
      <c r="L1426" s="488"/>
      <c r="M1426" s="488"/>
      <c r="N1426" s="489"/>
      <c r="O1426" s="489"/>
      <c r="P1426" s="489"/>
      <c r="Q1426" s="489"/>
      <c r="R1426" s="490"/>
      <c r="S1426" s="489"/>
      <c r="T1426" s="488" t="s">
        <v>268</v>
      </c>
    </row>
    <row r="1427" ht="34.5">
      <c r="A1427" s="488" t="s">
        <v>1201</v>
      </c>
      <c r="B1427" s="488" t="s">
        <v>1202</v>
      </c>
      <c r="C1427" s="488" t="s">
        <v>597</v>
      </c>
      <c r="D1427" s="488" t="s">
        <v>263</v>
      </c>
      <c r="E1427" s="488" t="s">
        <v>618</v>
      </c>
      <c r="F1427" s="489" t="s">
        <v>627</v>
      </c>
      <c r="G1427" s="488" t="s">
        <v>620</v>
      </c>
      <c r="H1427" s="489"/>
      <c r="I1427" s="489"/>
      <c r="J1427" s="489" t="s">
        <v>1367</v>
      </c>
      <c r="K1427" s="491"/>
      <c r="L1427" s="488"/>
      <c r="M1427" s="488"/>
      <c r="N1427" s="489"/>
      <c r="O1427" s="489"/>
      <c r="P1427" s="489"/>
      <c r="Q1427" s="489"/>
      <c r="R1427" s="490"/>
      <c r="S1427" s="489"/>
      <c r="T1427" s="488" t="s">
        <v>268</v>
      </c>
    </row>
    <row r="1428" ht="34.5">
      <c r="A1428" s="488" t="s">
        <v>1201</v>
      </c>
      <c r="B1428" s="488" t="s">
        <v>1202</v>
      </c>
      <c r="C1428" s="488" t="s">
        <v>597</v>
      </c>
      <c r="D1428" s="488" t="s">
        <v>263</v>
      </c>
      <c r="E1428" s="488" t="s">
        <v>618</v>
      </c>
      <c r="F1428" s="489" t="s">
        <v>627</v>
      </c>
      <c r="G1428" s="488" t="s">
        <v>620</v>
      </c>
      <c r="H1428" s="489"/>
      <c r="I1428" s="489"/>
      <c r="J1428" s="489" t="s">
        <v>1368</v>
      </c>
      <c r="K1428" s="491"/>
      <c r="L1428" s="488"/>
      <c r="M1428" s="488"/>
      <c r="N1428" s="489"/>
      <c r="O1428" s="489"/>
      <c r="P1428" s="489"/>
      <c r="Q1428" s="489"/>
      <c r="R1428" s="490"/>
      <c r="S1428" s="489"/>
      <c r="T1428" s="488" t="s">
        <v>268</v>
      </c>
    </row>
    <row r="1429" ht="34.5">
      <c r="A1429" s="488" t="s">
        <v>1201</v>
      </c>
      <c r="B1429" s="488" t="s">
        <v>1202</v>
      </c>
      <c r="C1429" s="488" t="s">
        <v>612</v>
      </c>
      <c r="D1429" s="488" t="s">
        <v>263</v>
      </c>
      <c r="E1429" s="488" t="s">
        <v>618</v>
      </c>
      <c r="F1429" s="489" t="s">
        <v>627</v>
      </c>
      <c r="G1429" s="488" t="s">
        <v>620</v>
      </c>
      <c r="H1429" s="489"/>
      <c r="I1429" s="489"/>
      <c r="J1429" s="489" t="s">
        <v>1369</v>
      </c>
      <c r="K1429" s="491"/>
      <c r="L1429" s="488"/>
      <c r="M1429" s="488"/>
      <c r="N1429" s="489"/>
      <c r="O1429" s="489"/>
      <c r="P1429" s="489"/>
      <c r="Q1429" s="489"/>
      <c r="R1429" s="490"/>
      <c r="S1429" s="489"/>
      <c r="T1429" s="488" t="s">
        <v>268</v>
      </c>
    </row>
    <row r="1430" ht="34.5">
      <c r="A1430" s="488" t="s">
        <v>1201</v>
      </c>
      <c r="B1430" s="488" t="s">
        <v>1202</v>
      </c>
      <c r="C1430" s="488" t="s">
        <v>612</v>
      </c>
      <c r="D1430" s="488" t="s">
        <v>263</v>
      </c>
      <c r="E1430" s="488" t="s">
        <v>618</v>
      </c>
      <c r="F1430" s="489" t="s">
        <v>627</v>
      </c>
      <c r="G1430" s="488" t="s">
        <v>620</v>
      </c>
      <c r="H1430" s="489"/>
      <c r="I1430" s="489"/>
      <c r="J1430" s="489" t="s">
        <v>1370</v>
      </c>
      <c r="K1430" s="491">
        <v>307310</v>
      </c>
      <c r="L1430" s="488" t="s">
        <v>429</v>
      </c>
      <c r="M1430" s="488"/>
      <c r="N1430" s="489"/>
      <c r="O1430" s="489"/>
      <c r="P1430" s="489"/>
      <c r="Q1430" s="489"/>
      <c r="R1430" s="490"/>
      <c r="S1430" s="489"/>
      <c r="T1430" s="488" t="s">
        <v>268</v>
      </c>
    </row>
    <row r="1431" ht="34.5">
      <c r="A1431" s="488" t="s">
        <v>1201</v>
      </c>
      <c r="B1431" s="488" t="s">
        <v>1202</v>
      </c>
      <c r="C1431" s="488" t="s">
        <v>612</v>
      </c>
      <c r="D1431" s="488" t="s">
        <v>263</v>
      </c>
      <c r="E1431" s="488" t="s">
        <v>618</v>
      </c>
      <c r="F1431" s="489" t="s">
        <v>627</v>
      </c>
      <c r="G1431" s="488" t="s">
        <v>620</v>
      </c>
      <c r="H1431" s="489"/>
      <c r="I1431" s="489"/>
      <c r="J1431" s="489" t="s">
        <v>1371</v>
      </c>
      <c r="K1431" s="491">
        <v>559341</v>
      </c>
      <c r="L1431" s="488" t="s">
        <v>429</v>
      </c>
      <c r="M1431" s="488"/>
      <c r="N1431" s="489"/>
      <c r="O1431" s="489"/>
      <c r="P1431" s="489"/>
      <c r="Q1431" s="489"/>
      <c r="R1431" s="490"/>
      <c r="S1431" s="489"/>
      <c r="T1431" s="488" t="s">
        <v>268</v>
      </c>
    </row>
    <row r="1432" ht="34.5">
      <c r="A1432" s="488" t="s">
        <v>1201</v>
      </c>
      <c r="B1432" s="488" t="s">
        <v>1202</v>
      </c>
      <c r="C1432" s="488" t="s">
        <v>612</v>
      </c>
      <c r="D1432" s="488" t="s">
        <v>263</v>
      </c>
      <c r="E1432" s="488" t="s">
        <v>618</v>
      </c>
      <c r="F1432" s="489" t="s">
        <v>627</v>
      </c>
      <c r="G1432" s="488" t="s">
        <v>620</v>
      </c>
      <c r="H1432" s="489"/>
      <c r="I1432" s="489"/>
      <c r="J1432" s="489" t="s">
        <v>1372</v>
      </c>
      <c r="K1432" s="491"/>
      <c r="L1432" s="488"/>
      <c r="M1432" s="488"/>
      <c r="N1432" s="489"/>
      <c r="O1432" s="489"/>
      <c r="P1432" s="489"/>
      <c r="Q1432" s="489"/>
      <c r="R1432" s="490"/>
      <c r="S1432" s="489"/>
      <c r="T1432" s="488" t="s">
        <v>268</v>
      </c>
    </row>
    <row r="1433" ht="34.5">
      <c r="A1433" s="488" t="s">
        <v>1201</v>
      </c>
      <c r="B1433" s="488" t="s">
        <v>1202</v>
      </c>
      <c r="C1433" s="488" t="s">
        <v>612</v>
      </c>
      <c r="D1433" s="488" t="s">
        <v>263</v>
      </c>
      <c r="E1433" s="488" t="s">
        <v>618</v>
      </c>
      <c r="F1433" s="489" t="s">
        <v>627</v>
      </c>
      <c r="G1433" s="488" t="s">
        <v>620</v>
      </c>
      <c r="H1433" s="489"/>
      <c r="I1433" s="489"/>
      <c r="J1433" s="489" t="s">
        <v>1373</v>
      </c>
      <c r="K1433" s="491"/>
      <c r="L1433" s="488"/>
      <c r="M1433" s="488"/>
      <c r="N1433" s="489"/>
      <c r="O1433" s="489"/>
      <c r="P1433" s="489"/>
      <c r="Q1433" s="489"/>
      <c r="R1433" s="490"/>
      <c r="S1433" s="489"/>
      <c r="T1433" s="488" t="s">
        <v>268</v>
      </c>
    </row>
    <row r="1434" ht="34.5">
      <c r="A1434" s="488" t="s">
        <v>1201</v>
      </c>
      <c r="B1434" s="488" t="s">
        <v>1202</v>
      </c>
      <c r="C1434" s="488" t="s">
        <v>626</v>
      </c>
      <c r="D1434" s="488" t="s">
        <v>263</v>
      </c>
      <c r="E1434" s="488" t="s">
        <v>618</v>
      </c>
      <c r="F1434" s="489" t="s">
        <v>627</v>
      </c>
      <c r="G1434" s="488" t="s">
        <v>620</v>
      </c>
      <c r="H1434" s="489"/>
      <c r="I1434" s="489"/>
      <c r="J1434" s="489" t="s">
        <v>1374</v>
      </c>
      <c r="K1434" s="491"/>
      <c r="L1434" s="488"/>
      <c r="M1434" s="488"/>
      <c r="N1434" s="489"/>
      <c r="O1434" s="489"/>
      <c r="P1434" s="489"/>
      <c r="Q1434" s="489"/>
      <c r="R1434" s="490"/>
      <c r="S1434" s="489"/>
      <c r="T1434" s="488" t="s">
        <v>268</v>
      </c>
    </row>
    <row r="1435" ht="34.5">
      <c r="A1435" s="488" t="s">
        <v>1201</v>
      </c>
      <c r="B1435" s="488" t="s">
        <v>1202</v>
      </c>
      <c r="C1435" s="488" t="s">
        <v>626</v>
      </c>
      <c r="D1435" s="488" t="s">
        <v>263</v>
      </c>
      <c r="E1435" s="488" t="s">
        <v>618</v>
      </c>
      <c r="F1435" s="489" t="s">
        <v>627</v>
      </c>
      <c r="G1435" s="488" t="s">
        <v>620</v>
      </c>
      <c r="H1435" s="489"/>
      <c r="I1435" s="489"/>
      <c r="J1435" s="489" t="s">
        <v>1375</v>
      </c>
      <c r="K1435" s="491">
        <v>85582</v>
      </c>
      <c r="L1435" s="488" t="s">
        <v>429</v>
      </c>
      <c r="M1435" s="488"/>
      <c r="N1435" s="489"/>
      <c r="O1435" s="489"/>
      <c r="P1435" s="489"/>
      <c r="Q1435" s="489"/>
      <c r="R1435" s="490"/>
      <c r="S1435" s="489"/>
      <c r="T1435" s="488" t="s">
        <v>268</v>
      </c>
    </row>
    <row r="1436" ht="34.5">
      <c r="A1436" s="488" t="s">
        <v>1201</v>
      </c>
      <c r="B1436" s="488" t="s">
        <v>1202</v>
      </c>
      <c r="C1436" s="488" t="s">
        <v>626</v>
      </c>
      <c r="D1436" s="488" t="s">
        <v>263</v>
      </c>
      <c r="E1436" s="488" t="s">
        <v>618</v>
      </c>
      <c r="F1436" s="489" t="s">
        <v>627</v>
      </c>
      <c r="G1436" s="488" t="s">
        <v>620</v>
      </c>
      <c r="H1436" s="489"/>
      <c r="I1436" s="489"/>
      <c r="J1436" s="489" t="s">
        <v>1376</v>
      </c>
      <c r="K1436" s="491"/>
      <c r="L1436" s="488"/>
      <c r="M1436" s="488"/>
      <c r="N1436" s="489"/>
      <c r="O1436" s="489"/>
      <c r="P1436" s="489"/>
      <c r="Q1436" s="489"/>
      <c r="R1436" s="490"/>
      <c r="S1436" s="489"/>
      <c r="T1436" s="488" t="s">
        <v>268</v>
      </c>
    </row>
    <row r="1437" ht="34.5">
      <c r="A1437" s="488" t="s">
        <v>1201</v>
      </c>
      <c r="B1437" s="488" t="s">
        <v>1202</v>
      </c>
      <c r="C1437" s="488" t="s">
        <v>626</v>
      </c>
      <c r="D1437" s="488" t="s">
        <v>263</v>
      </c>
      <c r="E1437" s="488" t="s">
        <v>618</v>
      </c>
      <c r="F1437" s="489" t="s">
        <v>627</v>
      </c>
      <c r="G1437" s="488" t="s">
        <v>620</v>
      </c>
      <c r="H1437" s="489"/>
      <c r="I1437" s="489"/>
      <c r="J1437" s="489" t="s">
        <v>1377</v>
      </c>
      <c r="K1437" s="491">
        <v>965788</v>
      </c>
      <c r="L1437" s="488" t="s">
        <v>429</v>
      </c>
      <c r="M1437" s="488"/>
      <c r="N1437" s="489"/>
      <c r="O1437" s="489"/>
      <c r="P1437" s="489"/>
      <c r="Q1437" s="489"/>
      <c r="R1437" s="490"/>
      <c r="S1437" s="489"/>
      <c r="T1437" s="488" t="s">
        <v>268</v>
      </c>
    </row>
    <row r="1438" ht="34.5">
      <c r="A1438" s="488" t="s">
        <v>1201</v>
      </c>
      <c r="B1438" s="488" t="s">
        <v>1202</v>
      </c>
      <c r="C1438" s="488" t="s">
        <v>626</v>
      </c>
      <c r="D1438" s="488" t="s">
        <v>263</v>
      </c>
      <c r="E1438" s="488" t="s">
        <v>618</v>
      </c>
      <c r="F1438" s="489" t="s">
        <v>627</v>
      </c>
      <c r="G1438" s="488" t="s">
        <v>620</v>
      </c>
      <c r="H1438" s="489"/>
      <c r="I1438" s="489"/>
      <c r="J1438" s="489" t="s">
        <v>1125</v>
      </c>
      <c r="K1438" s="491"/>
      <c r="L1438" s="488"/>
      <c r="M1438" s="488"/>
      <c r="N1438" s="489"/>
      <c r="O1438" s="489"/>
      <c r="P1438" s="489"/>
      <c r="Q1438" s="489"/>
      <c r="R1438" s="490"/>
      <c r="S1438" s="489"/>
      <c r="T1438" s="488" t="s">
        <v>268</v>
      </c>
    </row>
    <row r="1439" ht="34.5">
      <c r="A1439" s="488" t="s">
        <v>1201</v>
      </c>
      <c r="B1439" s="488" t="s">
        <v>1202</v>
      </c>
      <c r="C1439" s="488" t="s">
        <v>632</v>
      </c>
      <c r="D1439" s="488" t="s">
        <v>263</v>
      </c>
      <c r="E1439" s="488" t="s">
        <v>618</v>
      </c>
      <c r="F1439" s="489" t="s">
        <v>627</v>
      </c>
      <c r="G1439" s="488" t="s">
        <v>620</v>
      </c>
      <c r="H1439" s="489"/>
      <c r="I1439" s="489"/>
      <c r="J1439" s="489" t="s">
        <v>1378</v>
      </c>
      <c r="K1439" s="491"/>
      <c r="L1439" s="488"/>
      <c r="M1439" s="488"/>
      <c r="N1439" s="489"/>
      <c r="O1439" s="489"/>
      <c r="P1439" s="489"/>
      <c r="Q1439" s="489"/>
      <c r="R1439" s="490"/>
      <c r="S1439" s="489"/>
      <c r="T1439" s="488" t="s">
        <v>268</v>
      </c>
    </row>
    <row r="1440" ht="34.5">
      <c r="A1440" s="488" t="s">
        <v>1201</v>
      </c>
      <c r="B1440" s="488" t="s">
        <v>1202</v>
      </c>
      <c r="C1440" s="488" t="s">
        <v>632</v>
      </c>
      <c r="D1440" s="488" t="s">
        <v>263</v>
      </c>
      <c r="E1440" s="488" t="s">
        <v>618</v>
      </c>
      <c r="F1440" s="489" t="s">
        <v>627</v>
      </c>
      <c r="G1440" s="488" t="s">
        <v>620</v>
      </c>
      <c r="H1440" s="489"/>
      <c r="I1440" s="489"/>
      <c r="J1440" s="489" t="s">
        <v>1379</v>
      </c>
      <c r="K1440" s="491"/>
      <c r="L1440" s="488"/>
      <c r="M1440" s="488"/>
      <c r="N1440" s="489"/>
      <c r="O1440" s="489"/>
      <c r="P1440" s="489"/>
      <c r="Q1440" s="489"/>
      <c r="R1440" s="490"/>
      <c r="S1440" s="489"/>
      <c r="T1440" s="488" t="s">
        <v>268</v>
      </c>
    </row>
    <row r="1441" ht="34.5">
      <c r="A1441" s="488" t="s">
        <v>1201</v>
      </c>
      <c r="B1441" s="488" t="s">
        <v>1202</v>
      </c>
      <c r="C1441" s="488" t="s">
        <v>632</v>
      </c>
      <c r="D1441" s="488" t="s">
        <v>263</v>
      </c>
      <c r="E1441" s="488" t="s">
        <v>618</v>
      </c>
      <c r="F1441" s="489" t="s">
        <v>627</v>
      </c>
      <c r="G1441" s="488" t="s">
        <v>620</v>
      </c>
      <c r="H1441" s="489"/>
      <c r="I1441" s="489"/>
      <c r="J1441" s="489" t="s">
        <v>1380</v>
      </c>
      <c r="K1441" s="491">
        <v>57300</v>
      </c>
      <c r="L1441" s="488" t="s">
        <v>429</v>
      </c>
      <c r="M1441" s="488"/>
      <c r="N1441" s="489"/>
      <c r="O1441" s="489"/>
      <c r="P1441" s="489"/>
      <c r="Q1441" s="489"/>
      <c r="R1441" s="490"/>
      <c r="S1441" s="489"/>
      <c r="T1441" s="488" t="s">
        <v>268</v>
      </c>
    </row>
    <row r="1442" ht="34.5">
      <c r="A1442" s="488" t="s">
        <v>1201</v>
      </c>
      <c r="B1442" s="488" t="s">
        <v>1202</v>
      </c>
      <c r="C1442" s="488" t="s">
        <v>632</v>
      </c>
      <c r="D1442" s="488" t="s">
        <v>263</v>
      </c>
      <c r="E1442" s="488" t="s">
        <v>618</v>
      </c>
      <c r="F1442" s="489" t="s">
        <v>627</v>
      </c>
      <c r="G1442" s="488" t="s">
        <v>620</v>
      </c>
      <c r="H1442" s="489"/>
      <c r="I1442" s="489"/>
      <c r="J1442" s="489" t="s">
        <v>1381</v>
      </c>
      <c r="K1442" s="491">
        <v>1232218</v>
      </c>
      <c r="L1442" s="488" t="s">
        <v>429</v>
      </c>
      <c r="M1442" s="488"/>
      <c r="N1442" s="489"/>
      <c r="O1442" s="489"/>
      <c r="P1442" s="489"/>
      <c r="Q1442" s="489"/>
      <c r="R1442" s="490"/>
      <c r="S1442" s="489"/>
      <c r="T1442" s="488" t="s">
        <v>268</v>
      </c>
    </row>
    <row r="1443" ht="34.5">
      <c r="A1443" s="488" t="s">
        <v>1201</v>
      </c>
      <c r="B1443" s="488" t="s">
        <v>1202</v>
      </c>
      <c r="C1443" s="488" t="s">
        <v>632</v>
      </c>
      <c r="D1443" s="488" t="s">
        <v>263</v>
      </c>
      <c r="E1443" s="488" t="s">
        <v>618</v>
      </c>
      <c r="F1443" s="489" t="s">
        <v>627</v>
      </c>
      <c r="G1443" s="488" t="s">
        <v>620</v>
      </c>
      <c r="H1443" s="489"/>
      <c r="I1443" s="489"/>
      <c r="J1443" s="489" t="s">
        <v>1382</v>
      </c>
      <c r="K1443" s="491"/>
      <c r="L1443" s="488"/>
      <c r="M1443" s="488"/>
      <c r="N1443" s="489"/>
      <c r="O1443" s="489"/>
      <c r="P1443" s="489"/>
      <c r="Q1443" s="489"/>
      <c r="R1443" s="490"/>
      <c r="S1443" s="489"/>
      <c r="T1443" s="488" t="s">
        <v>268</v>
      </c>
    </row>
    <row r="1444" ht="34.5">
      <c r="A1444" s="488" t="s">
        <v>1201</v>
      </c>
      <c r="B1444" s="488" t="s">
        <v>1202</v>
      </c>
      <c r="C1444" s="488" t="s">
        <v>632</v>
      </c>
      <c r="D1444" s="488" t="s">
        <v>263</v>
      </c>
      <c r="E1444" s="488" t="s">
        <v>618</v>
      </c>
      <c r="F1444" s="489" t="s">
        <v>627</v>
      </c>
      <c r="G1444" s="488" t="s">
        <v>620</v>
      </c>
      <c r="H1444" s="489"/>
      <c r="I1444" s="489"/>
      <c r="J1444" s="489" t="s">
        <v>1383</v>
      </c>
      <c r="K1444" s="491"/>
      <c r="L1444" s="488"/>
      <c r="M1444" s="488"/>
      <c r="N1444" s="489"/>
      <c r="O1444" s="489"/>
      <c r="P1444" s="489"/>
      <c r="Q1444" s="489"/>
      <c r="R1444" s="490"/>
      <c r="S1444" s="489"/>
      <c r="T1444" s="488" t="s">
        <v>268</v>
      </c>
    </row>
    <row r="1445" ht="34.5">
      <c r="A1445" s="488" t="s">
        <v>1201</v>
      </c>
      <c r="B1445" s="488" t="s">
        <v>1202</v>
      </c>
      <c r="C1445" s="488" t="s">
        <v>632</v>
      </c>
      <c r="D1445" s="488" t="s">
        <v>263</v>
      </c>
      <c r="E1445" s="488" t="s">
        <v>618</v>
      </c>
      <c r="F1445" s="489" t="s">
        <v>627</v>
      </c>
      <c r="G1445" s="488" t="s">
        <v>620</v>
      </c>
      <c r="H1445" s="489"/>
      <c r="I1445" s="489"/>
      <c r="J1445" s="489" t="s">
        <v>1384</v>
      </c>
      <c r="K1445" s="491"/>
      <c r="L1445" s="488"/>
      <c r="M1445" s="488"/>
      <c r="N1445" s="489"/>
      <c r="O1445" s="489"/>
      <c r="P1445" s="489"/>
      <c r="Q1445" s="489"/>
      <c r="R1445" s="490"/>
      <c r="S1445" s="489"/>
      <c r="T1445" s="488" t="s">
        <v>268</v>
      </c>
    </row>
    <row r="1446" ht="34.5">
      <c r="A1446" s="488" t="s">
        <v>1201</v>
      </c>
      <c r="B1446" s="488" t="s">
        <v>1202</v>
      </c>
      <c r="C1446" s="488" t="s">
        <v>638</v>
      </c>
      <c r="D1446" s="488" t="s">
        <v>263</v>
      </c>
      <c r="E1446" s="488" t="s">
        <v>654</v>
      </c>
      <c r="F1446" s="489" t="s">
        <v>664</v>
      </c>
      <c r="G1446" s="488" t="s">
        <v>656</v>
      </c>
      <c r="H1446" s="489"/>
      <c r="I1446" s="489"/>
      <c r="J1446" s="489" t="s">
        <v>657</v>
      </c>
      <c r="K1446" s="491"/>
      <c r="L1446" s="488"/>
      <c r="M1446" s="488"/>
      <c r="N1446" s="489"/>
      <c r="O1446" s="489"/>
      <c r="P1446" s="489"/>
      <c r="Q1446" s="489"/>
      <c r="R1446" s="490"/>
      <c r="S1446" s="489"/>
      <c r="T1446" s="488" t="s">
        <v>268</v>
      </c>
    </row>
    <row r="1447" ht="34.5">
      <c r="A1447" s="488" t="s">
        <v>1201</v>
      </c>
      <c r="B1447" s="488" t="s">
        <v>1202</v>
      </c>
      <c r="C1447" s="488" t="s">
        <v>638</v>
      </c>
      <c r="D1447" s="488" t="s">
        <v>263</v>
      </c>
      <c r="E1447" s="488" t="s">
        <v>654</v>
      </c>
      <c r="F1447" s="489" t="s">
        <v>664</v>
      </c>
      <c r="G1447" s="488" t="s">
        <v>656</v>
      </c>
      <c r="H1447" s="489"/>
      <c r="I1447" s="489"/>
      <c r="J1447" s="489" t="s">
        <v>658</v>
      </c>
      <c r="K1447" s="491"/>
      <c r="L1447" s="488"/>
      <c r="M1447" s="488"/>
      <c r="N1447" s="489"/>
      <c r="O1447" s="489"/>
      <c r="P1447" s="489"/>
      <c r="Q1447" s="489"/>
      <c r="R1447" s="490"/>
      <c r="S1447" s="489"/>
      <c r="T1447" s="488" t="s">
        <v>268</v>
      </c>
    </row>
    <row r="1448" ht="34.5">
      <c r="A1448" s="488" t="s">
        <v>1201</v>
      </c>
      <c r="B1448" s="488" t="s">
        <v>1202</v>
      </c>
      <c r="C1448" s="488" t="s">
        <v>638</v>
      </c>
      <c r="D1448" s="488" t="s">
        <v>263</v>
      </c>
      <c r="E1448" s="488" t="s">
        <v>654</v>
      </c>
      <c r="F1448" s="489" t="s">
        <v>664</v>
      </c>
      <c r="G1448" s="488" t="s">
        <v>656</v>
      </c>
      <c r="H1448" s="489"/>
      <c r="I1448" s="489"/>
      <c r="J1448" s="489" t="s">
        <v>907</v>
      </c>
      <c r="K1448" s="491"/>
      <c r="L1448" s="488"/>
      <c r="M1448" s="488"/>
      <c r="N1448" s="489"/>
      <c r="O1448" s="489"/>
      <c r="P1448" s="489"/>
      <c r="Q1448" s="489"/>
      <c r="R1448" s="490"/>
      <c r="S1448" s="489"/>
      <c r="T1448" s="488" t="s">
        <v>268</v>
      </c>
    </row>
    <row r="1449" ht="34.5">
      <c r="A1449" s="488" t="s">
        <v>1201</v>
      </c>
      <c r="B1449" s="488" t="s">
        <v>1202</v>
      </c>
      <c r="C1449" s="488" t="s">
        <v>638</v>
      </c>
      <c r="D1449" s="488" t="s">
        <v>263</v>
      </c>
      <c r="E1449" s="488" t="s">
        <v>654</v>
      </c>
      <c r="F1449" s="489" t="s">
        <v>664</v>
      </c>
      <c r="G1449" s="488" t="s">
        <v>656</v>
      </c>
      <c r="H1449" s="489"/>
      <c r="I1449" s="489"/>
      <c r="J1449" s="489" t="s">
        <v>908</v>
      </c>
      <c r="K1449" s="491"/>
      <c r="L1449" s="488"/>
      <c r="M1449" s="488"/>
      <c r="N1449" s="489"/>
      <c r="O1449" s="489"/>
      <c r="P1449" s="489"/>
      <c r="Q1449" s="489"/>
      <c r="R1449" s="490"/>
      <c r="S1449" s="489"/>
      <c r="T1449" s="488" t="s">
        <v>268</v>
      </c>
    </row>
    <row r="1450" ht="34.5">
      <c r="A1450" s="488" t="s">
        <v>1201</v>
      </c>
      <c r="B1450" s="488" t="s">
        <v>1202</v>
      </c>
      <c r="C1450" s="488" t="s">
        <v>638</v>
      </c>
      <c r="D1450" s="488" t="s">
        <v>263</v>
      </c>
      <c r="E1450" s="488" t="s">
        <v>654</v>
      </c>
      <c r="F1450" s="489" t="s">
        <v>664</v>
      </c>
      <c r="G1450" s="488" t="s">
        <v>656</v>
      </c>
      <c r="H1450" s="489"/>
      <c r="I1450" s="489"/>
      <c r="J1450" s="489" t="s">
        <v>1138</v>
      </c>
      <c r="K1450" s="491"/>
      <c r="L1450" s="488"/>
      <c r="M1450" s="488"/>
      <c r="N1450" s="489"/>
      <c r="O1450" s="489"/>
      <c r="P1450" s="489"/>
      <c r="Q1450" s="489"/>
      <c r="R1450" s="490"/>
      <c r="S1450" s="489"/>
      <c r="T1450" s="488" t="s">
        <v>268</v>
      </c>
    </row>
    <row r="1451" ht="34.5">
      <c r="A1451" s="488" t="s">
        <v>1201</v>
      </c>
      <c r="B1451" s="488" t="s">
        <v>1202</v>
      </c>
      <c r="C1451" s="488" t="s">
        <v>638</v>
      </c>
      <c r="D1451" s="488" t="s">
        <v>263</v>
      </c>
      <c r="E1451" s="488" t="s">
        <v>654</v>
      </c>
      <c r="F1451" s="489" t="s">
        <v>664</v>
      </c>
      <c r="G1451" s="488" t="s">
        <v>656</v>
      </c>
      <c r="H1451" s="489"/>
      <c r="I1451" s="489"/>
      <c r="J1451" s="489" t="s">
        <v>1385</v>
      </c>
      <c r="K1451" s="491"/>
      <c r="L1451" s="488"/>
      <c r="M1451" s="488"/>
      <c r="N1451" s="489"/>
      <c r="O1451" s="489"/>
      <c r="P1451" s="489"/>
      <c r="Q1451" s="489"/>
      <c r="R1451" s="490"/>
      <c r="S1451" s="489"/>
      <c r="T1451" s="488" t="s">
        <v>268</v>
      </c>
    </row>
    <row r="1452" ht="34.5">
      <c r="A1452" s="488" t="s">
        <v>1201</v>
      </c>
      <c r="B1452" s="488" t="s">
        <v>1202</v>
      </c>
      <c r="C1452" s="488" t="s">
        <v>638</v>
      </c>
      <c r="D1452" s="488" t="s">
        <v>263</v>
      </c>
      <c r="E1452" s="488" t="s">
        <v>654</v>
      </c>
      <c r="F1452" s="489" t="s">
        <v>664</v>
      </c>
      <c r="G1452" s="488" t="s">
        <v>656</v>
      </c>
      <c r="H1452" s="489"/>
      <c r="I1452" s="489"/>
      <c r="J1452" s="489" t="s">
        <v>1386</v>
      </c>
      <c r="K1452" s="491">
        <v>14188102</v>
      </c>
      <c r="L1452" s="488" t="s">
        <v>429</v>
      </c>
      <c r="M1452" s="488"/>
      <c r="N1452" s="489"/>
      <c r="O1452" s="489"/>
      <c r="P1452" s="489"/>
      <c r="Q1452" s="489"/>
      <c r="R1452" s="490"/>
      <c r="S1452" s="489"/>
      <c r="T1452" s="488" t="s">
        <v>268</v>
      </c>
    </row>
    <row r="1453" ht="34.5">
      <c r="A1453" s="488" t="s">
        <v>1201</v>
      </c>
      <c r="B1453" s="488" t="s">
        <v>1202</v>
      </c>
      <c r="C1453" s="488" t="s">
        <v>643</v>
      </c>
      <c r="D1453" s="488" t="s">
        <v>263</v>
      </c>
      <c r="E1453" s="488" t="s">
        <v>654</v>
      </c>
      <c r="F1453" s="489" t="s">
        <v>664</v>
      </c>
      <c r="G1453" s="488" t="s">
        <v>656</v>
      </c>
      <c r="H1453" s="489"/>
      <c r="I1453" s="489"/>
      <c r="J1453" s="489" t="s">
        <v>1142</v>
      </c>
      <c r="K1453" s="491"/>
      <c r="L1453" s="488"/>
      <c r="M1453" s="488"/>
      <c r="N1453" s="489"/>
      <c r="O1453" s="489"/>
      <c r="P1453" s="489"/>
      <c r="Q1453" s="489"/>
      <c r="R1453" s="490"/>
      <c r="S1453" s="489"/>
      <c r="T1453" s="488" t="s">
        <v>268</v>
      </c>
    </row>
    <row r="1454" ht="34.5">
      <c r="A1454" s="488" t="s">
        <v>1201</v>
      </c>
      <c r="B1454" s="488" t="s">
        <v>1202</v>
      </c>
      <c r="C1454" s="488" t="s">
        <v>643</v>
      </c>
      <c r="D1454" s="488" t="s">
        <v>263</v>
      </c>
      <c r="E1454" s="488" t="s">
        <v>654</v>
      </c>
      <c r="F1454" s="489" t="s">
        <v>664</v>
      </c>
      <c r="G1454" s="488" t="s">
        <v>656</v>
      </c>
      <c r="H1454" s="489"/>
      <c r="I1454" s="489"/>
      <c r="J1454" s="489" t="s">
        <v>1387</v>
      </c>
      <c r="K1454" s="491">
        <v>386936</v>
      </c>
      <c r="L1454" s="488" t="s">
        <v>429</v>
      </c>
      <c r="M1454" s="488"/>
      <c r="N1454" s="489"/>
      <c r="O1454" s="489"/>
      <c r="P1454" s="489"/>
      <c r="Q1454" s="489"/>
      <c r="R1454" s="490"/>
      <c r="S1454" s="489"/>
      <c r="T1454" s="488" t="s">
        <v>268</v>
      </c>
    </row>
    <row r="1455" ht="34.5">
      <c r="A1455" s="488" t="s">
        <v>1201</v>
      </c>
      <c r="B1455" s="488" t="s">
        <v>1202</v>
      </c>
      <c r="C1455" s="488" t="s">
        <v>643</v>
      </c>
      <c r="D1455" s="488" t="s">
        <v>263</v>
      </c>
      <c r="E1455" s="488" t="s">
        <v>654</v>
      </c>
      <c r="F1455" s="489" t="s">
        <v>664</v>
      </c>
      <c r="G1455" s="488" t="s">
        <v>656</v>
      </c>
      <c r="H1455" s="489"/>
      <c r="I1455" s="489"/>
      <c r="J1455" s="489" t="s">
        <v>1388</v>
      </c>
      <c r="K1455" s="491"/>
      <c r="L1455" s="488"/>
      <c r="M1455" s="488"/>
      <c r="N1455" s="489"/>
      <c r="O1455" s="489"/>
      <c r="P1455" s="489"/>
      <c r="Q1455" s="489"/>
      <c r="R1455" s="490"/>
      <c r="S1455" s="489"/>
      <c r="T1455" s="488" t="s">
        <v>268</v>
      </c>
    </row>
    <row r="1456" ht="34.5">
      <c r="A1456" s="488" t="s">
        <v>1201</v>
      </c>
      <c r="B1456" s="488" t="s">
        <v>1202</v>
      </c>
      <c r="C1456" s="488" t="s">
        <v>643</v>
      </c>
      <c r="D1456" s="488" t="s">
        <v>263</v>
      </c>
      <c r="E1456" s="488" t="s">
        <v>654</v>
      </c>
      <c r="F1456" s="489" t="s">
        <v>664</v>
      </c>
      <c r="G1456" s="488" t="s">
        <v>656</v>
      </c>
      <c r="H1456" s="489"/>
      <c r="I1456" s="489"/>
      <c r="J1456" s="489" t="s">
        <v>1389</v>
      </c>
      <c r="K1456" s="491">
        <v>86820</v>
      </c>
      <c r="L1456" s="488" t="s">
        <v>429</v>
      </c>
      <c r="M1456" s="488"/>
      <c r="N1456" s="489"/>
      <c r="O1456" s="489"/>
      <c r="P1456" s="489"/>
      <c r="Q1456" s="489"/>
      <c r="R1456" s="490"/>
      <c r="S1456" s="489"/>
      <c r="T1456" s="488" t="s">
        <v>268</v>
      </c>
    </row>
    <row r="1457" ht="34.5">
      <c r="A1457" s="488" t="s">
        <v>1201</v>
      </c>
      <c r="B1457" s="488" t="s">
        <v>1202</v>
      </c>
      <c r="C1457" s="488" t="s">
        <v>643</v>
      </c>
      <c r="D1457" s="488" t="s">
        <v>263</v>
      </c>
      <c r="E1457" s="488" t="s">
        <v>654</v>
      </c>
      <c r="F1457" s="489" t="s">
        <v>664</v>
      </c>
      <c r="G1457" s="488" t="s">
        <v>656</v>
      </c>
      <c r="H1457" s="489"/>
      <c r="I1457" s="489"/>
      <c r="J1457" s="489" t="s">
        <v>915</v>
      </c>
      <c r="K1457" s="491"/>
      <c r="L1457" s="488"/>
      <c r="M1457" s="488"/>
      <c r="N1457" s="489"/>
      <c r="O1457" s="489"/>
      <c r="P1457" s="489"/>
      <c r="Q1457" s="489"/>
      <c r="R1457" s="490"/>
      <c r="S1457" s="489"/>
      <c r="T1457" s="488" t="s">
        <v>268</v>
      </c>
    </row>
    <row r="1458" ht="34.5">
      <c r="A1458" s="488" t="s">
        <v>1201</v>
      </c>
      <c r="B1458" s="488" t="s">
        <v>1202</v>
      </c>
      <c r="C1458" s="488" t="s">
        <v>643</v>
      </c>
      <c r="D1458" s="488" t="s">
        <v>263</v>
      </c>
      <c r="E1458" s="488" t="s">
        <v>654</v>
      </c>
      <c r="F1458" s="489" t="s">
        <v>664</v>
      </c>
      <c r="G1458" s="488" t="s">
        <v>656</v>
      </c>
      <c r="H1458" s="489"/>
      <c r="I1458" s="489"/>
      <c r="J1458" s="489" t="s">
        <v>671</v>
      </c>
      <c r="K1458" s="491"/>
      <c r="L1458" s="488"/>
      <c r="M1458" s="488"/>
      <c r="N1458" s="489"/>
      <c r="O1458" s="489"/>
      <c r="P1458" s="489"/>
      <c r="Q1458" s="489"/>
      <c r="R1458" s="490"/>
      <c r="S1458" s="489"/>
      <c r="T1458" s="488" t="s">
        <v>268</v>
      </c>
    </row>
    <row r="1459" ht="34.5">
      <c r="A1459" s="488" t="s">
        <v>1201</v>
      </c>
      <c r="B1459" s="488" t="s">
        <v>1202</v>
      </c>
      <c r="C1459" s="488" t="s">
        <v>643</v>
      </c>
      <c r="D1459" s="488" t="s">
        <v>263</v>
      </c>
      <c r="E1459" s="488" t="s">
        <v>654</v>
      </c>
      <c r="F1459" s="489" t="s">
        <v>664</v>
      </c>
      <c r="G1459" s="488" t="s">
        <v>656</v>
      </c>
      <c r="H1459" s="489"/>
      <c r="I1459" s="489"/>
      <c r="J1459" s="489" t="s">
        <v>672</v>
      </c>
      <c r="K1459" s="491"/>
      <c r="L1459" s="488"/>
      <c r="M1459" s="488"/>
      <c r="N1459" s="489"/>
      <c r="O1459" s="489"/>
      <c r="P1459" s="489"/>
      <c r="Q1459" s="489"/>
      <c r="R1459" s="490"/>
      <c r="S1459" s="489"/>
      <c r="T1459" s="488" t="s">
        <v>268</v>
      </c>
    </row>
    <row r="1460" ht="34.5">
      <c r="A1460" s="488" t="s">
        <v>1201</v>
      </c>
      <c r="B1460" s="488" t="s">
        <v>1202</v>
      </c>
      <c r="C1460" s="488" t="s">
        <v>647</v>
      </c>
      <c r="D1460" s="488" t="s">
        <v>263</v>
      </c>
      <c r="E1460" s="488" t="s">
        <v>654</v>
      </c>
      <c r="F1460" s="489" t="s">
        <v>664</v>
      </c>
      <c r="G1460" s="488" t="s">
        <v>656</v>
      </c>
      <c r="H1460" s="489"/>
      <c r="I1460" s="489"/>
      <c r="J1460" s="489" t="s">
        <v>677</v>
      </c>
      <c r="K1460" s="491"/>
      <c r="L1460" s="488"/>
      <c r="M1460" s="488"/>
      <c r="N1460" s="489"/>
      <c r="O1460" s="489"/>
      <c r="P1460" s="489"/>
      <c r="Q1460" s="489"/>
      <c r="R1460" s="490"/>
      <c r="S1460" s="489"/>
      <c r="T1460" s="488" t="s">
        <v>268</v>
      </c>
    </row>
    <row r="1461" ht="34.5">
      <c r="A1461" s="488" t="s">
        <v>1201</v>
      </c>
      <c r="B1461" s="488" t="s">
        <v>1202</v>
      </c>
      <c r="C1461" s="488" t="s">
        <v>647</v>
      </c>
      <c r="D1461" s="488" t="s">
        <v>263</v>
      </c>
      <c r="E1461" s="488" t="s">
        <v>654</v>
      </c>
      <c r="F1461" s="489" t="s">
        <v>664</v>
      </c>
      <c r="G1461" s="488" t="s">
        <v>656</v>
      </c>
      <c r="H1461" s="489"/>
      <c r="I1461" s="489"/>
      <c r="J1461" s="489" t="s">
        <v>673</v>
      </c>
      <c r="K1461" s="491"/>
      <c r="L1461" s="488"/>
      <c r="M1461" s="488"/>
      <c r="N1461" s="489"/>
      <c r="O1461" s="489"/>
      <c r="P1461" s="489"/>
      <c r="Q1461" s="489"/>
      <c r="R1461" s="490"/>
      <c r="S1461" s="489"/>
      <c r="T1461" s="488" t="s">
        <v>268</v>
      </c>
    </row>
    <row r="1462" ht="34.5">
      <c r="A1462" s="488" t="s">
        <v>1201</v>
      </c>
      <c r="B1462" s="488" t="s">
        <v>1202</v>
      </c>
      <c r="C1462" s="488" t="s">
        <v>647</v>
      </c>
      <c r="D1462" s="488" t="s">
        <v>263</v>
      </c>
      <c r="E1462" s="488" t="s">
        <v>654</v>
      </c>
      <c r="F1462" s="489" t="s">
        <v>664</v>
      </c>
      <c r="G1462" s="488" t="s">
        <v>656</v>
      </c>
      <c r="H1462" s="489"/>
      <c r="I1462" s="489"/>
      <c r="J1462" s="489" t="s">
        <v>1390</v>
      </c>
      <c r="K1462" s="491">
        <v>45000000</v>
      </c>
      <c r="L1462" s="488" t="s">
        <v>429</v>
      </c>
      <c r="M1462" s="488"/>
      <c r="N1462" s="489"/>
      <c r="O1462" s="489"/>
      <c r="P1462" s="489"/>
      <c r="Q1462" s="489"/>
      <c r="R1462" s="490"/>
      <c r="S1462" s="489"/>
      <c r="T1462" s="488" t="s">
        <v>268</v>
      </c>
    </row>
    <row r="1463" ht="34.5">
      <c r="A1463" s="488" t="s">
        <v>1201</v>
      </c>
      <c r="B1463" s="488" t="s">
        <v>1202</v>
      </c>
      <c r="C1463" s="488" t="s">
        <v>647</v>
      </c>
      <c r="D1463" s="488" t="s">
        <v>263</v>
      </c>
      <c r="E1463" s="488" t="s">
        <v>654</v>
      </c>
      <c r="F1463" s="489" t="s">
        <v>664</v>
      </c>
      <c r="G1463" s="488" t="s">
        <v>656</v>
      </c>
      <c r="H1463" s="489"/>
      <c r="I1463" s="489"/>
      <c r="J1463" s="489" t="s">
        <v>1391</v>
      </c>
      <c r="K1463" s="491">
        <v>1829780</v>
      </c>
      <c r="L1463" s="488" t="s">
        <v>429</v>
      </c>
      <c r="M1463" s="488"/>
      <c r="N1463" s="489"/>
      <c r="O1463" s="489"/>
      <c r="P1463" s="489"/>
      <c r="Q1463" s="489"/>
      <c r="R1463" s="490"/>
      <c r="S1463" s="489"/>
      <c r="T1463" s="488" t="s">
        <v>268</v>
      </c>
    </row>
    <row r="1464" ht="34.5">
      <c r="A1464" s="488" t="s">
        <v>1201</v>
      </c>
      <c r="B1464" s="488" t="s">
        <v>1202</v>
      </c>
      <c r="C1464" s="488" t="s">
        <v>647</v>
      </c>
      <c r="D1464" s="488" t="s">
        <v>263</v>
      </c>
      <c r="E1464" s="488" t="s">
        <v>684</v>
      </c>
      <c r="F1464" s="489" t="s">
        <v>1392</v>
      </c>
      <c r="G1464" s="488" t="s">
        <v>686</v>
      </c>
      <c r="H1464" s="489"/>
      <c r="I1464" s="489"/>
      <c r="J1464" s="489" t="s">
        <v>1393</v>
      </c>
      <c r="K1464" s="491"/>
      <c r="L1464" s="488"/>
      <c r="M1464" s="488"/>
      <c r="N1464" s="489"/>
      <c r="O1464" s="489"/>
      <c r="P1464" s="489"/>
      <c r="Q1464" s="489"/>
      <c r="R1464" s="490"/>
      <c r="S1464" s="489"/>
      <c r="T1464" s="488" t="s">
        <v>268</v>
      </c>
    </row>
    <row r="1465" ht="34.5">
      <c r="A1465" s="488" t="s">
        <v>1201</v>
      </c>
      <c r="B1465" s="488" t="s">
        <v>1202</v>
      </c>
      <c r="C1465" s="488" t="s">
        <v>647</v>
      </c>
      <c r="D1465" s="488" t="s">
        <v>263</v>
      </c>
      <c r="E1465" s="488" t="s">
        <v>684</v>
      </c>
      <c r="F1465" s="489" t="s">
        <v>1392</v>
      </c>
      <c r="G1465" s="488" t="s">
        <v>686</v>
      </c>
      <c r="H1465" s="489"/>
      <c r="I1465" s="489"/>
      <c r="J1465" s="489" t="s">
        <v>1394</v>
      </c>
      <c r="K1465" s="491"/>
      <c r="L1465" s="488"/>
      <c r="M1465" s="488"/>
      <c r="N1465" s="489"/>
      <c r="O1465" s="489"/>
      <c r="P1465" s="489"/>
      <c r="Q1465" s="489"/>
      <c r="R1465" s="490"/>
      <c r="S1465" s="489"/>
      <c r="T1465" s="488" t="s">
        <v>268</v>
      </c>
    </row>
    <row r="1466" ht="34.5">
      <c r="A1466" s="488" t="s">
        <v>1201</v>
      </c>
      <c r="B1466" s="488" t="s">
        <v>1202</v>
      </c>
      <c r="C1466" s="488" t="s">
        <v>647</v>
      </c>
      <c r="D1466" s="488" t="s">
        <v>263</v>
      </c>
      <c r="E1466" s="488" t="s">
        <v>684</v>
      </c>
      <c r="F1466" s="489" t="s">
        <v>1392</v>
      </c>
      <c r="G1466" s="488" t="s">
        <v>686</v>
      </c>
      <c r="H1466" s="489"/>
      <c r="I1466" s="489"/>
      <c r="J1466" s="489" t="s">
        <v>1395</v>
      </c>
      <c r="K1466" s="491"/>
      <c r="L1466" s="488"/>
      <c r="M1466" s="488"/>
      <c r="N1466" s="489"/>
      <c r="O1466" s="489"/>
      <c r="P1466" s="489"/>
      <c r="Q1466" s="489"/>
      <c r="R1466" s="490"/>
      <c r="S1466" s="489"/>
      <c r="T1466" s="488" t="s">
        <v>268</v>
      </c>
    </row>
    <row r="1467" ht="34.5">
      <c r="A1467" s="488" t="s">
        <v>1201</v>
      </c>
      <c r="B1467" s="488" t="s">
        <v>1202</v>
      </c>
      <c r="C1467" s="488" t="s">
        <v>647</v>
      </c>
      <c r="D1467" s="488" t="s">
        <v>263</v>
      </c>
      <c r="E1467" s="488" t="s">
        <v>684</v>
      </c>
      <c r="F1467" s="489" t="s">
        <v>1392</v>
      </c>
      <c r="G1467" s="488" t="s">
        <v>686</v>
      </c>
      <c r="H1467" s="489"/>
      <c r="I1467" s="489"/>
      <c r="J1467" s="489" t="s">
        <v>1396</v>
      </c>
      <c r="K1467" s="491"/>
      <c r="L1467" s="488"/>
      <c r="M1467" s="488"/>
      <c r="N1467" s="489"/>
      <c r="O1467" s="489"/>
      <c r="P1467" s="489"/>
      <c r="Q1467" s="489"/>
      <c r="R1467" s="490"/>
      <c r="S1467" s="489"/>
      <c r="T1467" s="488" t="s">
        <v>268</v>
      </c>
    </row>
    <row r="1468" ht="34.5">
      <c r="A1468" s="488" t="s">
        <v>1201</v>
      </c>
      <c r="B1468" s="488" t="s">
        <v>1202</v>
      </c>
      <c r="C1468" s="488" t="s">
        <v>653</v>
      </c>
      <c r="D1468" s="488" t="s">
        <v>263</v>
      </c>
      <c r="E1468" s="488" t="s">
        <v>654</v>
      </c>
      <c r="F1468" s="489" t="s">
        <v>1397</v>
      </c>
      <c r="G1468" s="488" t="s">
        <v>686</v>
      </c>
      <c r="H1468" s="489"/>
      <c r="I1468" s="489"/>
      <c r="J1468" s="489" t="s">
        <v>1398</v>
      </c>
      <c r="K1468" s="491"/>
      <c r="L1468" s="488"/>
      <c r="M1468" s="488"/>
      <c r="N1468" s="489"/>
      <c r="O1468" s="489"/>
      <c r="P1468" s="489"/>
      <c r="Q1468" s="489"/>
      <c r="R1468" s="490"/>
      <c r="S1468" s="489"/>
      <c r="T1468" s="488" t="s">
        <v>268</v>
      </c>
    </row>
    <row r="1469" ht="34.5">
      <c r="A1469" s="488" t="s">
        <v>1201</v>
      </c>
      <c r="B1469" s="488" t="s">
        <v>1202</v>
      </c>
      <c r="C1469" s="488" t="s">
        <v>653</v>
      </c>
      <c r="D1469" s="488" t="s">
        <v>263</v>
      </c>
      <c r="E1469" s="488" t="s">
        <v>654</v>
      </c>
      <c r="F1469" s="489" t="s">
        <v>1397</v>
      </c>
      <c r="G1469" s="488" t="s">
        <v>686</v>
      </c>
      <c r="H1469" s="489"/>
      <c r="I1469" s="489"/>
      <c r="J1469" s="489" t="s">
        <v>1399</v>
      </c>
      <c r="K1469" s="491"/>
      <c r="L1469" s="488"/>
      <c r="M1469" s="488"/>
      <c r="N1469" s="489"/>
      <c r="O1469" s="489"/>
      <c r="P1469" s="489"/>
      <c r="Q1469" s="489"/>
      <c r="R1469" s="490"/>
      <c r="S1469" s="489"/>
      <c r="T1469" s="488" t="s">
        <v>268</v>
      </c>
    </row>
    <row r="1470" ht="34.5">
      <c r="A1470" s="488" t="s">
        <v>1201</v>
      </c>
      <c r="B1470" s="488" t="s">
        <v>1202</v>
      </c>
      <c r="C1470" s="488" t="s">
        <v>663</v>
      </c>
      <c r="D1470" s="488" t="s">
        <v>263</v>
      </c>
      <c r="E1470" s="488" t="s">
        <v>654</v>
      </c>
      <c r="F1470" s="489" t="s">
        <v>1397</v>
      </c>
      <c r="G1470" s="488" t="s">
        <v>686</v>
      </c>
      <c r="H1470" s="489"/>
      <c r="I1470" s="489"/>
      <c r="J1470" s="489" t="s">
        <v>694</v>
      </c>
      <c r="K1470" s="491"/>
      <c r="L1470" s="488"/>
      <c r="M1470" s="488"/>
      <c r="N1470" s="489"/>
      <c r="O1470" s="489"/>
      <c r="P1470" s="489"/>
      <c r="Q1470" s="489"/>
      <c r="R1470" s="490"/>
      <c r="S1470" s="489"/>
      <c r="T1470" s="488" t="s">
        <v>268</v>
      </c>
    </row>
    <row r="1471" ht="34.5">
      <c r="A1471" s="488" t="s">
        <v>1201</v>
      </c>
      <c r="B1471" s="488" t="s">
        <v>1202</v>
      </c>
      <c r="C1471" s="488" t="s">
        <v>663</v>
      </c>
      <c r="D1471" s="488" t="s">
        <v>263</v>
      </c>
      <c r="E1471" s="488" t="s">
        <v>654</v>
      </c>
      <c r="F1471" s="489" t="s">
        <v>1397</v>
      </c>
      <c r="G1471" s="488" t="s">
        <v>686</v>
      </c>
      <c r="H1471" s="489"/>
      <c r="I1471" s="489"/>
      <c r="J1471" s="489" t="s">
        <v>1400</v>
      </c>
      <c r="K1471" s="491"/>
      <c r="L1471" s="488"/>
      <c r="M1471" s="488"/>
      <c r="N1471" s="489"/>
      <c r="O1471" s="489"/>
      <c r="P1471" s="489"/>
      <c r="Q1471" s="489"/>
      <c r="R1471" s="490"/>
      <c r="S1471" s="489"/>
      <c r="T1471" s="488" t="s">
        <v>268</v>
      </c>
    </row>
    <row r="1472" ht="34.5">
      <c r="A1472" s="488" t="s">
        <v>1201</v>
      </c>
      <c r="B1472" s="488" t="s">
        <v>1202</v>
      </c>
      <c r="C1472" s="488" t="s">
        <v>663</v>
      </c>
      <c r="D1472" s="488" t="s">
        <v>263</v>
      </c>
      <c r="E1472" s="488" t="s">
        <v>654</v>
      </c>
      <c r="F1472" s="489" t="s">
        <v>1397</v>
      </c>
      <c r="G1472" s="488" t="s">
        <v>686</v>
      </c>
      <c r="H1472" s="489"/>
      <c r="I1472" s="489"/>
      <c r="J1472" s="489" t="s">
        <v>1401</v>
      </c>
      <c r="K1472" s="491"/>
      <c r="L1472" s="488"/>
      <c r="M1472" s="488"/>
      <c r="N1472" s="489"/>
      <c r="O1472" s="489"/>
      <c r="P1472" s="489"/>
      <c r="Q1472" s="489"/>
      <c r="R1472" s="490"/>
      <c r="S1472" s="489"/>
      <c r="T1472" s="488" t="s">
        <v>268</v>
      </c>
    </row>
    <row r="1473" ht="34.5">
      <c r="A1473" s="488" t="s">
        <v>1201</v>
      </c>
      <c r="B1473" s="488" t="s">
        <v>1202</v>
      </c>
      <c r="C1473" s="488" t="s">
        <v>663</v>
      </c>
      <c r="D1473" s="488" t="s">
        <v>263</v>
      </c>
      <c r="E1473" s="488" t="s">
        <v>654</v>
      </c>
      <c r="F1473" s="489" t="s">
        <v>1397</v>
      </c>
      <c r="G1473" s="488" t="s">
        <v>686</v>
      </c>
      <c r="H1473" s="489"/>
      <c r="I1473" s="489"/>
      <c r="J1473" s="489" t="s">
        <v>1402</v>
      </c>
      <c r="K1473" s="491">
        <v>11057503</v>
      </c>
      <c r="L1473" s="488" t="s">
        <v>429</v>
      </c>
      <c r="M1473" s="488"/>
      <c r="N1473" s="489"/>
      <c r="O1473" s="489"/>
      <c r="P1473" s="489"/>
      <c r="Q1473" s="489"/>
      <c r="R1473" s="490"/>
      <c r="S1473" s="489"/>
      <c r="T1473" s="488" t="s">
        <v>268</v>
      </c>
    </row>
    <row r="1474" ht="34.5">
      <c r="A1474" s="488" t="s">
        <v>1201</v>
      </c>
      <c r="B1474" s="488" t="s">
        <v>1202</v>
      </c>
      <c r="C1474" s="488" t="s">
        <v>669</v>
      </c>
      <c r="D1474" s="488" t="s">
        <v>263</v>
      </c>
      <c r="E1474" s="488" t="s">
        <v>654</v>
      </c>
      <c r="F1474" s="489" t="s">
        <v>1397</v>
      </c>
      <c r="G1474" s="488" t="s">
        <v>686</v>
      </c>
      <c r="H1474" s="489"/>
      <c r="I1474" s="489"/>
      <c r="J1474" s="489" t="s">
        <v>1403</v>
      </c>
      <c r="K1474" s="491"/>
      <c r="L1474" s="488"/>
      <c r="M1474" s="488"/>
      <c r="N1474" s="489"/>
      <c r="O1474" s="489"/>
      <c r="P1474" s="489"/>
      <c r="Q1474" s="489"/>
      <c r="R1474" s="490"/>
      <c r="S1474" s="489"/>
      <c r="T1474" s="488" t="s">
        <v>268</v>
      </c>
    </row>
    <row r="1475" ht="34.5">
      <c r="A1475" s="488" t="s">
        <v>1201</v>
      </c>
      <c r="B1475" s="488" t="s">
        <v>1202</v>
      </c>
      <c r="C1475" s="488" t="s">
        <v>669</v>
      </c>
      <c r="D1475" s="488" t="s">
        <v>263</v>
      </c>
      <c r="E1475" s="488" t="s">
        <v>654</v>
      </c>
      <c r="F1475" s="489" t="s">
        <v>1397</v>
      </c>
      <c r="G1475" s="488" t="s">
        <v>686</v>
      </c>
      <c r="H1475" s="489"/>
      <c r="I1475" s="489"/>
      <c r="J1475" s="489" t="s">
        <v>1404</v>
      </c>
      <c r="K1475" s="491"/>
      <c r="L1475" s="488"/>
      <c r="M1475" s="488"/>
      <c r="N1475" s="489"/>
      <c r="O1475" s="489"/>
      <c r="P1475" s="489"/>
      <c r="Q1475" s="489"/>
      <c r="R1475" s="490"/>
      <c r="S1475" s="489"/>
      <c r="T1475" s="488" t="s">
        <v>268</v>
      </c>
    </row>
    <row r="1476" ht="34.5">
      <c r="A1476" s="488" t="s">
        <v>1201</v>
      </c>
      <c r="B1476" s="488" t="s">
        <v>1202</v>
      </c>
      <c r="C1476" s="488" t="s">
        <v>676</v>
      </c>
      <c r="D1476" s="488" t="s">
        <v>263</v>
      </c>
      <c r="E1476" s="488" t="s">
        <v>654</v>
      </c>
      <c r="F1476" s="489" t="s">
        <v>1397</v>
      </c>
      <c r="G1476" s="488" t="s">
        <v>686</v>
      </c>
      <c r="H1476" s="489"/>
      <c r="I1476" s="489"/>
      <c r="J1476" s="489" t="s">
        <v>700</v>
      </c>
      <c r="K1476" s="491"/>
      <c r="L1476" s="488"/>
      <c r="M1476" s="488"/>
      <c r="N1476" s="489"/>
      <c r="O1476" s="489"/>
      <c r="P1476" s="489"/>
      <c r="Q1476" s="489"/>
      <c r="R1476" s="490"/>
      <c r="S1476" s="489"/>
      <c r="T1476" s="488" t="s">
        <v>268</v>
      </c>
    </row>
    <row r="1477" ht="34.5">
      <c r="A1477" s="488" t="s">
        <v>1201</v>
      </c>
      <c r="B1477" s="488" t="s">
        <v>1202</v>
      </c>
      <c r="C1477" s="488" t="s">
        <v>683</v>
      </c>
      <c r="D1477" s="488" t="s">
        <v>263</v>
      </c>
      <c r="E1477" s="488" t="s">
        <v>654</v>
      </c>
      <c r="F1477" s="489" t="s">
        <v>1397</v>
      </c>
      <c r="G1477" s="488" t="s">
        <v>686</v>
      </c>
      <c r="H1477" s="489"/>
      <c r="I1477" s="489"/>
      <c r="J1477" s="489" t="s">
        <v>702</v>
      </c>
      <c r="K1477" s="491"/>
      <c r="L1477" s="488"/>
      <c r="M1477" s="488"/>
      <c r="N1477" s="489"/>
      <c r="O1477" s="489"/>
      <c r="P1477" s="489"/>
      <c r="Q1477" s="489"/>
      <c r="R1477" s="490"/>
      <c r="S1477" s="489"/>
      <c r="T1477" s="488" t="s">
        <v>268</v>
      </c>
    </row>
    <row r="1478" ht="34.5">
      <c r="A1478" s="488" t="s">
        <v>1201</v>
      </c>
      <c r="B1478" s="488" t="s">
        <v>1202</v>
      </c>
      <c r="C1478" s="488" t="s">
        <v>689</v>
      </c>
      <c r="D1478" s="488" t="s">
        <v>263</v>
      </c>
      <c r="E1478" s="488" t="s">
        <v>654</v>
      </c>
      <c r="F1478" s="489" t="s">
        <v>1397</v>
      </c>
      <c r="G1478" s="488" t="s">
        <v>686</v>
      </c>
      <c r="H1478" s="489"/>
      <c r="I1478" s="489"/>
      <c r="J1478" s="489" t="s">
        <v>704</v>
      </c>
      <c r="K1478" s="491"/>
      <c r="L1478" s="488"/>
      <c r="M1478" s="488"/>
      <c r="N1478" s="489"/>
      <c r="O1478" s="489"/>
      <c r="P1478" s="489"/>
      <c r="Q1478" s="489"/>
      <c r="R1478" s="490"/>
      <c r="S1478" s="489"/>
      <c r="T1478" s="488" t="s">
        <v>268</v>
      </c>
    </row>
    <row r="1479" ht="34.5">
      <c r="A1479" s="488" t="s">
        <v>1201</v>
      </c>
      <c r="B1479" s="488" t="s">
        <v>1202</v>
      </c>
      <c r="C1479" s="488" t="s">
        <v>693</v>
      </c>
      <c r="D1479" s="488" t="s">
        <v>263</v>
      </c>
      <c r="E1479" s="488" t="s">
        <v>654</v>
      </c>
      <c r="F1479" s="489" t="s">
        <v>1397</v>
      </c>
      <c r="G1479" s="488" t="s">
        <v>686</v>
      </c>
      <c r="H1479" s="489"/>
      <c r="I1479" s="489"/>
      <c r="J1479" s="489" t="s">
        <v>690</v>
      </c>
      <c r="K1479" s="491"/>
      <c r="L1479" s="488"/>
      <c r="M1479" s="488"/>
      <c r="N1479" s="489"/>
      <c r="O1479" s="489"/>
      <c r="P1479" s="489"/>
      <c r="Q1479" s="489"/>
      <c r="R1479" s="490"/>
      <c r="S1479" s="489"/>
      <c r="T1479" s="488" t="s">
        <v>268</v>
      </c>
    </row>
    <row r="1480" ht="34.5">
      <c r="A1480" s="488" t="s">
        <v>1201</v>
      </c>
      <c r="B1480" s="488" t="s">
        <v>1202</v>
      </c>
      <c r="C1480" s="488" t="s">
        <v>693</v>
      </c>
      <c r="D1480" s="488" t="s">
        <v>263</v>
      </c>
      <c r="E1480" s="488" t="s">
        <v>654</v>
      </c>
      <c r="F1480" s="489" t="s">
        <v>1397</v>
      </c>
      <c r="G1480" s="488" t="s">
        <v>686</v>
      </c>
      <c r="H1480" s="489"/>
      <c r="I1480" s="489"/>
      <c r="J1480" s="489" t="s">
        <v>1405</v>
      </c>
      <c r="K1480" s="491"/>
      <c r="L1480" s="488"/>
      <c r="M1480" s="488"/>
      <c r="N1480" s="489"/>
      <c r="O1480" s="489"/>
      <c r="P1480" s="489"/>
      <c r="Q1480" s="489"/>
      <c r="R1480" s="490"/>
      <c r="S1480" s="489"/>
      <c r="T1480" s="488" t="s">
        <v>268</v>
      </c>
    </row>
    <row r="1481" ht="34.5">
      <c r="A1481" s="488" t="s">
        <v>1201</v>
      </c>
      <c r="B1481" s="488" t="s">
        <v>1202</v>
      </c>
      <c r="C1481" s="488" t="s">
        <v>693</v>
      </c>
      <c r="D1481" s="488" t="s">
        <v>263</v>
      </c>
      <c r="E1481" s="488" t="s">
        <v>654</v>
      </c>
      <c r="F1481" s="489" t="s">
        <v>1397</v>
      </c>
      <c r="G1481" s="488" t="s">
        <v>686</v>
      </c>
      <c r="H1481" s="489"/>
      <c r="I1481" s="489"/>
      <c r="J1481" s="489" t="s">
        <v>1406</v>
      </c>
      <c r="K1481" s="491"/>
      <c r="L1481" s="488"/>
      <c r="M1481" s="488"/>
      <c r="N1481" s="489"/>
      <c r="O1481" s="489"/>
      <c r="P1481" s="489"/>
      <c r="Q1481" s="489"/>
      <c r="R1481" s="490"/>
      <c r="S1481" s="489"/>
      <c r="T1481" s="488" t="s">
        <v>268</v>
      </c>
    </row>
    <row r="1482" ht="34.5">
      <c r="A1482" s="488" t="s">
        <v>1201</v>
      </c>
      <c r="B1482" s="488" t="s">
        <v>1202</v>
      </c>
      <c r="C1482" s="488" t="s">
        <v>693</v>
      </c>
      <c r="D1482" s="488" t="s">
        <v>263</v>
      </c>
      <c r="E1482" s="488" t="s">
        <v>654</v>
      </c>
      <c r="F1482" s="489" t="s">
        <v>1397</v>
      </c>
      <c r="G1482" s="488" t="s">
        <v>686</v>
      </c>
      <c r="H1482" s="489"/>
      <c r="I1482" s="489"/>
      <c r="J1482" s="489" t="s">
        <v>925</v>
      </c>
      <c r="K1482" s="491"/>
      <c r="L1482" s="488"/>
      <c r="M1482" s="488"/>
      <c r="N1482" s="489"/>
      <c r="O1482" s="489"/>
      <c r="P1482" s="489"/>
      <c r="Q1482" s="489"/>
      <c r="R1482" s="490"/>
      <c r="S1482" s="489"/>
      <c r="T1482" s="488" t="s">
        <v>268</v>
      </c>
    </row>
    <row r="1483" ht="34.5">
      <c r="A1483" s="488" t="s">
        <v>1201</v>
      </c>
      <c r="B1483" s="488" t="s">
        <v>1202</v>
      </c>
      <c r="C1483" s="488" t="s">
        <v>693</v>
      </c>
      <c r="D1483" s="488" t="s">
        <v>263</v>
      </c>
      <c r="E1483" s="488" t="s">
        <v>654</v>
      </c>
      <c r="F1483" s="489" t="s">
        <v>1397</v>
      </c>
      <c r="G1483" s="488" t="s">
        <v>686</v>
      </c>
      <c r="H1483" s="489"/>
      <c r="I1483" s="489"/>
      <c r="J1483" s="489" t="s">
        <v>1407</v>
      </c>
      <c r="K1483" s="491"/>
      <c r="L1483" s="488"/>
      <c r="M1483" s="488"/>
      <c r="N1483" s="489"/>
      <c r="O1483" s="489"/>
      <c r="P1483" s="489"/>
      <c r="Q1483" s="489"/>
      <c r="R1483" s="490"/>
      <c r="S1483" s="489"/>
      <c r="T1483" s="488" t="s">
        <v>268</v>
      </c>
    </row>
    <row r="1484" ht="34.5">
      <c r="A1484" s="488" t="s">
        <v>1201</v>
      </c>
      <c r="B1484" s="488" t="s">
        <v>1202</v>
      </c>
      <c r="C1484" s="488" t="s">
        <v>693</v>
      </c>
      <c r="D1484" s="488" t="s">
        <v>263</v>
      </c>
      <c r="E1484" s="488" t="s">
        <v>654</v>
      </c>
      <c r="F1484" s="489" t="s">
        <v>1397</v>
      </c>
      <c r="G1484" s="488" t="s">
        <v>686</v>
      </c>
      <c r="H1484" s="489"/>
      <c r="I1484" s="489"/>
      <c r="J1484" s="489" t="s">
        <v>1408</v>
      </c>
      <c r="K1484" s="491"/>
      <c r="L1484" s="488"/>
      <c r="M1484" s="488"/>
      <c r="N1484" s="489"/>
      <c r="O1484" s="489"/>
      <c r="P1484" s="489"/>
      <c r="Q1484" s="489"/>
      <c r="R1484" s="490"/>
      <c r="S1484" s="489"/>
      <c r="T1484" s="488" t="s">
        <v>268</v>
      </c>
    </row>
    <row r="1485" ht="34.5">
      <c r="A1485" s="488" t="s">
        <v>1201</v>
      </c>
      <c r="B1485" s="488" t="s">
        <v>1202</v>
      </c>
      <c r="C1485" s="488" t="s">
        <v>693</v>
      </c>
      <c r="D1485" s="488" t="s">
        <v>263</v>
      </c>
      <c r="E1485" s="488" t="s">
        <v>654</v>
      </c>
      <c r="F1485" s="489" t="s">
        <v>1397</v>
      </c>
      <c r="G1485" s="488" t="s">
        <v>686</v>
      </c>
      <c r="H1485" s="489"/>
      <c r="I1485" s="489"/>
      <c r="J1485" s="489" t="s">
        <v>1409</v>
      </c>
      <c r="K1485" s="491"/>
      <c r="L1485" s="488"/>
      <c r="M1485" s="488"/>
      <c r="N1485" s="489"/>
      <c r="O1485" s="489"/>
      <c r="P1485" s="489"/>
      <c r="Q1485" s="489"/>
      <c r="R1485" s="490"/>
      <c r="S1485" s="489"/>
      <c r="T1485" s="488" t="s">
        <v>268</v>
      </c>
    </row>
    <row r="1486" ht="34.5">
      <c r="A1486" s="488" t="s">
        <v>1201</v>
      </c>
      <c r="B1486" s="488" t="s">
        <v>1202</v>
      </c>
      <c r="C1486" s="488" t="s">
        <v>693</v>
      </c>
      <c r="D1486" s="488" t="s">
        <v>263</v>
      </c>
      <c r="E1486" s="488" t="s">
        <v>654</v>
      </c>
      <c r="F1486" s="489" t="s">
        <v>1397</v>
      </c>
      <c r="G1486" s="488" t="s">
        <v>686</v>
      </c>
      <c r="H1486" s="489"/>
      <c r="I1486" s="489"/>
      <c r="J1486" s="489" t="s">
        <v>1410</v>
      </c>
      <c r="K1486" s="491"/>
      <c r="L1486" s="488"/>
      <c r="M1486" s="488"/>
      <c r="N1486" s="489"/>
      <c r="O1486" s="489"/>
      <c r="P1486" s="489"/>
      <c r="Q1486" s="489"/>
      <c r="R1486" s="490"/>
      <c r="S1486" s="489"/>
      <c r="T1486" s="488" t="s">
        <v>268</v>
      </c>
    </row>
    <row r="1487" ht="34.5">
      <c r="A1487" s="488" t="s">
        <v>1201</v>
      </c>
      <c r="B1487" s="488" t="s">
        <v>1202</v>
      </c>
      <c r="C1487" s="488" t="s">
        <v>693</v>
      </c>
      <c r="D1487" s="488" t="s">
        <v>263</v>
      </c>
      <c r="E1487" s="488" t="s">
        <v>654</v>
      </c>
      <c r="F1487" s="489" t="s">
        <v>1397</v>
      </c>
      <c r="G1487" s="488" t="s">
        <v>686</v>
      </c>
      <c r="H1487" s="489"/>
      <c r="I1487" s="489"/>
      <c r="J1487" s="489" t="s">
        <v>1411</v>
      </c>
      <c r="K1487" s="491"/>
      <c r="L1487" s="488"/>
      <c r="M1487" s="488"/>
      <c r="N1487" s="489"/>
      <c r="O1487" s="489"/>
      <c r="P1487" s="489"/>
      <c r="Q1487" s="489"/>
      <c r="R1487" s="490"/>
      <c r="S1487" s="489"/>
      <c r="T1487" s="488" t="s">
        <v>268</v>
      </c>
    </row>
    <row r="1488" ht="34.5">
      <c r="A1488" s="488" t="s">
        <v>1201</v>
      </c>
      <c r="B1488" s="488" t="s">
        <v>1202</v>
      </c>
      <c r="C1488" s="488" t="s">
        <v>693</v>
      </c>
      <c r="D1488" s="488" t="s">
        <v>263</v>
      </c>
      <c r="E1488" s="488" t="s">
        <v>654</v>
      </c>
      <c r="F1488" s="489" t="s">
        <v>1397</v>
      </c>
      <c r="G1488" s="488" t="s">
        <v>686</v>
      </c>
      <c r="H1488" s="489"/>
      <c r="I1488" s="489"/>
      <c r="J1488" s="489" t="s">
        <v>1412</v>
      </c>
      <c r="K1488" s="491"/>
      <c r="L1488" s="488"/>
      <c r="M1488" s="488"/>
      <c r="N1488" s="489"/>
      <c r="O1488" s="489"/>
      <c r="P1488" s="489"/>
      <c r="Q1488" s="489"/>
      <c r="R1488" s="490"/>
      <c r="S1488" s="489"/>
      <c r="T1488" s="488" t="s">
        <v>268</v>
      </c>
    </row>
    <row r="1489" ht="34.5">
      <c r="A1489" s="488" t="s">
        <v>1201</v>
      </c>
      <c r="B1489" s="488" t="s">
        <v>1202</v>
      </c>
      <c r="C1489" s="488" t="s">
        <v>693</v>
      </c>
      <c r="D1489" s="488" t="s">
        <v>263</v>
      </c>
      <c r="E1489" s="488" t="s">
        <v>654</v>
      </c>
      <c r="F1489" s="489" t="s">
        <v>1397</v>
      </c>
      <c r="G1489" s="488" t="s">
        <v>686</v>
      </c>
      <c r="H1489" s="489"/>
      <c r="I1489" s="489"/>
      <c r="J1489" s="489" t="s">
        <v>1413</v>
      </c>
      <c r="K1489" s="491"/>
      <c r="L1489" s="488"/>
      <c r="M1489" s="488"/>
      <c r="N1489" s="489"/>
      <c r="O1489" s="489"/>
      <c r="P1489" s="489"/>
      <c r="Q1489" s="489"/>
      <c r="R1489" s="490"/>
      <c r="S1489" s="489"/>
      <c r="T1489" s="488" t="s">
        <v>268</v>
      </c>
    </row>
    <row r="1490" ht="34.5">
      <c r="A1490" s="488" t="s">
        <v>1201</v>
      </c>
      <c r="B1490" s="488" t="s">
        <v>1202</v>
      </c>
      <c r="C1490" s="488" t="s">
        <v>693</v>
      </c>
      <c r="D1490" s="488" t="s">
        <v>263</v>
      </c>
      <c r="E1490" s="488" t="s">
        <v>654</v>
      </c>
      <c r="F1490" s="489" t="s">
        <v>1397</v>
      </c>
      <c r="G1490" s="488" t="s">
        <v>686</v>
      </c>
      <c r="H1490" s="489"/>
      <c r="I1490" s="489"/>
      <c r="J1490" s="489" t="s">
        <v>1414</v>
      </c>
      <c r="K1490" s="491"/>
      <c r="L1490" s="488"/>
      <c r="M1490" s="488"/>
      <c r="N1490" s="489"/>
      <c r="O1490" s="489"/>
      <c r="P1490" s="489"/>
      <c r="Q1490" s="489"/>
      <c r="R1490" s="490"/>
      <c r="S1490" s="489"/>
      <c r="T1490" s="488" t="s">
        <v>268</v>
      </c>
    </row>
    <row r="1491" ht="34.5">
      <c r="A1491" s="488" t="s">
        <v>1201</v>
      </c>
      <c r="B1491" s="488" t="s">
        <v>1202</v>
      </c>
      <c r="C1491" s="488" t="s">
        <v>697</v>
      </c>
      <c r="D1491" s="488" t="s">
        <v>263</v>
      </c>
      <c r="E1491" s="488" t="s">
        <v>654</v>
      </c>
      <c r="F1491" s="489" t="s">
        <v>1397</v>
      </c>
      <c r="G1491" s="488" t="s">
        <v>686</v>
      </c>
      <c r="H1491" s="489"/>
      <c r="I1491" s="489"/>
      <c r="J1491" s="489" t="s">
        <v>723</v>
      </c>
      <c r="K1491" s="491"/>
      <c r="L1491" s="488"/>
      <c r="M1491" s="488"/>
      <c r="N1491" s="489"/>
      <c r="O1491" s="489"/>
      <c r="P1491" s="489"/>
      <c r="Q1491" s="489"/>
      <c r="R1491" s="490"/>
      <c r="S1491" s="489"/>
      <c r="T1491" s="488" t="s">
        <v>268</v>
      </c>
    </row>
    <row r="1492" ht="34.5">
      <c r="A1492" s="488" t="s">
        <v>1201</v>
      </c>
      <c r="B1492" s="488" t="s">
        <v>1202</v>
      </c>
      <c r="C1492" s="488" t="s">
        <v>697</v>
      </c>
      <c r="D1492" s="488" t="s">
        <v>263</v>
      </c>
      <c r="E1492" s="488" t="s">
        <v>654</v>
      </c>
      <c r="F1492" s="489" t="s">
        <v>1397</v>
      </c>
      <c r="G1492" s="488" t="s">
        <v>686</v>
      </c>
      <c r="H1492" s="489"/>
      <c r="I1492" s="489"/>
      <c r="J1492" s="489" t="s">
        <v>1415</v>
      </c>
      <c r="K1492" s="491">
        <v>57204</v>
      </c>
      <c r="L1492" s="488" t="s">
        <v>429</v>
      </c>
      <c r="M1492" s="488"/>
      <c r="N1492" s="489"/>
      <c r="O1492" s="489"/>
      <c r="P1492" s="489"/>
      <c r="Q1492" s="489"/>
      <c r="R1492" s="490"/>
      <c r="S1492" s="489"/>
      <c r="T1492" s="488" t="s">
        <v>268</v>
      </c>
    </row>
    <row r="1493" ht="34.5">
      <c r="A1493" s="488" t="s">
        <v>1201</v>
      </c>
      <c r="B1493" s="488" t="s">
        <v>1202</v>
      </c>
      <c r="C1493" s="488" t="s">
        <v>697</v>
      </c>
      <c r="D1493" s="488" t="s">
        <v>263</v>
      </c>
      <c r="E1493" s="488" t="s">
        <v>654</v>
      </c>
      <c r="F1493" s="489" t="s">
        <v>1397</v>
      </c>
      <c r="G1493" s="488" t="s">
        <v>686</v>
      </c>
      <c r="H1493" s="489"/>
      <c r="I1493" s="489"/>
      <c r="J1493" s="489" t="s">
        <v>1416</v>
      </c>
      <c r="K1493" s="491"/>
      <c r="L1493" s="488"/>
      <c r="M1493" s="488"/>
      <c r="N1493" s="489"/>
      <c r="O1493" s="489"/>
      <c r="P1493" s="489"/>
      <c r="Q1493" s="489"/>
      <c r="R1493" s="490"/>
      <c r="S1493" s="489"/>
      <c r="T1493" s="488" t="s">
        <v>268</v>
      </c>
    </row>
    <row r="1494" ht="34.5">
      <c r="A1494" s="488" t="s">
        <v>1201</v>
      </c>
      <c r="B1494" s="488" t="s">
        <v>1202</v>
      </c>
      <c r="C1494" s="488" t="s">
        <v>697</v>
      </c>
      <c r="D1494" s="488" t="s">
        <v>263</v>
      </c>
      <c r="E1494" s="488" t="s">
        <v>654</v>
      </c>
      <c r="F1494" s="489" t="s">
        <v>1397</v>
      </c>
      <c r="G1494" s="488" t="s">
        <v>686</v>
      </c>
      <c r="H1494" s="489"/>
      <c r="I1494" s="489"/>
      <c r="J1494" s="489" t="s">
        <v>1417</v>
      </c>
      <c r="K1494" s="491"/>
      <c r="L1494" s="488"/>
      <c r="M1494" s="488"/>
      <c r="N1494" s="489"/>
      <c r="O1494" s="489"/>
      <c r="P1494" s="489"/>
      <c r="Q1494" s="489"/>
      <c r="R1494" s="490"/>
      <c r="S1494" s="489"/>
      <c r="T1494" s="488" t="s">
        <v>268</v>
      </c>
    </row>
    <row r="1495" ht="34.5">
      <c r="A1495" s="488" t="s">
        <v>1201</v>
      </c>
      <c r="B1495" s="488" t="s">
        <v>1202</v>
      </c>
      <c r="C1495" s="488" t="s">
        <v>697</v>
      </c>
      <c r="D1495" s="488" t="s">
        <v>263</v>
      </c>
      <c r="E1495" s="488" t="s">
        <v>654</v>
      </c>
      <c r="F1495" s="489" t="s">
        <v>1397</v>
      </c>
      <c r="G1495" s="488" t="s">
        <v>686</v>
      </c>
      <c r="H1495" s="489"/>
      <c r="I1495" s="489"/>
      <c r="J1495" s="489" t="s">
        <v>1418</v>
      </c>
      <c r="K1495" s="491"/>
      <c r="L1495" s="488"/>
      <c r="M1495" s="488"/>
      <c r="N1495" s="489"/>
      <c r="O1495" s="489"/>
      <c r="P1495" s="489"/>
      <c r="Q1495" s="489"/>
      <c r="R1495" s="490"/>
      <c r="S1495" s="489"/>
      <c r="T1495" s="488" t="s">
        <v>268</v>
      </c>
    </row>
    <row r="1496" ht="34.5">
      <c r="A1496" s="488" t="s">
        <v>1201</v>
      </c>
      <c r="B1496" s="488" t="s">
        <v>1202</v>
      </c>
      <c r="C1496" s="488" t="s">
        <v>697</v>
      </c>
      <c r="D1496" s="488" t="s">
        <v>263</v>
      </c>
      <c r="E1496" s="488" t="s">
        <v>654</v>
      </c>
      <c r="F1496" s="489" t="s">
        <v>1397</v>
      </c>
      <c r="G1496" s="488" t="s">
        <v>686</v>
      </c>
      <c r="H1496" s="489"/>
      <c r="I1496" s="489"/>
      <c r="J1496" s="489" t="s">
        <v>1419</v>
      </c>
      <c r="K1496" s="491"/>
      <c r="L1496" s="488"/>
      <c r="M1496" s="488"/>
      <c r="N1496" s="489"/>
      <c r="O1496" s="489"/>
      <c r="P1496" s="489"/>
      <c r="Q1496" s="489"/>
      <c r="R1496" s="490"/>
      <c r="S1496" s="489"/>
      <c r="T1496" s="488" t="s">
        <v>268</v>
      </c>
    </row>
    <row r="1497" ht="34.5">
      <c r="A1497" s="488" t="s">
        <v>1201</v>
      </c>
      <c r="B1497" s="488" t="s">
        <v>1202</v>
      </c>
      <c r="C1497" s="488" t="s">
        <v>697</v>
      </c>
      <c r="D1497" s="488" t="s">
        <v>263</v>
      </c>
      <c r="E1497" s="488" t="s">
        <v>654</v>
      </c>
      <c r="F1497" s="489" t="s">
        <v>1397</v>
      </c>
      <c r="G1497" s="488" t="s">
        <v>686</v>
      </c>
      <c r="H1497" s="489"/>
      <c r="I1497" s="489"/>
      <c r="J1497" s="489" t="s">
        <v>945</v>
      </c>
      <c r="K1497" s="491"/>
      <c r="L1497" s="488"/>
      <c r="M1497" s="488"/>
      <c r="N1497" s="489"/>
      <c r="O1497" s="489"/>
      <c r="P1497" s="489"/>
      <c r="Q1497" s="489"/>
      <c r="R1497" s="490"/>
      <c r="S1497" s="489"/>
      <c r="T1497" s="488" t="s">
        <v>268</v>
      </c>
    </row>
    <row r="1498" ht="34.5">
      <c r="A1498" s="488" t="s">
        <v>1201</v>
      </c>
      <c r="B1498" s="488" t="s">
        <v>1202</v>
      </c>
      <c r="C1498" s="488" t="s">
        <v>697</v>
      </c>
      <c r="D1498" s="488" t="s">
        <v>263</v>
      </c>
      <c r="E1498" s="488" t="s">
        <v>654</v>
      </c>
      <c r="F1498" s="489" t="s">
        <v>1397</v>
      </c>
      <c r="G1498" s="488" t="s">
        <v>686</v>
      </c>
      <c r="H1498" s="489"/>
      <c r="I1498" s="489"/>
      <c r="J1498" s="489" t="s">
        <v>1420</v>
      </c>
      <c r="K1498" s="491"/>
      <c r="L1498" s="488"/>
      <c r="M1498" s="488"/>
      <c r="N1498" s="489"/>
      <c r="O1498" s="489"/>
      <c r="P1498" s="489"/>
      <c r="Q1498" s="489"/>
      <c r="R1498" s="490"/>
      <c r="S1498" s="489"/>
      <c r="T1498" s="488" t="s">
        <v>268</v>
      </c>
    </row>
    <row r="1499" ht="34.5">
      <c r="A1499" s="488" t="s">
        <v>1201</v>
      </c>
      <c r="B1499" s="488" t="s">
        <v>1202</v>
      </c>
      <c r="C1499" s="488" t="s">
        <v>697</v>
      </c>
      <c r="D1499" s="488" t="s">
        <v>263</v>
      </c>
      <c r="E1499" s="488" t="s">
        <v>654</v>
      </c>
      <c r="F1499" s="489" t="s">
        <v>1397</v>
      </c>
      <c r="G1499" s="488" t="s">
        <v>686</v>
      </c>
      <c r="H1499" s="489"/>
      <c r="I1499" s="489"/>
      <c r="J1499" s="489" t="s">
        <v>1421</v>
      </c>
      <c r="K1499" s="491"/>
      <c r="L1499" s="488"/>
      <c r="M1499" s="488"/>
      <c r="N1499" s="489"/>
      <c r="O1499" s="489"/>
      <c r="P1499" s="489"/>
      <c r="Q1499" s="489"/>
      <c r="R1499" s="490"/>
      <c r="S1499" s="489"/>
      <c r="T1499" s="488" t="s">
        <v>268</v>
      </c>
    </row>
    <row r="1500" ht="34.5">
      <c r="A1500" s="488" t="s">
        <v>1201</v>
      </c>
      <c r="B1500" s="488" t="s">
        <v>1202</v>
      </c>
      <c r="C1500" s="488" t="s">
        <v>697</v>
      </c>
      <c r="D1500" s="488" t="s">
        <v>263</v>
      </c>
      <c r="E1500" s="488" t="s">
        <v>654</v>
      </c>
      <c r="F1500" s="489" t="s">
        <v>1397</v>
      </c>
      <c r="G1500" s="488" t="s">
        <v>686</v>
      </c>
      <c r="H1500" s="489"/>
      <c r="I1500" s="489"/>
      <c r="J1500" s="489" t="s">
        <v>1422</v>
      </c>
      <c r="K1500" s="491"/>
      <c r="L1500" s="488"/>
      <c r="M1500" s="488"/>
      <c r="N1500" s="489"/>
      <c r="O1500" s="489"/>
      <c r="P1500" s="489"/>
      <c r="Q1500" s="489"/>
      <c r="R1500" s="490"/>
      <c r="S1500" s="489"/>
      <c r="T1500" s="488" t="s">
        <v>268</v>
      </c>
    </row>
    <row r="1501" ht="34.5">
      <c r="A1501" s="488" t="s">
        <v>1201</v>
      </c>
      <c r="B1501" s="488" t="s">
        <v>1202</v>
      </c>
      <c r="C1501" s="488" t="s">
        <v>699</v>
      </c>
      <c r="D1501" s="488" t="s">
        <v>263</v>
      </c>
      <c r="E1501" s="488" t="s">
        <v>654</v>
      </c>
      <c r="F1501" s="489" t="s">
        <v>1397</v>
      </c>
      <c r="G1501" s="488" t="s">
        <v>686</v>
      </c>
      <c r="H1501" s="489"/>
      <c r="I1501" s="489"/>
      <c r="J1501" s="489" t="s">
        <v>736</v>
      </c>
      <c r="K1501" s="491"/>
      <c r="L1501" s="488"/>
      <c r="M1501" s="488"/>
      <c r="N1501" s="489"/>
      <c r="O1501" s="489"/>
      <c r="P1501" s="489"/>
      <c r="Q1501" s="489"/>
      <c r="R1501" s="490"/>
      <c r="S1501" s="489"/>
      <c r="T1501" s="488" t="s">
        <v>268</v>
      </c>
    </row>
    <row r="1502" ht="34.5">
      <c r="A1502" s="488" t="s">
        <v>1201</v>
      </c>
      <c r="B1502" s="488" t="s">
        <v>1202</v>
      </c>
      <c r="C1502" s="488" t="s">
        <v>699</v>
      </c>
      <c r="D1502" s="488" t="s">
        <v>263</v>
      </c>
      <c r="E1502" s="488" t="s">
        <v>654</v>
      </c>
      <c r="F1502" s="489" t="s">
        <v>1397</v>
      </c>
      <c r="G1502" s="488" t="s">
        <v>686</v>
      </c>
      <c r="H1502" s="489"/>
      <c r="I1502" s="489"/>
      <c r="J1502" s="489" t="s">
        <v>1423</v>
      </c>
      <c r="K1502" s="491"/>
      <c r="L1502" s="488"/>
      <c r="M1502" s="488"/>
      <c r="N1502" s="489"/>
      <c r="O1502" s="489"/>
      <c r="P1502" s="489"/>
      <c r="Q1502" s="489"/>
      <c r="R1502" s="490"/>
      <c r="S1502" s="489"/>
      <c r="T1502" s="488" t="s">
        <v>268</v>
      </c>
    </row>
    <row r="1503" ht="34.5">
      <c r="A1503" s="488" t="s">
        <v>1201</v>
      </c>
      <c r="B1503" s="488" t="s">
        <v>1202</v>
      </c>
      <c r="C1503" s="488" t="s">
        <v>699</v>
      </c>
      <c r="D1503" s="488" t="s">
        <v>263</v>
      </c>
      <c r="E1503" s="488" t="s">
        <v>654</v>
      </c>
      <c r="F1503" s="489" t="s">
        <v>1397</v>
      </c>
      <c r="G1503" s="488" t="s">
        <v>686</v>
      </c>
      <c r="H1503" s="489"/>
      <c r="I1503" s="489"/>
      <c r="J1503" s="489" t="s">
        <v>1424</v>
      </c>
      <c r="K1503" s="491"/>
      <c r="L1503" s="488"/>
      <c r="M1503" s="488"/>
      <c r="N1503" s="489"/>
      <c r="O1503" s="489"/>
      <c r="P1503" s="489"/>
      <c r="Q1503" s="489"/>
      <c r="R1503" s="490"/>
      <c r="S1503" s="489"/>
      <c r="T1503" s="488" t="s">
        <v>268</v>
      </c>
    </row>
    <row r="1504" ht="34.5">
      <c r="A1504" s="488" t="s">
        <v>1201</v>
      </c>
      <c r="B1504" s="488" t="s">
        <v>1202</v>
      </c>
      <c r="C1504" s="488" t="s">
        <v>699</v>
      </c>
      <c r="D1504" s="488" t="s">
        <v>263</v>
      </c>
      <c r="E1504" s="488" t="s">
        <v>654</v>
      </c>
      <c r="F1504" s="489" t="s">
        <v>1397</v>
      </c>
      <c r="G1504" s="488" t="s">
        <v>686</v>
      </c>
      <c r="H1504" s="489"/>
      <c r="I1504" s="489"/>
      <c r="J1504" s="489" t="s">
        <v>1425</v>
      </c>
      <c r="K1504" s="491">
        <v>13692</v>
      </c>
      <c r="L1504" s="488" t="s">
        <v>429</v>
      </c>
      <c r="M1504" s="488"/>
      <c r="N1504" s="489"/>
      <c r="O1504" s="489"/>
      <c r="P1504" s="489"/>
      <c r="Q1504" s="489"/>
      <c r="R1504" s="490"/>
      <c r="S1504" s="489"/>
      <c r="T1504" s="488" t="s">
        <v>268</v>
      </c>
    </row>
    <row r="1505" ht="34.5">
      <c r="A1505" s="488" t="s">
        <v>1201</v>
      </c>
      <c r="B1505" s="488" t="s">
        <v>1202</v>
      </c>
      <c r="C1505" s="488" t="s">
        <v>699</v>
      </c>
      <c r="D1505" s="488" t="s">
        <v>263</v>
      </c>
      <c r="E1505" s="488" t="s">
        <v>654</v>
      </c>
      <c r="F1505" s="489" t="s">
        <v>1397</v>
      </c>
      <c r="G1505" s="488" t="s">
        <v>686</v>
      </c>
      <c r="H1505" s="489"/>
      <c r="I1505" s="489"/>
      <c r="J1505" s="489" t="s">
        <v>1426</v>
      </c>
      <c r="K1505" s="491"/>
      <c r="L1505" s="488"/>
      <c r="M1505" s="488"/>
      <c r="N1505" s="489"/>
      <c r="O1505" s="489"/>
      <c r="P1505" s="489"/>
      <c r="Q1505" s="489"/>
      <c r="R1505" s="490"/>
      <c r="S1505" s="489"/>
      <c r="T1505" s="488" t="s">
        <v>268</v>
      </c>
    </row>
    <row r="1506" ht="34.5">
      <c r="A1506" s="488" t="s">
        <v>1201</v>
      </c>
      <c r="B1506" s="488" t="s">
        <v>1202</v>
      </c>
      <c r="C1506" s="488" t="s">
        <v>699</v>
      </c>
      <c r="D1506" s="488" t="s">
        <v>263</v>
      </c>
      <c r="E1506" s="488" t="s">
        <v>654</v>
      </c>
      <c r="F1506" s="489" t="s">
        <v>1397</v>
      </c>
      <c r="G1506" s="488" t="s">
        <v>686</v>
      </c>
      <c r="H1506" s="489"/>
      <c r="I1506" s="489"/>
      <c r="J1506" s="489" t="s">
        <v>1427</v>
      </c>
      <c r="K1506" s="491"/>
      <c r="L1506" s="488"/>
      <c r="M1506" s="488"/>
      <c r="N1506" s="489"/>
      <c r="O1506" s="489"/>
      <c r="P1506" s="489"/>
      <c r="Q1506" s="489"/>
      <c r="R1506" s="490"/>
      <c r="S1506" s="489"/>
      <c r="T1506" s="488" t="s">
        <v>268</v>
      </c>
    </row>
    <row r="1507" ht="34.5">
      <c r="A1507" s="488" t="s">
        <v>1201</v>
      </c>
      <c r="B1507" s="488" t="s">
        <v>1202</v>
      </c>
      <c r="C1507" s="488" t="s">
        <v>699</v>
      </c>
      <c r="D1507" s="488" t="s">
        <v>263</v>
      </c>
      <c r="E1507" s="488" t="s">
        <v>654</v>
      </c>
      <c r="F1507" s="489" t="s">
        <v>1397</v>
      </c>
      <c r="G1507" s="488" t="s">
        <v>686</v>
      </c>
      <c r="H1507" s="489"/>
      <c r="I1507" s="489"/>
      <c r="J1507" s="489" t="s">
        <v>1428</v>
      </c>
      <c r="K1507" s="491">
        <v>9122</v>
      </c>
      <c r="L1507" s="488" t="s">
        <v>429</v>
      </c>
      <c r="M1507" s="488"/>
      <c r="N1507" s="489"/>
      <c r="O1507" s="489"/>
      <c r="P1507" s="489"/>
      <c r="Q1507" s="489"/>
      <c r="R1507" s="490"/>
      <c r="S1507" s="489"/>
      <c r="T1507" s="488" t="s">
        <v>268</v>
      </c>
    </row>
    <row r="1508" ht="34.5">
      <c r="A1508" s="488" t="s">
        <v>1201</v>
      </c>
      <c r="B1508" s="488" t="s">
        <v>1202</v>
      </c>
      <c r="C1508" s="488" t="s">
        <v>699</v>
      </c>
      <c r="D1508" s="488" t="s">
        <v>263</v>
      </c>
      <c r="E1508" s="488" t="s">
        <v>654</v>
      </c>
      <c r="F1508" s="489" t="s">
        <v>1397</v>
      </c>
      <c r="G1508" s="488" t="s">
        <v>686</v>
      </c>
      <c r="H1508" s="489"/>
      <c r="I1508" s="489"/>
      <c r="J1508" s="489" t="s">
        <v>746</v>
      </c>
      <c r="K1508" s="491"/>
      <c r="L1508" s="488"/>
      <c r="M1508" s="488"/>
      <c r="N1508" s="489"/>
      <c r="O1508" s="489"/>
      <c r="P1508" s="489"/>
      <c r="Q1508" s="489"/>
      <c r="R1508" s="490"/>
      <c r="S1508" s="489"/>
      <c r="T1508" s="488" t="s">
        <v>268</v>
      </c>
    </row>
    <row r="1509" ht="34.5">
      <c r="A1509" s="488" t="s">
        <v>1201</v>
      </c>
      <c r="B1509" s="488" t="s">
        <v>1202</v>
      </c>
      <c r="C1509" s="488" t="s">
        <v>699</v>
      </c>
      <c r="D1509" s="488" t="s">
        <v>263</v>
      </c>
      <c r="E1509" s="488" t="s">
        <v>654</v>
      </c>
      <c r="F1509" s="489" t="s">
        <v>1397</v>
      </c>
      <c r="G1509" s="488" t="s">
        <v>686</v>
      </c>
      <c r="H1509" s="489"/>
      <c r="I1509" s="489"/>
      <c r="J1509" s="489" t="s">
        <v>1429</v>
      </c>
      <c r="K1509" s="491"/>
      <c r="L1509" s="488"/>
      <c r="M1509" s="488"/>
      <c r="N1509" s="489"/>
      <c r="O1509" s="489"/>
      <c r="P1509" s="489"/>
      <c r="Q1509" s="489"/>
      <c r="R1509" s="490"/>
      <c r="S1509" s="489"/>
      <c r="T1509" s="488" t="s">
        <v>268</v>
      </c>
    </row>
    <row r="1510" ht="34.5">
      <c r="A1510" s="488" t="s">
        <v>1201</v>
      </c>
      <c r="B1510" s="488" t="s">
        <v>1202</v>
      </c>
      <c r="C1510" s="488" t="s">
        <v>701</v>
      </c>
      <c r="D1510" s="488" t="s">
        <v>263</v>
      </c>
      <c r="E1510" s="488" t="s">
        <v>654</v>
      </c>
      <c r="F1510" s="489" t="s">
        <v>1397</v>
      </c>
      <c r="G1510" s="488" t="s">
        <v>686</v>
      </c>
      <c r="H1510" s="489"/>
      <c r="I1510" s="489"/>
      <c r="J1510" s="489" t="s">
        <v>1430</v>
      </c>
      <c r="K1510" s="491">
        <v>57204</v>
      </c>
      <c r="L1510" s="488" t="s">
        <v>429</v>
      </c>
      <c r="M1510" s="488"/>
      <c r="N1510" s="489"/>
      <c r="O1510" s="489"/>
      <c r="P1510" s="489"/>
      <c r="Q1510" s="489"/>
      <c r="R1510" s="490"/>
      <c r="S1510" s="489"/>
      <c r="T1510" s="488" t="s">
        <v>268</v>
      </c>
    </row>
    <row r="1511" ht="34.5">
      <c r="A1511" s="488" t="s">
        <v>1201</v>
      </c>
      <c r="B1511" s="488" t="s">
        <v>1202</v>
      </c>
      <c r="C1511" s="488" t="s">
        <v>703</v>
      </c>
      <c r="D1511" s="488" t="s">
        <v>263</v>
      </c>
      <c r="E1511" s="488" t="s">
        <v>654</v>
      </c>
      <c r="F1511" s="489" t="s">
        <v>1397</v>
      </c>
      <c r="G1511" s="488" t="s">
        <v>686</v>
      </c>
      <c r="H1511" s="489"/>
      <c r="I1511" s="489"/>
      <c r="J1511" s="489" t="s">
        <v>1431</v>
      </c>
      <c r="K1511" s="491"/>
      <c r="L1511" s="488"/>
      <c r="M1511" s="488"/>
      <c r="N1511" s="489"/>
      <c r="O1511" s="489"/>
      <c r="P1511" s="489"/>
      <c r="Q1511" s="489"/>
      <c r="R1511" s="490"/>
      <c r="S1511" s="489"/>
      <c r="T1511" s="488" t="s">
        <v>268</v>
      </c>
    </row>
    <row r="1512" ht="34.5">
      <c r="A1512" s="488" t="s">
        <v>1201</v>
      </c>
      <c r="B1512" s="488" t="s">
        <v>1202</v>
      </c>
      <c r="C1512" s="488" t="s">
        <v>703</v>
      </c>
      <c r="D1512" s="488" t="s">
        <v>263</v>
      </c>
      <c r="E1512" s="488" t="s">
        <v>654</v>
      </c>
      <c r="F1512" s="489" t="s">
        <v>1397</v>
      </c>
      <c r="G1512" s="488" t="s">
        <v>686</v>
      </c>
      <c r="H1512" s="489"/>
      <c r="I1512" s="489"/>
      <c r="J1512" s="489" t="s">
        <v>752</v>
      </c>
      <c r="K1512" s="491"/>
      <c r="L1512" s="488"/>
      <c r="M1512" s="488"/>
      <c r="N1512" s="489"/>
      <c r="O1512" s="489"/>
      <c r="P1512" s="489"/>
      <c r="Q1512" s="489"/>
      <c r="R1512" s="490"/>
      <c r="S1512" s="489"/>
      <c r="T1512" s="488" t="s">
        <v>268</v>
      </c>
    </row>
    <row r="1513" ht="34.5">
      <c r="A1513" s="488" t="s">
        <v>1201</v>
      </c>
      <c r="B1513" s="488" t="s">
        <v>1202</v>
      </c>
      <c r="C1513" s="488" t="s">
        <v>703</v>
      </c>
      <c r="D1513" s="488" t="s">
        <v>263</v>
      </c>
      <c r="E1513" s="488" t="s">
        <v>654</v>
      </c>
      <c r="F1513" s="489" t="s">
        <v>1397</v>
      </c>
      <c r="G1513" s="488" t="s">
        <v>686</v>
      </c>
      <c r="H1513" s="489"/>
      <c r="I1513" s="489"/>
      <c r="J1513" s="489" t="s">
        <v>959</v>
      </c>
      <c r="K1513" s="491"/>
      <c r="L1513" s="488"/>
      <c r="M1513" s="488"/>
      <c r="N1513" s="489"/>
      <c r="O1513" s="489"/>
      <c r="P1513" s="489"/>
      <c r="Q1513" s="489"/>
      <c r="R1513" s="490"/>
      <c r="S1513" s="489"/>
      <c r="T1513" s="488" t="s">
        <v>268</v>
      </c>
    </row>
    <row r="1514" ht="34.5">
      <c r="A1514" s="488" t="s">
        <v>1201</v>
      </c>
      <c r="B1514" s="488" t="s">
        <v>1202</v>
      </c>
      <c r="C1514" s="488" t="s">
        <v>705</v>
      </c>
      <c r="D1514" s="488" t="s">
        <v>263</v>
      </c>
      <c r="E1514" s="488" t="s">
        <v>654</v>
      </c>
      <c r="F1514" s="489" t="s">
        <v>1397</v>
      </c>
      <c r="G1514" s="488" t="s">
        <v>686</v>
      </c>
      <c r="H1514" s="489"/>
      <c r="I1514" s="489"/>
      <c r="J1514" s="489" t="s">
        <v>755</v>
      </c>
      <c r="K1514" s="491"/>
      <c r="L1514" s="488"/>
      <c r="M1514" s="488"/>
      <c r="N1514" s="489"/>
      <c r="O1514" s="489"/>
      <c r="P1514" s="489"/>
      <c r="Q1514" s="489"/>
      <c r="R1514" s="490"/>
      <c r="S1514" s="489"/>
      <c r="T1514" s="488" t="s">
        <v>268</v>
      </c>
    </row>
    <row r="1515" ht="34.5">
      <c r="A1515" s="488" t="s">
        <v>1201</v>
      </c>
      <c r="B1515" s="488" t="s">
        <v>1202</v>
      </c>
      <c r="C1515" s="488" t="s">
        <v>705</v>
      </c>
      <c r="D1515" s="488" t="s">
        <v>263</v>
      </c>
      <c r="E1515" s="488" t="s">
        <v>654</v>
      </c>
      <c r="F1515" s="489" t="s">
        <v>1397</v>
      </c>
      <c r="G1515" s="488" t="s">
        <v>686</v>
      </c>
      <c r="H1515" s="489"/>
      <c r="I1515" s="489"/>
      <c r="J1515" s="489" t="s">
        <v>1432</v>
      </c>
      <c r="K1515" s="491"/>
      <c r="L1515" s="488"/>
      <c r="M1515" s="488"/>
      <c r="N1515" s="489"/>
      <c r="O1515" s="489"/>
      <c r="P1515" s="489"/>
      <c r="Q1515" s="489"/>
      <c r="R1515" s="490"/>
      <c r="S1515" s="489"/>
      <c r="T1515" s="488" t="s">
        <v>268</v>
      </c>
    </row>
    <row r="1516" ht="34.5">
      <c r="A1516" s="488" t="s">
        <v>1201</v>
      </c>
      <c r="B1516" s="488" t="s">
        <v>1202</v>
      </c>
      <c r="C1516" s="488" t="s">
        <v>705</v>
      </c>
      <c r="D1516" s="488" t="s">
        <v>263</v>
      </c>
      <c r="E1516" s="488" t="s">
        <v>654</v>
      </c>
      <c r="F1516" s="489" t="s">
        <v>1397</v>
      </c>
      <c r="G1516" s="488" t="s">
        <v>686</v>
      </c>
      <c r="H1516" s="489"/>
      <c r="I1516" s="489"/>
      <c r="J1516" s="489" t="s">
        <v>1433</v>
      </c>
      <c r="K1516" s="491"/>
      <c r="L1516" s="488"/>
      <c r="M1516" s="488"/>
      <c r="N1516" s="489"/>
      <c r="O1516" s="489"/>
      <c r="P1516" s="489"/>
      <c r="Q1516" s="489"/>
      <c r="R1516" s="490"/>
      <c r="S1516" s="489"/>
      <c r="T1516" s="488" t="s">
        <v>268</v>
      </c>
    </row>
    <row r="1517" ht="34.5">
      <c r="A1517" s="488" t="s">
        <v>1201</v>
      </c>
      <c r="B1517" s="488" t="s">
        <v>1202</v>
      </c>
      <c r="C1517" s="488" t="s">
        <v>705</v>
      </c>
      <c r="D1517" s="488" t="s">
        <v>263</v>
      </c>
      <c r="E1517" s="488" t="s">
        <v>654</v>
      </c>
      <c r="F1517" s="489" t="s">
        <v>1397</v>
      </c>
      <c r="G1517" s="488" t="s">
        <v>686</v>
      </c>
      <c r="H1517" s="489"/>
      <c r="I1517" s="489"/>
      <c r="J1517" s="489" t="s">
        <v>1434</v>
      </c>
      <c r="K1517" s="491"/>
      <c r="L1517" s="488"/>
      <c r="M1517" s="488"/>
      <c r="N1517" s="489"/>
      <c r="O1517" s="489"/>
      <c r="P1517" s="489"/>
      <c r="Q1517" s="489"/>
      <c r="R1517" s="490"/>
      <c r="S1517" s="489"/>
      <c r="T1517" s="488" t="s">
        <v>268</v>
      </c>
    </row>
    <row r="1518" ht="34.5">
      <c r="A1518" s="488" t="s">
        <v>1201</v>
      </c>
      <c r="B1518" s="488" t="s">
        <v>1202</v>
      </c>
      <c r="C1518" s="488" t="s">
        <v>720</v>
      </c>
      <c r="D1518" s="488" t="s">
        <v>263</v>
      </c>
      <c r="E1518" s="488" t="s">
        <v>654</v>
      </c>
      <c r="F1518" s="489" t="s">
        <v>1397</v>
      </c>
      <c r="G1518" s="488" t="s">
        <v>686</v>
      </c>
      <c r="H1518" s="489"/>
      <c r="I1518" s="489"/>
      <c r="J1518" s="489" t="s">
        <v>759</v>
      </c>
      <c r="K1518" s="491"/>
      <c r="L1518" s="488"/>
      <c r="M1518" s="488"/>
      <c r="N1518" s="489"/>
      <c r="O1518" s="489"/>
      <c r="P1518" s="489"/>
      <c r="Q1518" s="489"/>
      <c r="R1518" s="490"/>
      <c r="S1518" s="489"/>
      <c r="T1518" s="488" t="s">
        <v>268</v>
      </c>
    </row>
    <row r="1519" ht="34.5">
      <c r="A1519" s="488" t="s">
        <v>1201</v>
      </c>
      <c r="B1519" s="488" t="s">
        <v>1202</v>
      </c>
      <c r="C1519" s="488" t="s">
        <v>720</v>
      </c>
      <c r="D1519" s="488" t="s">
        <v>263</v>
      </c>
      <c r="E1519" s="488" t="s">
        <v>654</v>
      </c>
      <c r="F1519" s="489" t="s">
        <v>1397</v>
      </c>
      <c r="G1519" s="488" t="s">
        <v>686</v>
      </c>
      <c r="H1519" s="489"/>
      <c r="I1519" s="489"/>
      <c r="J1519" s="489" t="s">
        <v>1435</v>
      </c>
      <c r="K1519" s="491">
        <v>55356</v>
      </c>
      <c r="L1519" s="488" t="s">
        <v>429</v>
      </c>
      <c r="M1519" s="488"/>
      <c r="N1519" s="489"/>
      <c r="O1519" s="489"/>
      <c r="P1519" s="489"/>
      <c r="Q1519" s="489"/>
      <c r="R1519" s="490"/>
      <c r="S1519" s="489"/>
      <c r="T1519" s="488" t="s">
        <v>268</v>
      </c>
    </row>
    <row r="1520" ht="34.5">
      <c r="A1520" s="488" t="s">
        <v>1201</v>
      </c>
      <c r="B1520" s="488" t="s">
        <v>1202</v>
      </c>
      <c r="C1520" s="488" t="s">
        <v>720</v>
      </c>
      <c r="D1520" s="488" t="s">
        <v>263</v>
      </c>
      <c r="E1520" s="488" t="s">
        <v>654</v>
      </c>
      <c r="F1520" s="489" t="s">
        <v>1397</v>
      </c>
      <c r="G1520" s="488" t="s">
        <v>686</v>
      </c>
      <c r="H1520" s="489"/>
      <c r="I1520" s="489"/>
      <c r="J1520" s="489" t="s">
        <v>1436</v>
      </c>
      <c r="K1520" s="491"/>
      <c r="L1520" s="488"/>
      <c r="M1520" s="488"/>
      <c r="N1520" s="489"/>
      <c r="O1520" s="489"/>
      <c r="P1520" s="489"/>
      <c r="Q1520" s="489"/>
      <c r="R1520" s="490"/>
      <c r="S1520" s="489"/>
      <c r="T1520" s="488" t="s">
        <v>268</v>
      </c>
    </row>
    <row r="1521" ht="34.5">
      <c r="A1521" s="488" t="s">
        <v>1201</v>
      </c>
      <c r="B1521" s="488" t="s">
        <v>1202</v>
      </c>
      <c r="C1521" s="488" t="s">
        <v>731</v>
      </c>
      <c r="D1521" s="488" t="s">
        <v>263</v>
      </c>
      <c r="E1521" s="488" t="s">
        <v>654</v>
      </c>
      <c r="F1521" s="489" t="s">
        <v>1397</v>
      </c>
      <c r="G1521" s="488" t="s">
        <v>686</v>
      </c>
      <c r="H1521" s="489"/>
      <c r="I1521" s="489"/>
      <c r="J1521" s="489" t="s">
        <v>762</v>
      </c>
      <c r="K1521" s="491"/>
      <c r="L1521" s="488"/>
      <c r="M1521" s="488"/>
      <c r="N1521" s="489"/>
      <c r="O1521" s="489"/>
      <c r="P1521" s="489"/>
      <c r="Q1521" s="489"/>
      <c r="R1521" s="490"/>
      <c r="S1521" s="489"/>
      <c r="T1521" s="488" t="s">
        <v>268</v>
      </c>
    </row>
    <row r="1522" ht="34.5">
      <c r="A1522" s="488" t="s">
        <v>1201</v>
      </c>
      <c r="B1522" s="488" t="s">
        <v>1202</v>
      </c>
      <c r="C1522" s="488" t="s">
        <v>731</v>
      </c>
      <c r="D1522" s="488" t="s">
        <v>263</v>
      </c>
      <c r="E1522" s="488" t="s">
        <v>654</v>
      </c>
      <c r="F1522" s="489" t="s">
        <v>1397</v>
      </c>
      <c r="G1522" s="488" t="s">
        <v>686</v>
      </c>
      <c r="H1522" s="489"/>
      <c r="I1522" s="489"/>
      <c r="J1522" s="489" t="s">
        <v>1437</v>
      </c>
      <c r="K1522" s="491">
        <v>55356</v>
      </c>
      <c r="L1522" s="488" t="s">
        <v>429</v>
      </c>
      <c r="M1522" s="488"/>
      <c r="N1522" s="489"/>
      <c r="O1522" s="489"/>
      <c r="P1522" s="489"/>
      <c r="Q1522" s="489"/>
      <c r="R1522" s="490"/>
      <c r="S1522" s="489"/>
      <c r="T1522" s="488" t="s">
        <v>268</v>
      </c>
    </row>
    <row r="1523" ht="34.5">
      <c r="A1523" s="488" t="s">
        <v>1201</v>
      </c>
      <c r="B1523" s="488" t="s">
        <v>1202</v>
      </c>
      <c r="C1523" s="488" t="s">
        <v>731</v>
      </c>
      <c r="D1523" s="488" t="s">
        <v>263</v>
      </c>
      <c r="E1523" s="488" t="s">
        <v>654</v>
      </c>
      <c r="F1523" s="489" t="s">
        <v>1397</v>
      </c>
      <c r="G1523" s="488" t="s">
        <v>686</v>
      </c>
      <c r="H1523" s="489"/>
      <c r="I1523" s="489"/>
      <c r="J1523" s="489" t="s">
        <v>1438</v>
      </c>
      <c r="K1523" s="491"/>
      <c r="L1523" s="488"/>
      <c r="M1523" s="488"/>
      <c r="N1523" s="489"/>
      <c r="O1523" s="489"/>
      <c r="P1523" s="489"/>
      <c r="Q1523" s="489"/>
      <c r="R1523" s="490"/>
      <c r="S1523" s="489"/>
      <c r="T1523" s="488" t="s">
        <v>268</v>
      </c>
    </row>
    <row r="1524" ht="34.5">
      <c r="A1524" s="488" t="s">
        <v>1201</v>
      </c>
      <c r="B1524" s="488" t="s">
        <v>1202</v>
      </c>
      <c r="C1524" s="488" t="s">
        <v>739</v>
      </c>
      <c r="D1524" s="488" t="s">
        <v>263</v>
      </c>
      <c r="E1524" s="488" t="s">
        <v>654</v>
      </c>
      <c r="F1524" s="489" t="s">
        <v>1397</v>
      </c>
      <c r="G1524" s="488" t="s">
        <v>686</v>
      </c>
      <c r="H1524" s="489"/>
      <c r="I1524" s="489"/>
      <c r="J1524" s="489" t="s">
        <v>970</v>
      </c>
      <c r="K1524" s="491"/>
      <c r="L1524" s="488"/>
      <c r="M1524" s="488"/>
      <c r="N1524" s="489"/>
      <c r="O1524" s="489"/>
      <c r="P1524" s="489"/>
      <c r="Q1524" s="489"/>
      <c r="R1524" s="490"/>
      <c r="S1524" s="489"/>
      <c r="T1524" s="488" t="s">
        <v>268</v>
      </c>
    </row>
    <row r="1525" ht="34.5">
      <c r="A1525" s="488" t="s">
        <v>1201</v>
      </c>
      <c r="B1525" s="488" t="s">
        <v>1202</v>
      </c>
      <c r="C1525" s="488" t="s">
        <v>739</v>
      </c>
      <c r="D1525" s="488" t="s">
        <v>263</v>
      </c>
      <c r="E1525" s="488" t="s">
        <v>654</v>
      </c>
      <c r="F1525" s="489" t="s">
        <v>1397</v>
      </c>
      <c r="G1525" s="488" t="s">
        <v>686</v>
      </c>
      <c r="H1525" s="489"/>
      <c r="I1525" s="489"/>
      <c r="J1525" s="489" t="s">
        <v>971</v>
      </c>
      <c r="K1525" s="491"/>
      <c r="L1525" s="488"/>
      <c r="M1525" s="488"/>
      <c r="N1525" s="489"/>
      <c r="O1525" s="489"/>
      <c r="P1525" s="489"/>
      <c r="Q1525" s="489"/>
      <c r="R1525" s="490"/>
      <c r="S1525" s="489"/>
      <c r="T1525" s="488" t="s">
        <v>268</v>
      </c>
    </row>
    <row r="1526" ht="34.5">
      <c r="A1526" s="488" t="s">
        <v>1201</v>
      </c>
      <c r="B1526" s="488" t="s">
        <v>1202</v>
      </c>
      <c r="C1526" s="488" t="s">
        <v>739</v>
      </c>
      <c r="D1526" s="488" t="s">
        <v>263</v>
      </c>
      <c r="E1526" s="488" t="s">
        <v>654</v>
      </c>
      <c r="F1526" s="489" t="s">
        <v>1397</v>
      </c>
      <c r="G1526" s="488" t="s">
        <v>686</v>
      </c>
      <c r="H1526" s="489"/>
      <c r="I1526" s="489"/>
      <c r="J1526" s="489" t="s">
        <v>972</v>
      </c>
      <c r="K1526" s="491"/>
      <c r="L1526" s="488"/>
      <c r="M1526" s="488"/>
      <c r="N1526" s="489"/>
      <c r="O1526" s="489"/>
      <c r="P1526" s="489"/>
      <c r="Q1526" s="489"/>
      <c r="R1526" s="490"/>
      <c r="S1526" s="489"/>
      <c r="T1526" s="488" t="s">
        <v>268</v>
      </c>
    </row>
    <row r="1527" ht="34.5">
      <c r="A1527" s="488" t="s">
        <v>1201</v>
      </c>
      <c r="B1527" s="488" t="s">
        <v>1202</v>
      </c>
      <c r="C1527" s="488" t="s">
        <v>739</v>
      </c>
      <c r="D1527" s="488" t="s">
        <v>263</v>
      </c>
      <c r="E1527" s="488" t="s">
        <v>654</v>
      </c>
      <c r="F1527" s="489" t="s">
        <v>1397</v>
      </c>
      <c r="G1527" s="488" t="s">
        <v>686</v>
      </c>
      <c r="H1527" s="489"/>
      <c r="I1527" s="489"/>
      <c r="J1527" s="489" t="s">
        <v>973</v>
      </c>
      <c r="K1527" s="491"/>
      <c r="L1527" s="488"/>
      <c r="M1527" s="488"/>
      <c r="N1527" s="489"/>
      <c r="O1527" s="489"/>
      <c r="P1527" s="489"/>
      <c r="Q1527" s="489"/>
      <c r="R1527" s="490"/>
      <c r="S1527" s="489"/>
      <c r="T1527" s="488" t="s">
        <v>268</v>
      </c>
    </row>
    <row r="1528" ht="34.5">
      <c r="A1528" s="488" t="s">
        <v>1201</v>
      </c>
      <c r="B1528" s="488" t="s">
        <v>1202</v>
      </c>
      <c r="C1528" s="488" t="s">
        <v>739</v>
      </c>
      <c r="D1528" s="488" t="s">
        <v>263</v>
      </c>
      <c r="E1528" s="488" t="s">
        <v>654</v>
      </c>
      <c r="F1528" s="489" t="s">
        <v>1397</v>
      </c>
      <c r="G1528" s="488" t="s">
        <v>686</v>
      </c>
      <c r="H1528" s="489"/>
      <c r="I1528" s="489"/>
      <c r="J1528" s="489" t="s">
        <v>1439</v>
      </c>
      <c r="K1528" s="491"/>
      <c r="L1528" s="488"/>
      <c r="M1528" s="488"/>
      <c r="N1528" s="489"/>
      <c r="O1528" s="489"/>
      <c r="P1528" s="489"/>
      <c r="Q1528" s="489"/>
      <c r="R1528" s="490"/>
      <c r="S1528" s="489"/>
      <c r="T1528" s="488" t="s">
        <v>268</v>
      </c>
    </row>
    <row r="1529" ht="34.5">
      <c r="A1529" s="488" t="s">
        <v>1201</v>
      </c>
      <c r="B1529" s="488" t="s">
        <v>1202</v>
      </c>
      <c r="C1529" s="488" t="s">
        <v>739</v>
      </c>
      <c r="D1529" s="488" t="s">
        <v>263</v>
      </c>
      <c r="E1529" s="488" t="s">
        <v>654</v>
      </c>
      <c r="F1529" s="489" t="s">
        <v>1397</v>
      </c>
      <c r="G1529" s="488" t="s">
        <v>686</v>
      </c>
      <c r="H1529" s="489"/>
      <c r="I1529" s="489"/>
      <c r="J1529" s="489" t="s">
        <v>975</v>
      </c>
      <c r="K1529" s="491"/>
      <c r="L1529" s="488"/>
      <c r="M1529" s="488"/>
      <c r="N1529" s="489"/>
      <c r="O1529" s="489"/>
      <c r="P1529" s="489"/>
      <c r="Q1529" s="489"/>
      <c r="R1529" s="490"/>
      <c r="S1529" s="489"/>
      <c r="T1529" s="488" t="s">
        <v>268</v>
      </c>
    </row>
    <row r="1530" ht="34.5">
      <c r="A1530" s="488" t="s">
        <v>1201</v>
      </c>
      <c r="B1530" s="488" t="s">
        <v>1202</v>
      </c>
      <c r="C1530" s="488" t="s">
        <v>739</v>
      </c>
      <c r="D1530" s="488" t="s">
        <v>263</v>
      </c>
      <c r="E1530" s="488" t="s">
        <v>654</v>
      </c>
      <c r="F1530" s="489" t="s">
        <v>1397</v>
      </c>
      <c r="G1530" s="488" t="s">
        <v>686</v>
      </c>
      <c r="H1530" s="489"/>
      <c r="I1530" s="489"/>
      <c r="J1530" s="489" t="s">
        <v>770</v>
      </c>
      <c r="K1530" s="491"/>
      <c r="L1530" s="488"/>
      <c r="M1530" s="488"/>
      <c r="N1530" s="489"/>
      <c r="O1530" s="489"/>
      <c r="P1530" s="489"/>
      <c r="Q1530" s="489"/>
      <c r="R1530" s="490"/>
      <c r="S1530" s="489"/>
      <c r="T1530" s="488" t="s">
        <v>268</v>
      </c>
    </row>
    <row r="1531" ht="34.5">
      <c r="A1531" s="488" t="s">
        <v>1201</v>
      </c>
      <c r="B1531" s="488" t="s">
        <v>1202</v>
      </c>
      <c r="C1531" s="488" t="s">
        <v>739</v>
      </c>
      <c r="D1531" s="488" t="s">
        <v>263</v>
      </c>
      <c r="E1531" s="488" t="s">
        <v>654</v>
      </c>
      <c r="F1531" s="489" t="s">
        <v>1397</v>
      </c>
      <c r="G1531" s="488" t="s">
        <v>686</v>
      </c>
      <c r="H1531" s="489"/>
      <c r="I1531" s="489"/>
      <c r="J1531" s="489" t="s">
        <v>1440</v>
      </c>
      <c r="K1531" s="491"/>
      <c r="L1531" s="488"/>
      <c r="M1531" s="488"/>
      <c r="N1531" s="489"/>
      <c r="O1531" s="489"/>
      <c r="P1531" s="489"/>
      <c r="Q1531" s="489"/>
      <c r="R1531" s="490"/>
      <c r="S1531" s="489"/>
      <c r="T1531" s="488" t="s">
        <v>268</v>
      </c>
    </row>
    <row r="1532" ht="34.5">
      <c r="A1532" s="488" t="s">
        <v>1201</v>
      </c>
      <c r="B1532" s="488" t="s">
        <v>1202</v>
      </c>
      <c r="C1532" s="488" t="s">
        <v>739</v>
      </c>
      <c r="D1532" s="488" t="s">
        <v>263</v>
      </c>
      <c r="E1532" s="488" t="s">
        <v>654</v>
      </c>
      <c r="F1532" s="489" t="s">
        <v>1397</v>
      </c>
      <c r="G1532" s="488" t="s">
        <v>686</v>
      </c>
      <c r="H1532" s="489"/>
      <c r="I1532" s="489"/>
      <c r="J1532" s="489" t="s">
        <v>1441</v>
      </c>
      <c r="K1532" s="491"/>
      <c r="L1532" s="488"/>
      <c r="M1532" s="488"/>
      <c r="N1532" s="489"/>
      <c r="O1532" s="489"/>
      <c r="P1532" s="489"/>
      <c r="Q1532" s="489"/>
      <c r="R1532" s="490"/>
      <c r="S1532" s="489"/>
      <c r="T1532" s="488" t="s">
        <v>268</v>
      </c>
    </row>
    <row r="1533" ht="34.5"/>
  </sheetData>
  <autoFilter ref="A5:T1532"/>
</worksheet>
</file>

<file path=xl/worksheets/sheet4.xml><?xml version="1.0" encoding="utf-8"?>
<worksheet xmlns="http://schemas.openxmlformats.org/spreadsheetml/2006/main" xmlns:r="http://schemas.openxmlformats.org/officeDocument/2006/relationships">
  <dimension ref="A1:A299"/>
  <sheetViews>
    <sheetView showGridLines="0" workbookViewId="0"/>
  </sheetViews>
  <sheetFormatPr defaultColWidth="8.375" defaultRowHeight="15"/>
  <cols>
    <col min="1" max="1" width="111.875" customWidth="1"/>
  </cols>
  <sheetData>
    <row r="1">
      <c r="A1" s="584" t="s">
        <v>0</v>
      </c>
    </row>
    <row r="2">
      <c r="A2" s="1227" t="s">
        <v>1442</v>
      </c>
    </row>
    <row r="3">
      <c r="A3" s="1227" t="s">
        <v>1443</v>
      </c>
    </row>
    <row r="4">
      <c r="A4" s="1227" t="s">
        <v>1444</v>
      </c>
    </row>
    <row r="5">
      <c r="A5" s="1227" t="s">
        <v>1445</v>
      </c>
    </row>
    <row r="6">
      <c r="A6" s="1227" t="s">
        <v>1446</v>
      </c>
    </row>
    <row r="7">
      <c r="A7" s="1227" t="s">
        <v>1447</v>
      </c>
    </row>
    <row r="8">
      <c r="A8" s="1227" t="s">
        <v>1448</v>
      </c>
    </row>
    <row r="9">
      <c r="A9" s="1227" t="s">
        <v>1449</v>
      </c>
    </row>
    <row r="10">
      <c r="A10" s="1227" t="s">
        <v>1450</v>
      </c>
    </row>
    <row r="11">
      <c r="A11" s="1227" t="s">
        <v>1451</v>
      </c>
    </row>
    <row r="12">
      <c r="A12" s="1227" t="s">
        <v>1452</v>
      </c>
    </row>
    <row r="13">
      <c r="A13" s="1227" t="s">
        <v>1453</v>
      </c>
    </row>
    <row r="14">
      <c r="A14" s="1227" t="s">
        <v>1454</v>
      </c>
    </row>
    <row r="15">
      <c r="A15" s="1227" t="s">
        <v>1455</v>
      </c>
    </row>
    <row r="16">
      <c r="A16" s="1227" t="s">
        <v>1456</v>
      </c>
    </row>
    <row r="17">
      <c r="A17" s="1227" t="s">
        <v>1457</v>
      </c>
    </row>
    <row r="18">
      <c r="A18" s="1227" t="s">
        <v>1458</v>
      </c>
    </row>
    <row r="19">
      <c r="A19" s="1227" t="s">
        <v>1459</v>
      </c>
    </row>
    <row r="20">
      <c r="A20" s="1227" t="s">
        <v>1460</v>
      </c>
    </row>
    <row r="21">
      <c r="A21" s="1227" t="s">
        <v>1461</v>
      </c>
    </row>
    <row r="22">
      <c r="A22" s="1227" t="s">
        <v>1462</v>
      </c>
    </row>
    <row r="23">
      <c r="A23" s="1227" t="s">
        <v>1463</v>
      </c>
    </row>
    <row r="24">
      <c r="A24" s="1227" t="s">
        <v>1464</v>
      </c>
    </row>
    <row r="25">
      <c r="A25" s="1227" t="s">
        <v>1465</v>
      </c>
    </row>
    <row r="26">
      <c r="A26" s="1227" t="s">
        <v>1466</v>
      </c>
    </row>
    <row r="27">
      <c r="A27" s="1227" t="s">
        <v>1467</v>
      </c>
    </row>
    <row r="28">
      <c r="A28" s="1227" t="s">
        <v>1468</v>
      </c>
    </row>
    <row r="29">
      <c r="A29" s="1227" t="s">
        <v>1469</v>
      </c>
    </row>
    <row r="30">
      <c r="A30" s="1227" t="s">
        <v>1470</v>
      </c>
    </row>
    <row r="31">
      <c r="A31" s="1227" t="s">
        <v>1471</v>
      </c>
    </row>
    <row r="32">
      <c r="A32" s="1227" t="s">
        <v>1472</v>
      </c>
    </row>
    <row r="33">
      <c r="A33" s="1227" t="s">
        <v>1473</v>
      </c>
    </row>
    <row r="34">
      <c r="A34" s="1227" t="s">
        <v>1474</v>
      </c>
    </row>
    <row r="35">
      <c r="A35" s="1227" t="s">
        <v>1475</v>
      </c>
    </row>
    <row r="36">
      <c r="A36" s="1227" t="s">
        <v>1476</v>
      </c>
    </row>
    <row r="37">
      <c r="A37" s="1227" t="s">
        <v>1477</v>
      </c>
    </row>
    <row r="38">
      <c r="A38" s="1227" t="s">
        <v>1478</v>
      </c>
    </row>
    <row r="39">
      <c r="A39" s="1227" t="s">
        <v>1479</v>
      </c>
    </row>
    <row r="40">
      <c r="A40" s="1227" t="s">
        <v>1480</v>
      </c>
    </row>
    <row r="41">
      <c r="A41" s="1227" t="s">
        <v>1481</v>
      </c>
    </row>
    <row r="42">
      <c r="A42" s="1227" t="s">
        <v>1482</v>
      </c>
    </row>
    <row r="43">
      <c r="A43" s="1227" t="s">
        <v>1483</v>
      </c>
    </row>
    <row r="44">
      <c r="A44" s="1227" t="s">
        <v>1484</v>
      </c>
    </row>
    <row r="45">
      <c r="A45" s="1227" t="s">
        <v>1485</v>
      </c>
    </row>
    <row r="46">
      <c r="A46" s="1227" t="s">
        <v>1486</v>
      </c>
    </row>
    <row r="47">
      <c r="A47" s="1227" t="s">
        <v>1487</v>
      </c>
    </row>
    <row r="48">
      <c r="A48" s="1227">
        <v>11</v>
      </c>
    </row>
    <row r="49">
      <c r="A49" s="1227" t="s">
        <v>1488</v>
      </c>
    </row>
    <row r="50">
      <c r="A50" s="584" t="s">
        <v>1489</v>
      </c>
    </row>
    <row r="51">
      <c r="A51" s="1227" t="s">
        <v>1490</v>
      </c>
    </row>
    <row r="52">
      <c r="A52" s="1227" t="s">
        <v>1491</v>
      </c>
    </row>
    <row r="53">
      <c r="A53" s="1227" t="s">
        <v>1492</v>
      </c>
    </row>
    <row r="54">
      <c r="A54" s="1227" t="s">
        <v>1493</v>
      </c>
    </row>
    <row r="55">
      <c r="A55" s="1227" t="s">
        <v>1494</v>
      </c>
    </row>
    <row r="56">
      <c r="A56" s="1227" t="s">
        <v>1495</v>
      </c>
    </row>
    <row r="57">
      <c r="A57" s="1227" t="s">
        <v>1496</v>
      </c>
    </row>
    <row r="58">
      <c r="A58" s="1227" t="s">
        <v>1497</v>
      </c>
    </row>
    <row r="59">
      <c r="A59" s="1227" t="s">
        <v>1498</v>
      </c>
    </row>
    <row r="60">
      <c r="A60" s="1227" t="s">
        <v>1499</v>
      </c>
    </row>
    <row r="61">
      <c r="A61" s="1227" t="s">
        <v>1500</v>
      </c>
    </row>
    <row r="62">
      <c r="A62" s="1227" t="s">
        <v>1501</v>
      </c>
    </row>
    <row r="63">
      <c r="A63" s="1227" t="s">
        <v>1502</v>
      </c>
    </row>
    <row r="64">
      <c r="A64" s="1227" t="s">
        <v>1503</v>
      </c>
    </row>
    <row r="65">
      <c r="A65" s="1227" t="s">
        <v>1504</v>
      </c>
    </row>
    <row r="66">
      <c r="A66" s="1227" t="s">
        <v>1505</v>
      </c>
    </row>
    <row r="67">
      <c r="A67" s="1227" t="s">
        <v>1506</v>
      </c>
    </row>
    <row r="68">
      <c r="A68" s="1227" t="s">
        <v>1507</v>
      </c>
    </row>
    <row r="69">
      <c r="A69" s="1227" t="s">
        <v>1508</v>
      </c>
    </row>
    <row r="70">
      <c r="A70" s="1227" t="s">
        <v>1509</v>
      </c>
    </row>
    <row r="71">
      <c r="A71" s="1227" t="s">
        <v>1510</v>
      </c>
    </row>
    <row r="72">
      <c r="A72" s="1227" t="s">
        <v>1511</v>
      </c>
    </row>
    <row r="73">
      <c r="A73" s="1227" t="s">
        <v>1512</v>
      </c>
    </row>
    <row r="74">
      <c r="A74" s="1227" t="s">
        <v>1513</v>
      </c>
    </row>
    <row r="75">
      <c r="A75" s="1227" t="s">
        <v>1514</v>
      </c>
    </row>
    <row r="76">
      <c r="A76" s="1227" t="s">
        <v>1515</v>
      </c>
    </row>
    <row r="77">
      <c r="A77" s="1227" t="s">
        <v>1516</v>
      </c>
    </row>
    <row r="78">
      <c r="A78" s="1227" t="s">
        <v>1517</v>
      </c>
    </row>
    <row r="79">
      <c r="A79" s="1227" t="s">
        <v>1518</v>
      </c>
    </row>
    <row r="80">
      <c r="A80" s="1227" t="s">
        <v>1519</v>
      </c>
    </row>
    <row r="81">
      <c r="A81" s="1227" t="s">
        <v>1520</v>
      </c>
    </row>
    <row r="82">
      <c r="A82" s="1227" t="s">
        <v>1521</v>
      </c>
    </row>
    <row r="83">
      <c r="A83" s="1227" t="s">
        <v>1522</v>
      </c>
    </row>
    <row r="84">
      <c r="A84" s="1227" t="s">
        <v>1523</v>
      </c>
    </row>
    <row r="85">
      <c r="A85" s="1227" t="s">
        <v>1524</v>
      </c>
    </row>
    <row r="86">
      <c r="A86" s="1227" t="s">
        <v>1525</v>
      </c>
    </row>
    <row r="87">
      <c r="A87" s="1227" t="s">
        <v>1526</v>
      </c>
    </row>
    <row r="88">
      <c r="A88" s="1227" t="s">
        <v>1527</v>
      </c>
    </row>
    <row r="89">
      <c r="A89" s="1227" t="s">
        <v>1528</v>
      </c>
    </row>
    <row r="90">
      <c r="A90" s="1227" t="s">
        <v>1529</v>
      </c>
    </row>
    <row r="91">
      <c r="A91" s="1227" t="s">
        <v>1530</v>
      </c>
    </row>
    <row r="92">
      <c r="A92" s="1227" t="s">
        <v>1531</v>
      </c>
    </row>
    <row r="93">
      <c r="A93" s="1227" t="s">
        <v>1532</v>
      </c>
    </row>
    <row r="94">
      <c r="A94" s="1227" t="s">
        <v>1533</v>
      </c>
    </row>
    <row r="95">
      <c r="A95" s="1227" t="s">
        <v>1534</v>
      </c>
    </row>
    <row r="96">
      <c r="A96" s="1227" t="s">
        <v>1535</v>
      </c>
    </row>
    <row r="97">
      <c r="A97" s="1227" t="s">
        <v>1536</v>
      </c>
    </row>
    <row r="98">
      <c r="A98" s="1227" t="s">
        <v>1537</v>
      </c>
    </row>
    <row r="99">
      <c r="A99" s="1227" t="s">
        <v>1538</v>
      </c>
    </row>
    <row r="100">
      <c r="A100" s="1227" t="s">
        <v>1539</v>
      </c>
    </row>
    <row r="101">
      <c r="A101" s="1227">
        <v>12</v>
      </c>
    </row>
    <row r="102">
      <c r="A102" s="1227" t="s">
        <v>1488</v>
      </c>
    </row>
    <row r="103">
      <c r="A103" s="584" t="s">
        <v>1540</v>
      </c>
    </row>
    <row r="104">
      <c r="A104" s="1227" t="s">
        <v>1490</v>
      </c>
    </row>
    <row r="105">
      <c r="A105" s="1227" t="s">
        <v>1541</v>
      </c>
    </row>
    <row r="106">
      <c r="A106" s="1227" t="s">
        <v>1542</v>
      </c>
    </row>
    <row r="107">
      <c r="A107" s="1227" t="s">
        <v>1543</v>
      </c>
    </row>
    <row r="108">
      <c r="A108" s="1227" t="s">
        <v>1544</v>
      </c>
    </row>
    <row r="109">
      <c r="A109" s="1227" t="s">
        <v>1545</v>
      </c>
    </row>
    <row r="110">
      <c r="A110" s="1227" t="s">
        <v>1546</v>
      </c>
    </row>
    <row r="111">
      <c r="A111" s="1227" t="s">
        <v>1547</v>
      </c>
    </row>
    <row r="112">
      <c r="A112" s="1227" t="s">
        <v>1548</v>
      </c>
    </row>
    <row r="113">
      <c r="A113" s="1227" t="s">
        <v>1549</v>
      </c>
    </row>
    <row r="114">
      <c r="A114" s="1227" t="s">
        <v>1550</v>
      </c>
    </row>
    <row r="115">
      <c r="A115" s="1227" t="s">
        <v>1551</v>
      </c>
    </row>
    <row r="116">
      <c r="A116" s="1227" t="s">
        <v>1552</v>
      </c>
    </row>
    <row r="117">
      <c r="A117" s="1227" t="s">
        <v>1553</v>
      </c>
    </row>
    <row r="118">
      <c r="A118" s="1227" t="s">
        <v>1554</v>
      </c>
    </row>
    <row r="119">
      <c r="A119" s="1227" t="s">
        <v>1555</v>
      </c>
    </row>
    <row r="120">
      <c r="A120" s="1227" t="s">
        <v>1556</v>
      </c>
    </row>
    <row r="121">
      <c r="A121" s="1227" t="s">
        <v>1557</v>
      </c>
    </row>
    <row r="122">
      <c r="A122" s="1227" t="s">
        <v>1558</v>
      </c>
    </row>
    <row r="123">
      <c r="A123" s="1227" t="s">
        <v>1559</v>
      </c>
    </row>
    <row r="124">
      <c r="A124" s="1227" t="s">
        <v>1560</v>
      </c>
    </row>
    <row r="125">
      <c r="A125" s="1227" t="s">
        <v>1561</v>
      </c>
    </row>
    <row r="126">
      <c r="A126" s="1227" t="s">
        <v>1562</v>
      </c>
    </row>
    <row r="127">
      <c r="A127" s="1227" t="s">
        <v>1563</v>
      </c>
    </row>
    <row r="128">
      <c r="A128" s="1227" t="s">
        <v>1564</v>
      </c>
    </row>
    <row r="129">
      <c r="A129" s="1227" t="s">
        <v>1565</v>
      </c>
    </row>
    <row r="130">
      <c r="A130" s="1227" t="s">
        <v>1566</v>
      </c>
    </row>
    <row r="131">
      <c r="A131" s="1227" t="s">
        <v>1567</v>
      </c>
    </row>
    <row r="132">
      <c r="A132" s="1227" t="s">
        <v>1568</v>
      </c>
    </row>
    <row r="133">
      <c r="A133" s="1227" t="s">
        <v>1569</v>
      </c>
    </row>
    <row r="134">
      <c r="A134" s="1227" t="s">
        <v>1570</v>
      </c>
    </row>
    <row r="135">
      <c r="A135" s="1227" t="s">
        <v>1571</v>
      </c>
    </row>
    <row r="136">
      <c r="A136" s="1227" t="s">
        <v>1572</v>
      </c>
    </row>
    <row r="137">
      <c r="A137" s="1227" t="s">
        <v>1573</v>
      </c>
    </row>
    <row r="138">
      <c r="A138" s="1227" t="s">
        <v>1574</v>
      </c>
    </row>
    <row r="139">
      <c r="A139" s="1227" t="s">
        <v>1575</v>
      </c>
    </row>
    <row r="140">
      <c r="A140" s="1227" t="s">
        <v>1576</v>
      </c>
    </row>
    <row r="141">
      <c r="A141" s="1227" t="s">
        <v>1577</v>
      </c>
    </row>
    <row r="142">
      <c r="A142" s="1227" t="s">
        <v>1578</v>
      </c>
    </row>
    <row r="143">
      <c r="A143" s="1227" t="s">
        <v>1579</v>
      </c>
    </row>
    <row r="144">
      <c r="A144" s="1227" t="s">
        <v>1580</v>
      </c>
    </row>
    <row r="145">
      <c r="A145" s="1227" t="s">
        <v>1581</v>
      </c>
    </row>
    <row r="146">
      <c r="A146" s="1227" t="s">
        <v>1582</v>
      </c>
    </row>
    <row r="147">
      <c r="A147" s="1227" t="s">
        <v>1583</v>
      </c>
    </row>
    <row r="148">
      <c r="A148" s="1227" t="s">
        <v>1584</v>
      </c>
    </row>
    <row r="149">
      <c r="A149" s="1227" t="s">
        <v>1585</v>
      </c>
    </row>
    <row r="150">
      <c r="A150" s="1227">
        <v>13</v>
      </c>
    </row>
    <row r="151">
      <c r="A151" s="1227" t="s">
        <v>1488</v>
      </c>
    </row>
    <row r="152">
      <c r="A152" s="584" t="s">
        <v>1586</v>
      </c>
    </row>
    <row r="153">
      <c r="A153" s="1227" t="s">
        <v>1490</v>
      </c>
    </row>
    <row r="154">
      <c r="A154" s="1227" t="s">
        <v>1587</v>
      </c>
    </row>
    <row r="155">
      <c r="A155" s="585">
        <v>316804300</v>
      </c>
    </row>
    <row r="156">
      <c r="A156" s="1227" t="s">
        <v>1588</v>
      </c>
    </row>
    <row r="157">
      <c r="A157" s="1227" t="s">
        <v>1589</v>
      </c>
    </row>
    <row r="158">
      <c r="A158" s="1227" t="s">
        <v>1590</v>
      </c>
    </row>
    <row r="159">
      <c r="A159" s="1227" t="s">
        <v>1591</v>
      </c>
    </row>
    <row r="160">
      <c r="A160" s="1227" t="s">
        <v>1592</v>
      </c>
    </row>
    <row r="161">
      <c r="A161" s="1227" t="s">
        <v>1593</v>
      </c>
    </row>
    <row r="162">
      <c r="A162" s="1227" t="s">
        <v>1594</v>
      </c>
    </row>
    <row r="163">
      <c r="A163" s="1227" t="s">
        <v>1595</v>
      </c>
    </row>
    <row r="164">
      <c r="A164" s="1227" t="s">
        <v>1596</v>
      </c>
    </row>
    <row r="165">
      <c r="A165" s="1227" t="s">
        <v>1597</v>
      </c>
    </row>
    <row r="166">
      <c r="A166" s="1227" t="s">
        <v>1598</v>
      </c>
    </row>
    <row r="167">
      <c r="A167" s="1227" t="s">
        <v>1599</v>
      </c>
    </row>
    <row r="168">
      <c r="A168" s="1227" t="s">
        <v>1600</v>
      </c>
    </row>
    <row r="169">
      <c r="A169" s="1227" t="s">
        <v>1601</v>
      </c>
    </row>
    <row r="170">
      <c r="A170" s="1227" t="s">
        <v>1602</v>
      </c>
    </row>
    <row r="171">
      <c r="A171" s="1227" t="s">
        <v>1603</v>
      </c>
    </row>
    <row r="172">
      <c r="A172" s="1227" t="s">
        <v>1604</v>
      </c>
    </row>
    <row r="173">
      <c r="A173" s="1227" t="s">
        <v>1605</v>
      </c>
    </row>
    <row r="174">
      <c r="A174" s="1227" t="s">
        <v>1606</v>
      </c>
    </row>
    <row r="175">
      <c r="A175" s="1227" t="s">
        <v>1607</v>
      </c>
    </row>
    <row r="176">
      <c r="A176" s="1227" t="s">
        <v>1608</v>
      </c>
    </row>
    <row r="177">
      <c r="A177" s="1227" t="s">
        <v>1609</v>
      </c>
    </row>
    <row r="178">
      <c r="A178" s="1227" t="s">
        <v>1610</v>
      </c>
    </row>
    <row r="179">
      <c r="A179" s="1227" t="s">
        <v>1611</v>
      </c>
    </row>
    <row r="180">
      <c r="A180" s="1227" t="s">
        <v>1612</v>
      </c>
    </row>
    <row r="181">
      <c r="A181" s="1227" t="s">
        <v>1613</v>
      </c>
    </row>
    <row r="182">
      <c r="A182" s="1227" t="s">
        <v>1614</v>
      </c>
    </row>
    <row r="183">
      <c r="A183" s="1227" t="s">
        <v>1615</v>
      </c>
    </row>
    <row r="184">
      <c r="A184" s="1227" t="s">
        <v>1616</v>
      </c>
    </row>
    <row r="185">
      <c r="A185" s="1227" t="s">
        <v>1617</v>
      </c>
    </row>
    <row r="186">
      <c r="A186" s="1227" t="s">
        <v>1618</v>
      </c>
    </row>
    <row r="187">
      <c r="A187" s="1227" t="s">
        <v>1619</v>
      </c>
    </row>
    <row r="188">
      <c r="A188" s="1227" t="s">
        <v>1620</v>
      </c>
    </row>
    <row r="189">
      <c r="A189" s="1227" t="s">
        <v>1621</v>
      </c>
    </row>
    <row r="190">
      <c r="A190" s="1227" t="s">
        <v>1622</v>
      </c>
    </row>
    <row r="191">
      <c r="A191" s="1227" t="s">
        <v>1623</v>
      </c>
    </row>
    <row r="192">
      <c r="A192" s="1227" t="s">
        <v>1624</v>
      </c>
    </row>
    <row r="193">
      <c r="A193" s="1227" t="s">
        <v>1625</v>
      </c>
    </row>
    <row r="194">
      <c r="A194" s="1227" t="s">
        <v>1626</v>
      </c>
    </row>
    <row r="195">
      <c r="A195" s="1227" t="s">
        <v>1627</v>
      </c>
    </row>
    <row r="196">
      <c r="A196" s="1227" t="s">
        <v>1628</v>
      </c>
    </row>
    <row r="197">
      <c r="A197" s="1227">
        <v>14</v>
      </c>
    </row>
    <row r="198">
      <c r="A198" s="1227" t="s">
        <v>1488</v>
      </c>
    </row>
    <row r="199">
      <c r="A199" s="584" t="s">
        <v>1629</v>
      </c>
    </row>
    <row r="200">
      <c r="A200" s="1227" t="s">
        <v>1490</v>
      </c>
    </row>
    <row r="201">
      <c r="A201" s="1227" t="s">
        <v>1630</v>
      </c>
    </row>
    <row r="202">
      <c r="A202" s="1227" t="s">
        <v>1631</v>
      </c>
    </row>
    <row r="203">
      <c r="A203" s="585">
        <v>7957657</v>
      </c>
    </row>
    <row r="204">
      <c r="A204" s="1227" t="s">
        <v>1632</v>
      </c>
    </row>
    <row r="205">
      <c r="A205" s="1227" t="s">
        <v>1633</v>
      </c>
    </row>
    <row r="206">
      <c r="A206" s="1227" t="s">
        <v>1634</v>
      </c>
    </row>
    <row r="207">
      <c r="A207" s="1227" t="s">
        <v>1635</v>
      </c>
    </row>
    <row r="208">
      <c r="A208" s="1227" t="s">
        <v>1460</v>
      </c>
    </row>
    <row r="209">
      <c r="A209" s="1227" t="s">
        <v>1636</v>
      </c>
    </row>
    <row r="210">
      <c r="A210" s="1227" t="s">
        <v>1637</v>
      </c>
    </row>
    <row r="211">
      <c r="A211" s="1227" t="s">
        <v>1638</v>
      </c>
    </row>
    <row r="212">
      <c r="A212" s="1227" t="s">
        <v>1639</v>
      </c>
    </row>
    <row r="213">
      <c r="A213" s="1227" t="s">
        <v>1640</v>
      </c>
    </row>
    <row r="214">
      <c r="A214" s="1227" t="s">
        <v>1641</v>
      </c>
    </row>
    <row r="215">
      <c r="A215" s="1227" t="s">
        <v>1642</v>
      </c>
    </row>
    <row r="216">
      <c r="A216" s="1227" t="s">
        <v>1643</v>
      </c>
    </row>
    <row r="217">
      <c r="A217" s="1227" t="s">
        <v>1644</v>
      </c>
    </row>
    <row r="218">
      <c r="A218" s="1227" t="s">
        <v>1645</v>
      </c>
    </row>
    <row r="219">
      <c r="A219" s="1227" t="s">
        <v>1646</v>
      </c>
    </row>
    <row r="220">
      <c r="A220" s="1227" t="s">
        <v>1647</v>
      </c>
    </row>
    <row r="221">
      <c r="A221" s="1227" t="s">
        <v>1648</v>
      </c>
    </row>
    <row r="222">
      <c r="A222" s="1227" t="s">
        <v>1649</v>
      </c>
    </row>
    <row r="223">
      <c r="A223" s="1227" t="s">
        <v>1650</v>
      </c>
    </row>
    <row r="224">
      <c r="A224" s="1227" t="s">
        <v>1651</v>
      </c>
    </row>
    <row r="225">
      <c r="A225" s="1227" t="s">
        <v>1652</v>
      </c>
    </row>
    <row r="226">
      <c r="A226" s="1227" t="s">
        <v>1653</v>
      </c>
    </row>
    <row r="227">
      <c r="A227" s="1227" t="s">
        <v>1654</v>
      </c>
    </row>
    <row r="228">
      <c r="A228" s="1227" t="s">
        <v>1655</v>
      </c>
    </row>
    <row r="229">
      <c r="A229" s="1227" t="s">
        <v>1656</v>
      </c>
    </row>
    <row r="230">
      <c r="A230" s="1227" t="s">
        <v>1657</v>
      </c>
    </row>
    <row r="231">
      <c r="A231" s="1227" t="s">
        <v>1658</v>
      </c>
    </row>
    <row r="232">
      <c r="A232" s="1227" t="s">
        <v>1659</v>
      </c>
    </row>
    <row r="233">
      <c r="A233" s="1227" t="s">
        <v>1660</v>
      </c>
    </row>
    <row r="234">
      <c r="A234" s="1227" t="s">
        <v>1661</v>
      </c>
    </row>
    <row r="235">
      <c r="A235" s="1227" t="s">
        <v>1662</v>
      </c>
    </row>
    <row r="236">
      <c r="A236" s="1227" t="s">
        <v>1663</v>
      </c>
    </row>
    <row r="237">
      <c r="A237" s="1227" t="s">
        <v>1664</v>
      </c>
    </row>
    <row r="238">
      <c r="A238" s="1227" t="s">
        <v>1665</v>
      </c>
    </row>
    <row r="239">
      <c r="A239" s="1227" t="s">
        <v>1666</v>
      </c>
    </row>
    <row r="240">
      <c r="A240" s="1227" t="s">
        <v>1667</v>
      </c>
    </row>
    <row r="241">
      <c r="A241" s="1227" t="s">
        <v>1668</v>
      </c>
    </row>
    <row r="242">
      <c r="A242" s="1227" t="s">
        <v>1669</v>
      </c>
    </row>
    <row r="243">
      <c r="A243" s="1227" t="s">
        <v>1670</v>
      </c>
    </row>
    <row r="244">
      <c r="A244" s="1227" t="s">
        <v>1671</v>
      </c>
    </row>
    <row r="245">
      <c r="A245" s="1227" t="s">
        <v>1672</v>
      </c>
    </row>
    <row r="246">
      <c r="A246" s="1227">
        <v>15</v>
      </c>
    </row>
    <row r="247">
      <c r="A247" s="1227" t="s">
        <v>1488</v>
      </c>
    </row>
    <row r="248">
      <c r="A248" s="584" t="s">
        <v>1673</v>
      </c>
    </row>
    <row r="249">
      <c r="A249" s="1227" t="s">
        <v>1490</v>
      </c>
    </row>
    <row r="250">
      <c r="A250" s="1227" t="s">
        <v>1674</v>
      </c>
    </row>
    <row r="251">
      <c r="A251" s="1227" t="s">
        <v>1675</v>
      </c>
    </row>
    <row r="252">
      <c r="A252" s="1227" t="s">
        <v>1676</v>
      </c>
    </row>
    <row r="253">
      <c r="A253" s="1227" t="s">
        <v>1677</v>
      </c>
    </row>
    <row r="254">
      <c r="A254" s="1227" t="s">
        <v>1678</v>
      </c>
    </row>
    <row r="255">
      <c r="A255" s="1227" t="s">
        <v>1679</v>
      </c>
    </row>
    <row r="256">
      <c r="A256" s="1227" t="s">
        <v>1680</v>
      </c>
    </row>
    <row r="257">
      <c r="A257" s="1227" t="s">
        <v>1681</v>
      </c>
    </row>
    <row r="258">
      <c r="A258" s="1227" t="s">
        <v>1682</v>
      </c>
    </row>
    <row r="259">
      <c r="A259" s="1227" t="s">
        <v>1683</v>
      </c>
    </row>
    <row r="260">
      <c r="A260" s="1227" t="s">
        <v>1684</v>
      </c>
    </row>
    <row r="261">
      <c r="A261" s="1227" t="s">
        <v>1685</v>
      </c>
    </row>
    <row r="262">
      <c r="A262" s="1227" t="s">
        <v>1686</v>
      </c>
    </row>
    <row r="263">
      <c r="A263" s="1227" t="s">
        <v>1687</v>
      </c>
    </row>
    <row r="264">
      <c r="A264" s="1227" t="s">
        <v>1688</v>
      </c>
    </row>
    <row r="265">
      <c r="A265" s="1227" t="s">
        <v>1689</v>
      </c>
    </row>
    <row r="266">
      <c r="A266" s="1227" t="s">
        <v>1690</v>
      </c>
    </row>
    <row r="267">
      <c r="A267" s="1227" t="s">
        <v>1691</v>
      </c>
    </row>
    <row r="268">
      <c r="A268" s="1227" t="s">
        <v>1692</v>
      </c>
    </row>
    <row r="269">
      <c r="A269" s="1227" t="s">
        <v>1693</v>
      </c>
    </row>
    <row r="270">
      <c r="A270" s="1227" t="s">
        <v>1694</v>
      </c>
    </row>
    <row r="271">
      <c r="A271" s="1227" t="s">
        <v>1695</v>
      </c>
    </row>
    <row r="272">
      <c r="A272" s="1227" t="s">
        <v>1696</v>
      </c>
    </row>
    <row r="273">
      <c r="A273" s="1227" t="s">
        <v>1697</v>
      </c>
    </row>
    <row r="274">
      <c r="A274" s="1227" t="s">
        <v>1698</v>
      </c>
    </row>
    <row r="275">
      <c r="A275" s="1227" t="s">
        <v>1699</v>
      </c>
    </row>
    <row r="276">
      <c r="A276" s="1227" t="s">
        <v>1700</v>
      </c>
    </row>
    <row r="277">
      <c r="A277" s="1227" t="s">
        <v>1701</v>
      </c>
    </row>
    <row r="278">
      <c r="A278" s="1227" t="s">
        <v>1702</v>
      </c>
    </row>
    <row r="279">
      <c r="A279" s="1227" t="s">
        <v>1703</v>
      </c>
    </row>
    <row r="280">
      <c r="A280" s="1227" t="s">
        <v>1704</v>
      </c>
    </row>
    <row r="281">
      <c r="A281" s="1227" t="s">
        <v>1705</v>
      </c>
    </row>
    <row r="282">
      <c r="A282" s="584" t="s">
        <v>1706</v>
      </c>
    </row>
    <row r="283">
      <c r="A283" s="1227" t="s">
        <v>1707</v>
      </c>
    </row>
    <row r="284">
      <c r="A284" s="1227" t="s">
        <v>1708</v>
      </c>
    </row>
    <row r="285">
      <c r="A285" s="1227" t="s">
        <v>1709</v>
      </c>
    </row>
    <row r="286">
      <c r="A286" s="1227" t="s">
        <v>1710</v>
      </c>
    </row>
    <row r="287">
      <c r="A287" s="1227" t="s">
        <v>1711</v>
      </c>
    </row>
    <row r="288">
      <c r="A288" s="1227" t="s">
        <v>1712</v>
      </c>
    </row>
    <row r="289">
      <c r="A289" s="1227" t="s">
        <v>1713</v>
      </c>
    </row>
    <row r="290">
      <c r="A290" s="1227">
        <v>16</v>
      </c>
    </row>
    <row r="291">
      <c r="A291" s="1227" t="s">
        <v>1488</v>
      </c>
    </row>
    <row r="292">
      <c r="A292" s="584" t="s">
        <v>1714</v>
      </c>
    </row>
    <row r="293">
      <c r="A293" s="1227" t="s">
        <v>1490</v>
      </c>
    </row>
    <row r="294">
      <c r="A294" s="1227" t="s">
        <v>1715</v>
      </c>
    </row>
    <row r="295">
      <c r="A295" s="1227" t="s">
        <v>1716</v>
      </c>
    </row>
    <row r="296">
      <c r="A296" s="1227" t="s">
        <v>1717</v>
      </c>
    </row>
    <row r="297">
      <c r="A297" s="1227" t="s">
        <v>1718</v>
      </c>
    </row>
    <row r="298">
      <c r="A298" s="1227" t="s">
        <v>1719</v>
      </c>
    </row>
    <row r="299">
      <c r="A299" s="1227" t="s">
        <v>1720</v>
      </c>
    </row>
  </sheetData>
</worksheet>
</file>

<file path=xl/worksheets/sheet5.xml><?xml version="1.0" encoding="utf-8"?>
<worksheet xmlns="http://schemas.openxmlformats.org/spreadsheetml/2006/main" xmlns:r="http://schemas.openxmlformats.org/officeDocument/2006/relationships">
  <dimension ref="A1:K111"/>
  <sheetViews>
    <sheetView showGridLines="0" workbookViewId="0"/>
  </sheetViews>
  <sheetFormatPr defaultColWidth="8.375" defaultRowHeight="15"/>
  <cols>
    <col min="1" max="1" width="43.125" customWidth="1"/>
    <col min="2" max="11" width="15.625" customWidth="1"/>
  </cols>
  <sheetData>
    <row r="1">
      <c r="A1" s="1384" t="s">
        <v>0</v>
      </c>
      <c r="B1" s="1217"/>
      <c r="C1" s="1217"/>
      <c r="D1" s="1217"/>
      <c r="E1" s="1217"/>
      <c r="F1" s="1217"/>
      <c r="G1" s="1222"/>
      <c r="H1" s="1216"/>
      <c r="I1" s="1216"/>
      <c r="J1" s="1216"/>
      <c r="K1" s="1216"/>
    </row>
    <row r="2">
      <c r="A2" s="1394" t="s">
        <v>1</v>
      </c>
      <c r="G2" s="1224"/>
    </row>
    <row r="3">
      <c r="A3" s="1394" t="s">
        <v>2</v>
      </c>
      <c r="G3" s="1224"/>
    </row>
    <row r="4">
      <c r="A4" s="1211"/>
      <c r="B4" s="1211"/>
      <c r="C4" s="1211"/>
      <c r="D4" s="1211"/>
      <c r="E4" s="1211"/>
      <c r="F4" s="1211"/>
      <c r="G4" s="1224"/>
      <c r="H4" s="1211"/>
      <c r="I4" s="1211"/>
      <c r="J4" s="1211"/>
      <c r="K4" s="1211"/>
    </row>
    <row r="5">
      <c r="A5" s="1384" t="s">
        <v>3</v>
      </c>
      <c r="B5" s="1385" t="s">
        <v>4</v>
      </c>
      <c r="C5" s="1385" t="s">
        <v>5</v>
      </c>
      <c r="D5" s="1385" t="s">
        <v>6</v>
      </c>
      <c r="E5" s="1385" t="s">
        <v>7</v>
      </c>
      <c r="F5" s="1385" t="s">
        <v>8</v>
      </c>
      <c r="G5" s="1389" t="s">
        <v>9</v>
      </c>
      <c r="H5" s="1391" t="s">
        <v>10</v>
      </c>
      <c r="I5" s="1391" t="s">
        <v>11</v>
      </c>
      <c r="J5" s="1391" t="s">
        <v>12</v>
      </c>
      <c r="K5" s="1391" t="s">
        <v>13</v>
      </c>
    </row>
    <row r="6">
      <c r="A6" s="1384" t="s">
        <v>14</v>
      </c>
      <c r="B6" s="1213"/>
      <c r="C6" s="1213"/>
      <c r="D6" s="1213"/>
      <c r="E6" s="1213"/>
      <c r="F6" s="1213"/>
      <c r="G6" s="1225"/>
      <c r="H6" s="1219"/>
      <c r="I6" s="1219"/>
      <c r="J6" s="1219"/>
      <c r="K6" s="1219"/>
    </row>
    <row r="7">
      <c r="A7" s="1394" t="s">
        <v>15</v>
      </c>
      <c r="B7" s="1390">
        <f>EEFF!B7</f>
        <v>42793727</v>
      </c>
      <c r="C7" s="1390">
        <f>EEFF!C7</f>
        <v>57204243</v>
      </c>
      <c r="D7" s="1390">
        <f>EEFF!D7</f>
        <v>53187368</v>
      </c>
      <c r="E7" s="1390">
        <f>EEFF!E7</f>
        <v>55356497</v>
      </c>
      <c r="F7" s="1390">
        <f>EEFF!F7</f>
        <v>48358044</v>
      </c>
      <c r="G7" s="1410">
        <f>Supuestos!G39</f>
        <v>38521429.45146265</v>
      </c>
      <c r="H7" s="1390">
        <f>Supuestos!H39</f>
        <v>32605880.051462643</v>
      </c>
      <c r="I7" s="1390">
        <f>Supuestos!I39</f>
        <v>33463954.12746264</v>
      </c>
      <c r="J7" s="1390">
        <f>Supuestos!J39</f>
        <v>33345801.35946264</v>
      </c>
      <c r="K7" s="1390">
        <f>Supuestos!K39</f>
        <v>25937469.56112</v>
      </c>
    </row>
    <row r="8">
      <c r="A8" s="1394" t="s">
        <v>16</v>
      </c>
      <c r="B8" s="1390">
        <f>EEFF!B8</f>
        <v>4427043</v>
      </c>
      <c r="C8" s="1390">
        <f>EEFF!C8</f>
        <v>8559953</v>
      </c>
      <c r="D8" s="1390">
        <f>EEFF!D8</f>
        <v>12013335</v>
      </c>
      <c r="E8" s="1390">
        <f>EEFF!E8</f>
        <v>9960198</v>
      </c>
      <c r="F8" s="1390">
        <f>EEFF!F8</f>
        <v>4986124</v>
      </c>
      <c r="G8" s="1410">
        <f>Supuestos!G43</f>
        <v>5053166.16</v>
      </c>
      <c r="H8" s="1390">
        <f>Supuestos!H43</f>
        <v>9162668.76</v>
      </c>
      <c r="I8" s="1390">
        <f>Supuestos!I43</f>
        <v>4444195.65</v>
      </c>
      <c r="J8" s="1390">
        <f>Supuestos!J43</f>
        <v>4444195.65</v>
      </c>
      <c r="K8" s="1390">
        <f>Supuestos!K43</f>
        <v>4444195.65</v>
      </c>
    </row>
    <row r="9">
      <c r="A9" s="1394" t="s">
        <v>17</v>
      </c>
      <c r="B9" s="1390">
        <f>EEFF!B9</f>
        <v>1368202</v>
      </c>
      <c r="C9" s="1390">
        <f>EEFF!C9</f>
        <v>1850469</v>
      </c>
      <c r="D9" s="1390">
        <f>EEFF!D9</f>
        <v>2243773</v>
      </c>
      <c r="E9" s="1390">
        <f>EEFF!E9</f>
        <v>2503761</v>
      </c>
      <c r="F9" s="1390">
        <f>EEFF!F9</f>
        <v>1761951</v>
      </c>
      <c r="G9" s="1395">
        <f>F9</f>
        <v>1761951</v>
      </c>
      <c r="H9" s="1381">
        <f>G9</f>
        <v>1761951</v>
      </c>
      <c r="I9" s="1381">
        <f>H9</f>
        <v>1761951</v>
      </c>
      <c r="J9" s="1381">
        <f>I9</f>
        <v>1761951</v>
      </c>
      <c r="K9" s="1381">
        <f>J9</f>
        <v>1761951</v>
      </c>
    </row>
    <row r="10">
      <c r="A10" s="1401" t="s">
        <v>18</v>
      </c>
      <c r="B10" s="1209">
        <f>EEFF!B10</f>
        <v>5795245</v>
      </c>
      <c r="C10" s="1209">
        <f>EEFF!C10</f>
        <v>10410422</v>
      </c>
      <c r="D10" s="1209">
        <f>EEFF!D10</f>
        <v>14257108</v>
      </c>
      <c r="E10" s="1209">
        <f>EEFF!E10</f>
        <v>12463959</v>
      </c>
      <c r="F10" s="1209">
        <f>EEFF!F10</f>
        <v>6748075</v>
      </c>
      <c r="G10" s="1400">
        <f>G8+G9</f>
        <v>6815117.16</v>
      </c>
      <c r="H10" s="1398">
        <f>H8+H9</f>
        <v>10924619.76</v>
      </c>
      <c r="I10" s="1398">
        <f>I8+I9</f>
        <v>6206146.65</v>
      </c>
      <c r="J10" s="1398">
        <f>J8+J9</f>
        <v>6206146.65</v>
      </c>
      <c r="K10" s="1398">
        <f>K8+K9</f>
        <v>6206146.65</v>
      </c>
    </row>
    <row r="11">
      <c r="A11" s="1394" t="s">
        <v>19</v>
      </c>
      <c r="B11" s="1390">
        <f>EEFF!B11</f>
        <v>869881</v>
      </c>
      <c r="C11" s="1390">
        <f>EEFF!C11</f>
        <v>1974498</v>
      </c>
      <c r="D11" s="1390">
        <f>EEFF!D11</f>
        <v>2169724</v>
      </c>
      <c r="E11" s="1390">
        <f>EEFF!E11</f>
        <v>642966</v>
      </c>
      <c r="F11" s="1390">
        <f>EEFF!F11</f>
        <v>1922207</v>
      </c>
      <c r="G11" s="1395">
        <f>F11</f>
        <v>1922207</v>
      </c>
      <c r="H11" s="1381">
        <f>G11</f>
        <v>1922207</v>
      </c>
      <c r="I11" s="1381">
        <f>H11</f>
        <v>1922207</v>
      </c>
      <c r="J11" s="1381">
        <f>I11</f>
        <v>1922207</v>
      </c>
      <c r="K11" s="1381">
        <f>J11</f>
        <v>1922207</v>
      </c>
    </row>
    <row r="12">
      <c r="A12" s="1394" t="s">
        <v>20</v>
      </c>
      <c r="B12" s="1390">
        <f>EEFF!B12</f>
        <v>11878451</v>
      </c>
      <c r="C12" s="1390">
        <f>EEFF!C12</f>
        <v>11881633</v>
      </c>
      <c r="D12" s="1390">
        <f>EEFF!D12</f>
        <v>11997283</v>
      </c>
      <c r="E12" s="1390">
        <f>EEFF!E12</f>
        <v>12446869</v>
      </c>
      <c r="F12" s="1390">
        <f>EEFF!F12</f>
        <v>12521408</v>
      </c>
      <c r="G12" s="1395">
        <f>F12</f>
        <v>12521408</v>
      </c>
      <c r="H12" s="1381">
        <f>G12</f>
        <v>12521408</v>
      </c>
      <c r="I12" s="1381">
        <f>H12</f>
        <v>12521408</v>
      </c>
      <c r="J12" s="1381">
        <f>I12</f>
        <v>12521408</v>
      </c>
      <c r="K12" s="1381">
        <f>J12</f>
        <v>12521408</v>
      </c>
    </row>
    <row r="13">
      <c r="A13" s="1394" t="s">
        <v>21</v>
      </c>
      <c r="B13" s="1390">
        <f>EEFF!B13</f>
        <v>2400538</v>
      </c>
      <c r="C13" s="1390">
        <f>EEFF!C13</f>
        <v>2548375</v>
      </c>
      <c r="D13" s="1390">
        <f>EEFF!D13</f>
        <v>2841019</v>
      </c>
      <c r="E13" s="1390">
        <f>EEFF!E13</f>
        <v>2549512</v>
      </c>
      <c r="F13" s="1390">
        <f>EEFF!F13</f>
        <v>3004212</v>
      </c>
      <c r="G13" s="1395">
        <f>F13</f>
        <v>3004212</v>
      </c>
      <c r="H13" s="1381">
        <f>G13</f>
        <v>3004212</v>
      </c>
      <c r="I13" s="1381">
        <f>H13</f>
        <v>3004212</v>
      </c>
      <c r="J13" s="1381">
        <f>I13</f>
        <v>3004212</v>
      </c>
      <c r="K13" s="1381">
        <f>J13</f>
        <v>3004212</v>
      </c>
    </row>
    <row r="14">
      <c r="A14" s="1394" t="s">
        <v>22</v>
      </c>
      <c r="B14" s="1390">
        <f>EEFF!B14</f>
        <v>4588379</v>
      </c>
      <c r="C14" s="1390">
        <f>EEFF!C14</f>
        <v>5332929</v>
      </c>
      <c r="D14" s="1390">
        <f>EEFF!D14</f>
        <v>5554329</v>
      </c>
      <c r="E14" s="1390">
        <f>EEFF!E14</f>
        <v>5511351</v>
      </c>
      <c r="F14" s="1390">
        <f>EEFF!F14</f>
        <v>5684677</v>
      </c>
      <c r="G14" s="1410">
        <f>Supuestos!G46</f>
        <v>5511351</v>
      </c>
      <c r="H14" s="1390">
        <f>Supuestos!H46</f>
        <v>5511351</v>
      </c>
      <c r="I14" s="1390">
        <f>Supuestos!I46</f>
        <v>5511351</v>
      </c>
      <c r="J14" s="1390">
        <f>Supuestos!J46</f>
        <v>5511351</v>
      </c>
      <c r="K14" s="1390">
        <f>Supuestos!K46</f>
        <v>5511351</v>
      </c>
    </row>
    <row r="15">
      <c r="A15" s="1394" t="s">
        <v>23</v>
      </c>
      <c r="B15" s="1390">
        <f>EEFF!B15</f>
        <v>0</v>
      </c>
      <c r="C15" s="1390">
        <f>EEFF!C15</f>
        <v>0</v>
      </c>
      <c r="D15" s="1390">
        <f>EEFF!D15</f>
        <v>127418</v>
      </c>
      <c r="E15" s="1390">
        <f>EEFF!E15</f>
        <v>0</v>
      </c>
      <c r="F15" s="1390">
        <f>EEFF!F15</f>
        <v>0</v>
      </c>
      <c r="G15" s="1210"/>
      <c r="H15" s="1208"/>
      <c r="I15" s="1208"/>
      <c r="J15" s="1208"/>
      <c r="K15" s="1208"/>
    </row>
    <row r="16">
      <c r="A16" s="1394" t="s">
        <v>24</v>
      </c>
      <c r="B16" s="1390">
        <f>EEFF!B16</f>
        <v>20000</v>
      </c>
      <c r="C16" s="1390">
        <f>EEFF!C16</f>
        <v>0</v>
      </c>
      <c r="D16" s="1390">
        <f>EEFF!D16</f>
        <v>0</v>
      </c>
      <c r="E16" s="1390">
        <f>EEFF!E16</f>
        <v>0</v>
      </c>
      <c r="F16" s="1390">
        <f>EEFF!F16</f>
        <v>0</v>
      </c>
      <c r="G16" s="1210"/>
      <c r="H16" s="1208"/>
      <c r="I16" s="1208"/>
      <c r="J16" s="1208"/>
      <c r="K16" s="1208"/>
    </row>
    <row r="17">
      <c r="A17" s="1394" t="s">
        <v>25</v>
      </c>
      <c r="B17" s="1390">
        <f>EEFF!B17</f>
        <v>139398</v>
      </c>
      <c r="C17" s="1390">
        <f>EEFF!C17</f>
        <v>0</v>
      </c>
      <c r="D17" s="1390">
        <f>EEFF!D17</f>
        <v>0</v>
      </c>
      <c r="E17" s="1390">
        <f>EEFF!E17</f>
        <v>0</v>
      </c>
      <c r="F17" s="1390">
        <f>EEFF!F17</f>
        <v>0</v>
      </c>
      <c r="G17" s="1210"/>
      <c r="H17" s="1208"/>
      <c r="I17" s="1208"/>
      <c r="J17" s="1208"/>
      <c r="K17" s="1208"/>
    </row>
    <row r="18">
      <c r="A18" s="1401" t="s">
        <v>26</v>
      </c>
      <c r="B18" s="1209">
        <f>EEFF!B18</f>
        <v>19026766</v>
      </c>
      <c r="C18" s="1209">
        <f>EEFF!C18</f>
        <v>19762937</v>
      </c>
      <c r="D18" s="1209">
        <f>EEFF!D18</f>
        <v>20520049</v>
      </c>
      <c r="E18" s="1209">
        <f>EEFF!E18</f>
        <v>20507732</v>
      </c>
      <c r="F18" s="1209">
        <f>EEFF!F18</f>
        <v>21210297</v>
      </c>
      <c r="G18" s="1400">
        <f>G12+G13+G14+G15+G16+G17</f>
        <v>21036971</v>
      </c>
      <c r="H18" s="1398">
        <f>H12+H13+H14+H15+H16+H17</f>
        <v>21036971</v>
      </c>
      <c r="I18" s="1398">
        <f>I12+I13+I14+I15+I16+I17</f>
        <v>21036971</v>
      </c>
      <c r="J18" s="1398">
        <f>J12+J13+J14+J15+J16+J17</f>
        <v>21036971</v>
      </c>
      <c r="K18" s="1398">
        <f>K12+K13+K14+K15+K16+K17</f>
        <v>21036971</v>
      </c>
    </row>
    <row r="19">
      <c r="A19" s="1401" t="s">
        <v>27</v>
      </c>
      <c r="B19" s="1209">
        <f>EEFF!B19</f>
        <v>18841597</v>
      </c>
      <c r="C19" s="1209">
        <f>EEFF!C19</f>
        <v>29005382</v>
      </c>
      <c r="D19" s="1209">
        <f>EEFF!D19</f>
        <v>20579935</v>
      </c>
      <c r="E19" s="1209">
        <f>EEFF!E19</f>
        <v>23027772</v>
      </c>
      <c r="F19" s="1209">
        <f>EEFF!F19</f>
        <v>22321879</v>
      </c>
      <c r="G19" s="1400">
        <f>G7-G10+G11-G18</f>
        <v>12591548.291462645</v>
      </c>
      <c r="H19" s="1398">
        <f>H7-H10+H11-H18</f>
        <v>2566496.291462645</v>
      </c>
      <c r="I19" s="1398">
        <f>I7-I10+I11-I18</f>
        <v>8143043.477462642</v>
      </c>
      <c r="J19" s="1398">
        <f>J7-J10+J11-J18</f>
        <v>8024890.709462643</v>
      </c>
      <c r="K19" s="1398">
        <f>K7-K10+K11-K18</f>
        <v>616558.9111199975</v>
      </c>
    </row>
    <row r="20">
      <c r="A20" s="1394" t="s">
        <v>28</v>
      </c>
      <c r="B20" s="1390">
        <f>EEFF!B20</f>
        <v>10739963</v>
      </c>
      <c r="C20" s="1390">
        <f>EEFF!C20</f>
        <v>10140045</v>
      </c>
      <c r="D20" s="1390">
        <f>EEFF!D20</f>
        <v>9645428</v>
      </c>
      <c r="E20" s="1390">
        <f>EEFF!E20</f>
        <v>9291709</v>
      </c>
      <c r="F20" s="1390">
        <f>EEFF!F20</f>
        <v>8681196</v>
      </c>
      <c r="G20" s="1410">
        <f>Debt_Schedule!G18</f>
        <v>8152445.5</v>
      </c>
      <c r="H20" s="1390">
        <f>Debt_Schedule!H18</f>
        <v>7623695.5</v>
      </c>
      <c r="I20" s="1390">
        <f>Debt_Schedule!I18</f>
        <v>7094945.5</v>
      </c>
      <c r="J20" s="1390">
        <f>Debt_Schedule!J18</f>
        <v>6566195.5</v>
      </c>
      <c r="K20" s="1390">
        <f>Debt_Schedule!K18</f>
        <v>6001442.5</v>
      </c>
    </row>
    <row r="21">
      <c r="A21" s="1394" t="s">
        <v>29</v>
      </c>
      <c r="B21" s="1390">
        <f>EEFF!B21</f>
        <v>-129032</v>
      </c>
      <c r="C21" s="1390">
        <f>EEFF!C21</f>
        <v>-140572</v>
      </c>
      <c r="D21" s="1390">
        <f>EEFF!D21</f>
        <v>-242921</v>
      </c>
      <c r="E21" s="1390">
        <f>EEFF!E21</f>
        <v>-362555</v>
      </c>
      <c r="F21" s="1390">
        <f>EEFF!F21</f>
        <v>-547419</v>
      </c>
      <c r="G21" s="1395">
        <f>F21</f>
        <v>-547419</v>
      </c>
      <c r="H21" s="1381">
        <f>G21</f>
        <v>-547419</v>
      </c>
      <c r="I21" s="1381">
        <f>H21</f>
        <v>-547419</v>
      </c>
      <c r="J21" s="1381">
        <f>I21</f>
        <v>-547419</v>
      </c>
      <c r="K21" s="1381">
        <f>J21</f>
        <v>-547419</v>
      </c>
    </row>
    <row r="22">
      <c r="A22" s="1401" t="s">
        <v>30</v>
      </c>
      <c r="B22" s="1209">
        <f>EEFF!B22</f>
        <v>10610931</v>
      </c>
      <c r="C22" s="1209">
        <f>EEFF!C22</f>
        <v>9999473</v>
      </c>
      <c r="D22" s="1209">
        <f>EEFF!D22</f>
        <v>9402507</v>
      </c>
      <c r="E22" s="1209">
        <f>EEFF!E22</f>
        <v>8929154</v>
      </c>
      <c r="F22" s="1209">
        <f>EEFF!F22</f>
        <v>8133777</v>
      </c>
      <c r="G22" s="1400">
        <f>G20+G21</f>
        <v>7605026.5</v>
      </c>
      <c r="H22" s="1398">
        <f>H20+H21</f>
        <v>7076276.5</v>
      </c>
      <c r="I22" s="1398">
        <f>I20+I21</f>
        <v>6547526.5</v>
      </c>
      <c r="J22" s="1398">
        <f>J20+J21</f>
        <v>6018776.5</v>
      </c>
      <c r="K22" s="1398">
        <f>K20+K21</f>
        <v>5454023.5</v>
      </c>
    </row>
    <row r="23">
      <c r="A23" s="1401" t="s">
        <v>31</v>
      </c>
      <c r="B23" s="1209">
        <f>EEFF!B23</f>
        <v>8230666</v>
      </c>
      <c r="C23" s="1209">
        <f>EEFF!C23</f>
        <v>19005909</v>
      </c>
      <c r="D23" s="1209">
        <f>EEFF!D23</f>
        <v>11177428</v>
      </c>
      <c r="E23" s="1209">
        <f>EEFF!E23</f>
        <v>14098618</v>
      </c>
      <c r="F23" s="1209">
        <f>EEFF!F23</f>
        <v>14188102</v>
      </c>
      <c r="G23" s="1400">
        <f>G19-G22</f>
        <v>4986521.791462645</v>
      </c>
      <c r="H23" s="1398">
        <f>H19-H22</f>
        <v>-4509780.208537355</v>
      </c>
      <c r="I23" s="1398">
        <f>I19-I22</f>
        <v>1595516.977462642</v>
      </c>
      <c r="J23" s="1398">
        <f>J19-J22</f>
        <v>2006114.2094626427</v>
      </c>
      <c r="K23" s="1398">
        <f>K19-K22</f>
        <v>-4837464.5888800025</v>
      </c>
    </row>
    <row r="24">
      <c r="A24" s="1394" t="s">
        <v>32</v>
      </c>
      <c r="B24" s="1390">
        <f>EEFF!B24</f>
        <v>-3095130</v>
      </c>
      <c r="C24" s="1390">
        <f>EEFF!C24</f>
        <v>-5342988</v>
      </c>
      <c r="D24" s="1390">
        <f>EEFF!D24</f>
        <v>-3950425</v>
      </c>
      <c r="E24" s="1390">
        <f>EEFF!E24</f>
        <v>-4617385</v>
      </c>
      <c r="F24" s="1390">
        <f>EEFF!F24</f>
        <v>-4887298</v>
      </c>
      <c r="G24" s="1395">
        <f>-ROUND(G23*0.3445,0)</f>
        <v>-1717857</v>
      </c>
      <c r="H24" s="1381">
        <f>-ROUND(H23*0.3445,0)</f>
        <v>1553619</v>
      </c>
      <c r="I24" s="1381">
        <f>-ROUND(I23*0.3445,0)</f>
        <v>-549656</v>
      </c>
      <c r="J24" s="1381">
        <f>-ROUND(J23*0.3445,0)</f>
        <v>-691106</v>
      </c>
      <c r="K24" s="1381">
        <f>-ROUND(K23*0.3445,0)</f>
        <v>1666507</v>
      </c>
    </row>
    <row r="25">
      <c r="A25" s="1401" t="s">
        <v>33</v>
      </c>
      <c r="B25" s="1209">
        <f>EEFF!B25</f>
        <v>5135536</v>
      </c>
      <c r="C25" s="1209">
        <f>EEFF!C25</f>
        <v>13662921</v>
      </c>
      <c r="D25" s="1209">
        <f>EEFF!D25</f>
        <v>7227003</v>
      </c>
      <c r="E25" s="1209">
        <f>EEFF!E25</f>
        <v>9481233</v>
      </c>
      <c r="F25" s="1209">
        <f>EEFF!F25</f>
        <v>9300804</v>
      </c>
      <c r="G25" s="1400">
        <f>G23+G24</f>
        <v>3268664.791462645</v>
      </c>
      <c r="H25" s="1398">
        <f>H23+H24</f>
        <v>-2956161.208537355</v>
      </c>
      <c r="I25" s="1398">
        <f>I23+I24</f>
        <v>1045860.9774626419</v>
      </c>
      <c r="J25" s="1398">
        <f>J23+J24</f>
        <v>1315008.2094626427</v>
      </c>
      <c r="K25" s="1398">
        <f>K23+K24</f>
        <v>-3170957.5888800025</v>
      </c>
    </row>
    <row r="26">
      <c r="A26" s="1211"/>
      <c r="B26" s="1211"/>
      <c r="C26" s="1211"/>
      <c r="D26" s="1211"/>
      <c r="E26" s="1211"/>
      <c r="F26" s="1211"/>
      <c r="G26" s="1224"/>
      <c r="H26" s="1211"/>
      <c r="I26" s="1211"/>
      <c r="J26" s="1211"/>
      <c r="K26" s="1211"/>
    </row>
    <row r="27">
      <c r="A27" s="1384" t="s">
        <v>3</v>
      </c>
      <c r="B27" s="1385" t="s">
        <v>4</v>
      </c>
      <c r="C27" s="1385" t="s">
        <v>5</v>
      </c>
      <c r="D27" s="1385" t="s">
        <v>6</v>
      </c>
      <c r="E27" s="1385" t="s">
        <v>7</v>
      </c>
      <c r="F27" s="1385" t="s">
        <v>8</v>
      </c>
      <c r="G27" s="1389" t="s">
        <v>9</v>
      </c>
      <c r="H27" s="1391" t="s">
        <v>10</v>
      </c>
      <c r="I27" s="1391" t="s">
        <v>11</v>
      </c>
      <c r="J27" s="1391" t="s">
        <v>12</v>
      </c>
      <c r="K27" s="1391" t="s">
        <v>13</v>
      </c>
    </row>
    <row r="28">
      <c r="A28" s="1384" t="s">
        <v>34</v>
      </c>
      <c r="B28" s="1213"/>
      <c r="C28" s="1213"/>
      <c r="D28" s="1213"/>
      <c r="E28" s="1213"/>
      <c r="F28" s="1213"/>
      <c r="G28" s="1225"/>
      <c r="H28" s="1219"/>
      <c r="I28" s="1219"/>
      <c r="J28" s="1219"/>
      <c r="K28" s="1219"/>
    </row>
    <row r="29">
      <c r="A29" s="1394" t="s">
        <v>35</v>
      </c>
      <c r="B29" s="1390">
        <f>EEFF!B29</f>
        <v>9167597</v>
      </c>
      <c r="C29" s="1390">
        <f>EEFF!C29</f>
        <v>10955792</v>
      </c>
      <c r="D29" s="1390">
        <f>EEFF!D29</f>
        <v>10299859</v>
      </c>
      <c r="E29" s="1390">
        <f>EEFF!E29</f>
        <v>9494389</v>
      </c>
      <c r="F29" s="1390">
        <f>EEFF!F29</f>
        <v>11057503</v>
      </c>
      <c r="G29" s="1395">
        <f>G110</f>
        <v>17614505.791462645</v>
      </c>
      <c r="H29" s="1381">
        <f>H110</f>
        <v>17946682.58292529</v>
      </c>
      <c r="I29" s="1381">
        <f>I110</f>
        <v>22280881.56038793</v>
      </c>
      <c r="J29" s="1381">
        <f>J110</f>
        <v>26884227.769850574</v>
      </c>
      <c r="K29" s="1381">
        <f>K110</f>
        <v>26965605.180970572</v>
      </c>
    </row>
    <row r="30">
      <c r="A30" s="1394" t="s">
        <v>36</v>
      </c>
      <c r="B30" s="1390">
        <f>EEFF!B30</f>
        <v>0</v>
      </c>
      <c r="C30" s="1390">
        <f>EEFF!C30</f>
        <v>0</v>
      </c>
      <c r="D30" s="1390">
        <f>EEFF!D30</f>
        <v>0</v>
      </c>
      <c r="E30" s="1390">
        <f>EEFF!E30</f>
        <v>0</v>
      </c>
      <c r="F30" s="1390">
        <f>EEFF!F30</f>
        <v>8000000</v>
      </c>
      <c r="G30" s="1395">
        <f>F30</f>
        <v>8000000</v>
      </c>
      <c r="H30" s="1381">
        <f>G30</f>
        <v>8000000</v>
      </c>
      <c r="I30" s="1381">
        <f>H30</f>
        <v>8000000</v>
      </c>
      <c r="J30" s="1381">
        <f>I30</f>
        <v>8000000</v>
      </c>
      <c r="K30" s="1381">
        <f>J30</f>
        <v>8000000</v>
      </c>
    </row>
    <row r="31">
      <c r="A31" s="1394" t="s">
        <v>37</v>
      </c>
      <c r="B31" s="1390">
        <f>EEFF!B31</f>
        <v>9794078</v>
      </c>
      <c r="C31" s="1390">
        <f>EEFF!C31</f>
        <v>10480520</v>
      </c>
      <c r="D31" s="1390">
        <f>EEFF!D31</f>
        <v>10514874</v>
      </c>
      <c r="E31" s="1390">
        <f>EEFF!E31</f>
        <v>10018368</v>
      </c>
      <c r="F31" s="1390">
        <f>EEFF!F31</f>
        <v>8602706</v>
      </c>
      <c r="G31" s="1395">
        <f>F31</f>
        <v>8602706</v>
      </c>
      <c r="H31" s="1381">
        <f>G31</f>
        <v>8602706</v>
      </c>
      <c r="I31" s="1381">
        <f>H31</f>
        <v>8602706</v>
      </c>
      <c r="J31" s="1381">
        <f>I31</f>
        <v>8602706</v>
      </c>
      <c r="K31" s="1381">
        <f>J31</f>
        <v>8602706</v>
      </c>
    </row>
    <row r="32">
      <c r="A32" s="1394" t="s">
        <v>38</v>
      </c>
      <c r="B32" s="1390">
        <f>EEFF!B32</f>
        <v>1954889</v>
      </c>
      <c r="C32" s="1390">
        <f>EEFF!C32</f>
        <v>2283806</v>
      </c>
      <c r="D32" s="1390">
        <f>EEFF!D32</f>
        <v>2176373</v>
      </c>
      <c r="E32" s="1390">
        <f>EEFF!E32</f>
        <v>2315599</v>
      </c>
      <c r="F32" s="1390">
        <f>EEFF!F32</f>
        <v>2666409</v>
      </c>
      <c r="G32" s="1395">
        <f>F32</f>
        <v>2666409</v>
      </c>
      <c r="H32" s="1381">
        <f>G32</f>
        <v>2666409</v>
      </c>
      <c r="I32" s="1381">
        <f>H32</f>
        <v>2666409</v>
      </c>
      <c r="J32" s="1381">
        <f>I32</f>
        <v>2666409</v>
      </c>
      <c r="K32" s="1381">
        <f>J32</f>
        <v>2666409</v>
      </c>
    </row>
    <row r="33">
      <c r="A33" s="1394" t="s">
        <v>39</v>
      </c>
      <c r="B33" s="1390">
        <f>EEFF!B33</f>
        <v>189074</v>
      </c>
      <c r="C33" s="1390">
        <f>EEFF!C33</f>
        <v>171942</v>
      </c>
      <c r="D33" s="1390">
        <f>EEFF!D33</f>
        <v>1400465</v>
      </c>
      <c r="E33" s="1390">
        <f>EEFF!E33</f>
        <v>475685</v>
      </c>
      <c r="F33" s="1390">
        <f>EEFF!F33</f>
        <v>836786</v>
      </c>
      <c r="G33" s="1395">
        <f>F33</f>
        <v>836786</v>
      </c>
      <c r="H33" s="1381">
        <f>G33</f>
        <v>836786</v>
      </c>
      <c r="I33" s="1381">
        <f>H33</f>
        <v>836786</v>
      </c>
      <c r="J33" s="1381">
        <f>I33</f>
        <v>836786</v>
      </c>
      <c r="K33" s="1381">
        <f>J33</f>
        <v>836786</v>
      </c>
    </row>
    <row r="34">
      <c r="A34" s="1394" t="s">
        <v>40</v>
      </c>
      <c r="B34" s="1390">
        <f>EEFF!B34</f>
        <v>1825438</v>
      </c>
      <c r="C34" s="1390">
        <f>EEFF!C34</f>
        <v>2648365</v>
      </c>
      <c r="D34" s="1390">
        <f>EEFF!D34</f>
        <v>1541175</v>
      </c>
      <c r="E34" s="1390">
        <f>EEFF!E34</f>
        <v>1829780</v>
      </c>
      <c r="F34" s="1390">
        <f>EEFF!F34</f>
        <v>0</v>
      </c>
      <c r="G34" s="1395">
        <f>F34</f>
        <v>0</v>
      </c>
      <c r="H34" s="1381">
        <f>G34</f>
        <v>0</v>
      </c>
      <c r="I34" s="1381">
        <f>H34</f>
        <v>0</v>
      </c>
      <c r="J34" s="1381">
        <f>I34</f>
        <v>0</v>
      </c>
      <c r="K34" s="1381">
        <f>J34</f>
        <v>0</v>
      </c>
    </row>
    <row r="35">
      <c r="A35" s="1394" t="s">
        <v>41</v>
      </c>
      <c r="B35" s="1390">
        <f>EEFF!B35</f>
        <v>654057</v>
      </c>
      <c r="C35" s="1390">
        <f>EEFF!C35</f>
        <v>1115702</v>
      </c>
      <c r="D35" s="1390">
        <f>EEFF!D35</f>
        <v>510364</v>
      </c>
      <c r="E35" s="1390">
        <f>EEFF!E35</f>
        <v>551482</v>
      </c>
      <c r="F35" s="1390">
        <f>EEFF!F35</f>
        <v>497274</v>
      </c>
      <c r="G35" s="1395">
        <f>F35</f>
        <v>497274</v>
      </c>
      <c r="H35" s="1381">
        <f>G35</f>
        <v>497274</v>
      </c>
      <c r="I35" s="1381">
        <f>H35</f>
        <v>497274</v>
      </c>
      <c r="J35" s="1381">
        <f>I35</f>
        <v>497274</v>
      </c>
      <c r="K35" s="1381">
        <f>J35</f>
        <v>497274</v>
      </c>
    </row>
    <row r="36">
      <c r="A36" s="1401" t="s">
        <v>42</v>
      </c>
      <c r="B36" s="1209">
        <f>EEFF!B36</f>
        <v>23585133</v>
      </c>
      <c r="C36" s="1209">
        <f>EEFF!C36</f>
        <v>27656127</v>
      </c>
      <c r="D36" s="1209">
        <f>EEFF!D36</f>
        <v>26443110</v>
      </c>
      <c r="E36" s="1209">
        <f>EEFF!E36</f>
        <v>24685303</v>
      </c>
      <c r="F36" s="1209">
        <f>EEFF!F36</f>
        <v>31660678</v>
      </c>
      <c r="G36" s="1400">
        <f>SUM(G29:G35)</f>
        <v>38217680.791462645</v>
      </c>
      <c r="H36" s="1398">
        <f>SUM(H29:H35)</f>
        <v>38549857.58292529</v>
      </c>
      <c r="I36" s="1398">
        <f>SUM(I29:I35)</f>
        <v>42884056.56038793</v>
      </c>
      <c r="J36" s="1398">
        <f>SUM(J29:J35)</f>
        <v>47487402.769850574</v>
      </c>
      <c r="K36" s="1398">
        <f>SUM(K29:K35)</f>
        <v>47568780.18097057</v>
      </c>
    </row>
    <row r="37">
      <c r="A37" s="1394" t="s">
        <v>43</v>
      </c>
      <c r="B37" s="1390">
        <f>EEFF!B37</f>
        <v>4206485</v>
      </c>
      <c r="C37" s="1390">
        <f>EEFF!C37</f>
        <v>4234822</v>
      </c>
      <c r="D37" s="1390">
        <f>EEFF!D37</f>
        <v>4033700</v>
      </c>
      <c r="E37" s="1390">
        <f>EEFF!E37</f>
        <v>4197349</v>
      </c>
      <c r="F37" s="1390">
        <f>EEFF!F37</f>
        <v>4260349</v>
      </c>
      <c r="G37" s="1395">
        <f>F37</f>
        <v>4260349</v>
      </c>
      <c r="H37" s="1381">
        <f>G37</f>
        <v>4260349</v>
      </c>
      <c r="I37" s="1381">
        <f>H37</f>
        <v>4260349</v>
      </c>
      <c r="J37" s="1381">
        <f>I37</f>
        <v>4260349</v>
      </c>
      <c r="K37" s="1381">
        <f>J37</f>
        <v>4260349</v>
      </c>
    </row>
    <row r="38">
      <c r="A38" s="1394" t="s">
        <v>44</v>
      </c>
      <c r="B38" s="1390">
        <f>EEFF!B38</f>
        <v>213118</v>
      </c>
      <c r="C38" s="1390">
        <f>EEFF!C38</f>
        <v>0</v>
      </c>
      <c r="D38" s="1390">
        <f>EEFF!D38</f>
        <v>0</v>
      </c>
      <c r="E38" s="1390">
        <f>EEFF!E38</f>
        <v>0</v>
      </c>
      <c r="F38" s="1390">
        <f>EEFF!F38</f>
        <v>0</v>
      </c>
      <c r="G38" s="1210"/>
      <c r="H38" s="1208"/>
      <c r="I38" s="1208"/>
      <c r="J38" s="1208"/>
      <c r="K38" s="1208"/>
    </row>
    <row r="39">
      <c r="A39" s="1394" t="s">
        <v>45</v>
      </c>
      <c r="B39" s="1390">
        <f>EEFF!B39</f>
        <v>289872297</v>
      </c>
      <c r="C39" s="1390">
        <f>EEFF!C39</f>
        <v>280225020</v>
      </c>
      <c r="D39" s="1390">
        <f>EEFF!D39</f>
        <v>278143135</v>
      </c>
      <c r="E39" s="1390">
        <f>EEFF!E39</f>
        <v>266144886</v>
      </c>
      <c r="F39" s="1390">
        <f>EEFF!F39</f>
        <v>254111593</v>
      </c>
      <c r="G39" s="1395">
        <f>F39-G96-G12</f>
        <v>242032041</v>
      </c>
      <c r="H39" s="1381">
        <f>G39-H96-H12</f>
        <v>229952489</v>
      </c>
      <c r="I39" s="1381">
        <f>H39-I96-I12</f>
        <v>217872937</v>
      </c>
      <c r="J39" s="1381">
        <f>I39-J96-J12</f>
        <v>205793385</v>
      </c>
      <c r="K39" s="1381">
        <f>J39-K96-K12</f>
        <v>193713833</v>
      </c>
    </row>
    <row r="40">
      <c r="A40" s="1394" t="s">
        <v>46</v>
      </c>
      <c r="B40" s="1390">
        <f>EEFF!B40</f>
        <v>7033750</v>
      </c>
      <c r="C40" s="1390">
        <f>EEFF!C40</f>
        <v>7033750</v>
      </c>
      <c r="D40" s="1390">
        <f>EEFF!D40</f>
        <v>7033750</v>
      </c>
      <c r="E40" s="1390">
        <f>EEFF!E40</f>
        <v>7033750</v>
      </c>
      <c r="F40" s="1390">
        <f>EEFF!F40</f>
        <v>7033750</v>
      </c>
      <c r="G40" s="1395">
        <f>F40</f>
        <v>7033750</v>
      </c>
      <c r="H40" s="1381">
        <f>G40</f>
        <v>7033750</v>
      </c>
      <c r="I40" s="1381">
        <f>H40</f>
        <v>7033750</v>
      </c>
      <c r="J40" s="1381">
        <f>I40</f>
        <v>7033750</v>
      </c>
      <c r="K40" s="1381">
        <f>J40</f>
        <v>7033750</v>
      </c>
    </row>
    <row r="41">
      <c r="A41" s="1394" t="s">
        <v>47</v>
      </c>
      <c r="B41" s="1390">
        <f>EEFF!B41</f>
        <v>173084</v>
      </c>
      <c r="C41" s="1390">
        <f>EEFF!C41</f>
        <v>174084</v>
      </c>
      <c r="D41" s="1390">
        <f>EEFF!D41</f>
        <v>0</v>
      </c>
      <c r="E41" s="1390">
        <f>EEFF!E41</f>
        <v>0</v>
      </c>
      <c r="F41" s="1390">
        <f>EEFF!F41</f>
        <v>0</v>
      </c>
      <c r="G41" s="1210"/>
      <c r="H41" s="1208"/>
      <c r="I41" s="1208"/>
      <c r="J41" s="1208"/>
      <c r="K41" s="1208"/>
    </row>
    <row r="42">
      <c r="A42" s="1394" t="s">
        <v>48</v>
      </c>
      <c r="B42" s="1390">
        <f>EEFF!B42</f>
        <v>538918</v>
      </c>
      <c r="C42" s="1390">
        <f>EEFF!C42</f>
        <v>525826</v>
      </c>
      <c r="D42" s="1390">
        <f>EEFF!D42</f>
        <v>512733</v>
      </c>
      <c r="E42" s="1390">
        <f>EEFF!E42</f>
        <v>499640</v>
      </c>
      <c r="F42" s="1390">
        <f>EEFF!F42</f>
        <v>509989</v>
      </c>
      <c r="G42" s="1395">
        <f>F42</f>
        <v>509989</v>
      </c>
      <c r="H42" s="1381">
        <f>G42</f>
        <v>509989</v>
      </c>
      <c r="I42" s="1381">
        <f>H42</f>
        <v>509989</v>
      </c>
      <c r="J42" s="1381">
        <f>I42</f>
        <v>509989</v>
      </c>
      <c r="K42" s="1381">
        <f>J42</f>
        <v>509989</v>
      </c>
    </row>
    <row r="43">
      <c r="A43" s="1394" t="s">
        <v>49</v>
      </c>
      <c r="B43" s="1390">
        <f>EEFF!B43</f>
        <v>142658</v>
      </c>
      <c r="C43" s="1390">
        <f>EEFF!C43</f>
        <v>101898</v>
      </c>
      <c r="D43" s="1390">
        <f>EEFF!D43</f>
        <v>69290</v>
      </c>
      <c r="E43" s="1390">
        <f>EEFF!E43</f>
        <v>36682</v>
      </c>
      <c r="F43" s="1390">
        <f>EEFF!F43</f>
        <v>4074</v>
      </c>
      <c r="G43" s="1395">
        <f>F43</f>
        <v>4074</v>
      </c>
      <c r="H43" s="1381">
        <f>G43</f>
        <v>4074</v>
      </c>
      <c r="I43" s="1381">
        <f>H43</f>
        <v>4074</v>
      </c>
      <c r="J43" s="1381">
        <f>I43</f>
        <v>4074</v>
      </c>
      <c r="K43" s="1381">
        <f>J43</f>
        <v>4074</v>
      </c>
    </row>
    <row r="44">
      <c r="A44" s="1394" t="s">
        <v>50</v>
      </c>
      <c r="B44" s="1390">
        <f>EEFF!B44</f>
        <v>193382</v>
      </c>
      <c r="C44" s="1390">
        <f>EEFF!C44</f>
        <v>140101</v>
      </c>
      <c r="D44" s="1390">
        <f>EEFF!D44</f>
        <v>86820</v>
      </c>
      <c r="E44" s="1390">
        <f>EEFF!E44</f>
        <v>0</v>
      </c>
      <c r="F44" s="1390">
        <f>EEFF!F44</f>
        <v>0</v>
      </c>
      <c r="G44" s="1210"/>
      <c r="H44" s="1208"/>
      <c r="I44" s="1208"/>
      <c r="J44" s="1208"/>
      <c r="K44" s="1208"/>
    </row>
    <row r="45">
      <c r="A45" s="1394" t="s">
        <v>51</v>
      </c>
      <c r="B45" s="1390">
        <f>EEFF!B45</f>
        <v>1863452</v>
      </c>
      <c r="C45" s="1390">
        <f>EEFF!C45</f>
        <v>1321139</v>
      </c>
      <c r="D45" s="1390">
        <f>EEFF!D45</f>
        <v>238792</v>
      </c>
      <c r="E45" s="1390">
        <f>EEFF!E45</f>
        <v>0</v>
      </c>
      <c r="F45" s="1390">
        <f>EEFF!F45</f>
        <v>0</v>
      </c>
      <c r="G45" s="1210"/>
      <c r="H45" s="1208"/>
      <c r="I45" s="1208"/>
      <c r="J45" s="1208"/>
      <c r="K45" s="1208"/>
    </row>
    <row r="46">
      <c r="A46" s="1394" t="s">
        <v>52</v>
      </c>
      <c r="B46" s="1390">
        <f>EEFF!B46</f>
        <v>209800</v>
      </c>
      <c r="C46" s="1390">
        <f>EEFF!C46</f>
        <v>227497</v>
      </c>
      <c r="D46" s="1390">
        <f>EEFF!D46</f>
        <v>242970</v>
      </c>
      <c r="E46" s="1390">
        <f>EEFF!E46</f>
        <v>276061</v>
      </c>
      <c r="F46" s="1390">
        <f>EEFF!F46</f>
        <v>284646</v>
      </c>
      <c r="G46" s="1395">
        <f>F46</f>
        <v>284646</v>
      </c>
      <c r="H46" s="1381">
        <f>G46</f>
        <v>284646</v>
      </c>
      <c r="I46" s="1381">
        <f>H46</f>
        <v>284646</v>
      </c>
      <c r="J46" s="1381">
        <f>I46</f>
        <v>284646</v>
      </c>
      <c r="K46" s="1381">
        <f>J46</f>
        <v>284646</v>
      </c>
    </row>
    <row r="47">
      <c r="A47" s="1401" t="s">
        <v>53</v>
      </c>
      <c r="B47" s="1209">
        <f>EEFF!B47</f>
        <v>304446944</v>
      </c>
      <c r="C47" s="1209">
        <f>EEFF!C47</f>
        <v>293984137</v>
      </c>
      <c r="D47" s="1209">
        <f>EEFF!D47</f>
        <v>290361190</v>
      </c>
      <c r="E47" s="1209">
        <f>EEFF!E47</f>
        <v>278188368</v>
      </c>
      <c r="F47" s="1209">
        <f>EEFF!F47</f>
        <v>266204401</v>
      </c>
      <c r="G47" s="1400">
        <f>SUM(G37:G46)</f>
        <v>254124849</v>
      </c>
      <c r="H47" s="1398">
        <f>SUM(H37:H46)</f>
        <v>242045297</v>
      </c>
      <c r="I47" s="1398">
        <f>SUM(I37:I46)</f>
        <v>229965745</v>
      </c>
      <c r="J47" s="1398">
        <f>SUM(J37:J46)</f>
        <v>217886193</v>
      </c>
      <c r="K47" s="1398">
        <f>SUM(K37:K46)</f>
        <v>205806641</v>
      </c>
    </row>
    <row r="48">
      <c r="A48" s="1401" t="s">
        <v>54</v>
      </c>
      <c r="B48" s="1209">
        <f>EEFF!B48</f>
        <v>328032077</v>
      </c>
      <c r="C48" s="1209">
        <f>EEFF!C48</f>
        <v>321640264</v>
      </c>
      <c r="D48" s="1209">
        <f>EEFF!D48</f>
        <v>316804300</v>
      </c>
      <c r="E48" s="1209">
        <f>EEFF!E48</f>
        <v>302873671</v>
      </c>
      <c r="F48" s="1209">
        <f>EEFF!F48</f>
        <v>297865079</v>
      </c>
      <c r="G48" s="1400">
        <f>G36+G47</f>
        <v>292342529.79146266</v>
      </c>
      <c r="H48" s="1398">
        <f>H36+H47</f>
        <v>280595154.5829253</v>
      </c>
      <c r="I48" s="1398">
        <f>I36+I47</f>
        <v>272849801.5603879</v>
      </c>
      <c r="J48" s="1398">
        <f>J36+J47</f>
        <v>265373595.76985058</v>
      </c>
      <c r="K48" s="1398">
        <f>K36+K47</f>
        <v>253375421.18097058</v>
      </c>
    </row>
    <row r="49">
      <c r="A49" s="1394" t="s">
        <v>55</v>
      </c>
      <c r="B49" s="1390">
        <f>EEFF!B49</f>
        <v>3817823</v>
      </c>
      <c r="C49" s="1390">
        <f>EEFF!C49</f>
        <v>1649350</v>
      </c>
      <c r="D49" s="1390">
        <f>EEFF!D49</f>
        <v>1515059</v>
      </c>
      <c r="E49" s="1390">
        <f>EEFF!E49</f>
        <v>614193</v>
      </c>
      <c r="F49" s="1390">
        <f>EEFF!F49</f>
        <v>1148554</v>
      </c>
      <c r="G49" s="1395">
        <f>F49</f>
        <v>1148554</v>
      </c>
      <c r="H49" s="1381">
        <f>G49</f>
        <v>1148554</v>
      </c>
      <c r="I49" s="1381">
        <f>H49</f>
        <v>1148554</v>
      </c>
      <c r="J49" s="1381">
        <f>I49</f>
        <v>1148554</v>
      </c>
      <c r="K49" s="1381">
        <f>J49</f>
        <v>1148554</v>
      </c>
    </row>
    <row r="50">
      <c r="A50" s="1394" t="s">
        <v>56</v>
      </c>
      <c r="B50" s="1390">
        <f>EEFF!B50</f>
        <v>8791215</v>
      </c>
      <c r="C50" s="1390">
        <f>EEFF!C50</f>
        <v>8791215</v>
      </c>
      <c r="D50" s="1390">
        <f>EEFF!D50</f>
        <v>12541215</v>
      </c>
      <c r="E50" s="1390">
        <f>EEFF!E50</f>
        <v>8791215</v>
      </c>
      <c r="F50" s="1390">
        <f>EEFF!F50</f>
        <v>8791215</v>
      </c>
      <c r="G50" s="1395">
        <f>F50</f>
        <v>8791215</v>
      </c>
      <c r="H50" s="1381">
        <f>G50</f>
        <v>8791215</v>
      </c>
      <c r="I50" s="1381">
        <f>H50</f>
        <v>8791215</v>
      </c>
      <c r="J50" s="1381">
        <f>I50</f>
        <v>8791215</v>
      </c>
      <c r="K50" s="1381">
        <f>J50</f>
        <v>8791215</v>
      </c>
    </row>
    <row r="51">
      <c r="A51" s="1394" t="s">
        <v>57</v>
      </c>
      <c r="B51" s="1390">
        <f>EEFF!B51</f>
        <v>0</v>
      </c>
      <c r="C51" s="1390">
        <f>EEFF!C51</f>
        <v>26611</v>
      </c>
      <c r="D51" s="1390">
        <f>EEFF!D51</f>
        <v>2297125</v>
      </c>
      <c r="E51" s="1390">
        <f>EEFF!E51</f>
        <v>22920</v>
      </c>
      <c r="F51" s="1390">
        <f>EEFF!F51</f>
        <v>21419</v>
      </c>
      <c r="G51" s="1395">
        <f>F51</f>
        <v>21419</v>
      </c>
      <c r="H51" s="1381">
        <f>G51</f>
        <v>21419</v>
      </c>
      <c r="I51" s="1381">
        <f>H51</f>
        <v>21419</v>
      </c>
      <c r="J51" s="1381">
        <f>I51</f>
        <v>21419</v>
      </c>
      <c r="K51" s="1381">
        <f>J51</f>
        <v>21419</v>
      </c>
    </row>
    <row r="52">
      <c r="A52" s="1394" t="s">
        <v>58</v>
      </c>
      <c r="B52" s="1390">
        <f>EEFF!B52</f>
        <v>0</v>
      </c>
      <c r="C52" s="1390">
        <f>EEFF!C52</f>
        <v>758413</v>
      </c>
      <c r="D52" s="1390">
        <f>EEFF!D52</f>
        <v>418472</v>
      </c>
      <c r="E52" s="1390">
        <f>EEFF!E52</f>
        <v>67845</v>
      </c>
      <c r="F52" s="1390">
        <f>EEFF!F52</f>
        <v>215241</v>
      </c>
      <c r="G52" s="1395">
        <f>F52</f>
        <v>215241</v>
      </c>
      <c r="H52" s="1381">
        <f>G52</f>
        <v>215241</v>
      </c>
      <c r="I52" s="1381">
        <f>H52</f>
        <v>215241</v>
      </c>
      <c r="J52" s="1381">
        <f>I52</f>
        <v>215241</v>
      </c>
      <c r="K52" s="1381">
        <f>J52</f>
        <v>215241</v>
      </c>
    </row>
    <row r="53">
      <c r="A53" s="1394" t="s">
        <v>59</v>
      </c>
      <c r="B53" s="1390">
        <f>EEFF!B53</f>
        <v>1825438</v>
      </c>
      <c r="C53" s="1390">
        <f>EEFF!C53</f>
        <v>2648365</v>
      </c>
      <c r="D53" s="1390">
        <f>EEFF!D53</f>
        <v>1541175</v>
      </c>
      <c r="E53" s="1390">
        <f>EEFF!E53</f>
        <v>1829780</v>
      </c>
      <c r="F53" s="1390">
        <f>EEFF!F53</f>
        <v>0</v>
      </c>
      <c r="G53" s="1395">
        <f>F53</f>
        <v>0</v>
      </c>
      <c r="H53" s="1381">
        <f>G53</f>
        <v>0</v>
      </c>
      <c r="I53" s="1381">
        <f>H53</f>
        <v>0</v>
      </c>
      <c r="J53" s="1381">
        <f>I53</f>
        <v>0</v>
      </c>
      <c r="K53" s="1381">
        <f>J53</f>
        <v>0</v>
      </c>
    </row>
    <row r="54">
      <c r="A54" s="1394" t="s">
        <v>60</v>
      </c>
      <c r="B54" s="1390">
        <f>EEFF!B54</f>
        <v>1255449</v>
      </c>
      <c r="C54" s="1390">
        <f>EEFF!C54</f>
        <v>2384922</v>
      </c>
      <c r="D54" s="1390">
        <f>EEFF!D54</f>
        <v>30637</v>
      </c>
      <c r="E54" s="1390">
        <f>EEFF!E54</f>
        <v>1883666</v>
      </c>
      <c r="F54" s="1390">
        <f>EEFF!F54</f>
        <v>181645</v>
      </c>
      <c r="G54" s="1395">
        <f>F54</f>
        <v>181645</v>
      </c>
      <c r="H54" s="1381">
        <f>G54</f>
        <v>181645</v>
      </c>
      <c r="I54" s="1381">
        <f>H54</f>
        <v>181645</v>
      </c>
      <c r="J54" s="1381">
        <f>I54</f>
        <v>181645</v>
      </c>
      <c r="K54" s="1381">
        <f>J54</f>
        <v>181645</v>
      </c>
    </row>
    <row r="55">
      <c r="A55" s="1394" t="s">
        <v>61</v>
      </c>
      <c r="B55" s="1390">
        <f>EEFF!B55</f>
        <v>32604</v>
      </c>
      <c r="C55" s="1390">
        <f>EEFF!C55</f>
        <v>32604</v>
      </c>
      <c r="D55" s="1390">
        <f>EEFF!D55</f>
        <v>32604</v>
      </c>
      <c r="E55" s="1390">
        <f>EEFF!E55</f>
        <v>32604</v>
      </c>
      <c r="F55" s="1390">
        <f>EEFF!F55</f>
        <v>4074</v>
      </c>
      <c r="G55" s="1395">
        <f>F55</f>
        <v>4074</v>
      </c>
      <c r="H55" s="1381">
        <f>G55</f>
        <v>4074</v>
      </c>
      <c r="I55" s="1381">
        <f>H55</f>
        <v>4074</v>
      </c>
      <c r="J55" s="1381">
        <f>I55</f>
        <v>4074</v>
      </c>
      <c r="K55" s="1381">
        <f>J55</f>
        <v>4074</v>
      </c>
    </row>
    <row r="56">
      <c r="A56" s="1394" t="s">
        <v>62</v>
      </c>
      <c r="B56" s="1390">
        <f>EEFF!B56</f>
        <v>1522447</v>
      </c>
      <c r="C56" s="1390">
        <f>EEFF!C56</f>
        <v>1534472</v>
      </c>
      <c r="D56" s="1390">
        <f>EEFF!D56</f>
        <v>1223799</v>
      </c>
      <c r="E56" s="1390">
        <f>EEFF!E56</f>
        <v>1101389</v>
      </c>
      <c r="F56" s="1390">
        <f>EEFF!F56</f>
        <v>1330438</v>
      </c>
      <c r="G56" s="1395">
        <f>F56</f>
        <v>1330438</v>
      </c>
      <c r="H56" s="1381">
        <f>G56</f>
        <v>1330438</v>
      </c>
      <c r="I56" s="1381">
        <f>H56</f>
        <v>1330438</v>
      </c>
      <c r="J56" s="1381">
        <f>I56</f>
        <v>1330438</v>
      </c>
      <c r="K56" s="1381">
        <f>J56</f>
        <v>1330438</v>
      </c>
    </row>
    <row r="57">
      <c r="A57" s="1401" t="s">
        <v>63</v>
      </c>
      <c r="B57" s="1209">
        <f>EEFF!B57</f>
        <v>17244976</v>
      </c>
      <c r="C57" s="1209">
        <f>EEFF!C57</f>
        <v>17825952</v>
      </c>
      <c r="D57" s="1209">
        <f>EEFF!D57</f>
        <v>19600086</v>
      </c>
      <c r="E57" s="1209">
        <f>EEFF!E57</f>
        <v>14343612</v>
      </c>
      <c r="F57" s="1209">
        <f>EEFF!F57</f>
        <v>11692586</v>
      </c>
      <c r="G57" s="1400">
        <f>SUM(G49:G56)</f>
        <v>11692586</v>
      </c>
      <c r="H57" s="1398">
        <f>SUM(H49:H56)</f>
        <v>11692586</v>
      </c>
      <c r="I57" s="1398">
        <f>SUM(I49:I56)</f>
        <v>11692586</v>
      </c>
      <c r="J57" s="1398">
        <f>SUM(J49:J56)</f>
        <v>11692586</v>
      </c>
      <c r="K57" s="1398">
        <f>SUM(K49:K56)</f>
        <v>11692586</v>
      </c>
    </row>
    <row r="58">
      <c r="A58" s="1394" t="s">
        <v>64</v>
      </c>
      <c r="B58" s="1390">
        <f>EEFF!B58</f>
        <v>156615714</v>
      </c>
      <c r="C58" s="1390">
        <f>EEFF!C58</f>
        <v>147824500</v>
      </c>
      <c r="D58" s="1390">
        <f>EEFF!D58</f>
        <v>139033286</v>
      </c>
      <c r="E58" s="1390">
        <f>EEFF!E58</f>
        <v>130242072</v>
      </c>
      <c r="F58" s="1390">
        <f>EEFF!F58</f>
        <v>121450858</v>
      </c>
      <c r="G58" s="1410">
        <f>F58-(9000000-Debt_Schedule!G16)</f>
        <v>112659644</v>
      </c>
      <c r="H58" s="1390">
        <f>G58-(9000000-Debt_Schedule!H16)</f>
        <v>103868430</v>
      </c>
      <c r="I58" s="1390">
        <f>H58-(9000000-Debt_Schedule!I16)</f>
        <v>95077216</v>
      </c>
      <c r="J58" s="1390">
        <f>I58-(9000000-Debt_Schedule!J16)</f>
        <v>86286002</v>
      </c>
      <c r="K58" s="1390">
        <f>J58-(9000000-Debt_Schedule!K16)</f>
        <v>77458785</v>
      </c>
    </row>
    <row r="59">
      <c r="A59" s="1394" t="s">
        <v>65</v>
      </c>
      <c r="B59" s="1390">
        <f>EEFF!B59</f>
        <v>0</v>
      </c>
      <c r="C59" s="1390">
        <f>EEFF!C59</f>
        <v>0</v>
      </c>
      <c r="D59" s="1390">
        <f>EEFF!D59</f>
        <v>3503256</v>
      </c>
      <c r="E59" s="1390">
        <f>EEFF!E59</f>
        <v>2679481</v>
      </c>
      <c r="F59" s="1390">
        <f>EEFF!F59</f>
        <v>2275211</v>
      </c>
      <c r="G59" s="1395">
        <f>F59</f>
        <v>2275211</v>
      </c>
      <c r="H59" s="1381">
        <f>G59</f>
        <v>2275211</v>
      </c>
      <c r="I59" s="1381">
        <f>H59</f>
        <v>2275211</v>
      </c>
      <c r="J59" s="1381">
        <f>I59</f>
        <v>2275211</v>
      </c>
      <c r="K59" s="1381">
        <f>J59</f>
        <v>2275211</v>
      </c>
    </row>
    <row r="60">
      <c r="A60" s="1394" t="s">
        <v>66</v>
      </c>
      <c r="B60" s="1390">
        <f>EEFF!B60</f>
        <v>1863452</v>
      </c>
      <c r="C60" s="1390">
        <f>EEFF!C60</f>
        <v>1321139</v>
      </c>
      <c r="D60" s="1390">
        <f>EEFF!D60</f>
        <v>238792</v>
      </c>
      <c r="E60" s="1390">
        <f>EEFF!E60</f>
        <v>0</v>
      </c>
      <c r="F60" s="1390">
        <f>EEFF!F60</f>
        <v>0</v>
      </c>
      <c r="G60" s="1210"/>
      <c r="H60" s="1208"/>
      <c r="I60" s="1208"/>
      <c r="J60" s="1208"/>
      <c r="K60" s="1208"/>
    </row>
    <row r="61">
      <c r="A61" s="1394" t="s">
        <v>67</v>
      </c>
      <c r="B61" s="1390">
        <f>EEFF!B61</f>
        <v>110054</v>
      </c>
      <c r="C61" s="1390">
        <f>EEFF!C61</f>
        <v>69294</v>
      </c>
      <c r="D61" s="1390">
        <f>EEFF!D61</f>
        <v>36686</v>
      </c>
      <c r="E61" s="1390">
        <f>EEFF!E61</f>
        <v>4078</v>
      </c>
      <c r="F61" s="1390">
        <f>EEFF!F61</f>
        <v>0</v>
      </c>
      <c r="G61" s="1395">
        <f>F61</f>
        <v>0</v>
      </c>
      <c r="H61" s="1381">
        <f>G61</f>
        <v>0</v>
      </c>
      <c r="I61" s="1381">
        <f>H61</f>
        <v>0</v>
      </c>
      <c r="J61" s="1381">
        <f>I61</f>
        <v>0</v>
      </c>
      <c r="K61" s="1381">
        <f>J61</f>
        <v>0</v>
      </c>
    </row>
    <row r="62">
      <c r="A62" s="1394" t="s">
        <v>68</v>
      </c>
      <c r="B62" s="1390">
        <f>EEFF!B62</f>
        <v>204886</v>
      </c>
      <c r="C62" s="1390">
        <f>EEFF!C62</f>
        <v>218261</v>
      </c>
      <c r="D62" s="1390">
        <f>EEFF!D62</f>
        <v>242828</v>
      </c>
      <c r="E62" s="1390">
        <f>EEFF!E62</f>
        <v>261536</v>
      </c>
      <c r="F62" s="1390">
        <f>EEFF!F62</f>
        <v>289022</v>
      </c>
      <c r="G62" s="1395">
        <f>F62</f>
        <v>289022</v>
      </c>
      <c r="H62" s="1381">
        <f>G62</f>
        <v>289022</v>
      </c>
      <c r="I62" s="1381">
        <f>H62</f>
        <v>289022</v>
      </c>
      <c r="J62" s="1381">
        <f>I62</f>
        <v>289022</v>
      </c>
      <c r="K62" s="1381">
        <f>J62</f>
        <v>289022</v>
      </c>
    </row>
    <row r="63">
      <c r="A63" s="1401" t="s">
        <v>69</v>
      </c>
      <c r="B63" s="1209">
        <f>EEFF!B63</f>
        <v>158794106</v>
      </c>
      <c r="C63" s="1209">
        <f>EEFF!C63</f>
        <v>149433194</v>
      </c>
      <c r="D63" s="1209">
        <f>EEFF!D63</f>
        <v>143054848</v>
      </c>
      <c r="E63" s="1209">
        <f>EEFF!E63</f>
        <v>133187167</v>
      </c>
      <c r="F63" s="1209">
        <f>EEFF!F63</f>
        <v>124015091</v>
      </c>
      <c r="G63" s="1400">
        <f>SUM(G58:G62)</f>
        <v>115223877</v>
      </c>
      <c r="H63" s="1398">
        <f>SUM(H58:H62)</f>
        <v>106432663</v>
      </c>
      <c r="I63" s="1398">
        <f>SUM(I58:I62)</f>
        <v>97641449</v>
      </c>
      <c r="J63" s="1398">
        <f>SUM(J58:J62)</f>
        <v>88850235</v>
      </c>
      <c r="K63" s="1398">
        <f>SUM(K58:K62)</f>
        <v>80023018</v>
      </c>
    </row>
    <row r="64">
      <c r="A64" s="1401" t="s">
        <v>70</v>
      </c>
      <c r="B64" s="1209">
        <f>EEFF!B64</f>
        <v>176039082</v>
      </c>
      <c r="C64" s="1209">
        <f>EEFF!C64</f>
        <v>167259146</v>
      </c>
      <c r="D64" s="1209">
        <f>EEFF!D64</f>
        <v>162654934</v>
      </c>
      <c r="E64" s="1209">
        <f>EEFF!E64</f>
        <v>147530779</v>
      </c>
      <c r="F64" s="1209">
        <f>EEFF!F64</f>
        <v>135707677</v>
      </c>
      <c r="G64" s="1400">
        <f>G57+G63</f>
        <v>126916463</v>
      </c>
      <c r="H64" s="1398">
        <f>H57+H63</f>
        <v>118125249</v>
      </c>
      <c r="I64" s="1398">
        <f>I57+I63</f>
        <v>109334035</v>
      </c>
      <c r="J64" s="1398">
        <f>J57+J63</f>
        <v>100542821</v>
      </c>
      <c r="K64" s="1398">
        <f>K57+K63</f>
        <v>91715604</v>
      </c>
    </row>
    <row r="65">
      <c r="A65" s="1394" t="s">
        <v>71</v>
      </c>
      <c r="B65" s="1390">
        <f>EEFF!B65</f>
        <v>16575011</v>
      </c>
      <c r="C65" s="1390">
        <f>EEFF!C65</f>
        <v>16575011</v>
      </c>
      <c r="D65" s="1390">
        <f>EEFF!D65</f>
        <v>16575011</v>
      </c>
      <c r="E65" s="1390">
        <f>EEFF!E65</f>
        <v>16575011</v>
      </c>
      <c r="F65" s="1390">
        <f>EEFF!F65</f>
        <v>16575011</v>
      </c>
      <c r="G65" s="1395">
        <f>F65</f>
        <v>16575011</v>
      </c>
      <c r="H65" s="1381">
        <f>G65</f>
        <v>16575011</v>
      </c>
      <c r="I65" s="1381">
        <f>H65</f>
        <v>16575011</v>
      </c>
      <c r="J65" s="1381">
        <f>I65</f>
        <v>16575011</v>
      </c>
      <c r="K65" s="1381">
        <f>J65</f>
        <v>16575011</v>
      </c>
    </row>
    <row r="66">
      <c r="A66" s="1394" t="s">
        <v>72</v>
      </c>
      <c r="B66" s="1390">
        <f>EEFF!B66</f>
        <v>5000</v>
      </c>
      <c r="C66" s="1390">
        <f>EEFF!C66</f>
        <v>5000</v>
      </c>
      <c r="D66" s="1390">
        <f>EEFF!D66</f>
        <v>5000</v>
      </c>
      <c r="E66" s="1390">
        <f>EEFF!E66</f>
        <v>5000</v>
      </c>
      <c r="F66" s="1390">
        <f>EEFF!F66</f>
        <v>5000</v>
      </c>
      <c r="G66" s="1395">
        <f>F66</f>
        <v>5000</v>
      </c>
      <c r="H66" s="1381">
        <f>G66</f>
        <v>5000</v>
      </c>
      <c r="I66" s="1381">
        <f>H66</f>
        <v>5000</v>
      </c>
      <c r="J66" s="1381">
        <f>I66</f>
        <v>5000</v>
      </c>
      <c r="K66" s="1381">
        <f>J66</f>
        <v>5000</v>
      </c>
    </row>
    <row r="67">
      <c r="A67" s="1394" t="s">
        <v>73</v>
      </c>
      <c r="B67" s="1390">
        <f>EEFF!B67</f>
        <v>144564461</v>
      </c>
      <c r="C67" s="1390">
        <f>EEFF!C67</f>
        <v>133624953</v>
      </c>
      <c r="D67" s="1390">
        <f>EEFF!D67</f>
        <v>126166198</v>
      </c>
      <c r="E67" s="1390">
        <f>EEFF!E67</f>
        <v>117878693</v>
      </c>
      <c r="F67" s="1390">
        <f>EEFF!F67</f>
        <v>115392441</v>
      </c>
      <c r="G67" s="1395">
        <f>F67</f>
        <v>115392441</v>
      </c>
      <c r="H67" s="1381">
        <f>G67</f>
        <v>115392441</v>
      </c>
      <c r="I67" s="1381">
        <f>H67</f>
        <v>115392441</v>
      </c>
      <c r="J67" s="1381">
        <f>I67</f>
        <v>115392441</v>
      </c>
      <c r="K67" s="1381">
        <f>J67</f>
        <v>115392441</v>
      </c>
    </row>
    <row r="68">
      <c r="A68" s="1394" t="s">
        <v>74</v>
      </c>
      <c r="B68" s="1390">
        <f>EEFF!B68</f>
        <v>-1349935</v>
      </c>
      <c r="C68" s="1390">
        <f>EEFF!C68</f>
        <v>-1685225</v>
      </c>
      <c r="D68" s="1390">
        <f>EEFF!D68</f>
        <v>-1685225</v>
      </c>
      <c r="E68" s="1390">
        <f>EEFF!E68</f>
        <v>-1685427</v>
      </c>
      <c r="F68" s="1390">
        <f>EEFF!F68</f>
        <v>-1685469</v>
      </c>
      <c r="G68" s="1395">
        <f>F68</f>
        <v>-1685469</v>
      </c>
      <c r="H68" s="1381">
        <f>G68</f>
        <v>-1685469</v>
      </c>
      <c r="I68" s="1381">
        <f>H68</f>
        <v>-1685469</v>
      </c>
      <c r="J68" s="1381">
        <f>I68</f>
        <v>-1685469</v>
      </c>
      <c r="K68" s="1381">
        <f>J68</f>
        <v>-1685469</v>
      </c>
    </row>
    <row r="69">
      <c r="A69" s="1394" t="s">
        <v>75</v>
      </c>
      <c r="B69" s="1390">
        <f>EEFF!B69</f>
        <v>-7801542</v>
      </c>
      <c r="C69" s="1390">
        <f>EEFF!C69</f>
        <v>5861379</v>
      </c>
      <c r="D69" s="1390">
        <f>EEFF!D69</f>
        <v>13088382</v>
      </c>
      <c r="E69" s="1390">
        <f>EEFF!E69</f>
        <v>22569615</v>
      </c>
      <c r="F69" s="1390">
        <f>EEFF!F69</f>
        <v>31870419</v>
      </c>
      <c r="G69" s="1395">
        <f>F69+G25</f>
        <v>35139083.791462645</v>
      </c>
      <c r="H69" s="1381">
        <f>G69+H25</f>
        <v>32182922.58292529</v>
      </c>
      <c r="I69" s="1381">
        <f>H69+I25</f>
        <v>33228783.56038793</v>
      </c>
      <c r="J69" s="1381">
        <f>I69+J25</f>
        <v>34543791.769850574</v>
      </c>
      <c r="K69" s="1381">
        <f>J69+K25</f>
        <v>31372834.180970572</v>
      </c>
    </row>
    <row r="70">
      <c r="A70" s="1401" t="s">
        <v>76</v>
      </c>
      <c r="B70" s="1209">
        <f>EEFF!B70</f>
        <v>151992995</v>
      </c>
      <c r="C70" s="1209">
        <f>EEFF!C70</f>
        <v>154381118</v>
      </c>
      <c r="D70" s="1209">
        <f>EEFF!D70</f>
        <v>154149366</v>
      </c>
      <c r="E70" s="1209">
        <f>EEFF!E70</f>
        <v>155342892</v>
      </c>
      <c r="F70" s="1209">
        <f>EEFF!F70</f>
        <v>162157402</v>
      </c>
      <c r="G70" s="1400">
        <f>SUM(G65:G69)</f>
        <v>165426066.79146266</v>
      </c>
      <c r="H70" s="1398">
        <f>SUM(H65:H69)</f>
        <v>162469905.5829253</v>
      </c>
      <c r="I70" s="1398">
        <f>SUM(I65:I69)</f>
        <v>163515766.56038794</v>
      </c>
      <c r="J70" s="1398">
        <f>SUM(J65:J69)</f>
        <v>164830774.76985058</v>
      </c>
      <c r="K70" s="1398">
        <f>SUM(K65:K69)</f>
        <v>161659817.18097058</v>
      </c>
    </row>
    <row r="71">
      <c r="A71" s="1401" t="s">
        <v>77</v>
      </c>
      <c r="B71" s="1209">
        <f>EEFF!B71</f>
        <v>328032077</v>
      </c>
      <c r="C71" s="1209">
        <f>EEFF!C71</f>
        <v>321640264</v>
      </c>
      <c r="D71" s="1209">
        <f>EEFF!D71</f>
        <v>316804300</v>
      </c>
      <c r="E71" s="1209">
        <f>EEFF!E71</f>
        <v>302873671</v>
      </c>
      <c r="F71" s="1209">
        <f>EEFF!F71</f>
        <v>297865079</v>
      </c>
      <c r="G71" s="1400">
        <f>G64+G70</f>
        <v>292342529.79146266</v>
      </c>
      <c r="H71" s="1398">
        <f>H64+H70</f>
        <v>280595154.5829253</v>
      </c>
      <c r="I71" s="1398">
        <f>I64+I70</f>
        <v>272849801.56038797</v>
      </c>
      <c r="J71" s="1398">
        <f>J64+J70</f>
        <v>265373595.76985058</v>
      </c>
      <c r="K71" s="1398">
        <f>K64+K70</f>
        <v>253375421.18097058</v>
      </c>
    </row>
    <row r="72">
      <c r="A72" s="1211"/>
      <c r="B72" s="1211"/>
      <c r="C72" s="1211"/>
      <c r="D72" s="1211"/>
      <c r="E72" s="1211"/>
      <c r="F72" s="1211"/>
      <c r="G72" s="1224"/>
      <c r="H72" s="1211"/>
      <c r="I72" s="1211"/>
      <c r="J72" s="1211"/>
      <c r="K72" s="1211"/>
    </row>
    <row r="73">
      <c r="A73" s="1384" t="s">
        <v>3</v>
      </c>
      <c r="B73" s="1385" t="s">
        <v>4</v>
      </c>
      <c r="C73" s="1385" t="s">
        <v>5</v>
      </c>
      <c r="D73" s="1385" t="s">
        <v>6</v>
      </c>
      <c r="E73" s="1385" t="s">
        <v>7</v>
      </c>
      <c r="F73" s="1385" t="s">
        <v>8</v>
      </c>
      <c r="G73" s="1389" t="s">
        <v>9</v>
      </c>
      <c r="H73" s="1391" t="s">
        <v>10</v>
      </c>
      <c r="I73" s="1391" t="s">
        <v>11</v>
      </c>
      <c r="J73" s="1391" t="s">
        <v>12</v>
      </c>
      <c r="K73" s="1391" t="s">
        <v>13</v>
      </c>
    </row>
    <row r="74">
      <c r="A74" s="1384" t="s">
        <v>78</v>
      </c>
      <c r="B74" s="1213"/>
      <c r="C74" s="1213"/>
      <c r="D74" s="1213"/>
      <c r="E74" s="1213"/>
      <c r="F74" s="1213"/>
      <c r="G74" s="1225"/>
      <c r="H74" s="1219"/>
      <c r="I74" s="1219"/>
      <c r="J74" s="1219"/>
      <c r="K74" s="1219"/>
    </row>
    <row r="75">
      <c r="A75" s="1401" t="s">
        <v>31</v>
      </c>
      <c r="B75" s="1209">
        <f>EEFF!B75</f>
        <v>8230666</v>
      </c>
      <c r="C75" s="1209">
        <f>EEFF!C75</f>
        <v>19005909</v>
      </c>
      <c r="D75" s="1209">
        <f>EEFF!D75</f>
        <v>11177428</v>
      </c>
      <c r="E75" s="1209">
        <f>EEFF!E75</f>
        <v>14098618</v>
      </c>
      <c r="F75" s="1209">
        <f>EEFF!F75</f>
        <v>14188102</v>
      </c>
      <c r="G75" s="1400">
        <f>G23</f>
        <v>4986521.791462645</v>
      </c>
      <c r="H75" s="1398">
        <f>H23</f>
        <v>-4509780.208537355</v>
      </c>
      <c r="I75" s="1398">
        <f>I23</f>
        <v>1595516.977462642</v>
      </c>
      <c r="J75" s="1398">
        <f>J23</f>
        <v>2006114.2094626427</v>
      </c>
      <c r="K75" s="1398">
        <f>K23</f>
        <v>-4837464.5888800025</v>
      </c>
    </row>
    <row r="76">
      <c r="A76" s="1394" t="s">
        <v>79</v>
      </c>
      <c r="B76" s="1390">
        <f>EEFF!B76</f>
        <v>11837322</v>
      </c>
      <c r="C76" s="1390">
        <f>EEFF!C76</f>
        <v>11835933</v>
      </c>
      <c r="D76" s="1390">
        <f>EEFF!D76</f>
        <v>11948074</v>
      </c>
      <c r="E76" s="1390">
        <f>EEFF!E76</f>
        <v>12401168</v>
      </c>
      <c r="F76" s="1390">
        <f>EEFF!F76</f>
        <v>12475149</v>
      </c>
      <c r="G76" s="1395">
        <f>G12</f>
        <v>12521408</v>
      </c>
      <c r="H76" s="1381">
        <f>H12</f>
        <v>12521408</v>
      </c>
      <c r="I76" s="1381">
        <f>I12</f>
        <v>12521408</v>
      </c>
      <c r="J76" s="1381">
        <f>J12</f>
        <v>12521408</v>
      </c>
      <c r="K76" s="1381">
        <f>K12</f>
        <v>12521408</v>
      </c>
    </row>
    <row r="77">
      <c r="A77" s="1394" t="s">
        <v>80</v>
      </c>
      <c r="B77" s="1390">
        <f>EEFF!B77</f>
        <v>0</v>
      </c>
      <c r="C77" s="1390">
        <f>EEFF!C77</f>
        <v>105000</v>
      </c>
      <c r="D77" s="1390">
        <f>EEFF!D77</f>
        <v>0</v>
      </c>
      <c r="E77" s="1390">
        <f>EEFF!E77</f>
        <v>0</v>
      </c>
      <c r="F77" s="1390">
        <f>EEFF!F77</f>
        <v>0</v>
      </c>
      <c r="G77" s="1210"/>
      <c r="H77" s="1208"/>
      <c r="I77" s="1208"/>
      <c r="J77" s="1208"/>
      <c r="K77" s="1208"/>
    </row>
    <row r="78">
      <c r="A78" s="1394" t="s">
        <v>81</v>
      </c>
      <c r="B78" s="1390">
        <f>EEFF!B78</f>
        <v>13719</v>
      </c>
      <c r="C78" s="1390">
        <f>EEFF!C78</f>
        <v>13092</v>
      </c>
      <c r="D78" s="1390">
        <f>EEFF!D78</f>
        <v>13093</v>
      </c>
      <c r="E78" s="1390">
        <f>EEFF!E78</f>
        <v>13093</v>
      </c>
      <c r="F78" s="1390">
        <f>EEFF!F78</f>
        <v>13651</v>
      </c>
      <c r="G78" s="1210"/>
      <c r="H78" s="1208"/>
      <c r="I78" s="1208"/>
      <c r="J78" s="1208"/>
      <c r="K78" s="1208"/>
    </row>
    <row r="79">
      <c r="A79" s="1394" t="s">
        <v>82</v>
      </c>
      <c r="B79" s="1390">
        <f>EEFF!B79</f>
        <v>27410</v>
      </c>
      <c r="C79" s="1390">
        <f>EEFF!C79</f>
        <v>32608</v>
      </c>
      <c r="D79" s="1390">
        <f>EEFF!D79</f>
        <v>36116</v>
      </c>
      <c r="E79" s="1390">
        <f>EEFF!E79</f>
        <v>32608</v>
      </c>
      <c r="F79" s="1390">
        <f>EEFF!F79</f>
        <v>32608</v>
      </c>
      <c r="G79" s="1210"/>
      <c r="H79" s="1208"/>
      <c r="I79" s="1208"/>
      <c r="J79" s="1208"/>
      <c r="K79" s="1208"/>
    </row>
    <row r="80">
      <c r="A80" s="1394" t="s">
        <v>83</v>
      </c>
      <c r="B80" s="1390">
        <f>EEFF!B80</f>
        <v>210785</v>
      </c>
      <c r="C80" s="1390">
        <f>EEFF!C80</f>
        <v>208786</v>
      </c>
      <c r="D80" s="1390">
        <f>EEFF!D80</f>
        <v>208786</v>
      </c>
      <c r="E80" s="1390">
        <f>EEFF!E80</f>
        <v>208786</v>
      </c>
      <c r="F80" s="1390">
        <f>EEFF!F80</f>
        <v>208786</v>
      </c>
      <c r="G80" s="1410">
        <f>Debt_Schedule!G16</f>
        <v>208786</v>
      </c>
      <c r="H80" s="1390">
        <f>Debt_Schedule!H16</f>
        <v>208786</v>
      </c>
      <c r="I80" s="1390">
        <f>Debt_Schedule!I16</f>
        <v>208786</v>
      </c>
      <c r="J80" s="1390">
        <f>Debt_Schedule!J16</f>
        <v>208786</v>
      </c>
      <c r="K80" s="1390">
        <f>Debt_Schedule!K16</f>
        <v>172783</v>
      </c>
    </row>
    <row r="81">
      <c r="A81" s="1394" t="s">
        <v>84</v>
      </c>
      <c r="B81" s="1390">
        <f>EEFF!B81</f>
        <v>10348312</v>
      </c>
      <c r="C81" s="1390">
        <f>EEFF!C81</f>
        <v>9766628</v>
      </c>
      <c r="D81" s="1390">
        <f>EEFF!D81</f>
        <v>9267884</v>
      </c>
      <c r="E81" s="1390">
        <f>EEFF!E81</f>
        <v>8906765</v>
      </c>
      <c r="F81" s="1390">
        <f>EEFF!F81</f>
        <v>8323100</v>
      </c>
      <c r="G81" s="1210"/>
      <c r="H81" s="1208"/>
      <c r="I81" s="1208"/>
      <c r="J81" s="1208"/>
      <c r="K81" s="1208"/>
    </row>
    <row r="82">
      <c r="A82" s="1394" t="s">
        <v>24</v>
      </c>
      <c r="B82" s="1390">
        <f>EEFF!B82</f>
        <v>20000</v>
      </c>
      <c r="C82" s="1390">
        <f>EEFF!C82</f>
        <v>0</v>
      </c>
      <c r="D82" s="1390">
        <f>EEFF!D82</f>
        <v>0</v>
      </c>
      <c r="E82" s="1390">
        <f>EEFF!E82</f>
        <v>0</v>
      </c>
      <c r="F82" s="1390">
        <f>EEFF!F82</f>
        <v>0</v>
      </c>
      <c r="G82" s="1210"/>
      <c r="H82" s="1208"/>
      <c r="I82" s="1208"/>
      <c r="J82" s="1208"/>
      <c r="K82" s="1208"/>
    </row>
    <row r="83">
      <c r="A83" s="1394" t="s">
        <v>85</v>
      </c>
      <c r="B83" s="1390">
        <f>EEFF!B83</f>
        <v>-757608</v>
      </c>
      <c r="C83" s="1390">
        <f>EEFF!C83</f>
        <v>-1930197</v>
      </c>
      <c r="D83" s="1390">
        <f>EEFF!D83</f>
        <v>-1653193</v>
      </c>
      <c r="E83" s="1390">
        <f>EEFF!E83</f>
        <v>-600000</v>
      </c>
      <c r="F83" s="1390">
        <f>EEFF!F83</f>
        <v>-1829780</v>
      </c>
      <c r="G83" s="1210"/>
      <c r="H83" s="1208"/>
      <c r="I83" s="1208"/>
      <c r="J83" s="1208"/>
      <c r="K83" s="1208"/>
    </row>
    <row r="84">
      <c r="A84" s="1394" t="s">
        <v>37</v>
      </c>
      <c r="B84" s="1390">
        <f>EEFF!B84</f>
        <v>-616516</v>
      </c>
      <c r="C84" s="1390">
        <f>EEFF!C84</f>
        <v>-473324</v>
      </c>
      <c r="D84" s="1390">
        <f>EEFF!D84</f>
        <v>-34354</v>
      </c>
      <c r="E84" s="1390">
        <f>EEFF!E84</f>
        <v>496506</v>
      </c>
      <c r="F84" s="1390">
        <f>EEFF!F84</f>
        <v>1415662</v>
      </c>
      <c r="G84" s="1210"/>
      <c r="H84" s="1208"/>
      <c r="I84" s="1208"/>
      <c r="J84" s="1208"/>
      <c r="K84" s="1208"/>
    </row>
    <row r="85">
      <c r="A85" s="1394" t="s">
        <v>38</v>
      </c>
      <c r="B85" s="1390">
        <f>EEFF!B85</f>
        <v>-6659</v>
      </c>
      <c r="C85" s="1390">
        <f>EEFF!C85</f>
        <v>-328917</v>
      </c>
      <c r="D85" s="1390">
        <f>EEFF!D85</f>
        <v>107433</v>
      </c>
      <c r="E85" s="1390">
        <f>EEFF!E85</f>
        <v>-139226</v>
      </c>
      <c r="F85" s="1390">
        <f>EEFF!F85</f>
        <v>-350810</v>
      </c>
      <c r="G85" s="1210"/>
      <c r="H85" s="1208"/>
      <c r="I85" s="1208"/>
      <c r="J85" s="1208"/>
      <c r="K85" s="1208"/>
    </row>
    <row r="86">
      <c r="A86" s="1394" t="s">
        <v>39</v>
      </c>
      <c r="B86" s="1390">
        <f>EEFF!B86</f>
        <v>468120</v>
      </c>
      <c r="C86" s="1390">
        <f>EEFF!C86</f>
        <v>4885169</v>
      </c>
      <c r="D86" s="1390">
        <f>EEFF!D86</f>
        <v>2721902</v>
      </c>
      <c r="E86" s="1390">
        <f>EEFF!E86</f>
        <v>1730438</v>
      </c>
      <c r="F86" s="1390">
        <f>EEFF!F86</f>
        <v>4196213</v>
      </c>
      <c r="G86" s="1210"/>
      <c r="H86" s="1208"/>
      <c r="I86" s="1208"/>
      <c r="J86" s="1208"/>
      <c r="K86" s="1208"/>
    </row>
    <row r="87">
      <c r="A87" s="1394" t="s">
        <v>41</v>
      </c>
      <c r="B87" s="1390">
        <f>EEFF!B87</f>
        <v>88309</v>
      </c>
      <c r="C87" s="1390">
        <f>EEFF!C87</f>
        <v>-479342</v>
      </c>
      <c r="D87" s="1390">
        <f>EEFF!D87</f>
        <v>589865</v>
      </c>
      <c r="E87" s="1390">
        <f>EEFF!E87</f>
        <v>-159744</v>
      </c>
      <c r="F87" s="1390">
        <f>EEFF!F87</f>
        <v>46908</v>
      </c>
      <c r="G87" s="1210"/>
      <c r="H87" s="1208"/>
      <c r="I87" s="1208"/>
      <c r="J87" s="1208"/>
      <c r="K87" s="1208"/>
    </row>
    <row r="88">
      <c r="A88" s="1394" t="s">
        <v>55</v>
      </c>
      <c r="B88" s="1390">
        <f>EEFF!B88</f>
        <v>1281734</v>
      </c>
      <c r="C88" s="1390">
        <f>EEFF!C88</f>
        <v>-7113790</v>
      </c>
      <c r="D88" s="1390">
        <f>EEFF!D88</f>
        <v>-3693608</v>
      </c>
      <c r="E88" s="1390">
        <f>EEFF!E88</f>
        <v>-2897310</v>
      </c>
      <c r="F88" s="1390">
        <f>EEFF!F88</f>
        <v>-4225876</v>
      </c>
      <c r="G88" s="1210"/>
      <c r="H88" s="1208"/>
      <c r="I88" s="1208"/>
      <c r="J88" s="1208"/>
      <c r="K88" s="1208"/>
    </row>
    <row r="89">
      <c r="A89" s="1394" t="s">
        <v>62</v>
      </c>
      <c r="B89" s="1390">
        <f>EEFF!B89</f>
        <v>46812</v>
      </c>
      <c r="C89" s="1390">
        <f>EEFF!C89</f>
        <v>25400</v>
      </c>
      <c r="D89" s="1390">
        <f>EEFF!D89</f>
        <v>-286106</v>
      </c>
      <c r="E89" s="1390">
        <f>EEFF!E89</f>
        <v>-103702</v>
      </c>
      <c r="F89" s="1390">
        <f>EEFF!F89</f>
        <v>256535</v>
      </c>
      <c r="G89" s="1210"/>
      <c r="H89" s="1208"/>
      <c r="I89" s="1208"/>
      <c r="J89" s="1208"/>
      <c r="K89" s="1208"/>
    </row>
    <row r="90">
      <c r="A90" s="1394" t="s">
        <v>86</v>
      </c>
      <c r="B90" s="1390">
        <f>EEFF!B90</f>
        <v>-10341713</v>
      </c>
      <c r="C90" s="1390">
        <f>EEFF!C90</f>
        <v>-9775991</v>
      </c>
      <c r="D90" s="1390">
        <f>EEFF!D90</f>
        <v>-6997370</v>
      </c>
      <c r="E90" s="1390">
        <f>EEFF!E90</f>
        <v>-11176527</v>
      </c>
      <c r="F90" s="1390">
        <f>EEFF!F90</f>
        <v>-8325188</v>
      </c>
      <c r="G90" s="1210"/>
      <c r="H90" s="1208"/>
      <c r="I90" s="1208"/>
      <c r="J90" s="1208"/>
      <c r="K90" s="1208"/>
    </row>
    <row r="91">
      <c r="A91" s="1394" t="s">
        <v>87</v>
      </c>
      <c r="B91" s="1390">
        <f>EEFF!B91</f>
        <v>-891774</v>
      </c>
      <c r="C91" s="1390">
        <f>EEFF!C91</f>
        <v>-2116783</v>
      </c>
      <c r="D91" s="1390">
        <f>EEFF!D91</f>
        <v>-4992852</v>
      </c>
      <c r="E91" s="1390">
        <f>EEFF!E91</f>
        <v>-805658</v>
      </c>
      <c r="F91" s="1390">
        <f>EEFF!F91</f>
        <v>-4557314</v>
      </c>
      <c r="G91" s="1395">
        <f>G24</f>
        <v>-1717857</v>
      </c>
      <c r="H91" s="1381">
        <f>H24</f>
        <v>1553619</v>
      </c>
      <c r="I91" s="1381">
        <f>I24</f>
        <v>-549656</v>
      </c>
      <c r="J91" s="1381">
        <f>J24</f>
        <v>-691106</v>
      </c>
      <c r="K91" s="1381">
        <f>K24</f>
        <v>1666507</v>
      </c>
    </row>
    <row r="92">
      <c r="A92" s="1401" t="s">
        <v>88</v>
      </c>
      <c r="B92" s="1209">
        <f>EEFF!B92</f>
        <v>19958919</v>
      </c>
      <c r="C92" s="1209">
        <f>EEFF!C92</f>
        <v>23660181</v>
      </c>
      <c r="D92" s="1209">
        <f>EEFF!D92</f>
        <v>18413098</v>
      </c>
      <c r="E92" s="1209">
        <f>EEFF!E92</f>
        <v>22005815</v>
      </c>
      <c r="F92" s="1209">
        <f>EEFF!F92</f>
        <v>21867746</v>
      </c>
      <c r="G92" s="1400">
        <f>SUM(G75:G91)</f>
        <v>15998858.791462645</v>
      </c>
      <c r="H92" s="1398">
        <f>SUM(H75:H91)</f>
        <v>9774032.791462645</v>
      </c>
      <c r="I92" s="1398">
        <f>SUM(I75:I91)</f>
        <v>13776054.977462642</v>
      </c>
      <c r="J92" s="1398">
        <f>SUM(J75:J91)</f>
        <v>14045202.209462643</v>
      </c>
      <c r="K92" s="1398">
        <f>SUM(K75:K91)</f>
        <v>9523233.411119998</v>
      </c>
    </row>
    <row r="93">
      <c r="A93" s="1394" t="s">
        <v>89</v>
      </c>
      <c r="B93" s="1390">
        <f>EEFF!B93</f>
        <v>0</v>
      </c>
      <c r="C93" s="1390">
        <f>EEFF!C93</f>
        <v>0</v>
      </c>
      <c r="D93" s="1390">
        <f>EEFF!D93</f>
        <v>0</v>
      </c>
      <c r="E93" s="1390">
        <f>EEFF!E93</f>
        <v>0</v>
      </c>
      <c r="F93" s="1390">
        <f>EEFF!F93</f>
        <v>-8000000</v>
      </c>
      <c r="G93" s="1210"/>
      <c r="H93" s="1208"/>
      <c r="I93" s="1208"/>
      <c r="J93" s="1208"/>
      <c r="K93" s="1208"/>
    </row>
    <row r="94">
      <c r="A94" s="1394" t="s">
        <v>90</v>
      </c>
      <c r="B94" s="1390">
        <f>EEFF!B94</f>
        <v>0</v>
      </c>
      <c r="C94" s="1390">
        <f>EEFF!C94</f>
        <v>-1000</v>
      </c>
      <c r="D94" s="1390">
        <f>EEFF!D94</f>
        <v>174084</v>
      </c>
      <c r="E94" s="1390">
        <f>EEFF!E94</f>
        <v>0</v>
      </c>
      <c r="F94" s="1390">
        <f>EEFF!F94</f>
        <v>0</v>
      </c>
      <c r="G94" s="1210"/>
      <c r="H94" s="1208"/>
      <c r="I94" s="1208"/>
      <c r="J94" s="1208"/>
      <c r="K94" s="1208"/>
    </row>
    <row r="95">
      <c r="A95" s="1394" t="s">
        <v>91</v>
      </c>
      <c r="B95" s="1390">
        <f>EEFF!B95</f>
        <v>0</v>
      </c>
      <c r="C95" s="1390">
        <f>EEFF!C95</f>
        <v>0</v>
      </c>
      <c r="D95" s="1390">
        <f>EEFF!D95</f>
        <v>0</v>
      </c>
      <c r="E95" s="1390">
        <f>EEFF!E95</f>
        <v>0</v>
      </c>
      <c r="F95" s="1390">
        <f>EEFF!F95</f>
        <v>-24000</v>
      </c>
      <c r="G95" s="1210"/>
      <c r="H95" s="1208"/>
      <c r="I95" s="1208"/>
      <c r="J95" s="1208"/>
      <c r="K95" s="1208"/>
    </row>
    <row r="96">
      <c r="A96" s="1394" t="s">
        <v>92</v>
      </c>
      <c r="B96" s="1390">
        <f>EEFF!B96</f>
        <v>-140606</v>
      </c>
      <c r="C96" s="1390">
        <f>EEFF!C96</f>
        <v>-2293656</v>
      </c>
      <c r="D96" s="1390">
        <f>EEFF!D96</f>
        <v>-9866189</v>
      </c>
      <c r="E96" s="1390">
        <f>EEFF!E96</f>
        <v>-402919</v>
      </c>
      <c r="F96" s="1390">
        <f>EEFF!F96</f>
        <v>-441856</v>
      </c>
      <c r="G96" s="1395">
        <f>F96</f>
        <v>-441856</v>
      </c>
      <c r="H96" s="1381">
        <f>G96</f>
        <v>-441856</v>
      </c>
      <c r="I96" s="1381">
        <f>H96</f>
        <v>-441856</v>
      </c>
      <c r="J96" s="1381">
        <f>I96</f>
        <v>-441856</v>
      </c>
      <c r="K96" s="1381">
        <f>J96</f>
        <v>-441856</v>
      </c>
    </row>
    <row r="97">
      <c r="A97" s="1394" t="s">
        <v>93</v>
      </c>
      <c r="B97" s="1390">
        <f>EEFF!B97</f>
        <v>-77042</v>
      </c>
      <c r="C97" s="1390">
        <f>EEFF!C97</f>
        <v>0</v>
      </c>
      <c r="D97" s="1390">
        <f>EEFF!D97</f>
        <v>0</v>
      </c>
      <c r="E97" s="1390">
        <f>EEFF!E97</f>
        <v>0</v>
      </c>
      <c r="F97" s="1390">
        <f>EEFF!F97</f>
        <v>0</v>
      </c>
      <c r="G97" s="1210"/>
      <c r="H97" s="1208"/>
      <c r="I97" s="1208"/>
      <c r="J97" s="1208"/>
      <c r="K97" s="1208"/>
    </row>
    <row r="98">
      <c r="A98" s="1401" t="s">
        <v>94</v>
      </c>
      <c r="B98" s="1209">
        <f>EEFF!B98</f>
        <v>-217648</v>
      </c>
      <c r="C98" s="1209">
        <f>EEFF!C98</f>
        <v>-2294656</v>
      </c>
      <c r="D98" s="1209">
        <f>EEFF!D98</f>
        <v>-9692105</v>
      </c>
      <c r="E98" s="1209">
        <f>EEFF!E98</f>
        <v>-402919</v>
      </c>
      <c r="F98" s="1209">
        <f>EEFF!F98</f>
        <v>-8465856</v>
      </c>
      <c r="G98" s="1400">
        <f>SUM(G93:G97)</f>
        <v>-441856</v>
      </c>
      <c r="H98" s="1398">
        <f>SUM(H93:H97)</f>
        <v>-441856</v>
      </c>
      <c r="I98" s="1398">
        <f>SUM(I93:I97)</f>
        <v>-441856</v>
      </c>
      <c r="J98" s="1398">
        <f>SUM(J93:J97)</f>
        <v>-441856</v>
      </c>
      <c r="K98" s="1398">
        <f>SUM(K93:K97)</f>
        <v>-441856</v>
      </c>
    </row>
    <row r="99">
      <c r="A99" s="1394" t="s">
        <v>95</v>
      </c>
      <c r="B99" s="1390">
        <f>EEFF!B99</f>
        <v>0</v>
      </c>
      <c r="C99" s="1390">
        <f>EEFF!C99</f>
        <v>758413</v>
      </c>
      <c r="D99" s="1390">
        <f>EEFF!D99</f>
        <v>3163315</v>
      </c>
      <c r="E99" s="1390">
        <f>EEFF!E99</f>
        <v>0</v>
      </c>
      <c r="F99" s="1390">
        <f>EEFF!F99</f>
        <v>0</v>
      </c>
      <c r="G99" s="1210"/>
      <c r="H99" s="1208"/>
      <c r="I99" s="1208"/>
      <c r="J99" s="1208"/>
      <c r="K99" s="1208"/>
    </row>
    <row r="100">
      <c r="A100" s="1394" t="s">
        <v>96</v>
      </c>
      <c r="B100" s="1390">
        <f>EEFF!B100</f>
        <v>0</v>
      </c>
      <c r="C100" s="1390">
        <f>EEFF!C100</f>
        <v>0</v>
      </c>
      <c r="D100" s="1390">
        <f>EEFF!D100</f>
        <v>0</v>
      </c>
      <c r="E100" s="1390">
        <f>EEFF!E100</f>
        <v>-1174402</v>
      </c>
      <c r="F100" s="1390">
        <f>EEFF!F100</f>
        <v>-256874</v>
      </c>
      <c r="G100" s="1210"/>
      <c r="H100" s="1208"/>
      <c r="I100" s="1208"/>
      <c r="J100" s="1208"/>
      <c r="K100" s="1208"/>
    </row>
    <row r="101">
      <c r="A101" s="1394" t="s">
        <v>97</v>
      </c>
      <c r="B101" s="1390">
        <f>EEFF!B101</f>
        <v>-9000000</v>
      </c>
      <c r="C101" s="1390">
        <f>EEFF!C101</f>
        <v>-9000000</v>
      </c>
      <c r="D101" s="1390">
        <f>EEFF!D101</f>
        <v>-5250000</v>
      </c>
      <c r="E101" s="1390">
        <f>EEFF!E101</f>
        <v>-12750000</v>
      </c>
      <c r="F101" s="1390">
        <f>EEFF!F101</f>
        <v>-9000000</v>
      </c>
      <c r="G101" s="1410">
        <f>-(Debt_Schedule!G9+Debt_Schedule!G10)</f>
        <v>-9000000</v>
      </c>
      <c r="H101" s="1390">
        <f>-(Debt_Schedule!H9+Debt_Schedule!H10)</f>
        <v>-9000000</v>
      </c>
      <c r="I101" s="1390">
        <f>-(Debt_Schedule!I9+Debt_Schedule!I10)</f>
        <v>-9000000</v>
      </c>
      <c r="J101" s="1390">
        <f>-(Debt_Schedule!J9+Debt_Schedule!J10)</f>
        <v>-9000000</v>
      </c>
      <c r="K101" s="1390">
        <f>-(Debt_Schedule!K9+Debt_Schedule!K10)</f>
        <v>-9000000</v>
      </c>
    </row>
    <row r="102">
      <c r="A102" s="1394" t="s">
        <v>43</v>
      </c>
      <c r="B102" s="1390">
        <f>EEFF!B102</f>
        <v>130811</v>
      </c>
      <c r="C102" s="1390">
        <f>EEFF!C102</f>
        <v>-28337</v>
      </c>
      <c r="D102" s="1390">
        <f>EEFF!D102</f>
        <v>201122</v>
      </c>
      <c r="E102" s="1390">
        <f>EEFF!E102</f>
        <v>-163649</v>
      </c>
      <c r="F102" s="1390">
        <f>EEFF!F102</f>
        <v>-63000</v>
      </c>
      <c r="G102" s="1210"/>
      <c r="H102" s="1208"/>
      <c r="I102" s="1208"/>
      <c r="J102" s="1208"/>
      <c r="K102" s="1208"/>
    </row>
    <row r="103">
      <c r="A103" s="1394" t="s">
        <v>98</v>
      </c>
      <c r="B103" s="1390">
        <f>EEFF!B103</f>
        <v>-14910</v>
      </c>
      <c r="C103" s="1390">
        <f>EEFF!C103</f>
        <v>0</v>
      </c>
      <c r="D103" s="1390">
        <f>EEFF!D103</f>
        <v>0</v>
      </c>
      <c r="E103" s="1390">
        <f>EEFF!E103</f>
        <v>0</v>
      </c>
      <c r="F103" s="1390">
        <f>EEFF!F103</f>
        <v>0</v>
      </c>
      <c r="G103" s="1210"/>
      <c r="H103" s="1208"/>
      <c r="I103" s="1208"/>
      <c r="J103" s="1208"/>
      <c r="K103" s="1208"/>
    </row>
    <row r="104">
      <c r="A104" s="1394" t="s">
        <v>74</v>
      </c>
      <c r="B104" s="1390">
        <f>EEFF!B104</f>
        <v>-177661</v>
      </c>
      <c r="C104" s="1390">
        <f>EEFF!C104</f>
        <v>-335290</v>
      </c>
      <c r="D104" s="1390">
        <f>EEFF!D104</f>
        <v>0</v>
      </c>
      <c r="E104" s="1390">
        <f>EEFF!E104</f>
        <v>-202</v>
      </c>
      <c r="F104" s="1390">
        <f>EEFF!F104</f>
        <v>-42</v>
      </c>
      <c r="G104" s="1210"/>
      <c r="H104" s="1208"/>
      <c r="I104" s="1208"/>
      <c r="J104" s="1208"/>
      <c r="K104" s="1208"/>
    </row>
    <row r="105">
      <c r="A105" s="1394" t="s">
        <v>99</v>
      </c>
      <c r="B105" s="1390">
        <f>EEFF!B105</f>
        <v>-9116256</v>
      </c>
      <c r="C105" s="1390">
        <f>EEFF!C105</f>
        <v>-10939508</v>
      </c>
      <c r="D105" s="1390">
        <f>EEFF!D105</f>
        <v>-7458755</v>
      </c>
      <c r="E105" s="1390">
        <f>EEFF!E105</f>
        <v>-8287505</v>
      </c>
      <c r="F105" s="1390">
        <f>EEFF!F105</f>
        <v>-2486252</v>
      </c>
      <c r="G105" s="1210"/>
      <c r="H105" s="1208"/>
      <c r="I105" s="1208"/>
      <c r="J105" s="1208"/>
      <c r="K105" s="1208"/>
    </row>
    <row r="106">
      <c r="A106" s="1394" t="s">
        <v>100</v>
      </c>
      <c r="B106" s="1390">
        <f>EEFF!B106</f>
        <v>-13845</v>
      </c>
      <c r="C106" s="1390">
        <f>EEFF!C106</f>
        <v>-32608</v>
      </c>
      <c r="D106" s="1390">
        <f>EEFF!D106</f>
        <v>-32608</v>
      </c>
      <c r="E106" s="1390">
        <f>EEFF!E106</f>
        <v>-32608</v>
      </c>
      <c r="F106" s="1390">
        <f>EEFF!F106</f>
        <v>-32608</v>
      </c>
      <c r="G106" s="1210"/>
      <c r="H106" s="1208"/>
      <c r="I106" s="1208"/>
      <c r="J106" s="1208"/>
      <c r="K106" s="1208"/>
    </row>
    <row r="107">
      <c r="A107" s="1401" t="s">
        <v>101</v>
      </c>
      <c r="B107" s="1209">
        <f>EEFF!B107</f>
        <v>-18191861</v>
      </c>
      <c r="C107" s="1209">
        <f>EEFF!C107</f>
        <v>-19577330</v>
      </c>
      <c r="D107" s="1209">
        <f>EEFF!D107</f>
        <v>-9376926</v>
      </c>
      <c r="E107" s="1209">
        <f>EEFF!E107</f>
        <v>-22408366</v>
      </c>
      <c r="F107" s="1209">
        <f>EEFF!F107</f>
        <v>-11838776</v>
      </c>
      <c r="G107" s="1400">
        <f>SUM(G99:G106)</f>
        <v>-9000000</v>
      </c>
      <c r="H107" s="1398">
        <f>SUM(H99:H106)</f>
        <v>-9000000</v>
      </c>
      <c r="I107" s="1398">
        <f>SUM(I99:I106)</f>
        <v>-9000000</v>
      </c>
      <c r="J107" s="1398">
        <f>SUM(J99:J106)</f>
        <v>-9000000</v>
      </c>
      <c r="K107" s="1398">
        <f>SUM(K99:K106)</f>
        <v>-9000000</v>
      </c>
    </row>
    <row r="108">
      <c r="A108" s="1394" t="s">
        <v>102</v>
      </c>
      <c r="B108" s="1390">
        <f>EEFF!B108</f>
        <v>1549410</v>
      </c>
      <c r="C108" s="1390">
        <f>EEFF!C108</f>
        <v>1788195</v>
      </c>
      <c r="D108" s="1390">
        <f>EEFF!D108</f>
        <v>-655933</v>
      </c>
      <c r="E108" s="1390">
        <f>EEFF!E108</f>
        <v>-805470</v>
      </c>
      <c r="F108" s="1390">
        <f>EEFF!F108</f>
        <v>1563114</v>
      </c>
      <c r="G108" s="1395">
        <f>G92+G98+G107</f>
        <v>6557002.791462645</v>
      </c>
      <c r="H108" s="1381">
        <f>H92+H98+H107</f>
        <v>332176.79146264493</v>
      </c>
      <c r="I108" s="1381">
        <f>I92+I98+I107</f>
        <v>4334198.977462642</v>
      </c>
      <c r="J108" s="1381">
        <f>J92+J98+J107</f>
        <v>4603346.209462643</v>
      </c>
      <c r="K108" s="1381">
        <f>K92+K98+K107</f>
        <v>81377.4111199975</v>
      </c>
    </row>
    <row r="109">
      <c r="A109" s="1394" t="s">
        <v>103</v>
      </c>
      <c r="B109" s="1390">
        <f>EEFF!B109</f>
        <v>7618187</v>
      </c>
      <c r="C109" s="1390">
        <f>EEFF!C109</f>
        <v>9167597</v>
      </c>
      <c r="D109" s="1390">
        <f>EEFF!D109</f>
        <v>10955792</v>
      </c>
      <c r="E109" s="1390">
        <f>EEFF!E109</f>
        <v>10299859</v>
      </c>
      <c r="F109" s="1390">
        <f>EEFF!F109</f>
        <v>9494389</v>
      </c>
      <c r="G109" s="1395">
        <f>F110</f>
        <v>11057503</v>
      </c>
      <c r="H109" s="1381">
        <f>G110</f>
        <v>17614505.791462645</v>
      </c>
      <c r="I109" s="1381">
        <f>H110</f>
        <v>17946682.58292529</v>
      </c>
      <c r="J109" s="1381">
        <f>I110</f>
        <v>22280881.56038793</v>
      </c>
      <c r="K109" s="1381">
        <f>J110</f>
        <v>26884227.769850574</v>
      </c>
    </row>
    <row r="110">
      <c r="A110" s="1401" t="s">
        <v>104</v>
      </c>
      <c r="B110" s="1209">
        <f>EEFF!B110</f>
        <v>9167597</v>
      </c>
      <c r="C110" s="1209">
        <f>EEFF!C110</f>
        <v>10955792</v>
      </c>
      <c r="D110" s="1209">
        <f>EEFF!D110</f>
        <v>10299859</v>
      </c>
      <c r="E110" s="1209">
        <f>EEFF!E110</f>
        <v>9494389</v>
      </c>
      <c r="F110" s="1209">
        <f>EEFF!F110</f>
        <v>11057503</v>
      </c>
      <c r="G110" s="1400">
        <f>G108+G109</f>
        <v>17614505.791462645</v>
      </c>
      <c r="H110" s="1398">
        <f>H108+H109</f>
        <v>17946682.58292529</v>
      </c>
      <c r="I110" s="1398">
        <f>I108+I109</f>
        <v>22280881.56038793</v>
      </c>
      <c r="J110" s="1398">
        <f>J108+J109</f>
        <v>26884227.769850574</v>
      </c>
      <c r="K110" s="1398">
        <f>K108+K109</f>
        <v>26965605.180970572</v>
      </c>
    </row>
    <row r="111">
      <c r="A111" s="1211"/>
      <c r="B111" s="1211"/>
      <c r="C111" s="1211"/>
      <c r="D111" s="1211"/>
      <c r="E111" s="1211"/>
      <c r="F111" s="1211"/>
      <c r="G111" s="1224"/>
      <c r="H111" s="1211"/>
      <c r="I111" s="1211"/>
      <c r="J111" s="1211"/>
      <c r="K111" s="1211"/>
    </row>
  </sheetData>
</worksheet>
</file>

<file path=xl/worksheets/sheet6.xml><?xml version="1.0" encoding="utf-8"?>
<worksheet xmlns="http://schemas.openxmlformats.org/spreadsheetml/2006/main" xmlns:r="http://schemas.openxmlformats.org/officeDocument/2006/relationships">
  <dimension ref="A1:K425"/>
  <sheetViews>
    <sheetView showGridLines="0" workbookViewId="0"/>
  </sheetViews>
  <sheetFormatPr defaultColWidth="8.375" defaultRowHeight="15"/>
  <cols>
    <col min="1" max="1" width="44.375" customWidth="1"/>
    <col min="2" max="11" width="15.625" customWidth="1"/>
  </cols>
  <sheetData>
    <row r="1">
      <c r="A1" s="1384" t="s">
        <v>0</v>
      </c>
      <c r="B1" s="1275"/>
      <c r="C1" s="1275"/>
      <c r="D1" s="1275"/>
      <c r="E1" s="1275"/>
      <c r="F1" s="1275"/>
      <c r="G1" s="1274"/>
      <c r="H1" s="1266"/>
      <c r="I1" s="1266"/>
      <c r="J1" s="1266"/>
      <c r="K1" s="1266"/>
    </row>
    <row r="2">
      <c r="A2" s="1394" t="s">
        <v>1721</v>
      </c>
      <c r="G2" s="1254"/>
    </row>
    <row r="3">
      <c r="A3" s="1394" t="s">
        <v>2</v>
      </c>
      <c r="G3" s="1254"/>
    </row>
    <row r="4">
      <c r="A4" s="1394" t="s">
        <v>1722</v>
      </c>
      <c r="G4" s="1254"/>
    </row>
    <row r="5">
      <c r="A5" s="1384" t="s">
        <v>1723</v>
      </c>
      <c r="B5" s="1385" t="s">
        <v>4</v>
      </c>
      <c r="C5" s="1385" t="s">
        <v>5</v>
      </c>
      <c r="D5" s="1385" t="s">
        <v>6</v>
      </c>
      <c r="E5" s="1385" t="s">
        <v>7</v>
      </c>
      <c r="F5" s="1385" t="s">
        <v>8</v>
      </c>
      <c r="G5" s="1389" t="s">
        <v>9</v>
      </c>
      <c r="H5" s="1391" t="s">
        <v>10</v>
      </c>
      <c r="I5" s="1391" t="s">
        <v>11</v>
      </c>
      <c r="J5" s="1391" t="s">
        <v>12</v>
      </c>
      <c r="K5" s="1391" t="s">
        <v>13</v>
      </c>
    </row>
    <row r="6">
      <c r="A6" s="1240"/>
      <c r="B6" s="1240"/>
      <c r="C6" s="1240"/>
      <c r="D6" s="1240"/>
      <c r="E6" s="1240"/>
      <c r="F6" s="1240"/>
      <c r="G6" s="1254"/>
      <c r="H6" s="1240"/>
      <c r="I6" s="1240"/>
      <c r="J6" s="1240"/>
      <c r="K6" s="1240"/>
    </row>
    <row r="7">
      <c r="A7" s="1384" t="s">
        <v>1724</v>
      </c>
      <c r="B7" s="1251"/>
      <c r="C7" s="1251"/>
      <c r="D7" s="1251"/>
      <c r="E7" s="1251"/>
      <c r="F7" s="1251"/>
      <c r="G7" s="1259"/>
      <c r="H7" s="1265"/>
      <c r="I7" s="1265"/>
      <c r="J7" s="1265"/>
      <c r="K7" s="1265"/>
    </row>
    <row r="8">
      <c r="A8" s="1394" t="s">
        <v>1725</v>
      </c>
      <c r="B8" s="1248"/>
      <c r="C8" s="1248"/>
      <c r="D8" s="1248"/>
      <c r="E8" s="1248"/>
      <c r="F8" s="1243">
        <v>73.18</v>
      </c>
      <c r="G8" s="1262">
        <v>73.18</v>
      </c>
      <c r="H8" s="1243">
        <v>73.18</v>
      </c>
      <c r="I8" s="1243">
        <v>73.18</v>
      </c>
      <c r="J8" s="1243">
        <v>73.18</v>
      </c>
      <c r="K8" s="1243">
        <v>73.18</v>
      </c>
    </row>
    <row r="9">
      <c r="A9" s="1394" t="s">
        <v>1726</v>
      </c>
      <c r="B9" s="1248"/>
      <c r="C9" s="1248"/>
      <c r="D9" s="1248"/>
      <c r="E9" s="1248"/>
      <c r="F9" s="1243">
        <v>20.1</v>
      </c>
      <c r="G9" s="1262">
        <v>20.1</v>
      </c>
      <c r="H9" s="1243">
        <v>20.1</v>
      </c>
      <c r="I9" s="1243">
        <v>20.1</v>
      </c>
      <c r="J9" s="1243">
        <v>20.1</v>
      </c>
      <c r="K9" s="1243">
        <v>20.1</v>
      </c>
    </row>
    <row r="10">
      <c r="A10" s="1394" t="s">
        <v>1727</v>
      </c>
      <c r="B10" s="1248"/>
      <c r="C10" s="1248"/>
      <c r="D10" s="1248"/>
      <c r="E10" s="1248"/>
      <c r="F10" s="1243">
        <v>12.5</v>
      </c>
      <c r="G10" s="1262">
        <v>12.5</v>
      </c>
      <c r="H10" s="1243">
        <v>12.5</v>
      </c>
      <c r="I10" s="1243">
        <v>12.5</v>
      </c>
      <c r="J10" s="1243">
        <v>12.5</v>
      </c>
      <c r="K10" s="1243">
        <v>12.5</v>
      </c>
    </row>
    <row r="11">
      <c r="A11" s="1394" t="s">
        <v>1728</v>
      </c>
      <c r="B11" s="1248"/>
      <c r="C11" s="1248"/>
      <c r="D11" s="1248"/>
      <c r="E11" s="1248"/>
      <c r="F11" s="1243">
        <v>15.5</v>
      </c>
      <c r="G11" s="1262">
        <v>15.5</v>
      </c>
      <c r="H11" s="1243">
        <v>15.5</v>
      </c>
      <c r="I11" s="1243">
        <v>15.5</v>
      </c>
      <c r="J11" s="1243">
        <v>15.5</v>
      </c>
      <c r="K11" s="1243">
        <v>15.5</v>
      </c>
    </row>
    <row r="12">
      <c r="A12" s="1394" t="s">
        <v>1729</v>
      </c>
      <c r="B12" s="1248"/>
      <c r="C12" s="1248"/>
      <c r="D12" s="1248"/>
      <c r="E12" s="1248"/>
      <c r="F12" s="1243">
        <v>0.98</v>
      </c>
      <c r="G12" s="1262">
        <v>0.98</v>
      </c>
      <c r="H12" s="1243">
        <v>0.98</v>
      </c>
      <c r="I12" s="1243">
        <v>0.98</v>
      </c>
      <c r="J12" s="1243">
        <v>0.98</v>
      </c>
      <c r="K12" s="1243">
        <v>0.98</v>
      </c>
    </row>
    <row r="13">
      <c r="A13" s="1394" t="s">
        <v>1730</v>
      </c>
      <c r="B13" s="1248"/>
      <c r="C13" s="1248"/>
      <c r="D13" s="1248"/>
      <c r="E13" s="1248"/>
      <c r="F13" s="1243">
        <v>9.9</v>
      </c>
      <c r="G13" s="1262">
        <v>9.9</v>
      </c>
      <c r="H13" s="1243">
        <v>9.9</v>
      </c>
      <c r="I13" s="1243">
        <v>9.9</v>
      </c>
      <c r="J13" s="1243">
        <v>9.9</v>
      </c>
      <c r="K13" s="1243">
        <v>9.9</v>
      </c>
    </row>
    <row r="14">
      <c r="A14" s="1401" t="s">
        <v>1731</v>
      </c>
      <c r="B14" s="1278"/>
      <c r="C14" s="1278"/>
      <c r="D14" s="1278"/>
      <c r="E14" s="1278"/>
      <c r="F14" s="1278">
        <f>F8+F9+F10+F11+F12+F13</f>
        <v>132.16</v>
      </c>
      <c r="G14" s="1282">
        <f>G8+G9+G10+G11+G12+G13</f>
        <v>132.16</v>
      </c>
      <c r="H14" s="1278">
        <f>H8+H9+H10+H11+H12+H13</f>
        <v>132.16</v>
      </c>
      <c r="I14" s="1278">
        <f>I8+I9+I10+I11+I12+I13</f>
        <v>132.16</v>
      </c>
      <c r="J14" s="1278">
        <f>J8+J9+J10+J11+J12+J13</f>
        <v>132.16</v>
      </c>
      <c r="K14" s="1278">
        <f>K8+K9+K10+K11+K12+K13</f>
        <v>132.16</v>
      </c>
    </row>
    <row r="15">
      <c r="A15" s="1240"/>
      <c r="B15" s="1240"/>
      <c r="C15" s="1240"/>
      <c r="D15" s="1240"/>
      <c r="E15" s="1240"/>
      <c r="F15" s="1240"/>
      <c r="G15" s="1254"/>
      <c r="H15" s="1240"/>
      <c r="I15" s="1240"/>
      <c r="J15" s="1240"/>
      <c r="K15" s="1240"/>
    </row>
    <row r="16">
      <c r="A16" s="1240"/>
      <c r="B16" s="1240"/>
      <c r="C16" s="1240"/>
      <c r="D16" s="1240"/>
      <c r="E16" s="1240"/>
      <c r="F16" s="1240"/>
      <c r="G16" s="1254"/>
      <c r="H16" s="1240"/>
      <c r="I16" s="1240"/>
      <c r="J16" s="1240"/>
      <c r="K16" s="1240"/>
    </row>
    <row r="17">
      <c r="A17" s="1394" t="s">
        <v>1732</v>
      </c>
      <c r="G17" s="1254"/>
    </row>
    <row r="18">
      <c r="A18" s="1394" t="s">
        <v>1733</v>
      </c>
      <c r="B18" s="1386" t="s">
        <v>109</v>
      </c>
      <c r="C18" s="1386" t="s">
        <v>109</v>
      </c>
      <c r="D18" s="1272">
        <v>0.35</v>
      </c>
      <c r="E18" s="1272">
        <v>0.465</v>
      </c>
      <c r="F18" s="1272">
        <v>0.407</v>
      </c>
      <c r="G18" s="1413">
        <f>G20</f>
        <v>0.41</v>
      </c>
      <c r="H18" s="1386">
        <f>H20</f>
        <v>0.41</v>
      </c>
      <c r="I18" s="1386">
        <f>I20</f>
        <v>0.41</v>
      </c>
      <c r="J18" s="1386">
        <f>J20</f>
        <v>0.41</v>
      </c>
      <c r="K18" s="1386">
        <f>K20</f>
        <v>0.41</v>
      </c>
    </row>
    <row r="19">
      <c r="A19" s="1394" t="s">
        <v>121</v>
      </c>
      <c r="B19" s="1261"/>
      <c r="C19" s="1261"/>
      <c r="D19" s="1261"/>
      <c r="E19" s="1261"/>
      <c r="F19" s="1261"/>
      <c r="G19" s="1276">
        <v>0.35</v>
      </c>
      <c r="H19" s="1271">
        <v>0.35</v>
      </c>
      <c r="I19" s="1271">
        <v>0.35</v>
      </c>
      <c r="J19" s="1271">
        <v>0.35</v>
      </c>
      <c r="K19" s="1271">
        <v>0.35</v>
      </c>
    </row>
    <row r="20">
      <c r="A20" s="1394" t="s">
        <v>123</v>
      </c>
      <c r="B20" s="1261"/>
      <c r="C20" s="1261"/>
      <c r="D20" s="1261"/>
      <c r="E20" s="1261"/>
      <c r="F20" s="1261"/>
      <c r="G20" s="1276">
        <v>0.41</v>
      </c>
      <c r="H20" s="1271">
        <v>0.41</v>
      </c>
      <c r="I20" s="1271">
        <v>0.41</v>
      </c>
      <c r="J20" s="1271">
        <v>0.41</v>
      </c>
      <c r="K20" s="1271">
        <v>0.41</v>
      </c>
    </row>
    <row r="21">
      <c r="A21" s="1394" t="s">
        <v>124</v>
      </c>
      <c r="B21" s="1261"/>
      <c r="C21" s="1261"/>
      <c r="D21" s="1261"/>
      <c r="E21" s="1261"/>
      <c r="F21" s="1261"/>
      <c r="G21" s="1276">
        <v>0.46</v>
      </c>
      <c r="H21" s="1271">
        <v>0.46</v>
      </c>
      <c r="I21" s="1271">
        <v>0.46</v>
      </c>
      <c r="J21" s="1271">
        <v>0.46</v>
      </c>
      <c r="K21" s="1271">
        <v>0.46</v>
      </c>
    </row>
    <row r="22">
      <c r="A22" s="1394" t="s">
        <v>1734</v>
      </c>
      <c r="B22" s="1238"/>
      <c r="C22" s="1238"/>
      <c r="D22" s="1238"/>
      <c r="E22" s="1238"/>
      <c r="F22" s="1238"/>
      <c r="G22" s="1268">
        <v>8760</v>
      </c>
      <c r="H22" s="1416">
        <v>8760</v>
      </c>
      <c r="I22" s="1416">
        <v>8760</v>
      </c>
      <c r="J22" s="1416">
        <v>8760</v>
      </c>
      <c r="K22" s="1416">
        <v>8760</v>
      </c>
    </row>
    <row r="23">
      <c r="A23" s="1394" t="s">
        <v>1735</v>
      </c>
      <c r="B23" s="1381" t="s">
        <v>109</v>
      </c>
      <c r="C23" s="1381" t="s">
        <v>109</v>
      </c>
      <c r="D23" s="1381" t="s">
        <v>109</v>
      </c>
      <c r="E23" s="1381" t="s">
        <v>109</v>
      </c>
      <c r="F23" s="1381" t="s">
        <v>109</v>
      </c>
      <c r="G23" s="1395">
        <f>G8*G22*G18</f>
        <v>262833.288</v>
      </c>
      <c r="H23" s="1381">
        <f>H8*H22*H18</f>
        <v>262833.288</v>
      </c>
      <c r="I23" s="1381">
        <f>I8*I22*I18</f>
        <v>262833.288</v>
      </c>
      <c r="J23" s="1381">
        <f>J8*J22*J18</f>
        <v>262833.288</v>
      </c>
      <c r="K23" s="1381">
        <f>K8*K22*K18</f>
        <v>262833.288</v>
      </c>
    </row>
    <row r="24">
      <c r="A24" s="1394" t="s">
        <v>1736</v>
      </c>
      <c r="B24" s="1381" t="s">
        <v>109</v>
      </c>
      <c r="C24" s="1381" t="s">
        <v>109</v>
      </c>
      <c r="D24" s="1381" t="s">
        <v>109</v>
      </c>
      <c r="E24" s="1381" t="s">
        <v>109</v>
      </c>
      <c r="F24" s="1381" t="s">
        <v>109</v>
      </c>
      <c r="G24" s="1395">
        <f>G9*G22*G18</f>
        <v>72191.15999999999</v>
      </c>
      <c r="H24" s="1381">
        <f>H9*H22*H18</f>
        <v>72191.15999999999</v>
      </c>
      <c r="I24" s="1381">
        <f>I9*I22*I18</f>
        <v>72191.15999999999</v>
      </c>
      <c r="J24" s="1381">
        <f>J9*J22*J18</f>
        <v>72191.15999999999</v>
      </c>
      <c r="K24" s="1381">
        <f>K9*K22*K18</f>
        <v>72191.15999999999</v>
      </c>
    </row>
    <row r="25">
      <c r="A25" s="1394" t="s">
        <v>1737</v>
      </c>
      <c r="B25" s="1381" t="s">
        <v>109</v>
      </c>
      <c r="C25" s="1381" t="s">
        <v>109</v>
      </c>
      <c r="D25" s="1381" t="s">
        <v>109</v>
      </c>
      <c r="E25" s="1381" t="s">
        <v>109</v>
      </c>
      <c r="F25" s="1381" t="s">
        <v>109</v>
      </c>
      <c r="G25" s="1395">
        <f>G10*G22*G18</f>
        <v>44895</v>
      </c>
      <c r="H25" s="1381">
        <f>H10*H22*H18</f>
        <v>44895</v>
      </c>
      <c r="I25" s="1381">
        <f>I10*I22*I18</f>
        <v>44895</v>
      </c>
      <c r="J25" s="1381">
        <f>J10*J22*J18</f>
        <v>44895</v>
      </c>
      <c r="K25" s="1381">
        <f>K10*K22*K18</f>
        <v>44895</v>
      </c>
    </row>
    <row r="26">
      <c r="A26" s="1394" t="s">
        <v>1738</v>
      </c>
      <c r="B26" s="1381" t="s">
        <v>109</v>
      </c>
      <c r="C26" s="1381" t="s">
        <v>109</v>
      </c>
      <c r="D26" s="1381" t="s">
        <v>109</v>
      </c>
      <c r="E26" s="1381" t="s">
        <v>109</v>
      </c>
      <c r="F26" s="1381" t="s">
        <v>109</v>
      </c>
      <c r="G26" s="1395">
        <f>G11*G22*G18</f>
        <v>55669.799999999996</v>
      </c>
      <c r="H26" s="1381">
        <f>H11*H22*H18</f>
        <v>55669.799999999996</v>
      </c>
      <c r="I26" s="1381">
        <f>I11*I22*I18</f>
        <v>55669.799999999996</v>
      </c>
      <c r="J26" s="1381">
        <f>J11*J22*J18</f>
        <v>55669.799999999996</v>
      </c>
      <c r="K26" s="1381">
        <f>K11*K22*K18</f>
        <v>55669.799999999996</v>
      </c>
    </row>
    <row r="27">
      <c r="A27" s="1394" t="s">
        <v>1739</v>
      </c>
      <c r="B27" s="1381" t="s">
        <v>109</v>
      </c>
      <c r="C27" s="1381" t="s">
        <v>109</v>
      </c>
      <c r="D27" s="1381" t="s">
        <v>109</v>
      </c>
      <c r="E27" s="1381" t="s">
        <v>109</v>
      </c>
      <c r="F27" s="1381" t="s">
        <v>109</v>
      </c>
      <c r="G27" s="1395">
        <f>G12*G22*G18</f>
        <v>3519.7679999999996</v>
      </c>
      <c r="H27" s="1381">
        <f>H12*H22*H18</f>
        <v>3519.7679999999996</v>
      </c>
      <c r="I27" s="1381">
        <f>I12*I22*I18</f>
        <v>3519.7679999999996</v>
      </c>
      <c r="J27" s="1381">
        <f>J12*J22*J18</f>
        <v>3519.7679999999996</v>
      </c>
      <c r="K27" s="1381">
        <f>K12*K22*K18</f>
        <v>3519.7679999999996</v>
      </c>
    </row>
    <row r="28">
      <c r="A28" s="1394" t="s">
        <v>1740</v>
      </c>
      <c r="B28" s="1381" t="s">
        <v>109</v>
      </c>
      <c r="C28" s="1381" t="s">
        <v>109</v>
      </c>
      <c r="D28" s="1381" t="s">
        <v>109</v>
      </c>
      <c r="E28" s="1381" t="s">
        <v>109</v>
      </c>
      <c r="F28" s="1381" t="s">
        <v>109</v>
      </c>
      <c r="G28" s="1395">
        <f>G13*G22*G18</f>
        <v>35556.84</v>
      </c>
      <c r="H28" s="1381">
        <f>H13*H22*H18</f>
        <v>35556.84</v>
      </c>
      <c r="I28" s="1381">
        <f>I13*I22*I18</f>
        <v>35556.84</v>
      </c>
      <c r="J28" s="1381">
        <f>J13*J22*J18</f>
        <v>35556.84</v>
      </c>
      <c r="K28" s="1381">
        <f>K13*K22*K18</f>
        <v>35556.84</v>
      </c>
    </row>
    <row r="29">
      <c r="A29" s="1394" t="s">
        <v>1741</v>
      </c>
      <c r="B29" s="1381" t="s">
        <v>109</v>
      </c>
      <c r="C29" s="1381" t="s">
        <v>109</v>
      </c>
      <c r="D29" s="1409">
        <v>374482</v>
      </c>
      <c r="E29" s="1409">
        <v>497784</v>
      </c>
      <c r="F29" s="1409">
        <v>470665</v>
      </c>
      <c r="G29" s="1395" t="s">
        <v>109</v>
      </c>
      <c r="H29" s="1381" t="s">
        <v>109</v>
      </c>
      <c r="I29" s="1381" t="s">
        <v>109</v>
      </c>
      <c r="J29" s="1381" t="s">
        <v>109</v>
      </c>
      <c r="K29" s="1381" t="s">
        <v>109</v>
      </c>
    </row>
    <row r="30">
      <c r="A30" s="1401" t="s">
        <v>1742</v>
      </c>
      <c r="B30" s="1398" t="s">
        <v>109</v>
      </c>
      <c r="C30" s="1398" t="s">
        <v>109</v>
      </c>
      <c r="D30" s="1338">
        <v>374482</v>
      </c>
      <c r="E30" s="1338">
        <v>497784</v>
      </c>
      <c r="F30" s="1338">
        <v>470665</v>
      </c>
      <c r="G30" s="1400">
        <f>G23+G24+G25+G26+G27+G28</f>
        <v>474665.8559999999</v>
      </c>
      <c r="H30" s="1398">
        <f>H23+H24+H25+H26+H27+H28</f>
        <v>474665.8559999999</v>
      </c>
      <c r="I30" s="1398">
        <f>I23+I24+I25+I26+I27+I28</f>
        <v>474665.8559999999</v>
      </c>
      <c r="J30" s="1398">
        <f>J23+J24+J25+J26+J27+J28</f>
        <v>474665.8559999999</v>
      </c>
      <c r="K30" s="1398">
        <f>K23+K24+K25+K26+K27+K28</f>
        <v>474665.8559999999</v>
      </c>
    </row>
    <row r="31">
      <c r="A31" s="1240"/>
      <c r="B31" s="1240"/>
      <c r="C31" s="1240"/>
      <c r="D31" s="1240"/>
      <c r="E31" s="1240"/>
      <c r="F31" s="1240"/>
      <c r="G31" s="1254"/>
      <c r="H31" s="1240"/>
      <c r="I31" s="1240"/>
      <c r="J31" s="1240"/>
      <c r="K31" s="1240"/>
    </row>
    <row r="32">
      <c r="A32" s="1384" t="s">
        <v>1743</v>
      </c>
      <c r="B32" s="1251"/>
      <c r="C32" s="1251"/>
      <c r="D32" s="1251"/>
      <c r="E32" s="1251"/>
      <c r="F32" s="1251"/>
      <c r="G32" s="1259"/>
      <c r="H32" s="1265"/>
      <c r="I32" s="1265"/>
      <c r="J32" s="1265"/>
      <c r="K32" s="1265"/>
    </row>
    <row r="33">
      <c r="A33" s="1394" t="s">
        <v>1744</v>
      </c>
      <c r="G33" s="1254"/>
    </row>
    <row r="34">
      <c r="A34" s="1394" t="s">
        <v>1745</v>
      </c>
      <c r="G34" s="1254"/>
    </row>
    <row r="35">
      <c r="A35" s="1394" t="s">
        <v>1746</v>
      </c>
      <c r="B35" s="1243">
        <v>20.089</v>
      </c>
      <c r="C35" s="1243">
        <v>20.089</v>
      </c>
      <c r="D35" s="1243">
        <v>20.089</v>
      </c>
      <c r="E35" s="1243">
        <v>20.089</v>
      </c>
      <c r="F35" s="1243">
        <v>20.089</v>
      </c>
      <c r="G35" s="1262">
        <v>20.089</v>
      </c>
      <c r="H35" s="1243">
        <v>20.089</v>
      </c>
      <c r="I35" s="1243">
        <v>20.089</v>
      </c>
      <c r="J35" s="1243">
        <v>20.089</v>
      </c>
      <c r="K35" s="1243">
        <v>20.089</v>
      </c>
    </row>
    <row r="36">
      <c r="A36" s="1394" t="s">
        <v>1747</v>
      </c>
      <c r="B36" s="1408">
        <v>74.031</v>
      </c>
      <c r="C36" s="1408">
        <v>94.227</v>
      </c>
      <c r="D36" s="1408">
        <v>63.029</v>
      </c>
      <c r="E36" s="1408">
        <v>80.932</v>
      </c>
      <c r="F36" s="1408">
        <v>74.984</v>
      </c>
      <c r="G36" s="1403" t="s">
        <v>109</v>
      </c>
      <c r="H36" s="1387" t="s">
        <v>109</v>
      </c>
      <c r="I36" s="1387" t="s">
        <v>109</v>
      </c>
      <c r="J36" s="1387" t="s">
        <v>109</v>
      </c>
      <c r="K36" s="1387" t="s">
        <v>109</v>
      </c>
    </row>
    <row r="37">
      <c r="A37" s="1394" t="s">
        <v>1748</v>
      </c>
      <c r="B37" s="1387">
        <f>IF(AND(ISNUMBER(B36),ISNUMBER(B35)),B36/(B35*8.76),"")</f>
        <v>0.4206793467698878</v>
      </c>
      <c r="C37" s="1387">
        <f>IF(AND(ISNUMBER(C36),ISNUMBER(C35)),C36/(C35*8.76),"")</f>
        <v>0.5354426227943188</v>
      </c>
      <c r="D37" s="1387">
        <f>IF(AND(ISNUMBER(D36),ISNUMBER(D35)),D36/(D35*8.76),"")</f>
        <v>0.3581607508686801</v>
      </c>
      <c r="E37" s="1387">
        <f>IF(AND(ISNUMBER(E36),ISNUMBER(E35)),E36/(E35*8.76),"")</f>
        <v>0.45989411047778034</v>
      </c>
      <c r="F37" s="1387">
        <f>IF(AND(ISNUMBER(F36),ISNUMBER(F35)),F36/(F35*8.76),"")</f>
        <v>0.42609474596038494</v>
      </c>
      <c r="G37" s="1403" t="str">
        <f>IF(AND(ISNUMBER(G36),ISNUMBER(G35)),G36/(G35*8.76),"")</f>
        <v/>
      </c>
      <c r="H37" s="1387" t="str">
        <f>IF(AND(ISNUMBER(H36),ISNUMBER(H35)),H36/(H35*8.76),"")</f>
        <v/>
      </c>
      <c r="I37" s="1387" t="str">
        <f>IF(AND(ISNUMBER(I36),ISNUMBER(I35)),I36/(I35*8.76),"")</f>
        <v/>
      </c>
      <c r="J37" s="1387" t="str">
        <f>IF(AND(ISNUMBER(J36),ISNUMBER(J35)),J36/(J35*8.76),"")</f>
        <v/>
      </c>
      <c r="K37" s="1387" t="str">
        <f>IF(AND(ISNUMBER(K36),ISNUMBER(K35)),K36/(K35*8.76),"")</f>
        <v/>
      </c>
    </row>
    <row r="38">
      <c r="A38" s="1394" t="s">
        <v>1749</v>
      </c>
      <c r="G38" s="1254"/>
    </row>
    <row r="39">
      <c r="A39" s="1394" t="s">
        <v>1750</v>
      </c>
      <c r="B39" s="1243">
        <v>12.52</v>
      </c>
      <c r="C39" s="1243">
        <v>12.52</v>
      </c>
      <c r="D39" s="1243">
        <v>12.52</v>
      </c>
      <c r="E39" s="1243">
        <v>12.52</v>
      </c>
      <c r="F39" s="1243">
        <v>12.52</v>
      </c>
      <c r="G39" s="1262">
        <v>12.52</v>
      </c>
      <c r="H39" s="1243">
        <v>12.52</v>
      </c>
      <c r="I39" s="1243">
        <v>12.52</v>
      </c>
      <c r="J39" s="1243">
        <v>12.52</v>
      </c>
      <c r="K39" s="1243">
        <v>12.52</v>
      </c>
    </row>
    <row r="40">
      <c r="A40" s="1394" t="s">
        <v>1751</v>
      </c>
      <c r="B40" s="1408">
        <v>47.312</v>
      </c>
      <c r="C40" s="1408">
        <v>59.896</v>
      </c>
      <c r="D40" s="1408">
        <v>39.863</v>
      </c>
      <c r="E40" s="1408">
        <v>51.05</v>
      </c>
      <c r="F40" s="1408">
        <v>48.083</v>
      </c>
      <c r="G40" s="1403" t="s">
        <v>109</v>
      </c>
      <c r="H40" s="1387" t="s">
        <v>109</v>
      </c>
      <c r="I40" s="1387" t="s">
        <v>109</v>
      </c>
      <c r="J40" s="1387" t="s">
        <v>109</v>
      </c>
      <c r="K40" s="1387" t="s">
        <v>109</v>
      </c>
    </row>
    <row r="41">
      <c r="A41" s="1394" t="s">
        <v>1752</v>
      </c>
      <c r="B41" s="1387">
        <f>IF(AND(ISNUMBER(B40),ISNUMBER(B39)),B40/(B39*8.76),"")</f>
        <v>0.43138284680584127</v>
      </c>
      <c r="C41" s="1387">
        <f>IF(AND(ISNUMBER(C40),ISNUMBER(C39)),C40/(C39*8.76),"")</f>
        <v>0.5461216391672867</v>
      </c>
      <c r="D41" s="1387">
        <f>IF(AND(ISNUMBER(D40),ISNUMBER(D39)),D40/(D39*8.76),"")</f>
        <v>0.36346411950924185</v>
      </c>
      <c r="E41" s="1387">
        <f>IF(AND(ISNUMBER(E40),ISNUMBER(E39)),E40/(E39*8.76),"")</f>
        <v>0.4654653011802121</v>
      </c>
      <c r="F41" s="1387">
        <f>IF(AND(ISNUMBER(F40),ISNUMBER(F39)),F40/(F39*8.76),"")</f>
        <v>0.4384126949392388</v>
      </c>
      <c r="G41" s="1403" t="str">
        <f>IF(AND(ISNUMBER(G40),ISNUMBER(G39)),G40/(G39*8.76),"")</f>
        <v/>
      </c>
      <c r="H41" s="1387" t="str">
        <f>IF(AND(ISNUMBER(H40),ISNUMBER(H39)),H40/(H39*8.76),"")</f>
        <v/>
      </c>
      <c r="I41" s="1387" t="str">
        <f>IF(AND(ISNUMBER(I40),ISNUMBER(I39)),I40/(I39*8.76),"")</f>
        <v/>
      </c>
      <c r="J41" s="1387" t="str">
        <f>IF(AND(ISNUMBER(J40),ISNUMBER(J39)),J40/(J39*8.76),"")</f>
        <v/>
      </c>
      <c r="K41" s="1387" t="str">
        <f>IF(AND(ISNUMBER(K40),ISNUMBER(K39)),K40/(K39*8.76),"")</f>
        <v/>
      </c>
    </row>
    <row r="42">
      <c r="A42" s="1394" t="s">
        <v>1753</v>
      </c>
      <c r="B42" s="1243">
        <v>15.5</v>
      </c>
      <c r="C42" s="1243">
        <v>15.5</v>
      </c>
      <c r="D42" s="1243">
        <v>15.5</v>
      </c>
      <c r="E42" s="1243">
        <v>15.5</v>
      </c>
      <c r="F42" s="1243">
        <v>15.5</v>
      </c>
      <c r="G42" s="1262">
        <v>15.5</v>
      </c>
      <c r="H42" s="1243">
        <v>15.5</v>
      </c>
      <c r="I42" s="1243">
        <v>15.5</v>
      </c>
      <c r="J42" s="1243">
        <v>15.5</v>
      </c>
      <c r="K42" s="1243">
        <v>15.5</v>
      </c>
    </row>
    <row r="43">
      <c r="A43" s="1394" t="s">
        <v>1754</v>
      </c>
      <c r="B43" s="1408">
        <v>54.274</v>
      </c>
      <c r="C43" s="1408">
        <v>78.092</v>
      </c>
      <c r="D43" s="1408">
        <v>54.207</v>
      </c>
      <c r="E43" s="1408">
        <v>69.298</v>
      </c>
      <c r="F43" s="1408">
        <v>64.129</v>
      </c>
      <c r="G43" s="1403" t="s">
        <v>109</v>
      </c>
      <c r="H43" s="1387" t="s">
        <v>109</v>
      </c>
      <c r="I43" s="1387" t="s">
        <v>109</v>
      </c>
      <c r="J43" s="1387" t="s">
        <v>109</v>
      </c>
      <c r="K43" s="1387" t="s">
        <v>109</v>
      </c>
    </row>
    <row r="44">
      <c r="A44" s="1394" t="s">
        <v>1755</v>
      </c>
      <c r="B44" s="1387">
        <f>IF(AND(ISNUMBER(B43),ISNUMBER(B42)),B43/(B42*8.76),"")</f>
        <v>0.3997201355133304</v>
      </c>
      <c r="C44" s="1387">
        <f>IF(AND(ISNUMBER(C43),ISNUMBER(C42)),C43/(C42*8.76),"")</f>
        <v>0.5751362498158786</v>
      </c>
      <c r="D44" s="1387">
        <f>IF(AND(ISNUMBER(D43),ISNUMBER(D42)),D43/(D42*8.76),"")</f>
        <v>0.3992266902342024</v>
      </c>
      <c r="E44" s="1387">
        <f>IF(AND(ISNUMBER(E43),ISNUMBER(E42)),E43/(E42*8.76),"")</f>
        <v>0.5103697157166004</v>
      </c>
      <c r="F44" s="1387">
        <f>IF(AND(ISNUMBER(F43),ISNUMBER(F42)),F43/(F42*8.76),"")</f>
        <v>0.4723007806746207</v>
      </c>
      <c r="G44" s="1403" t="str">
        <f>IF(AND(ISNUMBER(G43),ISNUMBER(G42)),G43/(G42*8.76),"")</f>
        <v/>
      </c>
      <c r="H44" s="1387" t="str">
        <f>IF(AND(ISNUMBER(H43),ISNUMBER(H42)),H43/(H42*8.76),"")</f>
        <v/>
      </c>
      <c r="I44" s="1387" t="str">
        <f>IF(AND(ISNUMBER(I43),ISNUMBER(I42)),I43/(I42*8.76),"")</f>
        <v/>
      </c>
      <c r="J44" s="1387" t="str">
        <f>IF(AND(ISNUMBER(J43),ISNUMBER(J42)),J43/(J42*8.76),"")</f>
        <v/>
      </c>
      <c r="K44" s="1387" t="str">
        <f>IF(AND(ISNUMBER(K43),ISNUMBER(K42)),K43/(K42*8.76),"")</f>
        <v/>
      </c>
    </row>
    <row r="45">
      <c r="A45" s="1394" t="s">
        <v>1756</v>
      </c>
      <c r="B45" s="1243">
        <v>72.2</v>
      </c>
      <c r="C45" s="1243">
        <v>72.2</v>
      </c>
      <c r="D45" s="1243">
        <v>72.2</v>
      </c>
      <c r="E45" s="1243">
        <v>73.18</v>
      </c>
      <c r="F45" s="1243">
        <v>73.18</v>
      </c>
      <c r="G45" s="1262">
        <v>73.18</v>
      </c>
      <c r="H45" s="1243">
        <v>73.18</v>
      </c>
      <c r="I45" s="1243">
        <v>73.18</v>
      </c>
      <c r="J45" s="1243">
        <v>73.18</v>
      </c>
      <c r="K45" s="1243">
        <v>73.18</v>
      </c>
    </row>
    <row r="46">
      <c r="A46" s="1394" t="s">
        <v>1757</v>
      </c>
      <c r="B46" s="1408">
        <v>256.762</v>
      </c>
      <c r="C46" s="1408">
        <v>326.563</v>
      </c>
      <c r="D46" s="1408">
        <v>221.333</v>
      </c>
      <c r="E46" s="1408">
        <v>286.349</v>
      </c>
      <c r="F46" s="1408">
        <v>272.331</v>
      </c>
      <c r="G46" s="1403" t="s">
        <v>109</v>
      </c>
      <c r="H46" s="1387" t="s">
        <v>109</v>
      </c>
      <c r="I46" s="1387" t="s">
        <v>109</v>
      </c>
      <c r="J46" s="1387" t="s">
        <v>109</v>
      </c>
      <c r="K46" s="1387" t="s">
        <v>109</v>
      </c>
    </row>
    <row r="47">
      <c r="A47" s="1394" t="s">
        <v>1758</v>
      </c>
      <c r="B47" s="1387">
        <f>IF(AND(ISNUMBER(B46),ISNUMBER(B45)),B46/(B45*8.76),"")</f>
        <v>0.40596579769539204</v>
      </c>
      <c r="C47" s="1387">
        <f>IF(AND(ISNUMBER(C46),ISNUMBER(C45)),C46/(C45*8.76),"")</f>
        <v>0.516327995547629</v>
      </c>
      <c r="D47" s="1387">
        <f>IF(AND(ISNUMBER(D46),ISNUMBER(D45)),D46/(D45*8.76),"")</f>
        <v>0.34994908865530805</v>
      </c>
      <c r="E47" s="1387">
        <f>IF(AND(ISNUMBER(E46),ISNUMBER(E45)),E46/(E45*8.76),"")</f>
        <v>0.4466827276459745</v>
      </c>
      <c r="F47" s="1387">
        <f>IF(AND(ISNUMBER(F46),ISNUMBER(F45)),F46/(F45*8.76),"")</f>
        <v>0.4248157105579412</v>
      </c>
      <c r="G47" s="1403" t="str">
        <f>IF(AND(ISNUMBER(G46),ISNUMBER(G45)),G46/(G45*8.76),"")</f>
        <v/>
      </c>
      <c r="H47" s="1387" t="str">
        <f>IF(AND(ISNUMBER(H46),ISNUMBER(H45)),H46/(H45*8.76),"")</f>
        <v/>
      </c>
      <c r="I47" s="1387" t="str">
        <f>IF(AND(ISNUMBER(I46),ISNUMBER(I45)),I46/(I45*8.76),"")</f>
        <v/>
      </c>
      <c r="J47" s="1387" t="str">
        <f>IF(AND(ISNUMBER(J46),ISNUMBER(J45)),J46/(J45*8.76),"")</f>
        <v/>
      </c>
      <c r="K47" s="1387" t="str">
        <f>IF(AND(ISNUMBER(K46),ISNUMBER(K45)),K46/(K45*8.76),"")</f>
        <v/>
      </c>
    </row>
    <row r="48">
      <c r="A48" s="1394" t="s">
        <v>1759</v>
      </c>
      <c r="G48" s="1254"/>
    </row>
    <row r="49">
      <c r="A49" s="1394" t="s">
        <v>1760</v>
      </c>
      <c r="B49" s="1243">
        <v>9.9</v>
      </c>
      <c r="C49" s="1243">
        <v>9.9</v>
      </c>
      <c r="D49" s="1243">
        <v>9.9</v>
      </c>
      <c r="E49" s="1243">
        <v>9.9</v>
      </c>
      <c r="F49" s="1243">
        <v>9.9</v>
      </c>
      <c r="G49" s="1262">
        <v>9.9</v>
      </c>
      <c r="H49" s="1243">
        <v>9.9</v>
      </c>
      <c r="I49" s="1243">
        <v>9.9</v>
      </c>
      <c r="J49" s="1243">
        <v>9.9</v>
      </c>
      <c r="K49" s="1243">
        <v>9.9</v>
      </c>
    </row>
    <row r="50">
      <c r="A50" s="1394" t="s">
        <v>1761</v>
      </c>
      <c r="B50" s="1387" t="s">
        <v>109</v>
      </c>
      <c r="C50" s="1387" t="s">
        <v>109</v>
      </c>
      <c r="D50" s="1408">
        <v>2.612</v>
      </c>
      <c r="E50" s="1408">
        <v>17.743</v>
      </c>
      <c r="F50" s="1408">
        <v>17.114</v>
      </c>
      <c r="G50" s="1403" t="s">
        <v>109</v>
      </c>
      <c r="H50" s="1387" t="s">
        <v>109</v>
      </c>
      <c r="I50" s="1387" t="s">
        <v>109</v>
      </c>
      <c r="J50" s="1387" t="s">
        <v>109</v>
      </c>
      <c r="K50" s="1387" t="s">
        <v>109</v>
      </c>
    </row>
    <row r="51">
      <c r="A51" s="1394" t="s">
        <v>1762</v>
      </c>
      <c r="B51" s="1387" t="str">
        <f>IF(AND(ISNUMBER(B50),ISNUMBER(B49)),B50/(B49*8.76),"")</f>
        <v/>
      </c>
      <c r="C51" s="1387" t="str">
        <f>IF(AND(ISNUMBER(C50),ISNUMBER(C49)),C50/(C49*8.76),"")</f>
        <v/>
      </c>
      <c r="D51" s="1387">
        <f>IF(AND(ISNUMBER(D50),ISNUMBER(D49)),D50/(D49*8.76),"")</f>
        <v>0.030118536967852036</v>
      </c>
      <c r="E51" s="1387">
        <f>IF(AND(ISNUMBER(E50),ISNUMBER(E49)),E50/(E49*8.76),"")</f>
        <v>0.2045915778792491</v>
      </c>
      <c r="F51" s="1387">
        <f>IF(AND(ISNUMBER(F50),ISNUMBER(F49)),F50/(F49*8.76),"")</f>
        <v>0.1973386836400535</v>
      </c>
      <c r="G51" s="1403" t="str">
        <f>IF(AND(ISNUMBER(G50),ISNUMBER(G49)),G50/(G49*8.76),"")</f>
        <v/>
      </c>
      <c r="H51" s="1387" t="str">
        <f>IF(AND(ISNUMBER(H50),ISNUMBER(H49)),H50/(H49*8.76),"")</f>
        <v/>
      </c>
      <c r="I51" s="1387" t="str">
        <f>IF(AND(ISNUMBER(I50),ISNUMBER(I49)),I50/(I49*8.76),"")</f>
        <v/>
      </c>
      <c r="J51" s="1387" t="str">
        <f>IF(AND(ISNUMBER(J50),ISNUMBER(J49)),J50/(J49*8.76),"")</f>
        <v/>
      </c>
      <c r="K51" s="1387" t="str">
        <f>IF(AND(ISNUMBER(K50),ISNUMBER(K49)),K50/(K49*8.76),"")</f>
        <v/>
      </c>
    </row>
    <row r="52">
      <c r="A52" s="1394" t="s">
        <v>1763</v>
      </c>
      <c r="B52" s="1387" t="s">
        <v>109</v>
      </c>
      <c r="C52" s="1387" t="s">
        <v>109</v>
      </c>
      <c r="D52" s="1387" t="s">
        <v>109</v>
      </c>
      <c r="E52" s="1387" t="s">
        <v>109</v>
      </c>
      <c r="F52" s="1387">
        <f>IF(AND(ISNUMBER(F50),ISNUMBER(F49)),F50/(F49*8.76*8/12),"")</f>
        <v>0.29600802546008026</v>
      </c>
      <c r="G52" s="1403" t="s">
        <v>109</v>
      </c>
      <c r="H52" s="1387" t="s">
        <v>109</v>
      </c>
      <c r="I52" s="1387" t="s">
        <v>109</v>
      </c>
      <c r="J52" s="1387" t="s">
        <v>109</v>
      </c>
      <c r="K52" s="1387" t="s">
        <v>109</v>
      </c>
    </row>
    <row r="53">
      <c r="A53" s="1394" t="s">
        <v>1764</v>
      </c>
      <c r="G53" s="1254"/>
    </row>
    <row r="54">
      <c r="A54" s="1401" t="s">
        <v>1765</v>
      </c>
      <c r="B54" s="1257">
        <f>SUM(B36,B40,B43,B46,B50)</f>
        <v>432.379</v>
      </c>
      <c r="C54" s="1257">
        <f>SUM(C36,C40,C43,C46,C50)</f>
        <v>558.778</v>
      </c>
      <c r="D54" s="1257">
        <f>SUM(D36,D40,D43,D46,D50)</f>
        <v>381.04400000000004</v>
      </c>
      <c r="E54" s="1257">
        <f>SUM(E36,E40,E43,E46,E50)</f>
        <v>505.37199999999996</v>
      </c>
      <c r="F54" s="1257">
        <f>SUM(F36,F40,F43,F46,F50)</f>
        <v>476.641</v>
      </c>
      <c r="G54" s="1280">
        <f>SUM(G36,G40,G43,G46,G50)</f>
        <v>0</v>
      </c>
      <c r="H54" s="1257">
        <f>SUM(H36,H40,H43,H46,H50)</f>
        <v>0</v>
      </c>
      <c r="I54" s="1257">
        <f>SUM(I36,I40,I43,I46,I50)</f>
        <v>0</v>
      </c>
      <c r="J54" s="1257">
        <f>SUM(J36,J40,J43,J46,J50)</f>
        <v>0</v>
      </c>
      <c r="K54" s="1257">
        <f>SUM(K36,K40,K43,K46,K50)</f>
        <v>0</v>
      </c>
    </row>
    <row r="55">
      <c r="A55" s="1394" t="s">
        <v>1766</v>
      </c>
      <c r="G55" s="1254"/>
    </row>
    <row r="56">
      <c r="A56" s="1240"/>
      <c r="B56" s="1240"/>
      <c r="C56" s="1240"/>
      <c r="D56" s="1240"/>
      <c r="E56" s="1240"/>
      <c r="F56" s="1240"/>
      <c r="G56" s="1254"/>
      <c r="H56" s="1240"/>
      <c r="I56" s="1240"/>
      <c r="J56" s="1240"/>
      <c r="K56" s="1240"/>
    </row>
    <row r="57">
      <c r="A57" s="1384" t="s">
        <v>1767</v>
      </c>
      <c r="B57" s="1251"/>
      <c r="C57" s="1251"/>
      <c r="D57" s="1251"/>
      <c r="E57" s="1251"/>
      <c r="F57" s="1251"/>
      <c r="G57" s="1259"/>
      <c r="H57" s="1265"/>
      <c r="I57" s="1265"/>
      <c r="J57" s="1265"/>
      <c r="K57" s="1265"/>
    </row>
    <row r="58">
      <c r="A58" s="1394" t="s">
        <v>1768</v>
      </c>
      <c r="G58" s="1254"/>
    </row>
    <row r="59">
      <c r="A59" s="1394" t="s">
        <v>1769</v>
      </c>
      <c r="G59" s="1254"/>
    </row>
    <row r="60">
      <c r="A60" s="1394" t="s">
        <v>1770</v>
      </c>
      <c r="G60" s="1254"/>
    </row>
    <row r="61">
      <c r="A61" s="1394" t="s">
        <v>1771</v>
      </c>
      <c r="G61" s="1254"/>
    </row>
    <row r="62">
      <c r="A62" s="1394" t="s">
        <v>1772</v>
      </c>
      <c r="G62" s="1254"/>
    </row>
    <row r="63">
      <c r="A63" s="1394" t="s">
        <v>1773</v>
      </c>
      <c r="G63" s="1254"/>
    </row>
    <row r="64">
      <c r="A64" s="1394" t="s">
        <v>1774</v>
      </c>
      <c r="B64" s="1408">
        <v>17.048</v>
      </c>
      <c r="C64" s="1408">
        <v>17.048</v>
      </c>
      <c r="D64" s="1408">
        <v>17.048</v>
      </c>
      <c r="E64" s="1408">
        <v>17.048</v>
      </c>
      <c r="F64" s="1408">
        <v>17.048</v>
      </c>
      <c r="G64" s="1270"/>
      <c r="H64" s="1245"/>
      <c r="I64" s="1245"/>
      <c r="J64" s="1245"/>
      <c r="K64" s="1245"/>
    </row>
    <row r="65">
      <c r="A65" s="1394" t="s">
        <v>1775</v>
      </c>
      <c r="B65" s="1243">
        <v>31.62</v>
      </c>
      <c r="C65" s="1243">
        <v>31.62</v>
      </c>
      <c r="D65" s="1243">
        <v>31.62</v>
      </c>
      <c r="E65" s="1243">
        <v>31.62</v>
      </c>
      <c r="F65" s="1243">
        <v>31.62</v>
      </c>
      <c r="G65" s="1264"/>
      <c r="H65" s="1248"/>
      <c r="I65" s="1248"/>
      <c r="J65" s="1248"/>
      <c r="K65" s="1248"/>
    </row>
    <row r="66">
      <c r="A66" s="1394" t="s">
        <v>1776</v>
      </c>
      <c r="B66" s="1239">
        <v>0.0306</v>
      </c>
      <c r="C66" s="1239">
        <v>0.0306</v>
      </c>
      <c r="D66" s="1239">
        <v>0.0306</v>
      </c>
      <c r="E66" s="1239">
        <v>0.0306</v>
      </c>
      <c r="F66" s="1239">
        <v>0.0306</v>
      </c>
      <c r="G66" s="1281"/>
      <c r="H66" s="1246"/>
      <c r="I66" s="1246"/>
      <c r="J66" s="1246"/>
      <c r="K66" s="1246"/>
    </row>
    <row r="67">
      <c r="A67" s="1394" t="s">
        <v>1777</v>
      </c>
      <c r="G67" s="1254"/>
    </row>
    <row r="68">
      <c r="A68" s="1394" t="s">
        <v>1778</v>
      </c>
      <c r="B68" s="1408">
        <v>5.093</v>
      </c>
      <c r="C68" s="1408">
        <v>5.093</v>
      </c>
      <c r="D68" s="1408">
        <v>5.093</v>
      </c>
      <c r="E68" s="1408">
        <v>5.093</v>
      </c>
      <c r="F68" s="1408">
        <v>5.093</v>
      </c>
      <c r="G68" s="1263">
        <v>5.093</v>
      </c>
      <c r="H68" s="1245"/>
      <c r="I68" s="1245"/>
      <c r="J68" s="1245"/>
      <c r="K68" s="1245"/>
    </row>
    <row r="69">
      <c r="A69" s="1394" t="s">
        <v>1775</v>
      </c>
      <c r="B69" s="1243">
        <v>31.62</v>
      </c>
      <c r="C69" s="1243">
        <v>31.62</v>
      </c>
      <c r="D69" s="1243">
        <v>31.62</v>
      </c>
      <c r="E69" s="1243">
        <v>31.62</v>
      </c>
      <c r="F69" s="1243">
        <v>31.62</v>
      </c>
      <c r="G69" s="1262">
        <v>31.62</v>
      </c>
      <c r="H69" s="1248"/>
      <c r="I69" s="1248"/>
      <c r="J69" s="1248"/>
      <c r="K69" s="1248"/>
    </row>
    <row r="70">
      <c r="A70" s="1394" t="s">
        <v>1776</v>
      </c>
      <c r="B70" s="1239">
        <v>0.0306</v>
      </c>
      <c r="C70" s="1239">
        <v>0.0306</v>
      </c>
      <c r="D70" s="1239">
        <v>0.0306</v>
      </c>
      <c r="E70" s="1239">
        <v>0.0306</v>
      </c>
      <c r="F70" s="1239">
        <v>0.0306</v>
      </c>
      <c r="G70" s="1260">
        <v>0.0306</v>
      </c>
      <c r="H70" s="1246"/>
      <c r="I70" s="1246"/>
      <c r="J70" s="1246"/>
      <c r="K70" s="1246"/>
    </row>
    <row r="71">
      <c r="A71" s="1394" t="s">
        <v>1779</v>
      </c>
      <c r="G71" s="1254"/>
    </row>
    <row r="72">
      <c r="A72" s="1394" t="s">
        <v>1780</v>
      </c>
      <c r="B72" s="1408">
        <v>12.4265</v>
      </c>
      <c r="C72" s="1408">
        <v>12.4265</v>
      </c>
      <c r="D72" s="1408">
        <v>12.4265</v>
      </c>
      <c r="E72" s="1408">
        <v>12.4265</v>
      </c>
      <c r="F72" s="1408">
        <v>12.4265</v>
      </c>
      <c r="G72" s="1263">
        <v>12.4265</v>
      </c>
      <c r="H72" s="1408">
        <v>12.4265</v>
      </c>
      <c r="I72" s="1245"/>
      <c r="J72" s="1245"/>
      <c r="K72" s="1245"/>
    </row>
    <row r="73">
      <c r="A73" s="1394" t="s">
        <v>1776</v>
      </c>
      <c r="B73" s="1239">
        <v>0.1325</v>
      </c>
      <c r="C73" s="1239">
        <v>0.1325</v>
      </c>
      <c r="D73" s="1239">
        <v>0.1325</v>
      </c>
      <c r="E73" s="1239">
        <v>0.1325</v>
      </c>
      <c r="F73" s="1239">
        <v>0.1325</v>
      </c>
      <c r="G73" s="1260">
        <v>0.1325</v>
      </c>
      <c r="H73" s="1239">
        <v>0.1325</v>
      </c>
      <c r="I73" s="1246"/>
      <c r="J73" s="1246"/>
      <c r="K73" s="1246"/>
    </row>
    <row r="74">
      <c r="A74" s="1394" t="s">
        <v>1781</v>
      </c>
      <c r="B74" s="1408">
        <v>4.21238</v>
      </c>
      <c r="C74" s="1408">
        <v>4.21238</v>
      </c>
      <c r="D74" s="1408">
        <v>4.21238</v>
      </c>
      <c r="E74" s="1408">
        <v>4.21238</v>
      </c>
      <c r="F74" s="1408">
        <v>4.21238</v>
      </c>
      <c r="G74" s="1263">
        <v>4.21238</v>
      </c>
      <c r="H74" s="1408">
        <v>4.21238</v>
      </c>
      <c r="I74" s="1245"/>
      <c r="J74" s="1245"/>
      <c r="K74" s="1245"/>
    </row>
    <row r="75">
      <c r="A75" s="1394" t="s">
        <v>1776</v>
      </c>
      <c r="B75" s="1239">
        <v>0.1325</v>
      </c>
      <c r="C75" s="1239">
        <v>0.1325</v>
      </c>
      <c r="D75" s="1239">
        <v>0.1325</v>
      </c>
      <c r="E75" s="1239">
        <v>0.1325</v>
      </c>
      <c r="F75" s="1239">
        <v>0.1325</v>
      </c>
      <c r="G75" s="1260">
        <v>0.1325</v>
      </c>
      <c r="H75" s="1239">
        <v>0.1325</v>
      </c>
      <c r="I75" s="1246"/>
      <c r="J75" s="1246"/>
      <c r="K75" s="1246"/>
    </row>
    <row r="76">
      <c r="A76" s="1394" t="s">
        <v>1782</v>
      </c>
      <c r="B76" s="1408">
        <v>4.7108</v>
      </c>
      <c r="C76" s="1408">
        <v>4.7108</v>
      </c>
      <c r="D76" s="1408">
        <v>4.7108</v>
      </c>
      <c r="E76" s="1408">
        <v>4.7108</v>
      </c>
      <c r="F76" s="1408">
        <v>4.7108</v>
      </c>
      <c r="G76" s="1263">
        <v>4.7108</v>
      </c>
      <c r="H76" s="1408">
        <v>4.7108</v>
      </c>
      <c r="I76" s="1245"/>
      <c r="J76" s="1245"/>
      <c r="K76" s="1245"/>
    </row>
    <row r="77">
      <c r="A77" s="1394" t="s">
        <v>1776</v>
      </c>
      <c r="B77" s="1239">
        <v>0.1325</v>
      </c>
      <c r="C77" s="1239">
        <v>0.1325</v>
      </c>
      <c r="D77" s="1239">
        <v>0.1325</v>
      </c>
      <c r="E77" s="1239">
        <v>0.1325</v>
      </c>
      <c r="F77" s="1239">
        <v>0.1325</v>
      </c>
      <c r="G77" s="1260">
        <v>0.1325</v>
      </c>
      <c r="H77" s="1239">
        <v>0.1325</v>
      </c>
      <c r="I77" s="1246"/>
      <c r="J77" s="1246"/>
      <c r="K77" s="1246"/>
    </row>
    <row r="78">
      <c r="A78" s="1394" t="s">
        <v>1783</v>
      </c>
      <c r="B78" s="1245"/>
      <c r="C78" s="1245"/>
      <c r="D78" s="1245"/>
      <c r="E78" s="1408">
        <v>0.4554</v>
      </c>
      <c r="F78" s="1245"/>
      <c r="G78" s="1270"/>
      <c r="H78" s="1245"/>
      <c r="I78" s="1245"/>
      <c r="J78" s="1245"/>
      <c r="K78" s="1245"/>
    </row>
    <row r="79">
      <c r="A79" s="1394" t="s">
        <v>1776</v>
      </c>
      <c r="B79" s="1246"/>
      <c r="C79" s="1246"/>
      <c r="D79" s="1246"/>
      <c r="E79" s="1239">
        <v>0.09765</v>
      </c>
      <c r="F79" s="1246"/>
      <c r="G79" s="1281"/>
      <c r="H79" s="1246"/>
      <c r="I79" s="1246"/>
      <c r="J79" s="1246"/>
      <c r="K79" s="1246"/>
    </row>
    <row r="80">
      <c r="A80" s="1394" t="s">
        <v>1784</v>
      </c>
      <c r="G80" s="1254"/>
    </row>
    <row r="81">
      <c r="A81" s="1394" t="s">
        <v>1785</v>
      </c>
      <c r="B81" s="1245"/>
      <c r="C81" s="1245"/>
      <c r="D81" s="1245"/>
      <c r="E81" s="1408">
        <v>40.98</v>
      </c>
      <c r="F81" s="1408">
        <v>40.98</v>
      </c>
      <c r="G81" s="1270"/>
      <c r="H81" s="1245"/>
      <c r="I81" s="1245"/>
      <c r="J81" s="1245"/>
      <c r="K81" s="1245"/>
    </row>
    <row r="82">
      <c r="A82" s="1394" t="s">
        <v>1776</v>
      </c>
      <c r="B82" s="1246"/>
      <c r="C82" s="1246"/>
      <c r="D82" s="1246"/>
      <c r="E82" s="1239">
        <v>0.1</v>
      </c>
      <c r="F82" s="1239">
        <v>0.1</v>
      </c>
      <c r="G82" s="1281"/>
      <c r="H82" s="1246"/>
      <c r="I82" s="1246"/>
      <c r="J82" s="1246"/>
      <c r="K82" s="1246"/>
    </row>
    <row r="83">
      <c r="A83" s="1394" t="s">
        <v>1786</v>
      </c>
      <c r="G83" s="1254"/>
    </row>
    <row r="84">
      <c r="A84" s="1394" t="s">
        <v>1787</v>
      </c>
      <c r="G84" s="1254"/>
    </row>
    <row r="85">
      <c r="A85" s="1394" t="s">
        <v>1788</v>
      </c>
      <c r="B85" s="1408">
        <v>2.62546</v>
      </c>
      <c r="C85" s="1408">
        <v>2.62546</v>
      </c>
      <c r="D85" s="1408">
        <v>2.62546</v>
      </c>
      <c r="E85" s="1408">
        <v>2.62546</v>
      </c>
      <c r="F85" s="1408">
        <v>2.62546</v>
      </c>
      <c r="G85" s="1263">
        <v>2.62546</v>
      </c>
      <c r="H85" s="1408">
        <v>2.62546</v>
      </c>
      <c r="I85" s="1408">
        <v>2.62546</v>
      </c>
      <c r="J85" s="1408">
        <v>2.62546</v>
      </c>
      <c r="K85" s="1245"/>
    </row>
    <row r="86">
      <c r="A86" s="1394" t="s">
        <v>1775</v>
      </c>
      <c r="B86" s="1243">
        <v>30</v>
      </c>
      <c r="C86" s="1243">
        <v>30</v>
      </c>
      <c r="D86" s="1243">
        <v>30</v>
      </c>
      <c r="E86" s="1243">
        <v>30</v>
      </c>
      <c r="F86" s="1243">
        <v>30</v>
      </c>
      <c r="G86" s="1262">
        <v>30</v>
      </c>
      <c r="H86" s="1243">
        <v>30</v>
      </c>
      <c r="I86" s="1243">
        <v>30</v>
      </c>
      <c r="J86" s="1243">
        <v>30</v>
      </c>
      <c r="K86" s="1248"/>
    </row>
    <row r="87">
      <c r="A87" s="1394" t="s">
        <v>1776</v>
      </c>
      <c r="B87" s="1239">
        <v>0.0542</v>
      </c>
      <c r="C87" s="1239">
        <v>0.0542</v>
      </c>
      <c r="D87" s="1239">
        <v>0.0542</v>
      </c>
      <c r="E87" s="1239">
        <v>0.0542</v>
      </c>
      <c r="F87" s="1239">
        <v>0.0542</v>
      </c>
      <c r="G87" s="1260">
        <v>0.0542</v>
      </c>
      <c r="H87" s="1239">
        <v>0.0542</v>
      </c>
      <c r="I87" s="1239">
        <v>0.0542</v>
      </c>
      <c r="J87" s="1239">
        <v>0.0542</v>
      </c>
      <c r="K87" s="1246"/>
    </row>
    <row r="88">
      <c r="A88" s="1394" t="s">
        <v>1789</v>
      </c>
      <c r="B88" s="1408">
        <v>0.26227</v>
      </c>
      <c r="C88" s="1408">
        <v>0.26227</v>
      </c>
      <c r="D88" s="1408">
        <v>0.26227</v>
      </c>
      <c r="E88" s="1408">
        <v>0.26227</v>
      </c>
      <c r="F88" s="1408">
        <v>0.26227</v>
      </c>
      <c r="G88" s="1263">
        <v>0.26227</v>
      </c>
      <c r="H88" s="1408">
        <v>0.26227</v>
      </c>
      <c r="I88" s="1408">
        <v>0.26227</v>
      </c>
      <c r="J88" s="1408">
        <v>0.26227</v>
      </c>
      <c r="K88" s="1245"/>
    </row>
    <row r="89">
      <c r="A89" s="1394" t="s">
        <v>1775</v>
      </c>
      <c r="B89" s="1243">
        <v>30</v>
      </c>
      <c r="C89" s="1243">
        <v>30</v>
      </c>
      <c r="D89" s="1243">
        <v>30</v>
      </c>
      <c r="E89" s="1243">
        <v>30</v>
      </c>
      <c r="F89" s="1243">
        <v>30</v>
      </c>
      <c r="G89" s="1262">
        <v>30</v>
      </c>
      <c r="H89" s="1243">
        <v>30</v>
      </c>
      <c r="I89" s="1243">
        <v>30</v>
      </c>
      <c r="J89" s="1243">
        <v>30</v>
      </c>
      <c r="K89" s="1248"/>
    </row>
    <row r="90">
      <c r="A90" s="1394" t="s">
        <v>1776</v>
      </c>
      <c r="B90" s="1239">
        <v>0.0542</v>
      </c>
      <c r="C90" s="1239">
        <v>0.0542</v>
      </c>
      <c r="D90" s="1239">
        <v>0.0542</v>
      </c>
      <c r="E90" s="1239">
        <v>0.0542</v>
      </c>
      <c r="F90" s="1239">
        <v>0.0542</v>
      </c>
      <c r="G90" s="1260">
        <v>0.0542</v>
      </c>
      <c r="H90" s="1239">
        <v>0.0542</v>
      </c>
      <c r="I90" s="1239">
        <v>0.0542</v>
      </c>
      <c r="J90" s="1239">
        <v>0.0542</v>
      </c>
      <c r="K90" s="1246"/>
    </row>
    <row r="91">
      <c r="A91" s="1394" t="s">
        <v>1790</v>
      </c>
      <c r="G91" s="1254"/>
    </row>
    <row r="92">
      <c r="A92" s="1394" t="s">
        <v>1791</v>
      </c>
      <c r="B92" s="1408">
        <v>0.26227</v>
      </c>
      <c r="C92" s="1408">
        <v>0.26227</v>
      </c>
      <c r="D92" s="1408">
        <v>0.26227</v>
      </c>
      <c r="E92" s="1408">
        <v>0.26227</v>
      </c>
      <c r="F92" s="1408">
        <v>0.26227</v>
      </c>
      <c r="G92" s="1263">
        <v>0.26227</v>
      </c>
      <c r="H92" s="1408">
        <v>0.26227</v>
      </c>
      <c r="I92" s="1408">
        <v>0.26227</v>
      </c>
      <c r="J92" s="1408">
        <v>0.26227</v>
      </c>
      <c r="K92" s="1245"/>
    </row>
    <row r="93">
      <c r="A93" s="1394" t="s">
        <v>1775</v>
      </c>
      <c r="B93" s="1243">
        <v>30</v>
      </c>
      <c r="C93" s="1243">
        <v>30</v>
      </c>
      <c r="D93" s="1243">
        <v>30</v>
      </c>
      <c r="E93" s="1243">
        <v>30</v>
      </c>
      <c r="F93" s="1243">
        <v>30</v>
      </c>
      <c r="G93" s="1262">
        <v>30</v>
      </c>
      <c r="H93" s="1243">
        <v>30</v>
      </c>
      <c r="I93" s="1243">
        <v>30</v>
      </c>
      <c r="J93" s="1243">
        <v>30</v>
      </c>
      <c r="K93" s="1248"/>
    </row>
    <row r="94">
      <c r="A94" s="1394" t="s">
        <v>1776</v>
      </c>
      <c r="B94" s="1239">
        <v>0.0542</v>
      </c>
      <c r="C94" s="1239">
        <v>0.0542</v>
      </c>
      <c r="D94" s="1239">
        <v>0.0542</v>
      </c>
      <c r="E94" s="1239">
        <v>0.0542</v>
      </c>
      <c r="F94" s="1239">
        <v>0.0542</v>
      </c>
      <c r="G94" s="1260">
        <v>0.0542</v>
      </c>
      <c r="H94" s="1239">
        <v>0.0542</v>
      </c>
      <c r="I94" s="1239">
        <v>0.0542</v>
      </c>
      <c r="J94" s="1239">
        <v>0.0542</v>
      </c>
      <c r="K94" s="1246"/>
    </row>
    <row r="95">
      <c r="A95" s="1394" t="s">
        <v>1792</v>
      </c>
      <c r="B95" s="1408">
        <v>1.05026</v>
      </c>
      <c r="C95" s="1408">
        <v>1.05026</v>
      </c>
      <c r="D95" s="1408">
        <v>1.05026</v>
      </c>
      <c r="E95" s="1408">
        <v>1.05026</v>
      </c>
      <c r="F95" s="1408">
        <v>1.05026</v>
      </c>
      <c r="G95" s="1263">
        <v>1.05026</v>
      </c>
      <c r="H95" s="1408">
        <v>1.05026</v>
      </c>
      <c r="I95" s="1408">
        <v>1.05026</v>
      </c>
      <c r="J95" s="1408">
        <v>1.05026</v>
      </c>
      <c r="K95" s="1245"/>
    </row>
    <row r="96">
      <c r="A96" s="1394" t="s">
        <v>1775</v>
      </c>
      <c r="B96" s="1243">
        <v>30</v>
      </c>
      <c r="C96" s="1243">
        <v>30</v>
      </c>
      <c r="D96" s="1243">
        <v>30</v>
      </c>
      <c r="E96" s="1243">
        <v>30</v>
      </c>
      <c r="F96" s="1243">
        <v>30</v>
      </c>
      <c r="G96" s="1262">
        <v>30</v>
      </c>
      <c r="H96" s="1243">
        <v>30</v>
      </c>
      <c r="I96" s="1243">
        <v>30</v>
      </c>
      <c r="J96" s="1243">
        <v>30</v>
      </c>
      <c r="K96" s="1248"/>
    </row>
    <row r="97">
      <c r="A97" s="1394" t="s">
        <v>1776</v>
      </c>
      <c r="B97" s="1239">
        <v>0.0542</v>
      </c>
      <c r="C97" s="1239">
        <v>0.0542</v>
      </c>
      <c r="D97" s="1239">
        <v>0.0542</v>
      </c>
      <c r="E97" s="1239">
        <v>0.0542</v>
      </c>
      <c r="F97" s="1239">
        <v>0.0542</v>
      </c>
      <c r="G97" s="1260">
        <v>0.0542</v>
      </c>
      <c r="H97" s="1239">
        <v>0.0542</v>
      </c>
      <c r="I97" s="1239">
        <v>0.0542</v>
      </c>
      <c r="J97" s="1239">
        <v>0.0542</v>
      </c>
      <c r="K97" s="1246"/>
    </row>
    <row r="98">
      <c r="A98" s="1394" t="s">
        <v>1793</v>
      </c>
      <c r="B98" s="1408">
        <v>4.14622</v>
      </c>
      <c r="C98" s="1408">
        <v>4.14622</v>
      </c>
      <c r="D98" s="1408">
        <v>4.14622</v>
      </c>
      <c r="E98" s="1408">
        <v>4.14622</v>
      </c>
      <c r="F98" s="1408">
        <v>4.14622</v>
      </c>
      <c r="G98" s="1263">
        <v>4.14622</v>
      </c>
      <c r="H98" s="1408">
        <v>4.14622</v>
      </c>
      <c r="I98" s="1245"/>
      <c r="J98" s="1245"/>
      <c r="K98" s="1245"/>
    </row>
    <row r="99">
      <c r="A99" s="1394" t="s">
        <v>1776</v>
      </c>
      <c r="B99" s="1239">
        <v>0.132</v>
      </c>
      <c r="C99" s="1239">
        <v>0.132</v>
      </c>
      <c r="D99" s="1239">
        <v>0.132</v>
      </c>
      <c r="E99" s="1239">
        <v>0.132</v>
      </c>
      <c r="F99" s="1239">
        <v>0.132</v>
      </c>
      <c r="G99" s="1260">
        <v>0.132</v>
      </c>
      <c r="H99" s="1239">
        <v>0.132</v>
      </c>
      <c r="I99" s="1246"/>
      <c r="J99" s="1246"/>
      <c r="K99" s="1246"/>
    </row>
    <row r="100">
      <c r="A100" s="1394" t="s">
        <v>1794</v>
      </c>
      <c r="B100" s="1408">
        <v>1.40551</v>
      </c>
      <c r="C100" s="1408">
        <v>1.40551</v>
      </c>
      <c r="D100" s="1408">
        <v>1.40551</v>
      </c>
      <c r="E100" s="1408">
        <v>1.40551</v>
      </c>
      <c r="F100" s="1408">
        <v>1.40551</v>
      </c>
      <c r="G100" s="1263">
        <v>1.40551</v>
      </c>
      <c r="H100" s="1408">
        <v>1.40551</v>
      </c>
      <c r="I100" s="1245"/>
      <c r="J100" s="1245"/>
      <c r="K100" s="1245"/>
    </row>
    <row r="101">
      <c r="A101" s="1394" t="s">
        <v>1776</v>
      </c>
      <c r="B101" s="1239">
        <v>0.132</v>
      </c>
      <c r="C101" s="1239">
        <v>0.132</v>
      </c>
      <c r="D101" s="1239">
        <v>0.132</v>
      </c>
      <c r="E101" s="1239">
        <v>0.132</v>
      </c>
      <c r="F101" s="1239">
        <v>0.132</v>
      </c>
      <c r="G101" s="1260">
        <v>0.132</v>
      </c>
      <c r="H101" s="1239">
        <v>0.132</v>
      </c>
      <c r="I101" s="1246"/>
      <c r="J101" s="1246"/>
      <c r="K101" s="1246"/>
    </row>
    <row r="102">
      <c r="A102" s="1394" t="s">
        <v>1795</v>
      </c>
      <c r="B102" s="1408">
        <v>1.73064</v>
      </c>
      <c r="C102" s="1408">
        <v>1.73064</v>
      </c>
      <c r="D102" s="1408">
        <v>1.73064</v>
      </c>
      <c r="E102" s="1408">
        <v>1.73064</v>
      </c>
      <c r="F102" s="1408">
        <v>1.73064</v>
      </c>
      <c r="G102" s="1263">
        <v>1.73064</v>
      </c>
      <c r="H102" s="1408">
        <v>1.73064</v>
      </c>
      <c r="I102" s="1245"/>
      <c r="J102" s="1245"/>
      <c r="K102" s="1245"/>
    </row>
    <row r="103">
      <c r="A103" s="1394" t="s">
        <v>1776</v>
      </c>
      <c r="B103" s="1239">
        <v>0.132</v>
      </c>
      <c r="C103" s="1239">
        <v>0.132</v>
      </c>
      <c r="D103" s="1239">
        <v>0.132</v>
      </c>
      <c r="E103" s="1239">
        <v>0.132</v>
      </c>
      <c r="F103" s="1239">
        <v>0.132</v>
      </c>
      <c r="G103" s="1260">
        <v>0.132</v>
      </c>
      <c r="H103" s="1239">
        <v>0.132</v>
      </c>
      <c r="I103" s="1246"/>
      <c r="J103" s="1246"/>
      <c r="K103" s="1246"/>
    </row>
    <row r="104">
      <c r="A104" s="1394" t="s">
        <v>1796</v>
      </c>
      <c r="G104" s="1254"/>
    </row>
    <row r="105">
      <c r="A105" s="1394" t="s">
        <v>1797</v>
      </c>
      <c r="B105" s="1408">
        <v>1.61008</v>
      </c>
      <c r="C105" s="1408">
        <v>1.61008</v>
      </c>
      <c r="D105" s="1408">
        <v>1.61008</v>
      </c>
      <c r="E105" s="1408">
        <v>1.61008</v>
      </c>
      <c r="F105" s="1408">
        <v>1.61008</v>
      </c>
      <c r="G105" s="1263">
        <v>1.61008</v>
      </c>
      <c r="H105" s="1408">
        <v>1.61008</v>
      </c>
      <c r="I105" s="1408">
        <v>1.61008</v>
      </c>
      <c r="J105" s="1408">
        <v>1.61008</v>
      </c>
      <c r="K105" s="1245"/>
    </row>
    <row r="106">
      <c r="A106" s="1394" t="s">
        <v>1775</v>
      </c>
      <c r="B106" s="1243">
        <v>30</v>
      </c>
      <c r="C106" s="1243">
        <v>30</v>
      </c>
      <c r="D106" s="1243">
        <v>30</v>
      </c>
      <c r="E106" s="1243">
        <v>30</v>
      </c>
      <c r="F106" s="1243">
        <v>30</v>
      </c>
      <c r="G106" s="1262">
        <v>30</v>
      </c>
      <c r="H106" s="1243">
        <v>30</v>
      </c>
      <c r="I106" s="1243">
        <v>30</v>
      </c>
      <c r="J106" s="1243">
        <v>30</v>
      </c>
      <c r="K106" s="1248"/>
    </row>
    <row r="107">
      <c r="A107" s="1394" t="s">
        <v>1776</v>
      </c>
      <c r="B107" s="1239">
        <v>0.0542</v>
      </c>
      <c r="C107" s="1239">
        <v>0.0542</v>
      </c>
      <c r="D107" s="1239">
        <v>0.0542</v>
      </c>
      <c r="E107" s="1239">
        <v>0.0542</v>
      </c>
      <c r="F107" s="1239">
        <v>0.0542</v>
      </c>
      <c r="G107" s="1260">
        <v>0.0542</v>
      </c>
      <c r="H107" s="1239">
        <v>0.0542</v>
      </c>
      <c r="I107" s="1239">
        <v>0.0542</v>
      </c>
      <c r="J107" s="1239">
        <v>0.0542</v>
      </c>
      <c r="K107" s="1246"/>
    </row>
    <row r="108">
      <c r="A108" s="1394" t="s">
        <v>1798</v>
      </c>
      <c r="B108" s="1408">
        <v>0.16084</v>
      </c>
      <c r="C108" s="1408">
        <v>0.16084</v>
      </c>
      <c r="D108" s="1408">
        <v>0.16084</v>
      </c>
      <c r="E108" s="1408">
        <v>0.16084</v>
      </c>
      <c r="F108" s="1408">
        <v>0.16084</v>
      </c>
      <c r="G108" s="1263">
        <v>0.16084</v>
      </c>
      <c r="H108" s="1408">
        <v>0.16084</v>
      </c>
      <c r="I108" s="1408">
        <v>0.16084</v>
      </c>
      <c r="J108" s="1408">
        <v>0.16084</v>
      </c>
      <c r="K108" s="1245"/>
    </row>
    <row r="109">
      <c r="A109" s="1394" t="s">
        <v>1775</v>
      </c>
      <c r="B109" s="1243">
        <v>30</v>
      </c>
      <c r="C109" s="1243">
        <v>30</v>
      </c>
      <c r="D109" s="1243">
        <v>30</v>
      </c>
      <c r="E109" s="1243">
        <v>30</v>
      </c>
      <c r="F109" s="1243">
        <v>30</v>
      </c>
      <c r="G109" s="1262">
        <v>30</v>
      </c>
      <c r="H109" s="1243">
        <v>30</v>
      </c>
      <c r="I109" s="1243">
        <v>30</v>
      </c>
      <c r="J109" s="1243">
        <v>30</v>
      </c>
      <c r="K109" s="1248"/>
    </row>
    <row r="110">
      <c r="A110" s="1394" t="s">
        <v>1776</v>
      </c>
      <c r="B110" s="1239">
        <v>0.0542</v>
      </c>
      <c r="C110" s="1239">
        <v>0.0542</v>
      </c>
      <c r="D110" s="1239">
        <v>0.0542</v>
      </c>
      <c r="E110" s="1239">
        <v>0.0542</v>
      </c>
      <c r="F110" s="1239">
        <v>0.0542</v>
      </c>
      <c r="G110" s="1260">
        <v>0.0542</v>
      </c>
      <c r="H110" s="1239">
        <v>0.0542</v>
      </c>
      <c r="I110" s="1239">
        <v>0.0542</v>
      </c>
      <c r="J110" s="1239">
        <v>0.0542</v>
      </c>
      <c r="K110" s="1246"/>
    </row>
    <row r="111">
      <c r="A111" s="1394" t="s">
        <v>1799</v>
      </c>
      <c r="B111" s="1408">
        <v>0.64408</v>
      </c>
      <c r="C111" s="1408">
        <v>0.64408</v>
      </c>
      <c r="D111" s="1408">
        <v>0.64408</v>
      </c>
      <c r="E111" s="1408">
        <v>0.64408</v>
      </c>
      <c r="F111" s="1408">
        <v>0.64408</v>
      </c>
      <c r="G111" s="1263">
        <v>0.64408</v>
      </c>
      <c r="H111" s="1408">
        <v>0.64408</v>
      </c>
      <c r="I111" s="1408">
        <v>0.64408</v>
      </c>
      <c r="J111" s="1408">
        <v>0.64408</v>
      </c>
      <c r="K111" s="1245"/>
    </row>
    <row r="112">
      <c r="A112" s="1394" t="s">
        <v>1775</v>
      </c>
      <c r="B112" s="1243">
        <v>30</v>
      </c>
      <c r="C112" s="1243">
        <v>30</v>
      </c>
      <c r="D112" s="1243">
        <v>30</v>
      </c>
      <c r="E112" s="1243">
        <v>30</v>
      </c>
      <c r="F112" s="1243">
        <v>30</v>
      </c>
      <c r="G112" s="1262">
        <v>30</v>
      </c>
      <c r="H112" s="1243">
        <v>30</v>
      </c>
      <c r="I112" s="1243">
        <v>30</v>
      </c>
      <c r="J112" s="1243">
        <v>30</v>
      </c>
      <c r="K112" s="1248"/>
    </row>
    <row r="113">
      <c r="A113" s="1394" t="s">
        <v>1776</v>
      </c>
      <c r="B113" s="1239">
        <v>0.0542</v>
      </c>
      <c r="C113" s="1239">
        <v>0.0542</v>
      </c>
      <c r="D113" s="1239">
        <v>0.0542</v>
      </c>
      <c r="E113" s="1239">
        <v>0.0542</v>
      </c>
      <c r="F113" s="1239">
        <v>0.0542</v>
      </c>
      <c r="G113" s="1260">
        <v>0.0542</v>
      </c>
      <c r="H113" s="1239">
        <v>0.0542</v>
      </c>
      <c r="I113" s="1239">
        <v>0.0542</v>
      </c>
      <c r="J113" s="1239">
        <v>0.0542</v>
      </c>
      <c r="K113" s="1246"/>
    </row>
    <row r="114">
      <c r="A114" s="1394" t="s">
        <v>1800</v>
      </c>
      <c r="B114" s="1408">
        <v>2.55344</v>
      </c>
      <c r="C114" s="1408">
        <v>2.55344</v>
      </c>
      <c r="D114" s="1408">
        <v>2.55344</v>
      </c>
      <c r="E114" s="1408">
        <v>2.55344</v>
      </c>
      <c r="F114" s="1408">
        <v>2.55344</v>
      </c>
      <c r="G114" s="1263">
        <v>2.55344</v>
      </c>
      <c r="H114" s="1408">
        <v>2.55344</v>
      </c>
      <c r="I114" s="1245"/>
      <c r="J114" s="1245"/>
      <c r="K114" s="1245"/>
    </row>
    <row r="115">
      <c r="A115" s="1394" t="s">
        <v>1776</v>
      </c>
      <c r="B115" s="1239">
        <v>0.132</v>
      </c>
      <c r="C115" s="1239">
        <v>0.132</v>
      </c>
      <c r="D115" s="1239">
        <v>0.132</v>
      </c>
      <c r="E115" s="1239">
        <v>0.132</v>
      </c>
      <c r="F115" s="1239">
        <v>0.132</v>
      </c>
      <c r="G115" s="1260">
        <v>0.132</v>
      </c>
      <c r="H115" s="1239">
        <v>0.132</v>
      </c>
      <c r="I115" s="1246"/>
      <c r="J115" s="1246"/>
      <c r="K115" s="1246"/>
    </row>
    <row r="116">
      <c r="A116" s="1394" t="s">
        <v>1801</v>
      </c>
      <c r="B116" s="1408">
        <v>0.86558</v>
      </c>
      <c r="C116" s="1408">
        <v>0.86558</v>
      </c>
      <c r="D116" s="1408">
        <v>0.86558</v>
      </c>
      <c r="E116" s="1408">
        <v>0.86558</v>
      </c>
      <c r="F116" s="1408">
        <v>0.86558</v>
      </c>
      <c r="G116" s="1263">
        <v>0.86558</v>
      </c>
      <c r="H116" s="1408">
        <v>0.86558</v>
      </c>
      <c r="I116" s="1245"/>
      <c r="J116" s="1245"/>
      <c r="K116" s="1245"/>
    </row>
    <row r="117">
      <c r="A117" s="1394" t="s">
        <v>1776</v>
      </c>
      <c r="B117" s="1239">
        <v>0.132</v>
      </c>
      <c r="C117" s="1239">
        <v>0.132</v>
      </c>
      <c r="D117" s="1239">
        <v>0.132</v>
      </c>
      <c r="E117" s="1239">
        <v>0.132</v>
      </c>
      <c r="F117" s="1239">
        <v>0.132</v>
      </c>
      <c r="G117" s="1260">
        <v>0.132</v>
      </c>
      <c r="H117" s="1239">
        <v>0.132</v>
      </c>
      <c r="I117" s="1246"/>
      <c r="J117" s="1246"/>
      <c r="K117" s="1246"/>
    </row>
    <row r="118">
      <c r="A118" s="1394" t="s">
        <v>1802</v>
      </c>
      <c r="B118" s="1408">
        <v>1.06815</v>
      </c>
      <c r="C118" s="1408">
        <v>1.06815</v>
      </c>
      <c r="D118" s="1408">
        <v>1.06815</v>
      </c>
      <c r="E118" s="1408">
        <v>1.06815</v>
      </c>
      <c r="F118" s="1408">
        <v>1.06815</v>
      </c>
      <c r="G118" s="1263">
        <v>1.06815</v>
      </c>
      <c r="H118" s="1408">
        <v>1.06815</v>
      </c>
      <c r="I118" s="1245"/>
      <c r="J118" s="1245"/>
      <c r="K118" s="1245"/>
    </row>
    <row r="119">
      <c r="A119" s="1394" t="s">
        <v>1776</v>
      </c>
      <c r="B119" s="1239">
        <v>0.132</v>
      </c>
      <c r="C119" s="1239">
        <v>0.132</v>
      </c>
      <c r="D119" s="1239">
        <v>0.132</v>
      </c>
      <c r="E119" s="1239">
        <v>0.132</v>
      </c>
      <c r="F119" s="1239">
        <v>0.132</v>
      </c>
      <c r="G119" s="1260">
        <v>0.132</v>
      </c>
      <c r="H119" s="1239">
        <v>0.132</v>
      </c>
      <c r="I119" s="1246"/>
      <c r="J119" s="1246"/>
      <c r="K119" s="1246"/>
    </row>
    <row r="120">
      <c r="A120" s="1394" t="s">
        <v>1803</v>
      </c>
      <c r="G120" s="1254"/>
    </row>
    <row r="121">
      <c r="A121" s="1394" t="s">
        <v>1804</v>
      </c>
      <c r="B121" s="1408">
        <v>1.53208</v>
      </c>
      <c r="C121" s="1408">
        <v>1.53208</v>
      </c>
      <c r="D121" s="1408">
        <v>1.53208</v>
      </c>
      <c r="E121" s="1408">
        <v>1.53208</v>
      </c>
      <c r="F121" s="1408">
        <v>1.53208</v>
      </c>
      <c r="G121" s="1263">
        <v>1.53208</v>
      </c>
      <c r="H121" s="1408">
        <v>1.53208</v>
      </c>
      <c r="I121" s="1408">
        <v>1.53208</v>
      </c>
      <c r="J121" s="1408">
        <v>1.53208</v>
      </c>
      <c r="K121" s="1408">
        <v>1.53208</v>
      </c>
    </row>
    <row r="122">
      <c r="A122" s="1394" t="s">
        <v>1775</v>
      </c>
      <c r="B122" s="1243">
        <v>30</v>
      </c>
      <c r="C122" s="1243">
        <v>30</v>
      </c>
      <c r="D122" s="1243">
        <v>30</v>
      </c>
      <c r="E122" s="1243">
        <v>30</v>
      </c>
      <c r="F122" s="1243">
        <v>30</v>
      </c>
      <c r="G122" s="1262">
        <v>30</v>
      </c>
      <c r="H122" s="1243">
        <v>30</v>
      </c>
      <c r="I122" s="1243">
        <v>30</v>
      </c>
      <c r="J122" s="1243">
        <v>30</v>
      </c>
      <c r="K122" s="1243">
        <v>30</v>
      </c>
    </row>
    <row r="123">
      <c r="A123" s="1394" t="s">
        <v>1776</v>
      </c>
      <c r="B123" s="1239">
        <v>0.0542</v>
      </c>
      <c r="C123" s="1239">
        <v>0.0542</v>
      </c>
      <c r="D123" s="1239">
        <v>0.0542</v>
      </c>
      <c r="E123" s="1239">
        <v>0.0542</v>
      </c>
      <c r="F123" s="1239">
        <v>0.0542</v>
      </c>
      <c r="G123" s="1260">
        <v>0.0542</v>
      </c>
      <c r="H123" s="1239">
        <v>0.0542</v>
      </c>
      <c r="I123" s="1239">
        <v>0.0542</v>
      </c>
      <c r="J123" s="1239">
        <v>0.0542</v>
      </c>
      <c r="K123" s="1239">
        <v>0.0542</v>
      </c>
    </row>
    <row r="124">
      <c r="A124" s="1394" t="s">
        <v>1805</v>
      </c>
      <c r="G124" s="1254"/>
    </row>
    <row r="125">
      <c r="A125" s="1394" t="s">
        <v>1806</v>
      </c>
      <c r="B125" s="1408">
        <v>0.15305</v>
      </c>
      <c r="C125" s="1408">
        <v>0.15305</v>
      </c>
      <c r="D125" s="1408">
        <v>0.15305</v>
      </c>
      <c r="E125" s="1408">
        <v>0.15305</v>
      </c>
      <c r="F125" s="1408">
        <v>0.15305</v>
      </c>
      <c r="G125" s="1263">
        <v>0.15305</v>
      </c>
      <c r="H125" s="1408">
        <v>0.15305</v>
      </c>
      <c r="I125" s="1408">
        <v>0.15305</v>
      </c>
      <c r="J125" s="1408">
        <v>0.15305</v>
      </c>
      <c r="K125" s="1408">
        <v>0.15305</v>
      </c>
    </row>
    <row r="126">
      <c r="A126" s="1394" t="s">
        <v>1775</v>
      </c>
      <c r="B126" s="1243">
        <v>30</v>
      </c>
      <c r="C126" s="1243">
        <v>30</v>
      </c>
      <c r="D126" s="1243">
        <v>30</v>
      </c>
      <c r="E126" s="1243">
        <v>30</v>
      </c>
      <c r="F126" s="1243">
        <v>30</v>
      </c>
      <c r="G126" s="1262">
        <v>30</v>
      </c>
      <c r="H126" s="1243">
        <v>30</v>
      </c>
      <c r="I126" s="1243">
        <v>30</v>
      </c>
      <c r="J126" s="1243">
        <v>30</v>
      </c>
      <c r="K126" s="1243">
        <v>30</v>
      </c>
    </row>
    <row r="127">
      <c r="A127" s="1394" t="s">
        <v>1776</v>
      </c>
      <c r="B127" s="1239">
        <v>0.0542</v>
      </c>
      <c r="C127" s="1239">
        <v>0.0542</v>
      </c>
      <c r="D127" s="1239">
        <v>0.0542</v>
      </c>
      <c r="E127" s="1239">
        <v>0.0542</v>
      </c>
      <c r="F127" s="1239">
        <v>0.0542</v>
      </c>
      <c r="G127" s="1260">
        <v>0.0542</v>
      </c>
      <c r="H127" s="1239">
        <v>0.0542</v>
      </c>
      <c r="I127" s="1239">
        <v>0.0542</v>
      </c>
      <c r="J127" s="1239">
        <v>0.0542</v>
      </c>
      <c r="K127" s="1239">
        <v>0.0542</v>
      </c>
    </row>
    <row r="128">
      <c r="A128" s="1394" t="s">
        <v>1807</v>
      </c>
      <c r="G128" s="1254"/>
    </row>
    <row r="129">
      <c r="A129" s="1394" t="s">
        <v>1808</v>
      </c>
      <c r="B129" s="1408">
        <v>0.61288</v>
      </c>
      <c r="C129" s="1408">
        <v>0.61288</v>
      </c>
      <c r="D129" s="1408">
        <v>0.61288</v>
      </c>
      <c r="E129" s="1408">
        <v>0.61288</v>
      </c>
      <c r="F129" s="1408">
        <v>0.61288</v>
      </c>
      <c r="G129" s="1263">
        <v>0.61288</v>
      </c>
      <c r="H129" s="1408">
        <v>0.61288</v>
      </c>
      <c r="I129" s="1408">
        <v>0.61288</v>
      </c>
      <c r="J129" s="1408">
        <v>0.61288</v>
      </c>
      <c r="K129" s="1245"/>
    </row>
    <row r="130">
      <c r="A130" s="1394" t="s">
        <v>1775</v>
      </c>
      <c r="B130" s="1243">
        <v>30</v>
      </c>
      <c r="C130" s="1243">
        <v>30</v>
      </c>
      <c r="D130" s="1243">
        <v>30</v>
      </c>
      <c r="E130" s="1243">
        <v>30</v>
      </c>
      <c r="F130" s="1243">
        <v>30</v>
      </c>
      <c r="G130" s="1262">
        <v>30</v>
      </c>
      <c r="H130" s="1243">
        <v>30</v>
      </c>
      <c r="I130" s="1243">
        <v>30</v>
      </c>
      <c r="J130" s="1243">
        <v>30</v>
      </c>
      <c r="K130" s="1248"/>
    </row>
    <row r="131">
      <c r="A131" s="1394" t="s">
        <v>1776</v>
      </c>
      <c r="B131" s="1239">
        <v>0.0542</v>
      </c>
      <c r="C131" s="1239">
        <v>0.0542</v>
      </c>
      <c r="D131" s="1239">
        <v>0.0542</v>
      </c>
      <c r="E131" s="1239">
        <v>0.0542</v>
      </c>
      <c r="F131" s="1239">
        <v>0.0542</v>
      </c>
      <c r="G131" s="1260">
        <v>0.0542</v>
      </c>
      <c r="H131" s="1239">
        <v>0.0542</v>
      </c>
      <c r="I131" s="1239">
        <v>0.0542</v>
      </c>
      <c r="J131" s="1239">
        <v>0.0542</v>
      </c>
      <c r="K131" s="1246"/>
    </row>
    <row r="132">
      <c r="A132" s="1394" t="s">
        <v>1809</v>
      </c>
      <c r="B132" s="1408">
        <v>3.38</v>
      </c>
      <c r="C132" s="1408">
        <v>3.38</v>
      </c>
      <c r="D132" s="1408">
        <v>3.38</v>
      </c>
      <c r="E132" s="1408">
        <v>3.38</v>
      </c>
      <c r="F132" s="1408">
        <v>3.38</v>
      </c>
      <c r="G132" s="1263">
        <v>3.38</v>
      </c>
      <c r="H132" s="1408">
        <v>3.38</v>
      </c>
      <c r="I132" s="1245"/>
      <c r="J132" s="1245"/>
      <c r="K132" s="1245"/>
    </row>
    <row r="133">
      <c r="A133" s="1394" t="s">
        <v>1776</v>
      </c>
      <c r="B133" s="1239">
        <v>0.1325</v>
      </c>
      <c r="C133" s="1239">
        <v>0.1325</v>
      </c>
      <c r="D133" s="1239">
        <v>0.1325</v>
      </c>
      <c r="E133" s="1239">
        <v>0.1325</v>
      </c>
      <c r="F133" s="1239">
        <v>0.1325</v>
      </c>
      <c r="G133" s="1260">
        <v>0.1325</v>
      </c>
      <c r="H133" s="1239">
        <v>0.1325</v>
      </c>
      <c r="I133" s="1246"/>
      <c r="J133" s="1246"/>
      <c r="K133" s="1246"/>
    </row>
    <row r="134">
      <c r="A134" s="1394" t="s">
        <v>1810</v>
      </c>
      <c r="B134" s="1408">
        <v>1.14693</v>
      </c>
      <c r="C134" s="1408">
        <v>1.14693</v>
      </c>
      <c r="D134" s="1408">
        <v>1.14693</v>
      </c>
      <c r="E134" s="1408">
        <v>1.14693</v>
      </c>
      <c r="F134" s="1408">
        <v>1.14693</v>
      </c>
      <c r="G134" s="1263">
        <v>1.14693</v>
      </c>
      <c r="H134" s="1408">
        <v>1.14693</v>
      </c>
      <c r="I134" s="1245"/>
      <c r="J134" s="1245"/>
      <c r="K134" s="1245"/>
    </row>
    <row r="135">
      <c r="A135" s="1394" t="s">
        <v>1776</v>
      </c>
      <c r="B135" s="1239">
        <v>0.1325</v>
      </c>
      <c r="C135" s="1239">
        <v>0.1325</v>
      </c>
      <c r="D135" s="1239">
        <v>0.1325</v>
      </c>
      <c r="E135" s="1239">
        <v>0.1325</v>
      </c>
      <c r="F135" s="1239">
        <v>0.1325</v>
      </c>
      <c r="G135" s="1260">
        <v>0.1325</v>
      </c>
      <c r="H135" s="1239">
        <v>0.1325</v>
      </c>
      <c r="I135" s="1246"/>
      <c r="J135" s="1246"/>
      <c r="K135" s="1246"/>
    </row>
    <row r="136">
      <c r="A136" s="1394" t="s">
        <v>1811</v>
      </c>
      <c r="B136" s="1408">
        <v>1.26116</v>
      </c>
      <c r="C136" s="1408">
        <v>1.26116</v>
      </c>
      <c r="D136" s="1408">
        <v>1.26116</v>
      </c>
      <c r="E136" s="1408">
        <v>1.26116</v>
      </c>
      <c r="F136" s="1408">
        <v>1.26116</v>
      </c>
      <c r="G136" s="1263">
        <v>1.26116</v>
      </c>
      <c r="H136" s="1408">
        <v>1.26116</v>
      </c>
      <c r="I136" s="1245"/>
      <c r="J136" s="1245"/>
      <c r="K136" s="1245"/>
    </row>
    <row r="137">
      <c r="A137" s="1394" t="s">
        <v>1776</v>
      </c>
      <c r="B137" s="1239">
        <v>0.01325</v>
      </c>
      <c r="C137" s="1239">
        <v>0.01325</v>
      </c>
      <c r="D137" s="1239">
        <v>0.01325</v>
      </c>
      <c r="E137" s="1239">
        <v>0.01325</v>
      </c>
      <c r="F137" s="1239">
        <v>0.01325</v>
      </c>
      <c r="G137" s="1260">
        <v>0.01325</v>
      </c>
      <c r="H137" s="1239">
        <v>0.01325</v>
      </c>
      <c r="I137" s="1246"/>
      <c r="J137" s="1246"/>
      <c r="K137" s="1246"/>
    </row>
    <row r="138">
      <c r="A138" s="1394" t="s">
        <v>1812</v>
      </c>
      <c r="G138" s="1254"/>
    </row>
    <row r="139">
      <c r="A139" s="1240"/>
      <c r="B139" s="1240"/>
      <c r="C139" s="1240"/>
      <c r="D139" s="1240"/>
      <c r="E139" s="1240"/>
      <c r="F139" s="1240"/>
      <c r="G139" s="1254"/>
      <c r="H139" s="1240"/>
      <c r="I139" s="1240"/>
      <c r="J139" s="1240"/>
      <c r="K139" s="1240"/>
    </row>
    <row r="140">
      <c r="A140" s="1384" t="s">
        <v>1813</v>
      </c>
      <c r="B140" s="1251"/>
      <c r="C140" s="1251"/>
      <c r="D140" s="1251"/>
      <c r="E140" s="1251"/>
      <c r="F140" s="1251"/>
      <c r="G140" s="1259"/>
      <c r="H140" s="1265"/>
      <c r="I140" s="1265"/>
      <c r="J140" s="1265"/>
      <c r="K140" s="1265"/>
    </row>
    <row r="141">
      <c r="A141" s="1401" t="s">
        <v>1814</v>
      </c>
      <c r="B141" s="1257">
        <f>B64+B68</f>
        <v>22.141</v>
      </c>
      <c r="C141" s="1257">
        <f>C64+C68</f>
        <v>22.141</v>
      </c>
      <c r="D141" s="1257">
        <f>D64+D68</f>
        <v>22.141</v>
      </c>
      <c r="E141" s="1257">
        <f>E64+E68</f>
        <v>22.141</v>
      </c>
      <c r="F141" s="1257">
        <f>F64+F68</f>
        <v>22.141</v>
      </c>
      <c r="G141" s="1280">
        <f>G68</f>
        <v>5.093</v>
      </c>
      <c r="H141" s="1257"/>
      <c r="I141" s="1257"/>
      <c r="J141" s="1257"/>
      <c r="K141" s="1257"/>
    </row>
    <row r="142">
      <c r="A142" s="1394" t="s">
        <v>1815</v>
      </c>
      <c r="B142" s="1249"/>
      <c r="C142" s="1249"/>
      <c r="D142" s="1249"/>
      <c r="E142" s="1249"/>
      <c r="F142" s="1249" t="str">
        <f>IF(ABS(F141-22.141)&lt;0.0005,"TIE OK (22.141 MW)","MISMATCH")</f>
        <v>TIE OK (22.141 MW)</v>
      </c>
      <c r="G142" s="1253"/>
      <c r="H142" s="1249"/>
      <c r="I142" s="1249"/>
      <c r="J142" s="1249"/>
      <c r="K142" s="1249"/>
    </row>
    <row r="143">
      <c r="A143" s="1394" t="s">
        <v>1816</v>
      </c>
      <c r="G143" s="1254"/>
    </row>
    <row r="144">
      <c r="A144" s="1240"/>
      <c r="B144" s="1240"/>
      <c r="C144" s="1240"/>
      <c r="D144" s="1240"/>
      <c r="E144" s="1240"/>
      <c r="F144" s="1240"/>
      <c r="G144" s="1254"/>
      <c r="H144" s="1240"/>
      <c r="I144" s="1240"/>
      <c r="J144" s="1240"/>
      <c r="K144" s="1240"/>
    </row>
    <row r="145">
      <c r="A145" s="1384" t="s">
        <v>1817</v>
      </c>
      <c r="B145" s="1251"/>
      <c r="C145" s="1251"/>
      <c r="D145" s="1251"/>
      <c r="E145" s="1251"/>
      <c r="F145" s="1251"/>
      <c r="G145" s="1259"/>
      <c r="H145" s="1265"/>
      <c r="I145" s="1265"/>
      <c r="J145" s="1265"/>
      <c r="K145" s="1265"/>
    </row>
    <row r="146">
      <c r="A146" s="1394" t="s">
        <v>1818</v>
      </c>
      <c r="G146" s="1254"/>
    </row>
    <row r="147">
      <c r="A147" s="1394" t="s">
        <v>1819</v>
      </c>
      <c r="G147" s="1254"/>
    </row>
    <row r="148">
      <c r="A148" s="1394" t="s">
        <v>1820</v>
      </c>
      <c r="G148" s="1254"/>
    </row>
    <row r="149">
      <c r="A149" s="1394" t="s">
        <v>1821</v>
      </c>
      <c r="B149" s="1249"/>
      <c r="C149" s="1249"/>
      <c r="D149" s="1249"/>
      <c r="E149" s="1249"/>
      <c r="F149" s="1249"/>
      <c r="G149" s="1253" t="s">
        <v>1822</v>
      </c>
      <c r="H149" s="1249"/>
      <c r="I149" s="1249"/>
      <c r="J149" s="1249"/>
      <c r="K149" s="1249"/>
    </row>
    <row r="150">
      <c r="A150" s="1394" t="s">
        <v>1823</v>
      </c>
      <c r="B150" s="1245"/>
      <c r="C150" s="1245"/>
      <c r="D150" s="1245"/>
      <c r="E150" s="1245"/>
      <c r="F150" s="1245"/>
      <c r="G150" s="1263">
        <v>12.09</v>
      </c>
      <c r="H150" s="1245"/>
      <c r="I150" s="1245"/>
      <c r="J150" s="1245"/>
      <c r="K150" s="1245"/>
    </row>
    <row r="151">
      <c r="A151" s="1394" t="s">
        <v>1824</v>
      </c>
      <c r="B151" s="1248"/>
      <c r="C151" s="1248"/>
      <c r="D151" s="1248"/>
      <c r="E151" s="1248"/>
      <c r="F151" s="1248"/>
      <c r="G151" s="1262">
        <v>9.5</v>
      </c>
      <c r="H151" s="1248"/>
      <c r="I151" s="1248"/>
      <c r="J151" s="1248"/>
      <c r="K151" s="1248"/>
    </row>
    <row r="152">
      <c r="A152" s="1394" t="s">
        <v>1825</v>
      </c>
      <c r="B152" s="1246"/>
      <c r="C152" s="1246"/>
      <c r="D152" s="1246"/>
      <c r="E152" s="1246"/>
      <c r="F152" s="1246"/>
      <c r="G152" s="1260">
        <v>0.0954</v>
      </c>
      <c r="H152" s="1246"/>
      <c r="I152" s="1246"/>
      <c r="J152" s="1246"/>
      <c r="K152" s="1246"/>
    </row>
    <row r="153">
      <c r="A153" s="1394" t="s">
        <v>1826</v>
      </c>
      <c r="G153" s="1254"/>
    </row>
    <row r="154">
      <c r="A154" s="1240"/>
      <c r="B154" s="1240"/>
      <c r="C154" s="1240"/>
      <c r="D154" s="1240"/>
      <c r="E154" s="1240"/>
      <c r="F154" s="1240"/>
      <c r="G154" s="1254"/>
      <c r="H154" s="1240"/>
      <c r="I154" s="1240"/>
      <c r="J154" s="1240"/>
      <c r="K154" s="1240"/>
    </row>
    <row r="155">
      <c r="A155" s="1394" t="s">
        <v>1827</v>
      </c>
      <c r="G155" s="1254"/>
    </row>
    <row r="156">
      <c r="A156" s="1394" t="s">
        <v>1828</v>
      </c>
      <c r="G156" s="1254"/>
    </row>
    <row r="157">
      <c r="A157" s="1394" t="s">
        <v>1829</v>
      </c>
      <c r="B157" s="1245"/>
      <c r="C157" s="1245"/>
      <c r="D157" s="1245"/>
      <c r="E157" s="1245"/>
      <c r="F157" s="1245"/>
      <c r="G157" s="1263">
        <v>4.4</v>
      </c>
      <c r="H157" s="1245"/>
      <c r="I157" s="1245"/>
      <c r="J157" s="1245"/>
      <c r="K157" s="1245"/>
    </row>
    <row r="158">
      <c r="A158" s="1394" t="s">
        <v>1830</v>
      </c>
      <c r="B158" s="1248"/>
      <c r="C158" s="1248"/>
      <c r="D158" s="1248"/>
      <c r="E158" s="1248"/>
      <c r="F158" s="1248"/>
      <c r="G158" s="1262">
        <v>3.24</v>
      </c>
      <c r="H158" s="1248"/>
      <c r="I158" s="1248"/>
      <c r="J158" s="1248"/>
      <c r="K158" s="1248"/>
    </row>
    <row r="159">
      <c r="A159" s="1394" t="s">
        <v>1831</v>
      </c>
      <c r="B159" s="1249"/>
      <c r="C159" s="1249"/>
      <c r="D159" s="1249"/>
      <c r="E159" s="1249"/>
      <c r="F159" s="1249"/>
      <c r="G159" s="1253" t="s">
        <v>1832</v>
      </c>
      <c r="H159" s="1249"/>
      <c r="I159" s="1249"/>
      <c r="J159" s="1249"/>
      <c r="K159" s="1249"/>
    </row>
    <row r="160">
      <c r="A160" s="1394" t="s">
        <v>1833</v>
      </c>
      <c r="B160" s="1238"/>
      <c r="C160" s="1238"/>
      <c r="D160" s="1238"/>
      <c r="E160" s="1238"/>
      <c r="F160" s="1238"/>
      <c r="G160" s="1268">
        <v>145828</v>
      </c>
      <c r="H160" s="1238"/>
      <c r="I160" s="1238"/>
      <c r="J160" s="1238"/>
      <c r="K160" s="1238"/>
    </row>
    <row r="161">
      <c r="A161" s="1394" t="s">
        <v>1834</v>
      </c>
      <c r="B161" s="1246"/>
      <c r="C161" s="1246"/>
      <c r="D161" s="1246"/>
      <c r="E161" s="1246"/>
      <c r="F161" s="1246"/>
      <c r="G161" s="1260">
        <v>0.0473</v>
      </c>
      <c r="H161" s="1246"/>
      <c r="I161" s="1246"/>
      <c r="J161" s="1246"/>
      <c r="K161" s="1246"/>
    </row>
    <row r="162">
      <c r="A162" s="1394" t="s">
        <v>1835</v>
      </c>
      <c r="B162" s="1238"/>
      <c r="C162" s="1238"/>
      <c r="D162" s="1238"/>
      <c r="E162" s="1238"/>
      <c r="F162" s="1238"/>
      <c r="G162" s="1268">
        <v>414919</v>
      </c>
      <c r="H162" s="1238"/>
      <c r="I162" s="1238"/>
      <c r="J162" s="1238"/>
      <c r="K162" s="1238"/>
    </row>
    <row r="163">
      <c r="A163" s="1394" t="s">
        <v>1836</v>
      </c>
      <c r="B163" s="1246"/>
      <c r="C163" s="1246"/>
      <c r="D163" s="1246"/>
      <c r="E163" s="1246"/>
      <c r="F163" s="1246"/>
      <c r="G163" s="1260">
        <v>0.0361</v>
      </c>
      <c r="H163" s="1246"/>
      <c r="I163" s="1246"/>
      <c r="J163" s="1246"/>
      <c r="K163" s="1246"/>
    </row>
    <row r="164">
      <c r="A164" s="1394" t="s">
        <v>1837</v>
      </c>
      <c r="B164" s="1249"/>
      <c r="C164" s="1249"/>
      <c r="D164" s="1249"/>
      <c r="E164" s="1249"/>
      <c r="F164" s="1249"/>
      <c r="G164" s="1253" t="s">
        <v>1838</v>
      </c>
      <c r="H164" s="1249"/>
      <c r="I164" s="1249"/>
      <c r="J164" s="1249"/>
      <c r="K164" s="1249"/>
    </row>
    <row r="165">
      <c r="A165" s="1394" t="s">
        <v>1839</v>
      </c>
      <c r="G165" s="1254"/>
    </row>
    <row r="166">
      <c r="A166" s="1240"/>
      <c r="B166" s="1240"/>
      <c r="C166" s="1240"/>
      <c r="D166" s="1240"/>
      <c r="E166" s="1240"/>
      <c r="F166" s="1240"/>
      <c r="G166" s="1254"/>
      <c r="H166" s="1240"/>
      <c r="I166" s="1240"/>
      <c r="J166" s="1240"/>
      <c r="K166" s="1240"/>
    </row>
    <row r="167">
      <c r="A167" s="1384" t="s">
        <v>1840</v>
      </c>
      <c r="B167" s="1251"/>
      <c r="C167" s="1251"/>
      <c r="D167" s="1251"/>
      <c r="E167" s="1251"/>
      <c r="F167" s="1251"/>
      <c r="G167" s="1259"/>
      <c r="H167" s="1265"/>
      <c r="I167" s="1265"/>
      <c r="J167" s="1265"/>
      <c r="K167" s="1265"/>
    </row>
    <row r="168">
      <c r="A168" s="1394" t="s">
        <v>1841</v>
      </c>
      <c r="G168" s="1254"/>
    </row>
    <row r="169">
      <c r="A169" s="1394" t="s">
        <v>1842</v>
      </c>
      <c r="G169" s="1254"/>
    </row>
    <row r="170">
      <c r="A170" s="1394" t="s">
        <v>1843</v>
      </c>
      <c r="B170" s="1243">
        <v>71.0807</v>
      </c>
      <c r="C170" s="1243">
        <v>105.4643</v>
      </c>
      <c r="D170" s="1243">
        <v>120.7073</v>
      </c>
      <c r="E170" s="1243">
        <v>104.2887</v>
      </c>
      <c r="F170" s="1243">
        <v>66.3559</v>
      </c>
      <c r="G170" s="1264" t="s">
        <v>109</v>
      </c>
      <c r="H170" s="1248" t="s">
        <v>109</v>
      </c>
      <c r="I170" s="1248" t="s">
        <v>109</v>
      </c>
      <c r="J170" s="1248" t="s">
        <v>109</v>
      </c>
      <c r="K170" s="1248" t="s">
        <v>109</v>
      </c>
    </row>
    <row r="171">
      <c r="A171" s="1394" t="s">
        <v>1844</v>
      </c>
      <c r="B171" s="1249" t="str">
        <f>IF(ROUND(B170,2)=71.08,"TIE OK (71.08)","MISMATCH")</f>
        <v>TIE OK (71.08)</v>
      </c>
      <c r="C171" s="1249" t="str">
        <f>IF(ROUND(C170,2)=105.46,"TIE OK (105.46)","MISMATCH")</f>
        <v>TIE OK (105.46)</v>
      </c>
      <c r="D171" s="1249" t="str">
        <f>IF(ROUND(D170,2)=120.71,"TIE OK (120.71)","MISMATCH")</f>
        <v>TIE OK (120.71)</v>
      </c>
      <c r="E171" s="1249" t="str">
        <f>IF(ROUND(E170,2)=104.29,"TIE OK (104.29)","MISMATCH")</f>
        <v>TIE OK (104.29)</v>
      </c>
      <c r="F171" s="1249" t="str">
        <f>IF(ROUND(F170,2)=66.36,"TIE OK (66.36)","MISMATCH")</f>
        <v>TIE OK (66.36)</v>
      </c>
      <c r="G171" s="1253"/>
      <c r="H171" s="1249"/>
      <c r="I171" s="1249"/>
      <c r="J171" s="1249"/>
      <c r="K171" s="1249"/>
    </row>
    <row r="172">
      <c r="A172" s="1394" t="s">
        <v>1845</v>
      </c>
      <c r="G172" s="1254"/>
    </row>
    <row r="173">
      <c r="A173" s="1240"/>
      <c r="B173" s="1240"/>
      <c r="C173" s="1240"/>
      <c r="D173" s="1240"/>
      <c r="E173" s="1240"/>
      <c r="F173" s="1240"/>
      <c r="G173" s="1254"/>
      <c r="H173" s="1240"/>
      <c r="I173" s="1240"/>
      <c r="J173" s="1240"/>
      <c r="K173" s="1240"/>
    </row>
    <row r="174">
      <c r="A174" s="1394" t="s">
        <v>1846</v>
      </c>
      <c r="G174" s="1254"/>
    </row>
    <row r="175">
      <c r="A175" s="1394" t="s">
        <v>1847</v>
      </c>
      <c r="G175" s="1254"/>
    </row>
    <row r="176">
      <c r="A176" s="1394" t="s">
        <v>1848</v>
      </c>
      <c r="G176" s="1254"/>
    </row>
    <row r="177">
      <c r="A177" s="1394" t="s">
        <v>1849</v>
      </c>
      <c r="B177" s="1243">
        <v>0.3177</v>
      </c>
      <c r="C177" s="1243">
        <v>0.2472</v>
      </c>
      <c r="D177" s="1243">
        <v>0.2758</v>
      </c>
      <c r="E177" s="1243">
        <v>0.3048</v>
      </c>
      <c r="F177" s="1243">
        <v>0.1964</v>
      </c>
      <c r="G177" s="1264" t="s">
        <v>109</v>
      </c>
      <c r="H177" s="1248" t="s">
        <v>109</v>
      </c>
      <c r="I177" s="1248" t="s">
        <v>109</v>
      </c>
      <c r="J177" s="1248" t="s">
        <v>109</v>
      </c>
      <c r="K177" s="1248" t="s">
        <v>109</v>
      </c>
    </row>
    <row r="178">
      <c r="A178" s="1240"/>
      <c r="B178" s="1240"/>
      <c r="C178" s="1240"/>
      <c r="D178" s="1240"/>
      <c r="E178" s="1240"/>
      <c r="F178" s="1240"/>
      <c r="G178" s="1254"/>
      <c r="H178" s="1240"/>
      <c r="I178" s="1240"/>
      <c r="J178" s="1240"/>
      <c r="K178" s="1240"/>
    </row>
    <row r="179">
      <c r="A179" s="1384" t="s">
        <v>1850</v>
      </c>
      <c r="B179" s="1251"/>
      <c r="C179" s="1251"/>
      <c r="D179" s="1251"/>
      <c r="E179" s="1251"/>
      <c r="F179" s="1251"/>
      <c r="G179" s="1259"/>
      <c r="H179" s="1265"/>
      <c r="I179" s="1265"/>
      <c r="J179" s="1265"/>
      <c r="K179" s="1265"/>
    </row>
    <row r="180">
      <c r="A180" s="1394" t="s">
        <v>1851</v>
      </c>
      <c r="G180" s="1254"/>
    </row>
    <row r="181">
      <c r="A181" s="1394" t="s">
        <v>1852</v>
      </c>
      <c r="B181" s="1248">
        <f>IFERROR((B64*B66+B68*B70+B72*B73+B74*B75+B76*B77+B78*B79+B81*B82)/(B64+B68+B72+B74+B76+B78+B81)*1000,"")</f>
        <v>80.62295645871714</v>
      </c>
      <c r="C181" s="1248">
        <f>IFERROR((C64*C66+C68*C70+C72*C73+C74*C75+C76*C77+C78*C79+C81*C82)/(C64+C68+C72+C74+C76+C78+C81)*1000,"")</f>
        <v>80.62295645871714</v>
      </c>
      <c r="D181" s="1248">
        <f>IFERROR((D64*D66+D68*D70+D72*D73+D74*D75+D76*D77+D78*D79+D81*D82)/(D64+D68+D72+D74+D76+D78+D81)*1000,"")</f>
        <v>80.62295645871714</v>
      </c>
      <c r="E181" s="1248">
        <f>IFERROR((E64*E66+E68*E70+E72*E73+E74*E75+E76*E77+E78*E79+E81*E82)/(E64+E68+E72+E74+E76+E78+E81)*1000,"")</f>
        <v>90.06440671699438</v>
      </c>
      <c r="F181" s="1248">
        <f>IFERROR((F64*F66+F68*F70+F72*F73+F74*F75+F76*F77+F78*F79+F81*F82)/(F64+F68+F72+F74+F76+F78+F81)*1000,"")</f>
        <v>90.02351111651996</v>
      </c>
      <c r="G181" s="1264">
        <f>IFERROR((G64*G66+G68*G70+G72*G73+G74*G75+G76*G77+G78*G79+G81*G82)/(G64+G68+G72+G74+G76+G78+G81)*1000,"")</f>
        <v>112.87352114082235</v>
      </c>
      <c r="H181" s="1248">
        <f>IFERROR((H64*H66+H68*H70+H72*H73+H74*H75+H76*H77+H78*H79+H81*H82)/(H64+H68+H72+H74+H76+H78+H81)*1000,"")</f>
        <v>132.5</v>
      </c>
      <c r="I181" s="1248" t="str">
        <f>IFERROR((I64*I66+I68*I70+I72*I73+I74*I75+I76*I77+I78*I79+I81*I82)/(I64+I68+I72+I74+I76+I78+I81)*1000,"")</f>
        <v/>
      </c>
      <c r="J181" s="1248" t="str">
        <f>IFERROR((J64*J66+J68*J70+J72*J73+J74*J75+J76*J77+J78*J79+J81*J82)/(J64+J68+J72+J74+J76+J78+J81)*1000,"")</f>
        <v/>
      </c>
      <c r="K181" s="1248" t="str">
        <f>IFERROR((K64*K66+K68*K70+K72*K73+K74*K75+K76*K77+K78*K79+K81*K82)/(K64+K68+K72+K74+K76+K78+K81)*1000,"")</f>
        <v/>
      </c>
    </row>
    <row r="182">
      <c r="A182" s="1394" t="s">
        <v>1853</v>
      </c>
      <c r="B182" s="1248">
        <f>IFERROR((B85*B87+B88*B90+B92*B94+B95*B97+B98*B99+B100*B101+B102*B103)/(B85+B88+B92+B95+B98+B100+B102)*1000,"")</f>
        <v>103.54134305468348</v>
      </c>
      <c r="C182" s="1248">
        <f>IFERROR((C85*C87+C88*C90+C92*C94+C95*C97+C98*C99+C100*C101+C102*C103)/(C85+C88+C92+C95+C98+C100+C102)*1000,"")</f>
        <v>103.54134305468348</v>
      </c>
      <c r="D182" s="1248">
        <f>IFERROR((D85*D87+D88*D90+D92*D94+D95*D97+D98*D99+D100*D101+D102*D103)/(D85+D88+D92+D95+D98+D100+D102)*1000,"")</f>
        <v>103.54134305468348</v>
      </c>
      <c r="E182" s="1248">
        <f>IFERROR((E85*E87+E88*E90+E92*E94+E95*E97+E98*E99+E100*E101+E102*E103)/(E85+E88+E92+E95+E98+E100+E102)*1000,"")</f>
        <v>103.54134305468348</v>
      </c>
      <c r="F182" s="1248">
        <f>IFERROR((F85*F87+F88*F90+F92*F94+F95*F97+F98*F99+F100*F101+F102*F103)/(F85+F88+F92+F95+F98+F100+F102)*1000,"")</f>
        <v>103.54134305468348</v>
      </c>
      <c r="G182" s="1264">
        <f>IFERROR((G85*G87+G88*G90+G92*G94+G95*G97+G98*G99+G100*G101+G102*G103)/(G85+G88+G92+G95+G98+G100+G102)*1000,"")</f>
        <v>103.54134305468348</v>
      </c>
      <c r="H182" s="1248">
        <f>IFERROR((H85*H87+H88*H90+H92*H94+H95*H97+H98*H99+H100*H101+H102*H103)/(H85+H88+H92+H95+H98+H100+H102)*1000,"")</f>
        <v>103.54134305468348</v>
      </c>
      <c r="I182" s="1248">
        <f>IFERROR((I85*I87+I88*I90+I92*I94+I95*I97+I98*I99+I100*I101+I102*I103)/(I85+I88+I92+I95+I98+I100+I102)*1000,"")</f>
        <v>54.19999999999999</v>
      </c>
      <c r="J182" s="1248">
        <f>IFERROR((J85*J87+J88*J90+J92*J94+J95*J97+J98*J99+J100*J101+J102*J103)/(J85+J88+J92+J95+J98+J100+J102)*1000,"")</f>
        <v>54.19999999999999</v>
      </c>
      <c r="K182" s="1248" t="str">
        <f>IFERROR((K85*K87+K88*K90+K92*K94+K95*K97+K98*K99+K100*K101+K102*K103)/(K85+K88+K92+K95+K98+K100+K102)*1000,"")</f>
        <v/>
      </c>
    </row>
    <row r="183">
      <c r="A183" s="1394" t="s">
        <v>1854</v>
      </c>
      <c r="B183" s="1248">
        <f>IFERROR((B105*B107+B108*B110+B111*B113+B114*B115+B116*B117+B118*B119)/(B105+B108+B111+B114+B116+B118)*1000,"")</f>
        <v>104.77856094532589</v>
      </c>
      <c r="C183" s="1248">
        <f>IFERROR((C105*C107+C108*C110+C111*C113+C114*C115+C116*C117+C118*C119)/(C105+C108+C111+C114+C116+C118)*1000,"")</f>
        <v>104.77856094532589</v>
      </c>
      <c r="D183" s="1248">
        <f>IFERROR((D105*D107+D108*D110+D111*D113+D114*D115+D116*D117+D118*D119)/(D105+D108+D111+D114+D116+D118)*1000,"")</f>
        <v>104.77856094532589</v>
      </c>
      <c r="E183" s="1248">
        <f>IFERROR((E105*E107+E108*E110+E111*E113+E114*E115+E116*E117+E118*E119)/(E105+E108+E111+E114+E116+E118)*1000,"")</f>
        <v>104.77856094532589</v>
      </c>
      <c r="F183" s="1248">
        <f>IFERROR((F105*F107+F108*F110+F111*F113+F114*F115+F116*F117+F118*F119)/(F105+F108+F111+F114+F116+F118)*1000,"")</f>
        <v>104.77856094532589</v>
      </c>
      <c r="G183" s="1264">
        <f>IFERROR((G105*G107+G108*G110+G111*G113+G114*G115+G116*G117+G118*G119)/(G105+G108+G111+G114+G116+G118)*1000,"")</f>
        <v>104.77856094532589</v>
      </c>
      <c r="H183" s="1248">
        <f>IFERROR((H105*H107+H108*H110+H111*H113+H114*H115+H116*H117+H118*H119)/(H105+H108+H111+H114+H116+H118)*1000,"")</f>
        <v>104.77856094532589</v>
      </c>
      <c r="I183" s="1248">
        <f>IFERROR((I105*I107+I108*I110+I111*I113+I114*I115+I116*I117+I118*I119)/(I105+I108+I111+I114+I116+I118)*1000,"")</f>
        <v>54.2</v>
      </c>
      <c r="J183" s="1248">
        <f>IFERROR((J105*J107+J108*J110+J111*J113+J114*J115+J116*J117+J118*J119)/(J105+J108+J111+J114+J116+J118)*1000,"")</f>
        <v>54.2</v>
      </c>
      <c r="K183" s="1248" t="str">
        <f>IFERROR((K105*K107+K108*K110+K111*K113+K114*K115+K116*K117+K118*K119)/(K105+K108+K111+K114+K116+K118)*1000,"")</f>
        <v/>
      </c>
    </row>
    <row r="184">
      <c r="A184" s="1394" t="s">
        <v>1855</v>
      </c>
      <c r="B184" s="1248">
        <f>IFERROR((B121*B123+B125*B127+B129*B131+B132*B133+B134*B135+B136*B137)/(B121+B125+B129+B132+B134+B136)*1000,"")</f>
        <v>91.64872274644144</v>
      </c>
      <c r="C184" s="1248">
        <f>IFERROR((C121*C123+C125*C127+C129*C131+C132*C133+C134*C135+C136*C137)/(C121+C125+C129+C132+C134+C136)*1000,"")</f>
        <v>91.64872274644144</v>
      </c>
      <c r="D184" s="1248">
        <f>IFERROR((D121*D123+D125*D127+D129*D131+D132*D133+D134*D135+D136*D137)/(D121+D125+D129+D132+D134+D136)*1000,"")</f>
        <v>91.64872274644144</v>
      </c>
      <c r="E184" s="1248">
        <f>IFERROR((E121*E123+E125*E127+E129*E131+E132*E133+E134*E135+E136*E137)/(E121+E125+E129+E132+E134+E136)*1000,"")</f>
        <v>91.64872274644144</v>
      </c>
      <c r="F184" s="1248">
        <f>IFERROR((F121*F123+F125*F127+F129*F131+F132*F133+F134*F135+F136*F137)/(F121+F125+F129+F132+F134+F136)*1000,"")</f>
        <v>91.64872274644144</v>
      </c>
      <c r="G184" s="1264">
        <f>IFERROR((G121*G123+G125*G127+G129*G131+G132*G133+G134*G135+G136*G137)/(G121+G125+G129+G132+G134+G136)*1000,"")</f>
        <v>91.64872274644144</v>
      </c>
      <c r="H184" s="1248">
        <f>IFERROR((H121*H123+H125*H127+H129*H131+H132*H133+H134*H135+H136*H137)/(H121+H125+H129+H132+H134+H136)*1000,"")</f>
        <v>91.64872274644144</v>
      </c>
      <c r="I184" s="1248">
        <f>IFERROR((I121*I123+I125*I127+I129*I131+I132*I133+I134*I135+I136*I137)/(I121+I125+I129+I132+I134+I136)*1000,"")</f>
        <v>54.199999999999996</v>
      </c>
      <c r="J184" s="1248">
        <f>IFERROR((J121*J123+J125*J127+J129*J131+J132*J133+J134*J135+J136*J137)/(J121+J125+J129+J132+J134+J136)*1000,"")</f>
        <v>54.199999999999996</v>
      </c>
      <c r="K184" s="1248">
        <f>IFERROR((K121*K123+K125*K127+K129*K131+K132*K133+K134*K135+K136*K137)/(K121+K125+K129+K132+K134+K136)*1000,"")</f>
        <v>54.199999999999996</v>
      </c>
    </row>
    <row r="185">
      <c r="A185" s="1240"/>
      <c r="B185" s="1240"/>
      <c r="C185" s="1240"/>
      <c r="D185" s="1240"/>
      <c r="E185" s="1240"/>
      <c r="F185" s="1240"/>
      <c r="G185" s="1254"/>
      <c r="H185" s="1240"/>
      <c r="I185" s="1240"/>
      <c r="J185" s="1240"/>
      <c r="K185" s="1240"/>
    </row>
    <row r="186">
      <c r="A186" s="1384" t="s">
        <v>1856</v>
      </c>
      <c r="B186" s="1251"/>
      <c r="C186" s="1251"/>
      <c r="D186" s="1251"/>
      <c r="E186" s="1251"/>
      <c r="F186" s="1251"/>
      <c r="G186" s="1259"/>
      <c r="H186" s="1265"/>
      <c r="I186" s="1265"/>
      <c r="J186" s="1265"/>
      <c r="K186" s="1265"/>
    </row>
    <row r="187">
      <c r="A187" s="1394" t="s">
        <v>1857</v>
      </c>
      <c r="G187" s="1254"/>
    </row>
    <row r="188">
      <c r="A188" s="1394" t="s">
        <v>1858</v>
      </c>
      <c r="G188" s="1254"/>
    </row>
    <row r="189">
      <c r="A189" s="1384" t="s">
        <v>1859</v>
      </c>
      <c r="B189" s="1251"/>
      <c r="C189" s="1251"/>
      <c r="D189" s="1251"/>
      <c r="E189" s="1251"/>
      <c r="F189" s="1251"/>
      <c r="G189" s="1259"/>
      <c r="H189" s="1265"/>
      <c r="I189" s="1265"/>
      <c r="J189" s="1265"/>
      <c r="K189" s="1265"/>
    </row>
    <row r="190">
      <c r="A190" s="1394" t="s">
        <v>1860</v>
      </c>
      <c r="B190" s="1416">
        <v>21621238</v>
      </c>
      <c r="C190" s="1416">
        <v>25174194</v>
      </c>
      <c r="D190" s="1416">
        <v>26401729</v>
      </c>
      <c r="E190" s="1416">
        <v>26320917</v>
      </c>
      <c r="F190" s="1416">
        <v>20082345</v>
      </c>
      <c r="G190" s="1395" t="s">
        <v>109</v>
      </c>
      <c r="H190" s="1381" t="s">
        <v>109</v>
      </c>
      <c r="I190" s="1381" t="s">
        <v>109</v>
      </c>
      <c r="J190" s="1381" t="s">
        <v>109</v>
      </c>
      <c r="K190" s="1381" t="s">
        <v>109</v>
      </c>
    </row>
    <row r="191">
      <c r="A191" s="1394" t="s">
        <v>1861</v>
      </c>
      <c r="B191" s="1416">
        <v>10266510</v>
      </c>
      <c r="C191" s="1416">
        <v>10572289</v>
      </c>
      <c r="D191" s="1416">
        <v>10864826</v>
      </c>
      <c r="E191" s="1416">
        <v>11084284</v>
      </c>
      <c r="F191" s="1416">
        <v>13011862</v>
      </c>
      <c r="G191" s="1395" t="s">
        <v>109</v>
      </c>
      <c r="H191" s="1381" t="s">
        <v>109</v>
      </c>
      <c r="I191" s="1381" t="s">
        <v>109</v>
      </c>
      <c r="J191" s="1381" t="s">
        <v>109</v>
      </c>
      <c r="K191" s="1381" t="s">
        <v>109</v>
      </c>
    </row>
    <row r="192">
      <c r="A192" s="1394" t="s">
        <v>1862</v>
      </c>
      <c r="B192" s="1416">
        <v>9187890</v>
      </c>
      <c r="C192" s="1416">
        <v>19232161</v>
      </c>
      <c r="D192" s="1416">
        <v>14658476</v>
      </c>
      <c r="E192" s="1416">
        <v>15921002</v>
      </c>
      <c r="F192" s="1416">
        <v>13543082</v>
      </c>
      <c r="G192" s="1395" t="s">
        <v>109</v>
      </c>
      <c r="H192" s="1381" t="s">
        <v>109</v>
      </c>
      <c r="I192" s="1381" t="s">
        <v>109</v>
      </c>
      <c r="J192" s="1381" t="s">
        <v>109</v>
      </c>
      <c r="K192" s="1381" t="s">
        <v>109</v>
      </c>
    </row>
    <row r="193">
      <c r="A193" s="1394" t="s">
        <v>1863</v>
      </c>
      <c r="B193" s="1416">
        <v>25850</v>
      </c>
      <c r="C193" s="1416">
        <v>23832</v>
      </c>
      <c r="D193" s="1416">
        <v>4539</v>
      </c>
      <c r="E193" s="1416">
        <v>30024</v>
      </c>
      <c r="F193" s="1416">
        <v>85160</v>
      </c>
      <c r="G193" s="1395" t="s">
        <v>109</v>
      </c>
      <c r="H193" s="1381" t="s">
        <v>109</v>
      </c>
      <c r="I193" s="1381" t="s">
        <v>109</v>
      </c>
      <c r="J193" s="1381" t="s">
        <v>109</v>
      </c>
      <c r="K193" s="1381" t="s">
        <v>109</v>
      </c>
    </row>
    <row r="194">
      <c r="A194" s="1394" t="s">
        <v>1864</v>
      </c>
      <c r="B194" s="1416">
        <v>1692239</v>
      </c>
      <c r="C194" s="1416">
        <v>2201767</v>
      </c>
      <c r="D194" s="1416">
        <v>1257798</v>
      </c>
      <c r="E194" s="1416">
        <v>2000270</v>
      </c>
      <c r="F194" s="1416">
        <v>1635595</v>
      </c>
      <c r="G194" s="1395" t="s">
        <v>109</v>
      </c>
      <c r="H194" s="1381" t="s">
        <v>109</v>
      </c>
      <c r="I194" s="1381" t="s">
        <v>109</v>
      </c>
      <c r="J194" s="1381" t="s">
        <v>109</v>
      </c>
      <c r="K194" s="1381" t="s">
        <v>109</v>
      </c>
    </row>
    <row r="195">
      <c r="A195" s="1394" t="s">
        <v>1865</v>
      </c>
      <c r="B195" s="1416">
        <v>869881</v>
      </c>
      <c r="C195" s="1416">
        <v>1974498</v>
      </c>
      <c r="D195" s="1416">
        <v>2169724</v>
      </c>
      <c r="E195" s="1416">
        <v>642966</v>
      </c>
      <c r="F195" s="1416">
        <v>1922207</v>
      </c>
      <c r="G195" s="1395" t="s">
        <v>109</v>
      </c>
      <c r="H195" s="1381" t="s">
        <v>109</v>
      </c>
      <c r="I195" s="1381" t="s">
        <v>109</v>
      </c>
      <c r="J195" s="1381" t="s">
        <v>109</v>
      </c>
      <c r="K195" s="1381" t="s">
        <v>109</v>
      </c>
    </row>
    <row r="196">
      <c r="A196" s="1394" t="s">
        <v>1866</v>
      </c>
      <c r="G196" s="1254"/>
    </row>
    <row r="197">
      <c r="A197" s="1401" t="s">
        <v>1867</v>
      </c>
      <c r="B197" s="1398">
        <f>SUM(B190,B191,B192,B193,B194)</f>
        <v>42793727</v>
      </c>
      <c r="C197" s="1398">
        <f>SUM(C190,C191,C192,C193,C194)</f>
        <v>57204243</v>
      </c>
      <c r="D197" s="1398">
        <f>SUM(D190,D191,D192,D193,D194)</f>
        <v>53187368</v>
      </c>
      <c r="E197" s="1398">
        <f>SUM(E190,E191,E192,E193,E194)</f>
        <v>55356497</v>
      </c>
      <c r="F197" s="1398">
        <f>SUM(F190,F191,F192,F193,F194)</f>
        <v>48358044</v>
      </c>
      <c r="G197" s="1400" t="s">
        <v>109</v>
      </c>
      <c r="H197" s="1398" t="s">
        <v>109</v>
      </c>
      <c r="I197" s="1398" t="s">
        <v>109</v>
      </c>
      <c r="J197" s="1398" t="s">
        <v>109</v>
      </c>
      <c r="K197" s="1398" t="s">
        <v>109</v>
      </c>
    </row>
    <row r="198">
      <c r="A198" s="1240"/>
      <c r="B198" s="1240"/>
      <c r="C198" s="1240"/>
      <c r="D198" s="1240"/>
      <c r="E198" s="1240"/>
      <c r="F198" s="1240"/>
      <c r="G198" s="1254"/>
      <c r="H198" s="1240"/>
      <c r="I198" s="1240"/>
      <c r="J198" s="1240"/>
      <c r="K198" s="1240"/>
    </row>
    <row r="199">
      <c r="A199" s="1384" t="s">
        <v>1868</v>
      </c>
      <c r="B199" s="1251"/>
      <c r="C199" s="1251"/>
      <c r="D199" s="1251"/>
      <c r="E199" s="1251"/>
      <c r="F199" s="1251"/>
      <c r="G199" s="1259"/>
      <c r="H199" s="1265"/>
      <c r="I199" s="1265"/>
      <c r="J199" s="1265"/>
      <c r="K199" s="1265"/>
    </row>
    <row r="200">
      <c r="A200" s="1394" t="s">
        <v>1869</v>
      </c>
      <c r="G200" s="1254"/>
    </row>
    <row r="201">
      <c r="A201" s="1394" t="s">
        <v>1870</v>
      </c>
      <c r="B201" s="1416">
        <v>38072</v>
      </c>
      <c r="C201" s="1416">
        <v>38072</v>
      </c>
      <c r="D201" s="1416">
        <v>38072</v>
      </c>
      <c r="E201" s="1416">
        <v>38072</v>
      </c>
      <c r="F201" s="1416">
        <v>38072</v>
      </c>
      <c r="G201" s="1395" t="s">
        <v>109</v>
      </c>
      <c r="H201" s="1381" t="s">
        <v>109</v>
      </c>
      <c r="I201" s="1381" t="s">
        <v>109</v>
      </c>
      <c r="J201" s="1381" t="s">
        <v>109</v>
      </c>
      <c r="K201" s="1381" t="s">
        <v>109</v>
      </c>
    </row>
    <row r="202">
      <c r="A202" s="1394" t="s">
        <v>1871</v>
      </c>
      <c r="G202" s="1254"/>
    </row>
    <row r="203">
      <c r="A203" s="1394" t="s">
        <v>1872</v>
      </c>
      <c r="B203" s="1381">
        <f>IF(AND(ISNUMBER(B85),ISNUMBER(B86)),B85*1000*B86*12,0)+IF(AND(ISNUMBER(B88),ISNUMBER(B89)),B88*1000*B89*12,0)+IF(AND(ISNUMBER(B92),ISNUMBER(B93)),B92*1000*B93*12,0)+IF(AND(ISNUMBER(B95),ISNUMBER(B96)),B95*1000*B96*12,0)</f>
        <v>1512093.6</v>
      </c>
      <c r="C203" s="1381">
        <f>IF(AND(ISNUMBER(C85),ISNUMBER(C86)),C85*1000*C86*12,0)+IF(AND(ISNUMBER(C88),ISNUMBER(C89)),C88*1000*C89*12,0)+IF(AND(ISNUMBER(C92),ISNUMBER(C93)),C92*1000*C93*12,0)+IF(AND(ISNUMBER(C95),ISNUMBER(C96)),C95*1000*C96*12,0)</f>
        <v>1512093.6</v>
      </c>
      <c r="D203" s="1381">
        <f>IF(AND(ISNUMBER(D85),ISNUMBER(D86)),D85*1000*D86*12,0)+IF(AND(ISNUMBER(D88),ISNUMBER(D89)),D88*1000*D89*12,0)+IF(AND(ISNUMBER(D92),ISNUMBER(D93)),D92*1000*D93*12,0)+IF(AND(ISNUMBER(D95),ISNUMBER(D96)),D95*1000*D96*12,0)</f>
        <v>1512093.6</v>
      </c>
      <c r="E203" s="1381">
        <f>IF(AND(ISNUMBER(E85),ISNUMBER(E86)),E85*1000*E86*12,0)+IF(AND(ISNUMBER(E88),ISNUMBER(E89)),E88*1000*E89*12,0)+IF(AND(ISNUMBER(E92),ISNUMBER(E93)),E92*1000*E93*12,0)+IF(AND(ISNUMBER(E95),ISNUMBER(E96)),E95*1000*E96*12,0)</f>
        <v>1512093.6</v>
      </c>
      <c r="F203" s="1381">
        <f>IF(AND(ISNUMBER(F85),ISNUMBER(F86)),F85*1000*F86*12,0)+IF(AND(ISNUMBER(F88),ISNUMBER(F89)),F88*1000*F89*12,0)+IF(AND(ISNUMBER(F92),ISNUMBER(F93)),F92*1000*F93*12,0)+IF(AND(ISNUMBER(F95),ISNUMBER(F96)),F95*1000*F96*12,0)</f>
        <v>1512093.6</v>
      </c>
      <c r="G203" s="1395">
        <f>IF(AND(ISNUMBER(G85),ISNUMBER(G86)),G85*1000*G86*12,0)+IF(AND(ISNUMBER(G88),ISNUMBER(G89)),G88*1000*G89*12,0)+IF(AND(ISNUMBER(G92),ISNUMBER(G93)),G92*1000*G93*12,0)+IF(AND(ISNUMBER(G95),ISNUMBER(G96)),G95*1000*G96*12,0)</f>
        <v>1512093.6</v>
      </c>
      <c r="H203" s="1381">
        <f>IF(AND(ISNUMBER(H85),ISNUMBER(H86)),H85*1000*H86*12,0)+IF(AND(ISNUMBER(H88),ISNUMBER(H89)),H88*1000*H89*12,0)+IF(AND(ISNUMBER(H92),ISNUMBER(H93)),H92*1000*H93*12,0)+IF(AND(ISNUMBER(H95),ISNUMBER(H96)),H95*1000*H96*12,0)</f>
        <v>1512093.6</v>
      </c>
      <c r="I203" s="1381">
        <f>IF(AND(ISNUMBER(I85),ISNUMBER(I86)),I85*1000*I86*12,0)+IF(AND(ISNUMBER(I88),ISNUMBER(I89)),I88*1000*I89*12,0)+IF(AND(ISNUMBER(I92),ISNUMBER(I93)),I92*1000*I93*12,0)+IF(AND(ISNUMBER(I95),ISNUMBER(I96)),I95*1000*I96*12,0)</f>
        <v>1512093.6</v>
      </c>
      <c r="J203" s="1381">
        <f>IF(AND(ISNUMBER(J85),ISNUMBER(J86)),J85*1000*J86*12,0)+IF(AND(ISNUMBER(J88),ISNUMBER(J89)),J88*1000*J89*12,0)+IF(AND(ISNUMBER(J92),ISNUMBER(J93)),J92*1000*J93*12,0)+IF(AND(ISNUMBER(J95),ISNUMBER(J96)),J95*1000*J96*12,0)</f>
        <v>1512093.6</v>
      </c>
      <c r="K203" s="1381">
        <f>IF(AND(ISNUMBER(K85),ISNUMBER(K86)),K85*1000*K86*12,0)+IF(AND(ISNUMBER(K88),ISNUMBER(K89)),K88*1000*K89*12,0)+IF(AND(ISNUMBER(K92),ISNUMBER(K93)),K92*1000*K93*12,0)+IF(AND(ISNUMBER(K95),ISNUMBER(K96)),K95*1000*K96*12,0)</f>
        <v>0</v>
      </c>
    </row>
    <row r="204">
      <c r="A204" s="1394" t="s">
        <v>1873</v>
      </c>
      <c r="B204" s="1381">
        <f>IF(AND(ISNUMBER(B201),ISNUMBER(B182)),B201*B182,"")</f>
        <v>3942026.0127779096</v>
      </c>
      <c r="C204" s="1381">
        <f>IF(AND(ISNUMBER(C201),ISNUMBER(C182)),C201*C182,"")</f>
        <v>3942026.0127779096</v>
      </c>
      <c r="D204" s="1381">
        <f>IF(AND(ISNUMBER(D201),ISNUMBER(D182)),D201*D182,"")</f>
        <v>3942026.0127779096</v>
      </c>
      <c r="E204" s="1381">
        <f>IF(AND(ISNUMBER(E201),ISNUMBER(E182)),E201*E182,"")</f>
        <v>3942026.0127779096</v>
      </c>
      <c r="F204" s="1381">
        <f>IF(AND(ISNUMBER(F201),ISNUMBER(F182)),F201*F182,"")</f>
        <v>3942026.0127779096</v>
      </c>
      <c r="G204" s="1395" t="str">
        <f>IF(AND(ISNUMBER(G201),ISNUMBER(G182)),G201*G182,"")</f>
        <v/>
      </c>
      <c r="H204" s="1381" t="str">
        <f>IF(AND(ISNUMBER(H201),ISNUMBER(H182)),H201*H182,"")</f>
        <v/>
      </c>
      <c r="I204" s="1381" t="str">
        <f>IF(AND(ISNUMBER(I201),ISNUMBER(I182)),I201*I182,"")</f>
        <v/>
      </c>
      <c r="J204" s="1381" t="str">
        <f>IF(AND(ISNUMBER(J201),ISNUMBER(J182)),J201*J182,"")</f>
        <v/>
      </c>
      <c r="K204" s="1381" t="str">
        <f>IF(AND(ISNUMBER(K201),ISNUMBER(K182)),K201*K182,"")</f>
        <v/>
      </c>
    </row>
    <row r="205">
      <c r="A205" s="1394" t="s">
        <v>1874</v>
      </c>
      <c r="B205" s="1381">
        <f>IF(AND(ISNUMBER(B36),ISNUMBER(B201)),MAX(0,B36*1000-B201),"")</f>
        <v>35959</v>
      </c>
      <c r="C205" s="1381">
        <f>IF(AND(ISNUMBER(C36),ISNUMBER(C201)),MAX(0,C36*1000-C201),"")</f>
        <v>56155</v>
      </c>
      <c r="D205" s="1381">
        <f>IF(AND(ISNUMBER(D36),ISNUMBER(D201)),MAX(0,D36*1000-D201),"")</f>
        <v>24957</v>
      </c>
      <c r="E205" s="1381">
        <f>IF(AND(ISNUMBER(E36),ISNUMBER(E201)),MAX(0,E36*1000-E201),"")</f>
        <v>42860</v>
      </c>
      <c r="F205" s="1381">
        <f>IF(AND(ISNUMBER(F36),ISNUMBER(F201)),MAX(0,F36*1000-F201),"")</f>
        <v>36912</v>
      </c>
      <c r="G205" s="1395" t="str">
        <f>IF(AND(ISNUMBER(G36),ISNUMBER(G201)),MAX(0,G36*1000-G201),"")</f>
        <v/>
      </c>
      <c r="H205" s="1381" t="str">
        <f>IF(AND(ISNUMBER(H36),ISNUMBER(H201)),MAX(0,H36*1000-H201),"")</f>
        <v/>
      </c>
      <c r="I205" s="1381" t="str">
        <f>IF(AND(ISNUMBER(I36),ISNUMBER(I201)),MAX(0,I36*1000-I201),"")</f>
        <v/>
      </c>
      <c r="J205" s="1381" t="str">
        <f>IF(AND(ISNUMBER(J36),ISNUMBER(J201)),MAX(0,J36*1000-J201),"")</f>
        <v/>
      </c>
      <c r="K205" s="1381" t="str">
        <f>IF(AND(ISNUMBER(K36),ISNUMBER(K201)),MAX(0,K36*1000-K201),"")</f>
        <v/>
      </c>
    </row>
    <row r="206">
      <c r="A206" s="1394" t="s">
        <v>1875</v>
      </c>
      <c r="B206" s="1381">
        <f>IF(AND(ISNUMBER(B205),ISNUMBER(B170)),B205*B170,"")</f>
        <v>2555990.8913</v>
      </c>
      <c r="C206" s="1381">
        <f>IF(AND(ISNUMBER(C205),ISNUMBER(C170)),C205*C170,"")</f>
        <v>5922347.7665</v>
      </c>
      <c r="D206" s="1381">
        <f>IF(AND(ISNUMBER(D205),ISNUMBER(D170)),D205*D170,"")</f>
        <v>3012492.0861</v>
      </c>
      <c r="E206" s="1381">
        <f>IF(AND(ISNUMBER(E205),ISNUMBER(E170)),E205*E170,"")</f>
        <v>4469813.682</v>
      </c>
      <c r="F206" s="1381">
        <f>IF(AND(ISNUMBER(F205),ISNUMBER(F170)),F205*F170,"")</f>
        <v>2449328.9808</v>
      </c>
      <c r="G206" s="1395" t="str">
        <f>IF(AND(ISNUMBER(G205),ISNUMBER(G170)),G205*G170,"")</f>
        <v/>
      </c>
      <c r="H206" s="1381" t="str">
        <f>IF(AND(ISNUMBER(H205),ISNUMBER(H170)),H205*H170,"")</f>
        <v/>
      </c>
      <c r="I206" s="1381" t="str">
        <f>IF(AND(ISNUMBER(I205),ISNUMBER(I170)),I205*I170,"")</f>
        <v/>
      </c>
      <c r="J206" s="1381" t="str">
        <f>IF(AND(ISNUMBER(J205),ISNUMBER(J170)),J205*J170,"")</f>
        <v/>
      </c>
      <c r="K206" s="1381" t="str">
        <f>IF(AND(ISNUMBER(K205),ISNUMBER(K170)),K205*K170,"")</f>
        <v/>
      </c>
    </row>
    <row r="207">
      <c r="A207" s="1401" t="s">
        <v>1876</v>
      </c>
      <c r="B207" s="1398">
        <f>IF(ISNUMBER(B203),B203,0)+IF(ISNUMBER(B204),B204,0)+IF(ISNUMBER(B206),B206,0)</f>
        <v>8010110.5040779095</v>
      </c>
      <c r="C207" s="1398">
        <f>IF(ISNUMBER(C203),C203,0)+IF(ISNUMBER(C204),C204,0)+IF(ISNUMBER(C206),C206,0)</f>
        <v>11376467.37927791</v>
      </c>
      <c r="D207" s="1398">
        <f>IF(ISNUMBER(D203),D203,0)+IF(ISNUMBER(D204),D204,0)+IF(ISNUMBER(D206),D206,0)</f>
        <v>8466611.698877908</v>
      </c>
      <c r="E207" s="1398">
        <f>IF(ISNUMBER(E203),E203,0)+IF(ISNUMBER(E204),E204,0)+IF(ISNUMBER(E206),E206,0)</f>
        <v>9923933.29477791</v>
      </c>
      <c r="F207" s="1398">
        <f>IF(ISNUMBER(F203),F203,0)+IF(ISNUMBER(F204),F204,0)+IF(ISNUMBER(F206),F206,0)</f>
        <v>7903448.593577909</v>
      </c>
      <c r="G207" s="1400">
        <f>IF(ISNUMBER(G203),G203,0)+IF(ISNUMBER(G204),G204,0)+IF(ISNUMBER(G206),G206,0)</f>
        <v>1512093.6</v>
      </c>
      <c r="H207" s="1398">
        <f>IF(ISNUMBER(H203),H203,0)+IF(ISNUMBER(H204),H204,0)+IF(ISNUMBER(H206),H206,0)</f>
        <v>1512093.6</v>
      </c>
      <c r="I207" s="1398">
        <f>IF(ISNUMBER(I203),I203,0)+IF(ISNUMBER(I204),I204,0)+IF(ISNUMBER(I206),I206,0)</f>
        <v>1512093.6</v>
      </c>
      <c r="J207" s="1398">
        <f>IF(ISNUMBER(J203),J203,0)+IF(ISNUMBER(J204),J204,0)+IF(ISNUMBER(J206),J206,0)</f>
        <v>1512093.6</v>
      </c>
      <c r="K207" s="1398">
        <f>IF(ISNUMBER(K203),K203,0)+IF(ISNUMBER(K204),K204,0)+IF(ISNUMBER(K206),K206,0)</f>
        <v>0</v>
      </c>
    </row>
    <row r="208">
      <c r="A208" s="1394" t="s">
        <v>1877</v>
      </c>
      <c r="B208" s="1248">
        <f>IF(AND(ISNUMBER(B36),B36&lt;&gt;0),B207/(B36*1000),"")</f>
        <v>108.19940976182828</v>
      </c>
      <c r="C208" s="1248">
        <f>IF(AND(ISNUMBER(C36),C36&lt;&gt;0),C207/(C36*1000),"")</f>
        <v>120.73468729003268</v>
      </c>
      <c r="D208" s="1248">
        <f>IF(AND(ISNUMBER(D36),D36&lt;&gt;0),D207/(D36*1000),"")</f>
        <v>134.32882798200683</v>
      </c>
      <c r="E208" s="1248">
        <f>IF(AND(ISNUMBER(E36),E36&lt;&gt;0),E207/(E36*1000),"")</f>
        <v>122.6206357779112</v>
      </c>
      <c r="F208" s="1248">
        <f>IF(AND(ISNUMBER(F36),F36&lt;&gt;0),F207/(F36*1000),"")</f>
        <v>105.40180029843579</v>
      </c>
      <c r="G208" s="1264" t="str">
        <f>IF(AND(ISNUMBER(G36),G36&lt;&gt;0),G207/(G36*1000),"")</f>
        <v/>
      </c>
      <c r="H208" s="1248" t="str">
        <f>IF(AND(ISNUMBER(H36),H36&lt;&gt;0),H207/(H36*1000),"")</f>
        <v/>
      </c>
      <c r="I208" s="1248" t="str">
        <f>IF(AND(ISNUMBER(I36),I36&lt;&gt;0),I207/(I36*1000),"")</f>
        <v/>
      </c>
      <c r="J208" s="1248" t="str">
        <f>IF(AND(ISNUMBER(J36),J36&lt;&gt;0),J207/(J36*1000),"")</f>
        <v/>
      </c>
      <c r="K208" s="1248" t="str">
        <f>IF(AND(ISNUMBER(K36),K36&lt;&gt;0),K207/(K36*1000),"")</f>
        <v/>
      </c>
    </row>
    <row r="209">
      <c r="A209" s="1394" t="s">
        <v>1878</v>
      </c>
      <c r="B209" s="1249" t="str">
        <f>IF(ISNUMBER(B208),IF(AND(B208&gt;=MIN(B170,B182)*0.85,B208&lt;=MAX(B170,B182)*1.15),"IN BAND","FLAG: OUT OF BAND"),"")</f>
        <v>IN BAND</v>
      </c>
      <c r="C209" s="1249" t="str">
        <f>IF(ISNUMBER(C208),IF(AND(C208&gt;=MIN(C170,C182)*0.85,C208&lt;=MAX(C170,C182)*1.15),"IN BAND","FLAG: OUT OF BAND"),"")</f>
        <v>IN BAND</v>
      </c>
      <c r="D209" s="1249" t="str">
        <f>IF(ISNUMBER(D208),IF(AND(D208&gt;=MIN(D170,D182)*0.85,D208&lt;=MAX(D170,D182)*1.15),"IN BAND","FLAG: OUT OF BAND"),"")</f>
        <v>IN BAND</v>
      </c>
      <c r="E209" s="1249" t="str">
        <f>IF(ISNUMBER(E208),IF(AND(E208&gt;=MIN(E170,E182)*0.85,E208&lt;=MAX(E170,E182)*1.15),"IN BAND","FLAG: OUT OF BAND"),"")</f>
        <v>FLAG: OUT OF BAND</v>
      </c>
      <c r="F209" s="1249" t="str">
        <f>IF(ISNUMBER(F208),IF(AND(F208&gt;=MIN(F170,F182)*0.85,F208&lt;=MAX(F170,F182)*1.15),"IN BAND","FLAG: OUT OF BAND"),"")</f>
        <v>IN BAND</v>
      </c>
      <c r="G209" s="1253" t="str">
        <f>IF(ISNUMBER(G208),IF(AND(G208&gt;=MIN(G170,G182)*0.85,G208&lt;=MAX(G170,G182)*1.15),"IN BAND","FLAG: OUT OF BAND"),"")</f>
        <v/>
      </c>
      <c r="H209" s="1249" t="str">
        <f>IF(ISNUMBER(H208),IF(AND(H208&gt;=MIN(H170,H182)*0.85,H208&lt;=MAX(H170,H182)*1.15),"IN BAND","FLAG: OUT OF BAND"),"")</f>
        <v/>
      </c>
      <c r="I209" s="1249" t="str">
        <f>IF(ISNUMBER(I208),IF(AND(I208&gt;=MIN(I170,I182)*0.85,I208&lt;=MAX(I170,I182)*1.15),"IN BAND","FLAG: OUT OF BAND"),"")</f>
        <v/>
      </c>
      <c r="J209" s="1249" t="str">
        <f>IF(ISNUMBER(J208),IF(AND(J208&gt;=MIN(J170,J182)*0.85,J208&lt;=MAX(J170,J182)*1.15),"IN BAND","FLAG: OUT OF BAND"),"")</f>
        <v/>
      </c>
      <c r="K209" s="1249" t="str">
        <f>IF(ISNUMBER(K208),IF(AND(K208&gt;=MIN(K170,K182)*0.85,K208&lt;=MAX(K170,K182)*1.15),"IN BAND","FLAG: OUT OF BAND"),"")</f>
        <v/>
      </c>
    </row>
    <row r="210">
      <c r="A210" s="1240"/>
      <c r="B210" s="1240"/>
      <c r="C210" s="1240"/>
      <c r="D210" s="1240"/>
      <c r="E210" s="1240"/>
      <c r="F210" s="1240"/>
      <c r="G210" s="1254"/>
      <c r="H210" s="1240"/>
      <c r="I210" s="1240"/>
      <c r="J210" s="1240"/>
      <c r="K210" s="1240"/>
    </row>
    <row r="211">
      <c r="A211" s="1394" t="s">
        <v>1879</v>
      </c>
      <c r="G211" s="1254"/>
    </row>
    <row r="212">
      <c r="A212" s="1394" t="s">
        <v>1870</v>
      </c>
      <c r="B212" s="1416">
        <v>21798.5</v>
      </c>
      <c r="C212" s="1416">
        <v>21798.5</v>
      </c>
      <c r="D212" s="1416">
        <v>21798.5</v>
      </c>
      <c r="E212" s="1416">
        <v>21798.5</v>
      </c>
      <c r="F212" s="1416">
        <v>21798.5</v>
      </c>
      <c r="G212" s="1395" t="s">
        <v>109</v>
      </c>
      <c r="H212" s="1381" t="s">
        <v>109</v>
      </c>
      <c r="I212" s="1381" t="s">
        <v>109</v>
      </c>
      <c r="J212" s="1381" t="s">
        <v>109</v>
      </c>
      <c r="K212" s="1381" t="s">
        <v>109</v>
      </c>
    </row>
    <row r="213">
      <c r="A213" s="1394" t="s">
        <v>1880</v>
      </c>
      <c r="G213" s="1254"/>
    </row>
    <row r="214">
      <c r="A214" s="1394" t="s">
        <v>1872</v>
      </c>
      <c r="B214" s="1381">
        <f>IF(AND(ISNUMBER(B105),ISNUMBER(B106)),B105*1000*B106*12,0)+IF(AND(ISNUMBER(B108),ISNUMBER(B109)),B108*1000*B109*12,0)+IF(AND(ISNUMBER(B111),ISNUMBER(B112)),B111*1000*B112*12,0)</f>
        <v>869400</v>
      </c>
      <c r="C214" s="1381">
        <f>IF(AND(ISNUMBER(C105),ISNUMBER(C106)),C105*1000*C106*12,0)+IF(AND(ISNUMBER(C108),ISNUMBER(C109)),C108*1000*C109*12,0)+IF(AND(ISNUMBER(C111),ISNUMBER(C112)),C111*1000*C112*12,0)</f>
        <v>869400</v>
      </c>
      <c r="D214" s="1381">
        <f>IF(AND(ISNUMBER(D105),ISNUMBER(D106)),D105*1000*D106*12,0)+IF(AND(ISNUMBER(D108),ISNUMBER(D109)),D108*1000*D109*12,0)+IF(AND(ISNUMBER(D111),ISNUMBER(D112)),D111*1000*D112*12,0)</f>
        <v>869400</v>
      </c>
      <c r="E214" s="1381">
        <f>IF(AND(ISNUMBER(E105),ISNUMBER(E106)),E105*1000*E106*12,0)+IF(AND(ISNUMBER(E108),ISNUMBER(E109)),E108*1000*E109*12,0)+IF(AND(ISNUMBER(E111),ISNUMBER(E112)),E111*1000*E112*12,0)</f>
        <v>869400</v>
      </c>
      <c r="F214" s="1381">
        <f>IF(AND(ISNUMBER(F105),ISNUMBER(F106)),F105*1000*F106*12,0)+IF(AND(ISNUMBER(F108),ISNUMBER(F109)),F108*1000*F109*12,0)+IF(AND(ISNUMBER(F111),ISNUMBER(F112)),F111*1000*F112*12,0)</f>
        <v>869400</v>
      </c>
      <c r="G214" s="1395">
        <f>IF(AND(ISNUMBER(G105),ISNUMBER(G106)),G105*1000*G106*12,0)+IF(AND(ISNUMBER(G108),ISNUMBER(G109)),G108*1000*G109*12,0)+IF(AND(ISNUMBER(G111),ISNUMBER(G112)),G111*1000*G112*12,0)</f>
        <v>869400</v>
      </c>
      <c r="H214" s="1381">
        <f>IF(AND(ISNUMBER(H105),ISNUMBER(H106)),H105*1000*H106*12,0)+IF(AND(ISNUMBER(H108),ISNUMBER(H109)),H108*1000*H109*12,0)+IF(AND(ISNUMBER(H111),ISNUMBER(H112)),H111*1000*H112*12,0)</f>
        <v>869400</v>
      </c>
      <c r="I214" s="1381">
        <f>IF(AND(ISNUMBER(I105),ISNUMBER(I106)),I105*1000*I106*12,0)+IF(AND(ISNUMBER(I108),ISNUMBER(I109)),I108*1000*I109*12,0)+IF(AND(ISNUMBER(I111),ISNUMBER(I112)),I111*1000*I112*12,0)</f>
        <v>869400</v>
      </c>
      <c r="J214" s="1381">
        <f>IF(AND(ISNUMBER(J105),ISNUMBER(J106)),J105*1000*J106*12,0)+IF(AND(ISNUMBER(J108),ISNUMBER(J109)),J108*1000*J109*12,0)+IF(AND(ISNUMBER(J111),ISNUMBER(J112)),J111*1000*J112*12,0)</f>
        <v>869400</v>
      </c>
      <c r="K214" s="1381">
        <f>IF(AND(ISNUMBER(K105),ISNUMBER(K106)),K105*1000*K106*12,0)+IF(AND(ISNUMBER(K108),ISNUMBER(K109)),K108*1000*K109*12,0)+IF(AND(ISNUMBER(K111),ISNUMBER(K112)),K111*1000*K112*12,0)</f>
        <v>0</v>
      </c>
    </row>
    <row r="215">
      <c r="A215" s="1394" t="s">
        <v>1873</v>
      </c>
      <c r="B215" s="1381">
        <f>IF(AND(ISNUMBER(B212),ISNUMBER(B183)),B212*B183,"")</f>
        <v>2284015.4607666866</v>
      </c>
      <c r="C215" s="1381">
        <f>IF(AND(ISNUMBER(C212),ISNUMBER(C183)),C212*C183,"")</f>
        <v>2284015.4607666866</v>
      </c>
      <c r="D215" s="1381">
        <f>IF(AND(ISNUMBER(D212),ISNUMBER(D183)),D212*D183,"")</f>
        <v>2284015.4607666866</v>
      </c>
      <c r="E215" s="1381">
        <f>IF(AND(ISNUMBER(E212),ISNUMBER(E183)),E212*E183,"")</f>
        <v>2284015.4607666866</v>
      </c>
      <c r="F215" s="1381">
        <f>IF(AND(ISNUMBER(F212),ISNUMBER(F183)),F212*F183,"")</f>
        <v>2284015.4607666866</v>
      </c>
      <c r="G215" s="1395" t="str">
        <f>IF(AND(ISNUMBER(G212),ISNUMBER(G183)),G212*G183,"")</f>
        <v/>
      </c>
      <c r="H215" s="1381" t="str">
        <f>IF(AND(ISNUMBER(H212),ISNUMBER(H183)),H212*H183,"")</f>
        <v/>
      </c>
      <c r="I215" s="1381" t="str">
        <f>IF(AND(ISNUMBER(I212),ISNUMBER(I183)),I212*I183,"")</f>
        <v/>
      </c>
      <c r="J215" s="1381" t="str">
        <f>IF(AND(ISNUMBER(J212),ISNUMBER(J183)),J212*J183,"")</f>
        <v/>
      </c>
      <c r="K215" s="1381" t="str">
        <f>IF(AND(ISNUMBER(K212),ISNUMBER(K183)),K212*K183,"")</f>
        <v/>
      </c>
    </row>
    <row r="216">
      <c r="A216" s="1394" t="s">
        <v>1874</v>
      </c>
      <c r="B216" s="1381">
        <f>IF(AND(ISNUMBER(B40),ISNUMBER(B212)),MAX(0,B40*1000-B212),"")</f>
        <v>25513.5</v>
      </c>
      <c r="C216" s="1381">
        <f>IF(AND(ISNUMBER(C40),ISNUMBER(C212)),MAX(0,C40*1000-C212),"")</f>
        <v>38097.5</v>
      </c>
      <c r="D216" s="1381">
        <f>IF(AND(ISNUMBER(D40),ISNUMBER(D212)),MAX(0,D40*1000-D212),"")</f>
        <v>18064.5</v>
      </c>
      <c r="E216" s="1381">
        <f>IF(AND(ISNUMBER(E40),ISNUMBER(E212)),MAX(0,E40*1000-E212),"")</f>
        <v>29251.5</v>
      </c>
      <c r="F216" s="1381">
        <f>IF(AND(ISNUMBER(F40),ISNUMBER(F212)),MAX(0,F40*1000-F212),"")</f>
        <v>26284.5</v>
      </c>
      <c r="G216" s="1395" t="str">
        <f>IF(AND(ISNUMBER(G40),ISNUMBER(G212)),MAX(0,G40*1000-G212),"")</f>
        <v/>
      </c>
      <c r="H216" s="1381" t="str">
        <f>IF(AND(ISNUMBER(H40),ISNUMBER(H212)),MAX(0,H40*1000-H212),"")</f>
        <v/>
      </c>
      <c r="I216" s="1381" t="str">
        <f>IF(AND(ISNUMBER(I40),ISNUMBER(I212)),MAX(0,I40*1000-I212),"")</f>
        <v/>
      </c>
      <c r="J216" s="1381" t="str">
        <f>IF(AND(ISNUMBER(J40),ISNUMBER(J212)),MAX(0,J40*1000-J212),"")</f>
        <v/>
      </c>
      <c r="K216" s="1381" t="str">
        <f>IF(AND(ISNUMBER(K40),ISNUMBER(K212)),MAX(0,K40*1000-K212),"")</f>
        <v/>
      </c>
    </row>
    <row r="217">
      <c r="A217" s="1394" t="s">
        <v>1875</v>
      </c>
      <c r="B217" s="1381">
        <f>IF(AND(ISNUMBER(B216),ISNUMBER(B170)),B216*B170,"")</f>
        <v>1813517.4394499997</v>
      </c>
      <c r="C217" s="1381">
        <f>IF(AND(ISNUMBER(C216),ISNUMBER(C170)),C216*C170,"")</f>
        <v>4017926.16925</v>
      </c>
      <c r="D217" s="1381">
        <f>IF(AND(ISNUMBER(D216),ISNUMBER(D170)),D216*D170,"")</f>
        <v>2180517.02085</v>
      </c>
      <c r="E217" s="1381">
        <f>IF(AND(ISNUMBER(E216),ISNUMBER(E170)),E216*E170,"")</f>
        <v>3050600.90805</v>
      </c>
      <c r="F217" s="1381">
        <f>IF(AND(ISNUMBER(F216),ISNUMBER(F170)),F216*F170,"")</f>
        <v>1744131.6535500002</v>
      </c>
      <c r="G217" s="1395" t="str">
        <f>IF(AND(ISNUMBER(G216),ISNUMBER(G170)),G216*G170,"")</f>
        <v/>
      </c>
      <c r="H217" s="1381" t="str">
        <f>IF(AND(ISNUMBER(H216),ISNUMBER(H170)),H216*H170,"")</f>
        <v/>
      </c>
      <c r="I217" s="1381" t="str">
        <f>IF(AND(ISNUMBER(I216),ISNUMBER(I170)),I216*I170,"")</f>
        <v/>
      </c>
      <c r="J217" s="1381" t="str">
        <f>IF(AND(ISNUMBER(J216),ISNUMBER(J170)),J216*J170,"")</f>
        <v/>
      </c>
      <c r="K217" s="1381" t="str">
        <f>IF(AND(ISNUMBER(K216),ISNUMBER(K170)),K216*K170,"")</f>
        <v/>
      </c>
    </row>
    <row r="218">
      <c r="A218" s="1401" t="s">
        <v>1876</v>
      </c>
      <c r="B218" s="1398">
        <f>IF(ISNUMBER(B214),B214,0)+IF(ISNUMBER(B215),B215,0)+IF(ISNUMBER(B217),B217,0)</f>
        <v>4966932.900216687</v>
      </c>
      <c r="C218" s="1398">
        <f>IF(ISNUMBER(C214),C214,0)+IF(ISNUMBER(C215),C215,0)+IF(ISNUMBER(C217),C217,0)</f>
        <v>7171341.630016686</v>
      </c>
      <c r="D218" s="1398">
        <f>IF(ISNUMBER(D214),D214,0)+IF(ISNUMBER(D215),D215,0)+IF(ISNUMBER(D217),D217,0)</f>
        <v>5333932.481616687</v>
      </c>
      <c r="E218" s="1398">
        <f>IF(ISNUMBER(E214),E214,0)+IF(ISNUMBER(E215),E215,0)+IF(ISNUMBER(E217),E217,0)</f>
        <v>6204016.368816687</v>
      </c>
      <c r="F218" s="1398">
        <f>IF(ISNUMBER(F214),F214,0)+IF(ISNUMBER(F215),F215,0)+IF(ISNUMBER(F217),F217,0)</f>
        <v>4897547.114316687</v>
      </c>
      <c r="G218" s="1400">
        <f>IF(ISNUMBER(G214),G214,0)+IF(ISNUMBER(G215),G215,0)+IF(ISNUMBER(G217),G217,0)</f>
        <v>869400</v>
      </c>
      <c r="H218" s="1398">
        <f>IF(ISNUMBER(H214),H214,0)+IF(ISNUMBER(H215),H215,0)+IF(ISNUMBER(H217),H217,0)</f>
        <v>869400</v>
      </c>
      <c r="I218" s="1398">
        <f>IF(ISNUMBER(I214),I214,0)+IF(ISNUMBER(I215),I215,0)+IF(ISNUMBER(I217),I217,0)</f>
        <v>869400</v>
      </c>
      <c r="J218" s="1398">
        <f>IF(ISNUMBER(J214),J214,0)+IF(ISNUMBER(J215),J215,0)+IF(ISNUMBER(J217),J217,0)</f>
        <v>869400</v>
      </c>
      <c r="K218" s="1398">
        <f>IF(ISNUMBER(K214),K214,0)+IF(ISNUMBER(K215),K215,0)+IF(ISNUMBER(K217),K217,0)</f>
        <v>0</v>
      </c>
    </row>
    <row r="219">
      <c r="A219" s="1394" t="s">
        <v>1877</v>
      </c>
      <c r="B219" s="1248">
        <f>IF(AND(ISNUMBER(B40),B40&lt;&gt;0),B218/(B40*1000),"")</f>
        <v>104.98251818178657</v>
      </c>
      <c r="C219" s="1248">
        <f>IF(AND(ISNUMBER(C40),C40&lt;&gt;0),C218/(C40*1000),"")</f>
        <v>119.72989231362172</v>
      </c>
      <c r="D219" s="1248">
        <f>IF(AND(ISNUMBER(D40),D40&lt;&gt;0),D218/(D40*1000),"")</f>
        <v>133.80659964419854</v>
      </c>
      <c r="E219" s="1248">
        <f>IF(AND(ISNUMBER(E40),E40&lt;&gt;0),E218/(E40*1000),"")</f>
        <v>121.52823445282442</v>
      </c>
      <c r="F219" s="1248">
        <f>IF(AND(ISNUMBER(F40),F40&lt;&gt;0),F218/(F40*1000),"")</f>
        <v>101.85610536606882</v>
      </c>
      <c r="G219" s="1264" t="str">
        <f>IF(AND(ISNUMBER(G40),G40&lt;&gt;0),G218/(G40*1000),"")</f>
        <v/>
      </c>
      <c r="H219" s="1248" t="str">
        <f>IF(AND(ISNUMBER(H40),H40&lt;&gt;0),H218/(H40*1000),"")</f>
        <v/>
      </c>
      <c r="I219" s="1248" t="str">
        <f>IF(AND(ISNUMBER(I40),I40&lt;&gt;0),I218/(I40*1000),"")</f>
        <v/>
      </c>
      <c r="J219" s="1248" t="str">
        <f>IF(AND(ISNUMBER(J40),J40&lt;&gt;0),J218/(J40*1000),"")</f>
        <v/>
      </c>
      <c r="K219" s="1248" t="str">
        <f>IF(AND(ISNUMBER(K40),K40&lt;&gt;0),K218/(K40*1000),"")</f>
        <v/>
      </c>
    </row>
    <row r="220">
      <c r="A220" s="1394" t="s">
        <v>1878</v>
      </c>
      <c r="B220" s="1249" t="str">
        <f>IF(ISNUMBER(B219),IF(AND(B219&gt;=MIN(B170,B183)*0.85,B219&lt;=MAX(B170,B183)*1.15),"IN BAND","FLAG: OUT OF BAND"),"")</f>
        <v>IN BAND</v>
      </c>
      <c r="C220" s="1249" t="str">
        <f>IF(ISNUMBER(C219),IF(AND(C219&gt;=MIN(C170,C183)*0.85,C219&lt;=MAX(C170,C183)*1.15),"IN BAND","FLAG: OUT OF BAND"),"")</f>
        <v>IN BAND</v>
      </c>
      <c r="D220" s="1249" t="str">
        <f>IF(ISNUMBER(D219),IF(AND(D219&gt;=MIN(D170,D183)*0.85,D219&lt;=MAX(D170,D183)*1.15),"IN BAND","FLAG: OUT OF BAND"),"")</f>
        <v>IN BAND</v>
      </c>
      <c r="E220" s="1249" t="str">
        <f>IF(ISNUMBER(E219),IF(AND(E219&gt;=MIN(E170,E183)*0.85,E219&lt;=MAX(E170,E183)*1.15),"IN BAND","FLAG: OUT OF BAND"),"")</f>
        <v>FLAG: OUT OF BAND</v>
      </c>
      <c r="F220" s="1249" t="str">
        <f>IF(ISNUMBER(F219),IF(AND(F219&gt;=MIN(F170,F183)*0.85,F219&lt;=MAX(F170,F183)*1.15),"IN BAND","FLAG: OUT OF BAND"),"")</f>
        <v>IN BAND</v>
      </c>
      <c r="G220" s="1253" t="str">
        <f>IF(ISNUMBER(G219),IF(AND(G219&gt;=MIN(G170,G183)*0.85,G219&lt;=MAX(G170,G183)*1.15),"IN BAND","FLAG: OUT OF BAND"),"")</f>
        <v/>
      </c>
      <c r="H220" s="1249" t="str">
        <f>IF(ISNUMBER(H219),IF(AND(H219&gt;=MIN(H170,H183)*0.85,H219&lt;=MAX(H170,H183)*1.15),"IN BAND","FLAG: OUT OF BAND"),"")</f>
        <v/>
      </c>
      <c r="I220" s="1249" t="str">
        <f>IF(ISNUMBER(I219),IF(AND(I219&gt;=MIN(I170,I183)*0.85,I219&lt;=MAX(I170,I183)*1.15),"IN BAND","FLAG: OUT OF BAND"),"")</f>
        <v/>
      </c>
      <c r="J220" s="1249" t="str">
        <f>IF(ISNUMBER(J219),IF(AND(J219&gt;=MIN(J170,J183)*0.85,J219&lt;=MAX(J170,J183)*1.15),"IN BAND","FLAG: OUT OF BAND"),"")</f>
        <v/>
      </c>
      <c r="K220" s="1249" t="str">
        <f>IF(ISNUMBER(K219),IF(AND(K219&gt;=MIN(K170,K183)*0.85,K219&lt;=MAX(K170,K183)*1.15),"IN BAND","FLAG: OUT OF BAND"),"")</f>
        <v/>
      </c>
    </row>
    <row r="221">
      <c r="A221" s="1240"/>
      <c r="B221" s="1240"/>
      <c r="C221" s="1240"/>
      <c r="D221" s="1240"/>
      <c r="E221" s="1240"/>
      <c r="F221" s="1240"/>
      <c r="G221" s="1254"/>
      <c r="H221" s="1240"/>
      <c r="I221" s="1240"/>
      <c r="J221" s="1240"/>
      <c r="K221" s="1240"/>
    </row>
    <row r="222">
      <c r="A222" s="1394" t="s">
        <v>1881</v>
      </c>
      <c r="G222" s="1254"/>
    </row>
    <row r="223">
      <c r="A223" s="1394" t="s">
        <v>1870</v>
      </c>
      <c r="B223" s="1416">
        <v>28626</v>
      </c>
      <c r="C223" s="1416">
        <v>28626</v>
      </c>
      <c r="D223" s="1416">
        <v>28626</v>
      </c>
      <c r="E223" s="1416">
        <v>28626</v>
      </c>
      <c r="F223" s="1416">
        <v>28626</v>
      </c>
      <c r="G223" s="1395" t="s">
        <v>109</v>
      </c>
      <c r="H223" s="1381" t="s">
        <v>109</v>
      </c>
      <c r="I223" s="1381" t="s">
        <v>109</v>
      </c>
      <c r="J223" s="1381" t="s">
        <v>109</v>
      </c>
      <c r="K223" s="1381" t="s">
        <v>109</v>
      </c>
    </row>
    <row r="224">
      <c r="A224" s="1394" t="s">
        <v>1882</v>
      </c>
      <c r="G224" s="1254"/>
    </row>
    <row r="225">
      <c r="A225" s="1394" t="s">
        <v>1872</v>
      </c>
      <c r="B225" s="1381">
        <f>IF(AND(ISNUMBER(B121),ISNUMBER(B122)),B121*1000*B122*12,0)+IF(AND(ISNUMBER(B125),ISNUMBER(B126)),B125*1000*B126*12,0)+IF(AND(ISNUMBER(B129),ISNUMBER(B130)),B129*1000*B130*12,0)</f>
        <v>827283.6000000001</v>
      </c>
      <c r="C225" s="1381">
        <f>IF(AND(ISNUMBER(C121),ISNUMBER(C122)),C121*1000*C122*12,0)+IF(AND(ISNUMBER(C125),ISNUMBER(C126)),C125*1000*C126*12,0)+IF(AND(ISNUMBER(C129),ISNUMBER(C130)),C129*1000*C130*12,0)</f>
        <v>827283.6000000001</v>
      </c>
      <c r="D225" s="1381">
        <f>IF(AND(ISNUMBER(D121),ISNUMBER(D122)),D121*1000*D122*12,0)+IF(AND(ISNUMBER(D125),ISNUMBER(D126)),D125*1000*D126*12,0)+IF(AND(ISNUMBER(D129),ISNUMBER(D130)),D129*1000*D130*12,0)</f>
        <v>827283.6000000001</v>
      </c>
      <c r="E225" s="1381">
        <f>IF(AND(ISNUMBER(E121),ISNUMBER(E122)),E121*1000*E122*12,0)+IF(AND(ISNUMBER(E125),ISNUMBER(E126)),E125*1000*E126*12,0)+IF(AND(ISNUMBER(E129),ISNUMBER(E130)),E129*1000*E130*12,0)</f>
        <v>827283.6000000001</v>
      </c>
      <c r="F225" s="1381">
        <f>IF(AND(ISNUMBER(F121),ISNUMBER(F122)),F121*1000*F122*12,0)+IF(AND(ISNUMBER(F125),ISNUMBER(F126)),F125*1000*F126*12,0)+IF(AND(ISNUMBER(F129),ISNUMBER(F130)),F129*1000*F130*12,0)</f>
        <v>827283.6000000001</v>
      </c>
      <c r="G225" s="1395">
        <f>IF(AND(ISNUMBER(G121),ISNUMBER(G122)),G121*1000*G122*12,0)+IF(AND(ISNUMBER(G125),ISNUMBER(G126)),G125*1000*G126*12,0)+IF(AND(ISNUMBER(G129),ISNUMBER(G130)),G129*1000*G130*12,0)</f>
        <v>827283.6000000001</v>
      </c>
      <c r="H225" s="1381">
        <f>IF(AND(ISNUMBER(H121),ISNUMBER(H122)),H121*1000*H122*12,0)+IF(AND(ISNUMBER(H125),ISNUMBER(H126)),H125*1000*H126*12,0)+IF(AND(ISNUMBER(H129),ISNUMBER(H130)),H129*1000*H130*12,0)</f>
        <v>827283.6000000001</v>
      </c>
      <c r="I225" s="1381">
        <f>IF(AND(ISNUMBER(I121),ISNUMBER(I122)),I121*1000*I122*12,0)+IF(AND(ISNUMBER(I125),ISNUMBER(I126)),I125*1000*I126*12,0)+IF(AND(ISNUMBER(I129),ISNUMBER(I130)),I129*1000*I130*12,0)</f>
        <v>827283.6000000001</v>
      </c>
      <c r="J225" s="1381">
        <f>IF(AND(ISNUMBER(J121),ISNUMBER(J122)),J121*1000*J122*12,0)+IF(AND(ISNUMBER(J125),ISNUMBER(J126)),J125*1000*J126*12,0)+IF(AND(ISNUMBER(J129),ISNUMBER(J130)),J129*1000*J130*12,0)</f>
        <v>827283.6000000001</v>
      </c>
      <c r="K225" s="1381">
        <f>IF(AND(ISNUMBER(K121),ISNUMBER(K122)),K121*1000*K122*12,0)+IF(AND(ISNUMBER(K125),ISNUMBER(K126)),K125*1000*K126*12,0)+IF(AND(ISNUMBER(K129),ISNUMBER(K130)),K129*1000*K130*12,0)</f>
        <v>606646.8</v>
      </c>
    </row>
    <row r="226">
      <c r="A226" s="1394" t="s">
        <v>1873</v>
      </c>
      <c r="B226" s="1381">
        <f>IF(AND(ISNUMBER(B223),ISNUMBER(B184)),B223*B184,"")</f>
        <v>2623536.3373396327</v>
      </c>
      <c r="C226" s="1381">
        <f>IF(AND(ISNUMBER(C223),ISNUMBER(C184)),C223*C184,"")</f>
        <v>2623536.3373396327</v>
      </c>
      <c r="D226" s="1381">
        <f>IF(AND(ISNUMBER(D223),ISNUMBER(D184)),D223*D184,"")</f>
        <v>2623536.3373396327</v>
      </c>
      <c r="E226" s="1381">
        <f>IF(AND(ISNUMBER(E223),ISNUMBER(E184)),E223*E184,"")</f>
        <v>2623536.3373396327</v>
      </c>
      <c r="F226" s="1381">
        <f>IF(AND(ISNUMBER(F223),ISNUMBER(F184)),F223*F184,"")</f>
        <v>2623536.3373396327</v>
      </c>
      <c r="G226" s="1395" t="str">
        <f>IF(AND(ISNUMBER(G223),ISNUMBER(G184)),G223*G184,"")</f>
        <v/>
      </c>
      <c r="H226" s="1381" t="str">
        <f>IF(AND(ISNUMBER(H223),ISNUMBER(H184)),H223*H184,"")</f>
        <v/>
      </c>
      <c r="I226" s="1381" t="str">
        <f>IF(AND(ISNUMBER(I223),ISNUMBER(I184)),I223*I184,"")</f>
        <v/>
      </c>
      <c r="J226" s="1381" t="str">
        <f>IF(AND(ISNUMBER(J223),ISNUMBER(J184)),J223*J184,"")</f>
        <v/>
      </c>
      <c r="K226" s="1381" t="str">
        <f>IF(AND(ISNUMBER(K223),ISNUMBER(K184)),K223*K184,"")</f>
        <v/>
      </c>
    </row>
    <row r="227">
      <c r="A227" s="1394" t="s">
        <v>1874</v>
      </c>
      <c r="B227" s="1381">
        <f>IF(AND(ISNUMBER(B43),ISNUMBER(B223)),MAX(0,B43*1000-B223),"")</f>
        <v>25648</v>
      </c>
      <c r="C227" s="1381">
        <f>IF(AND(ISNUMBER(C43),ISNUMBER(C223)),MAX(0,C43*1000-C223),"")</f>
        <v>49466</v>
      </c>
      <c r="D227" s="1381">
        <f>IF(AND(ISNUMBER(D43),ISNUMBER(D223)),MAX(0,D43*1000-D223),"")</f>
        <v>25581</v>
      </c>
      <c r="E227" s="1381">
        <f>IF(AND(ISNUMBER(E43),ISNUMBER(E223)),MAX(0,E43*1000-E223),"")</f>
        <v>40672</v>
      </c>
      <c r="F227" s="1381">
        <f>IF(AND(ISNUMBER(F43),ISNUMBER(F223)),MAX(0,F43*1000-F223),"")</f>
        <v>35503.00000000001</v>
      </c>
      <c r="G227" s="1395" t="str">
        <f>IF(AND(ISNUMBER(G43),ISNUMBER(G223)),MAX(0,G43*1000-G223),"")</f>
        <v/>
      </c>
      <c r="H227" s="1381" t="str">
        <f>IF(AND(ISNUMBER(H43),ISNUMBER(H223)),MAX(0,H43*1000-H223),"")</f>
        <v/>
      </c>
      <c r="I227" s="1381" t="str">
        <f>IF(AND(ISNUMBER(I43),ISNUMBER(I223)),MAX(0,I43*1000-I223),"")</f>
        <v/>
      </c>
      <c r="J227" s="1381" t="str">
        <f>IF(AND(ISNUMBER(J43),ISNUMBER(J223)),MAX(0,J43*1000-J223),"")</f>
        <v/>
      </c>
      <c r="K227" s="1381" t="str">
        <f>IF(AND(ISNUMBER(K43),ISNUMBER(K223)),MAX(0,K43*1000-K223),"")</f>
        <v/>
      </c>
    </row>
    <row r="228">
      <c r="A228" s="1394" t="s">
        <v>1875</v>
      </c>
      <c r="B228" s="1381">
        <f>IF(AND(ISNUMBER(B227),ISNUMBER(B170)),B227*B170,"")</f>
        <v>1823077.7935999997</v>
      </c>
      <c r="C228" s="1381">
        <f>IF(AND(ISNUMBER(C227),ISNUMBER(C170)),C227*C170,"")</f>
        <v>5216897.0638</v>
      </c>
      <c r="D228" s="1381">
        <f>IF(AND(ISNUMBER(D227),ISNUMBER(D170)),D227*D170,"")</f>
        <v>3087813.4413</v>
      </c>
      <c r="E228" s="1381">
        <f>IF(AND(ISNUMBER(E227),ISNUMBER(E170)),E227*E170,"")</f>
        <v>4241630.0064</v>
      </c>
      <c r="F228" s="1381">
        <f>IF(AND(ISNUMBER(F227),ISNUMBER(F170)),F227*F170,"")</f>
        <v>2355833.5177000007</v>
      </c>
      <c r="G228" s="1395" t="str">
        <f>IF(AND(ISNUMBER(G227),ISNUMBER(G170)),G227*G170,"")</f>
        <v/>
      </c>
      <c r="H228" s="1381" t="str">
        <f>IF(AND(ISNUMBER(H227),ISNUMBER(H170)),H227*H170,"")</f>
        <v/>
      </c>
      <c r="I228" s="1381" t="str">
        <f>IF(AND(ISNUMBER(I227),ISNUMBER(I170)),I227*I170,"")</f>
        <v/>
      </c>
      <c r="J228" s="1381" t="str">
        <f>IF(AND(ISNUMBER(J227),ISNUMBER(J170)),J227*J170,"")</f>
        <v/>
      </c>
      <c r="K228" s="1381" t="str">
        <f>IF(AND(ISNUMBER(K227),ISNUMBER(K170)),K227*K170,"")</f>
        <v/>
      </c>
    </row>
    <row r="229">
      <c r="A229" s="1401" t="s">
        <v>1876</v>
      </c>
      <c r="B229" s="1398">
        <f>IF(ISNUMBER(B225),B225,0)+IF(ISNUMBER(B226),B226,0)+IF(ISNUMBER(B228),B228,0)</f>
        <v>5273897.730939632</v>
      </c>
      <c r="C229" s="1398">
        <f>IF(ISNUMBER(C225),C225,0)+IF(ISNUMBER(C226),C226,0)+IF(ISNUMBER(C228),C228,0)</f>
        <v>8667717.001139633</v>
      </c>
      <c r="D229" s="1398">
        <f>IF(ISNUMBER(D225),D225,0)+IF(ISNUMBER(D226),D226,0)+IF(ISNUMBER(D228),D228,0)</f>
        <v>6538633.378639633</v>
      </c>
      <c r="E229" s="1398">
        <f>IF(ISNUMBER(E225),E225,0)+IF(ISNUMBER(E226),E226,0)+IF(ISNUMBER(E228),E228,0)</f>
        <v>7692449.943739633</v>
      </c>
      <c r="F229" s="1398">
        <f>IF(ISNUMBER(F225),F225,0)+IF(ISNUMBER(F226),F226,0)+IF(ISNUMBER(F228),F228,0)</f>
        <v>5806653.455039633</v>
      </c>
      <c r="G229" s="1400">
        <f>IF(ISNUMBER(G225),G225,0)+IF(ISNUMBER(G226),G226,0)+IF(ISNUMBER(G228),G228,0)</f>
        <v>827283.6000000001</v>
      </c>
      <c r="H229" s="1398">
        <f>IF(ISNUMBER(H225),H225,0)+IF(ISNUMBER(H226),H226,0)+IF(ISNUMBER(H228),H228,0)</f>
        <v>827283.6000000001</v>
      </c>
      <c r="I229" s="1398">
        <f>IF(ISNUMBER(I225),I225,0)+IF(ISNUMBER(I226),I226,0)+IF(ISNUMBER(I228),I228,0)</f>
        <v>827283.6000000001</v>
      </c>
      <c r="J229" s="1398">
        <f>IF(ISNUMBER(J225),J225,0)+IF(ISNUMBER(J226),J226,0)+IF(ISNUMBER(J228),J228,0)</f>
        <v>827283.6000000001</v>
      </c>
      <c r="K229" s="1398">
        <f>IF(ISNUMBER(K225),K225,0)+IF(ISNUMBER(K226),K226,0)+IF(ISNUMBER(K228),K228,0)</f>
        <v>606646.8</v>
      </c>
    </row>
    <row r="230">
      <c r="A230" s="1394" t="s">
        <v>1877</v>
      </c>
      <c r="B230" s="1248">
        <f>IF(AND(ISNUMBER(B43),B43&lt;&gt;0),B229/(B43*1000),"")</f>
        <v>97.171716308723</v>
      </c>
      <c r="C230" s="1248">
        <f>IF(AND(ISNUMBER(C43),C43&lt;&gt;0),C229/(C43*1000),"")</f>
        <v>110.99366133713612</v>
      </c>
      <c r="D230" s="1248">
        <f>IF(AND(ISNUMBER(D43),D43&lt;&gt;0),D229/(D43*1000),"")</f>
        <v>120.623413556176</v>
      </c>
      <c r="E230" s="1248">
        <f>IF(AND(ISNUMBER(E43),E43&lt;&gt;0),E229/(E43*1000),"")</f>
        <v>111.00536730843073</v>
      </c>
      <c r="F230" s="1248">
        <f>IF(AND(ISNUMBER(F43),F43&lt;&gt;0),F229/(F43*1000),"")</f>
        <v>90.54645254159011</v>
      </c>
      <c r="G230" s="1264" t="str">
        <f>IF(AND(ISNUMBER(G43),G43&lt;&gt;0),G229/(G43*1000),"")</f>
        <v/>
      </c>
      <c r="H230" s="1248" t="str">
        <f>IF(AND(ISNUMBER(H43),H43&lt;&gt;0),H229/(H43*1000),"")</f>
        <v/>
      </c>
      <c r="I230" s="1248" t="str">
        <f>IF(AND(ISNUMBER(I43),I43&lt;&gt;0),I229/(I43*1000),"")</f>
        <v/>
      </c>
      <c r="J230" s="1248" t="str">
        <f>IF(AND(ISNUMBER(J43),J43&lt;&gt;0),J229/(J43*1000),"")</f>
        <v/>
      </c>
      <c r="K230" s="1248" t="str">
        <f>IF(AND(ISNUMBER(K43),K43&lt;&gt;0),K229/(K43*1000),"")</f>
        <v/>
      </c>
    </row>
    <row r="231">
      <c r="A231" s="1394" t="s">
        <v>1878</v>
      </c>
      <c r="B231" s="1249" t="str">
        <f>IF(ISNUMBER(B230),IF(AND(B230&gt;=MIN(B170,B184)*0.85,B230&lt;=MAX(B170,B184)*1.15),"IN BAND","FLAG: OUT OF BAND"),"")</f>
        <v>IN BAND</v>
      </c>
      <c r="C231" s="1249" t="str">
        <f>IF(ISNUMBER(C230),IF(AND(C230&gt;=MIN(C170,C184)*0.85,C230&lt;=MAX(C170,C184)*1.15),"IN BAND","FLAG: OUT OF BAND"),"")</f>
        <v>IN BAND</v>
      </c>
      <c r="D231" s="1249" t="str">
        <f>IF(ISNUMBER(D230),IF(AND(D230&gt;=MIN(D170,D184)*0.85,D230&lt;=MAX(D170,D184)*1.15),"IN BAND","FLAG: OUT OF BAND"),"")</f>
        <v>IN BAND</v>
      </c>
      <c r="E231" s="1249" t="str">
        <f>IF(ISNUMBER(E230),IF(AND(E230&gt;=MIN(E170,E184)*0.85,E230&lt;=MAX(E170,E184)*1.15),"IN BAND","FLAG: OUT OF BAND"),"")</f>
        <v>IN BAND</v>
      </c>
      <c r="F231" s="1249" t="str">
        <f>IF(ISNUMBER(F230),IF(AND(F230&gt;=MIN(F170,F184)*0.85,F230&lt;=MAX(F170,F184)*1.15),"IN BAND","FLAG: OUT OF BAND"),"")</f>
        <v>IN BAND</v>
      </c>
      <c r="G231" s="1253" t="str">
        <f>IF(ISNUMBER(G230),IF(AND(G230&gt;=MIN(G170,G184)*0.85,G230&lt;=MAX(G170,G184)*1.15),"IN BAND","FLAG: OUT OF BAND"),"")</f>
        <v/>
      </c>
      <c r="H231" s="1249" t="str">
        <f>IF(ISNUMBER(H230),IF(AND(H230&gt;=MIN(H170,H184)*0.85,H230&lt;=MAX(H170,H184)*1.15),"IN BAND","FLAG: OUT OF BAND"),"")</f>
        <v/>
      </c>
      <c r="I231" s="1249" t="str">
        <f>IF(ISNUMBER(I230),IF(AND(I230&gt;=MIN(I170,I184)*0.85,I230&lt;=MAX(I170,I184)*1.15),"IN BAND","FLAG: OUT OF BAND"),"")</f>
        <v/>
      </c>
      <c r="J231" s="1249" t="str">
        <f>IF(ISNUMBER(J230),IF(AND(J230&gt;=MIN(J170,J184)*0.85,J230&lt;=MAX(J170,J184)*1.15),"IN BAND","FLAG: OUT OF BAND"),"")</f>
        <v/>
      </c>
      <c r="K231" s="1249" t="str">
        <f>IF(ISNUMBER(K230),IF(AND(K230&gt;=MIN(K170,K184)*0.85,K230&lt;=MAX(K170,K184)*1.15),"IN BAND","FLAG: OUT OF BAND"),"")</f>
        <v/>
      </c>
    </row>
    <row r="232">
      <c r="A232" s="1240"/>
      <c r="B232" s="1240"/>
      <c r="C232" s="1240"/>
      <c r="D232" s="1240"/>
      <c r="E232" s="1240"/>
      <c r="F232" s="1240"/>
      <c r="G232" s="1254"/>
      <c r="H232" s="1240"/>
      <c r="I232" s="1240"/>
      <c r="J232" s="1240"/>
      <c r="K232" s="1240"/>
    </row>
    <row r="233">
      <c r="A233" s="1394" t="s">
        <v>1883</v>
      </c>
      <c r="G233" s="1254"/>
    </row>
    <row r="234">
      <c r="A234" s="1394" t="s">
        <v>1870</v>
      </c>
      <c r="B234" s="1416">
        <v>174857</v>
      </c>
      <c r="C234" s="1416">
        <v>174857</v>
      </c>
      <c r="D234" s="1416">
        <v>174857</v>
      </c>
      <c r="E234" s="1416">
        <v>201928</v>
      </c>
      <c r="F234" s="1416">
        <v>201928</v>
      </c>
      <c r="G234" s="1395" t="s">
        <v>109</v>
      </c>
      <c r="H234" s="1381" t="s">
        <v>109</v>
      </c>
      <c r="I234" s="1381" t="s">
        <v>109</v>
      </c>
      <c r="J234" s="1381" t="s">
        <v>109</v>
      </c>
      <c r="K234" s="1381" t="s">
        <v>109</v>
      </c>
    </row>
    <row r="235">
      <c r="A235" s="1394" t="s">
        <v>1884</v>
      </c>
      <c r="G235" s="1254"/>
    </row>
    <row r="236">
      <c r="A236" s="1394" t="s">
        <v>1872</v>
      </c>
      <c r="B236" s="1381">
        <f>IF(AND(ISNUMBER(B64),ISNUMBER(B65)),B64*1000*B65*12,0)+IF(AND(ISNUMBER(B68),ISNUMBER(B69)),B68*1000*B69*12,0)</f>
        <v>8401181.04</v>
      </c>
      <c r="C236" s="1381">
        <f>IF(AND(ISNUMBER(C64),ISNUMBER(C65)),C64*1000*C65*12,0)+IF(AND(ISNUMBER(C68),ISNUMBER(C69)),C68*1000*C69*12,0)</f>
        <v>8401181.04</v>
      </c>
      <c r="D236" s="1381">
        <f>IF(AND(ISNUMBER(D64),ISNUMBER(D65)),D64*1000*D65*12,0)+IF(AND(ISNUMBER(D68),ISNUMBER(D69)),D68*1000*D69*12,0)</f>
        <v>8401181.04</v>
      </c>
      <c r="E236" s="1381">
        <f>IF(AND(ISNUMBER(E64),ISNUMBER(E65)),E64*1000*E65*12,0)+IF(AND(ISNUMBER(E68),ISNUMBER(E69)),E68*1000*E69*12,0)</f>
        <v>8401181.04</v>
      </c>
      <c r="F236" s="1381">
        <f>IF(AND(ISNUMBER(F64),ISNUMBER(F65)),F64*1000*F65*12,0)+IF(AND(ISNUMBER(F68),ISNUMBER(F69)),F68*1000*F69*12,0)</f>
        <v>8401181.04</v>
      </c>
      <c r="G236" s="1395">
        <f>IF(AND(ISNUMBER(G64),ISNUMBER(G65)),G64*1000*G65*12,0)+IF(AND(ISNUMBER(G68),ISNUMBER(G69)),G68*1000*G69*12,0)</f>
        <v>1932487.92</v>
      </c>
      <c r="H236" s="1381">
        <f>IF(AND(ISNUMBER(H64),ISNUMBER(H65)),H64*1000*H65*12,0)+IF(AND(ISNUMBER(H68),ISNUMBER(H69)),H68*1000*H69*12,0)</f>
        <v>0</v>
      </c>
      <c r="I236" s="1381">
        <f>IF(AND(ISNUMBER(I64),ISNUMBER(I65)),I64*1000*I65*12,0)+IF(AND(ISNUMBER(I68),ISNUMBER(I69)),I68*1000*I69*12,0)</f>
        <v>0</v>
      </c>
      <c r="J236" s="1381">
        <f>IF(AND(ISNUMBER(J64),ISNUMBER(J65)),J64*1000*J65*12,0)+IF(AND(ISNUMBER(J68),ISNUMBER(J69)),J68*1000*J69*12,0)</f>
        <v>0</v>
      </c>
      <c r="K236" s="1381">
        <f>IF(AND(ISNUMBER(K64),ISNUMBER(K65)),K64*1000*K65*12,0)+IF(AND(ISNUMBER(K68),ISNUMBER(K69)),K68*1000*K69*12,0)</f>
        <v>0</v>
      </c>
    </row>
    <row r="237">
      <c r="A237" s="1394" t="s">
        <v>1873</v>
      </c>
      <c r="B237" s="1381">
        <f>IF(AND(ISNUMBER(B234),ISNUMBER(B181)),B234*B181,"")</f>
        <v>14097488.297501903</v>
      </c>
      <c r="C237" s="1381">
        <f>IF(AND(ISNUMBER(C234),ISNUMBER(C181)),C234*C181,"")</f>
        <v>14097488.297501903</v>
      </c>
      <c r="D237" s="1381">
        <f>IF(AND(ISNUMBER(D234),ISNUMBER(D181)),D234*D181,"")</f>
        <v>14097488.297501903</v>
      </c>
      <c r="E237" s="1381">
        <f>IF(AND(ISNUMBER(E234),ISNUMBER(E181)),E234*E181,"")</f>
        <v>18186525.519549243</v>
      </c>
      <c r="F237" s="1381">
        <f>IF(AND(ISNUMBER(F234),ISNUMBER(F181)),F234*F181,"")</f>
        <v>18178267.55273664</v>
      </c>
      <c r="G237" s="1395" t="str">
        <f>IF(AND(ISNUMBER(G234),ISNUMBER(G181)),G234*G181,"")</f>
        <v/>
      </c>
      <c r="H237" s="1381" t="str">
        <f>IF(AND(ISNUMBER(H234),ISNUMBER(H181)),H234*H181,"")</f>
        <v/>
      </c>
      <c r="I237" s="1381" t="str">
        <f>IF(AND(ISNUMBER(I234),ISNUMBER(I181)),I234*I181,"")</f>
        <v/>
      </c>
      <c r="J237" s="1381" t="str">
        <f>IF(AND(ISNUMBER(J234),ISNUMBER(J181)),J234*J181,"")</f>
        <v/>
      </c>
      <c r="K237" s="1381" t="str">
        <f>IF(AND(ISNUMBER(K234),ISNUMBER(K181)),K234*K181,"")</f>
        <v/>
      </c>
    </row>
    <row r="238">
      <c r="A238" s="1394" t="s">
        <v>1874</v>
      </c>
      <c r="B238" s="1381">
        <f>IF(AND(ISNUMBER(B46),ISNUMBER(B234)),MAX(0,B46*1000-B234),"")</f>
        <v>81905</v>
      </c>
      <c r="C238" s="1381">
        <f>IF(AND(ISNUMBER(C46),ISNUMBER(C234)),MAX(0,C46*1000-C234),"")</f>
        <v>151706</v>
      </c>
      <c r="D238" s="1381">
        <f>IF(AND(ISNUMBER(D46),ISNUMBER(D234)),MAX(0,D46*1000-D234),"")</f>
        <v>46476</v>
      </c>
      <c r="E238" s="1381">
        <f>IF(AND(ISNUMBER(E46),ISNUMBER(E234)),MAX(0,E46*1000-E234),"")</f>
        <v>84421</v>
      </c>
      <c r="F238" s="1381">
        <f>IF(AND(ISNUMBER(F46),ISNUMBER(F234)),MAX(0,F46*1000-F234),"")</f>
        <v>70403</v>
      </c>
      <c r="G238" s="1395" t="str">
        <f>IF(AND(ISNUMBER(G46),ISNUMBER(G234)),MAX(0,G46*1000-G234),"")</f>
        <v/>
      </c>
      <c r="H238" s="1381" t="str">
        <f>IF(AND(ISNUMBER(H46),ISNUMBER(H234)),MAX(0,H46*1000-H234),"")</f>
        <v/>
      </c>
      <c r="I238" s="1381" t="str">
        <f>IF(AND(ISNUMBER(I46),ISNUMBER(I234)),MAX(0,I46*1000-I234),"")</f>
        <v/>
      </c>
      <c r="J238" s="1381" t="str">
        <f>IF(AND(ISNUMBER(J46),ISNUMBER(J234)),MAX(0,J46*1000-J234),"")</f>
        <v/>
      </c>
      <c r="K238" s="1381" t="str">
        <f>IF(AND(ISNUMBER(K46),ISNUMBER(K234)),MAX(0,K46*1000-K234),"")</f>
        <v/>
      </c>
    </row>
    <row r="239">
      <c r="A239" s="1394" t="s">
        <v>1875</v>
      </c>
      <c r="B239" s="1381">
        <f>IF(AND(ISNUMBER(B238),ISNUMBER(B170)),B238*B170,"")</f>
        <v>5821864.733499999</v>
      </c>
      <c r="C239" s="1381">
        <f>IF(AND(ISNUMBER(C238),ISNUMBER(C170)),C238*C170,"")</f>
        <v>15999567.0958</v>
      </c>
      <c r="D239" s="1381">
        <f>IF(AND(ISNUMBER(D238),ISNUMBER(D170)),D238*D170,"")</f>
        <v>5609992.4748</v>
      </c>
      <c r="E239" s="1381">
        <f>IF(AND(ISNUMBER(E238),ISNUMBER(E170)),E238*E170,"")</f>
        <v>8804156.3427</v>
      </c>
      <c r="F239" s="1381">
        <f>IF(AND(ISNUMBER(F238),ISNUMBER(F170)),F238*F170,"")</f>
        <v>4671654.427700001</v>
      </c>
      <c r="G239" s="1395" t="str">
        <f>IF(AND(ISNUMBER(G238),ISNUMBER(G170)),G238*G170,"")</f>
        <v/>
      </c>
      <c r="H239" s="1381" t="str">
        <f>IF(AND(ISNUMBER(H238),ISNUMBER(H170)),H238*H170,"")</f>
        <v/>
      </c>
      <c r="I239" s="1381" t="str">
        <f>IF(AND(ISNUMBER(I238),ISNUMBER(I170)),I238*I170,"")</f>
        <v/>
      </c>
      <c r="J239" s="1381" t="str">
        <f>IF(AND(ISNUMBER(J238),ISNUMBER(J170)),J238*J170,"")</f>
        <v/>
      </c>
      <c r="K239" s="1381" t="str">
        <f>IF(AND(ISNUMBER(K238),ISNUMBER(K170)),K238*K170,"")</f>
        <v/>
      </c>
    </row>
    <row r="240">
      <c r="A240" s="1401" t="s">
        <v>1876</v>
      </c>
      <c r="B240" s="1398">
        <f>IF(ISNUMBER(B236),B236,0)+IF(ISNUMBER(B237),B237,0)+IF(ISNUMBER(B239),B239,0)</f>
        <v>28320534.071001902</v>
      </c>
      <c r="C240" s="1398">
        <f>IF(ISNUMBER(C236),C236,0)+IF(ISNUMBER(C237),C237,0)+IF(ISNUMBER(C239),C239,0)</f>
        <v>38498236.4333019</v>
      </c>
      <c r="D240" s="1398">
        <f>IF(ISNUMBER(D236),D236,0)+IF(ISNUMBER(D237),D237,0)+IF(ISNUMBER(D239),D239,0)</f>
        <v>28108661.812301904</v>
      </c>
      <c r="E240" s="1398">
        <f>IF(ISNUMBER(E236),E236,0)+IF(ISNUMBER(E237),E237,0)+IF(ISNUMBER(E239),E239,0)</f>
        <v>35391862.90224925</v>
      </c>
      <c r="F240" s="1398">
        <f>IF(ISNUMBER(F236),F236,0)+IF(ISNUMBER(F237),F237,0)+IF(ISNUMBER(F239),F239,0)</f>
        <v>31251103.02043664</v>
      </c>
      <c r="G240" s="1400">
        <f>IF(ISNUMBER(G236),G236,0)+IF(ISNUMBER(G237),G237,0)+IF(ISNUMBER(G239),G239,0)</f>
        <v>1932487.92</v>
      </c>
      <c r="H240" s="1398">
        <f>IF(ISNUMBER(H236),H236,0)+IF(ISNUMBER(H237),H237,0)+IF(ISNUMBER(H239),H239,0)</f>
        <v>0</v>
      </c>
      <c r="I240" s="1398">
        <f>IF(ISNUMBER(I236),I236,0)+IF(ISNUMBER(I237),I237,0)+IF(ISNUMBER(I239),I239,0)</f>
        <v>0</v>
      </c>
      <c r="J240" s="1398">
        <f>IF(ISNUMBER(J236),J236,0)+IF(ISNUMBER(J237),J237,0)+IF(ISNUMBER(J239),J239,0)</f>
        <v>0</v>
      </c>
      <c r="K240" s="1398">
        <f>IF(ISNUMBER(K236),K236,0)+IF(ISNUMBER(K237),K237,0)+IF(ISNUMBER(K239),K239,0)</f>
        <v>0</v>
      </c>
    </row>
    <row r="241">
      <c r="A241" s="1394" t="s">
        <v>1877</v>
      </c>
      <c r="B241" s="1248">
        <f>IF(AND(ISNUMBER(B46),B46&lt;&gt;0),B240/(B46*1000),"")</f>
        <v>110.29877501733863</v>
      </c>
      <c r="C241" s="1248">
        <f>IF(AND(ISNUMBER(C46),C46&lt;&gt;0),C240/(C46*1000),"")</f>
        <v>117.88915594633166</v>
      </c>
      <c r="D241" s="1248">
        <f>IF(AND(ISNUMBER(D46),D46&lt;&gt;0),D240/(D46*1000),"")</f>
        <v>126.99715728021535</v>
      </c>
      <c r="E241" s="1248">
        <f>IF(AND(ISNUMBER(E46),E46&lt;&gt;0),E240/(E46*1000),"")</f>
        <v>123.59694953448151</v>
      </c>
      <c r="F241" s="1248">
        <f>IF(AND(ISNUMBER(F46),F46&lt;&gt;0),F240/(F46*1000),"")</f>
        <v>114.75411547138093</v>
      </c>
      <c r="G241" s="1264" t="str">
        <f>IF(AND(ISNUMBER(G46),G46&lt;&gt;0),G240/(G46*1000),"")</f>
        <v/>
      </c>
      <c r="H241" s="1248" t="str">
        <f>IF(AND(ISNUMBER(H46),H46&lt;&gt;0),H240/(H46*1000),"")</f>
        <v/>
      </c>
      <c r="I241" s="1248" t="str">
        <f>IF(AND(ISNUMBER(I46),I46&lt;&gt;0),I240/(I46*1000),"")</f>
        <v/>
      </c>
      <c r="J241" s="1248" t="str">
        <f>IF(AND(ISNUMBER(J46),J46&lt;&gt;0),J240/(J46*1000),"")</f>
        <v/>
      </c>
      <c r="K241" s="1248" t="str">
        <f>IF(AND(ISNUMBER(K46),K46&lt;&gt;0),K240/(K46*1000),"")</f>
        <v/>
      </c>
    </row>
    <row r="242">
      <c r="A242" s="1394" t="s">
        <v>1878</v>
      </c>
      <c r="B242" s="1249" t="str">
        <f>IF(ISNUMBER(B241),IF(AND(B241&gt;=MIN(B170,B181)*0.85,B241&lt;=MAX(B170,B181)*1.15),"IN BAND","FLAG: OUT OF BAND"),"")</f>
        <v>FLAG: OUT OF BAND</v>
      </c>
      <c r="C242" s="1249" t="str">
        <f>IF(ISNUMBER(C241),IF(AND(C241&gt;=MIN(C170,C181)*0.85,C241&lt;=MAX(C170,C181)*1.15),"IN BAND","FLAG: OUT OF BAND"),"")</f>
        <v>IN BAND</v>
      </c>
      <c r="D242" s="1249" t="str">
        <f>IF(ISNUMBER(D241),IF(AND(D241&gt;=MIN(D170,D181)*0.85,D241&lt;=MAX(D170,D181)*1.15),"IN BAND","FLAG: OUT OF BAND"),"")</f>
        <v>IN BAND</v>
      </c>
      <c r="E242" s="1249" t="str">
        <f>IF(ISNUMBER(E241),IF(AND(E241&gt;=MIN(E170,E181)*0.85,E241&lt;=MAX(E170,E181)*1.15),"IN BAND","FLAG: OUT OF BAND"),"")</f>
        <v>FLAG: OUT OF BAND</v>
      </c>
      <c r="F242" s="1249" t="str">
        <f>IF(ISNUMBER(F241),IF(AND(F241&gt;=MIN(F170,F181)*0.85,F241&lt;=MAX(F170,F181)*1.15),"IN BAND","FLAG: OUT OF BAND"),"")</f>
        <v>FLAG: OUT OF BAND</v>
      </c>
      <c r="G242" s="1253" t="str">
        <f>IF(ISNUMBER(G241),IF(AND(G241&gt;=MIN(G170,G181)*0.85,G241&lt;=MAX(G170,G181)*1.15),"IN BAND","FLAG: OUT OF BAND"),"")</f>
        <v/>
      </c>
      <c r="H242" s="1249" t="str">
        <f>IF(ISNUMBER(H241),IF(AND(H241&gt;=MIN(H170,H181)*0.85,H241&lt;=MAX(H170,H181)*1.15),"IN BAND","FLAG: OUT OF BAND"),"")</f>
        <v/>
      </c>
      <c r="I242" s="1249" t="str">
        <f>IF(ISNUMBER(I241),IF(AND(I241&gt;=MIN(I170,I181)*0.85,I241&lt;=MAX(I170,I181)*1.15),"IN BAND","FLAG: OUT OF BAND"),"")</f>
        <v/>
      </c>
      <c r="J242" s="1249" t="str">
        <f>IF(ISNUMBER(J241),IF(AND(J241&gt;=MIN(J170,J181)*0.85,J241&lt;=MAX(J170,J181)*1.15),"IN BAND","FLAG: OUT OF BAND"),"")</f>
        <v/>
      </c>
      <c r="K242" s="1249" t="str">
        <f>IF(ISNUMBER(K241),IF(AND(K241&gt;=MIN(K170,K181)*0.85,K241&lt;=MAX(K170,K181)*1.15),"IN BAND","FLAG: OUT OF BAND"),"")</f>
        <v/>
      </c>
    </row>
    <row r="243">
      <c r="A243" s="1240"/>
      <c r="B243" s="1240"/>
      <c r="C243" s="1240"/>
      <c r="D243" s="1240"/>
      <c r="E243" s="1240"/>
      <c r="F243" s="1240"/>
      <c r="G243" s="1254"/>
      <c r="H243" s="1240"/>
      <c r="I243" s="1240"/>
      <c r="J243" s="1240"/>
      <c r="K243" s="1240"/>
    </row>
    <row r="244">
      <c r="A244" s="1394" t="s">
        <v>1885</v>
      </c>
      <c r="G244" s="1254"/>
    </row>
    <row r="245">
      <c r="A245" s="1394" t="s">
        <v>1886</v>
      </c>
      <c r="G245" s="1254"/>
    </row>
    <row r="246">
      <c r="A246" s="1394" t="s">
        <v>1887</v>
      </c>
      <c r="B246" s="1381" t="str">
        <f>IF(ISNUMBER(B50),B50*1000,"")</f>
        <v/>
      </c>
      <c r="C246" s="1381" t="str">
        <f>IF(ISNUMBER(C50),C50*1000,"")</f>
        <v/>
      </c>
      <c r="D246" s="1381">
        <f>IF(ISNUMBER(D50),D50*1000,"")</f>
        <v>2612</v>
      </c>
      <c r="E246" s="1381">
        <f>IF(ISNUMBER(E50),E50*1000,"")</f>
        <v>17743</v>
      </c>
      <c r="F246" s="1381">
        <f>IF(ISNUMBER(F50),F50*1000,"")</f>
        <v>17114</v>
      </c>
      <c r="G246" s="1395" t="str">
        <f>IF(ISNUMBER(G50),G50*1000,"")</f>
        <v/>
      </c>
      <c r="H246" s="1381" t="str">
        <f>IF(ISNUMBER(H50),H50*1000,"")</f>
        <v/>
      </c>
      <c r="I246" s="1381" t="str">
        <f>IF(ISNUMBER(I50),I50*1000,"")</f>
        <v/>
      </c>
      <c r="J246" s="1381" t="str">
        <f>IF(ISNUMBER(J50),J50*1000,"")</f>
        <v/>
      </c>
      <c r="K246" s="1381" t="str">
        <f>IF(ISNUMBER(K50),K50*1000,"")</f>
        <v/>
      </c>
    </row>
    <row r="247">
      <c r="A247" s="1394" t="s">
        <v>1888</v>
      </c>
      <c r="G247" s="1254"/>
    </row>
    <row r="248">
      <c r="A248" s="1394" t="s">
        <v>1875</v>
      </c>
      <c r="B248" s="1381" t="str">
        <f>IF(AND(ISNUMBER(B246),ISNUMBER(B170)),B246*B170,"")</f>
        <v/>
      </c>
      <c r="C248" s="1381" t="str">
        <f>IF(AND(ISNUMBER(C246),ISNUMBER(C170)),C246*C170,"")</f>
        <v/>
      </c>
      <c r="D248" s="1381">
        <f>IF(AND(ISNUMBER(D246),ISNUMBER(D170)),D246*D170,"")</f>
        <v>315287.46760000003</v>
      </c>
      <c r="E248" s="1381">
        <f>IF(AND(ISNUMBER(E246),ISNUMBER(E170)),E246*E170,"")</f>
        <v>1850394.4041000002</v>
      </c>
      <c r="F248" s="1381">
        <f>IF(AND(ISNUMBER(F246),ISNUMBER(F170)),F246*F170,"")</f>
        <v>1135614.8726000001</v>
      </c>
      <c r="G248" s="1395" t="str">
        <f>IF(AND(ISNUMBER(G246),ISNUMBER(G170)),G246*G170,"")</f>
        <v/>
      </c>
      <c r="H248" s="1381" t="str">
        <f>IF(AND(ISNUMBER(H246),ISNUMBER(H170)),H246*H170,"")</f>
        <v/>
      </c>
      <c r="I248" s="1381" t="str">
        <f>IF(AND(ISNUMBER(I246),ISNUMBER(I170)),I246*I170,"")</f>
        <v/>
      </c>
      <c r="J248" s="1381" t="str">
        <f>IF(AND(ISNUMBER(J246),ISNUMBER(J170)),J246*J170,"")</f>
        <v/>
      </c>
      <c r="K248" s="1381" t="str">
        <f>IF(AND(ISNUMBER(K246),ISNUMBER(K170)),K246*K170,"")</f>
        <v/>
      </c>
    </row>
    <row r="249">
      <c r="A249" s="1401" t="s">
        <v>1876</v>
      </c>
      <c r="B249" s="1398">
        <f>IF(ISNUMBER(B248),B248,0)</f>
        <v>0</v>
      </c>
      <c r="C249" s="1398">
        <f>IF(ISNUMBER(C248),C248,0)</f>
        <v>0</v>
      </c>
      <c r="D249" s="1398">
        <f>IF(ISNUMBER(D248),D248,0)</f>
        <v>315287.46760000003</v>
      </c>
      <c r="E249" s="1398">
        <f>IF(ISNUMBER(E248),E248,0)</f>
        <v>1850394.4041000002</v>
      </c>
      <c r="F249" s="1398">
        <f>IF(ISNUMBER(F248),F248,0)</f>
        <v>1135614.8726000001</v>
      </c>
      <c r="G249" s="1400">
        <f>IF(ISNUMBER(G248),G248,0)</f>
        <v>0</v>
      </c>
      <c r="H249" s="1398">
        <f>IF(ISNUMBER(H248),H248,0)</f>
        <v>0</v>
      </c>
      <c r="I249" s="1398">
        <f>IF(ISNUMBER(I248),I248,0)</f>
        <v>0</v>
      </c>
      <c r="J249" s="1398">
        <f>IF(ISNUMBER(J248),J248,0)</f>
        <v>0</v>
      </c>
      <c r="K249" s="1398">
        <f>IF(ISNUMBER(K248),K248,0)</f>
        <v>0</v>
      </c>
    </row>
    <row r="250">
      <c r="A250" s="1394" t="s">
        <v>1877</v>
      </c>
      <c r="B250" s="1248" t="str">
        <f>IF(AND(ISNUMBER(B50),B50&lt;&gt;0),B249/(B50*1000),"")</f>
        <v/>
      </c>
      <c r="C250" s="1248" t="str">
        <f>IF(AND(ISNUMBER(C50),C50&lt;&gt;0),C249/(C50*1000),"")</f>
        <v/>
      </c>
      <c r="D250" s="1248">
        <f>IF(AND(ISNUMBER(D50),D50&lt;&gt;0),D249/(D50*1000),"")</f>
        <v>120.70730000000002</v>
      </c>
      <c r="E250" s="1248">
        <f>IF(AND(ISNUMBER(E50),E50&lt;&gt;0),E249/(E50*1000),"")</f>
        <v>104.2887</v>
      </c>
      <c r="F250" s="1248">
        <f>IF(AND(ISNUMBER(F50),F50&lt;&gt;0),F249/(F50*1000),"")</f>
        <v>66.3559</v>
      </c>
      <c r="G250" s="1264" t="str">
        <f>IF(AND(ISNUMBER(G50),G50&lt;&gt;0),G249/(G50*1000),"")</f>
        <v/>
      </c>
      <c r="H250" s="1248" t="str">
        <f>IF(AND(ISNUMBER(H50),H50&lt;&gt;0),H249/(H50*1000),"")</f>
        <v/>
      </c>
      <c r="I250" s="1248" t="str">
        <f>IF(AND(ISNUMBER(I50),I50&lt;&gt;0),I249/(I50*1000),"")</f>
        <v/>
      </c>
      <c r="J250" s="1248" t="str">
        <f>IF(AND(ISNUMBER(J50),J50&lt;&gt;0),J249/(J50*1000),"")</f>
        <v/>
      </c>
      <c r="K250" s="1248" t="str">
        <f>IF(AND(ISNUMBER(K50),K50&lt;&gt;0),K249/(K50*1000),"")</f>
        <v/>
      </c>
    </row>
    <row r="251">
      <c r="A251" s="1394" t="s">
        <v>1889</v>
      </c>
      <c r="B251" s="1249" t="str">
        <f>IF(ISNUMBER(B250),IF(AND(B250&gt;=B170*0.85,B250&lt;=B170*1.15),"IN BAND (vs spot)","FLAG: OUT OF BAND"),"")</f>
        <v/>
      </c>
      <c r="C251" s="1249" t="str">
        <f>IF(ISNUMBER(C250),IF(AND(C250&gt;=C170*0.85,C250&lt;=C170*1.15),"IN BAND (vs spot)","FLAG: OUT OF BAND"),"")</f>
        <v/>
      </c>
      <c r="D251" s="1249" t="str">
        <f>IF(ISNUMBER(D250),IF(AND(D250&gt;=D170*0.85,D250&lt;=D170*1.15),"IN BAND (vs spot)","FLAG: OUT OF BAND"),"")</f>
        <v>IN BAND (vs spot)</v>
      </c>
      <c r="E251" s="1249" t="str">
        <f>IF(ISNUMBER(E250),IF(AND(E250&gt;=E170*0.85,E250&lt;=E170*1.15),"IN BAND (vs spot)","FLAG: OUT OF BAND"),"")</f>
        <v>IN BAND (vs spot)</v>
      </c>
      <c r="F251" s="1249" t="str">
        <f>IF(ISNUMBER(F250),IF(AND(F250&gt;=F170*0.85,F250&lt;=F170*1.15),"IN BAND (vs spot)","FLAG: OUT OF BAND"),"")</f>
        <v>IN BAND (vs spot)</v>
      </c>
      <c r="G251" s="1253" t="str">
        <f>IF(ISNUMBER(G250),IF(AND(G250&gt;=G170*0.85,G250&lt;=G170*1.15),"IN BAND (vs spot)","FLAG: OUT OF BAND"),"")</f>
        <v/>
      </c>
      <c r="H251" s="1249" t="str">
        <f>IF(ISNUMBER(H250),IF(AND(H250&gt;=H170*0.85,H250&lt;=H170*1.15),"IN BAND (vs spot)","FLAG: OUT OF BAND"),"")</f>
        <v/>
      </c>
      <c r="I251" s="1249" t="str">
        <f>IF(ISNUMBER(I250),IF(AND(I250&gt;=I170*0.85,I250&lt;=I170*1.15),"IN BAND (vs spot)","FLAG: OUT OF BAND"),"")</f>
        <v/>
      </c>
      <c r="J251" s="1249" t="str">
        <f>IF(ISNUMBER(J250),IF(AND(J250&gt;=J170*0.85,J250&lt;=J170*1.15),"IN BAND (vs spot)","FLAG: OUT OF BAND"),"")</f>
        <v/>
      </c>
      <c r="K251" s="1249" t="str">
        <f>IF(ISNUMBER(K250),IF(AND(K250&gt;=K170*0.85,K250&lt;=K170*1.15),"IN BAND (vs spot)","FLAG: OUT OF BAND"),"")</f>
        <v/>
      </c>
    </row>
    <row r="252">
      <c r="A252" s="1240"/>
      <c r="B252" s="1240"/>
      <c r="C252" s="1240"/>
      <c r="D252" s="1240"/>
      <c r="E252" s="1240"/>
      <c r="F252" s="1240"/>
      <c r="G252" s="1254"/>
      <c r="H252" s="1240"/>
      <c r="I252" s="1240"/>
      <c r="J252" s="1240"/>
      <c r="K252" s="1240"/>
    </row>
    <row r="253">
      <c r="A253" s="1384" t="s">
        <v>1890</v>
      </c>
      <c r="B253" s="1251"/>
      <c r="C253" s="1251"/>
      <c r="D253" s="1251"/>
      <c r="E253" s="1251"/>
      <c r="F253" s="1251"/>
      <c r="G253" s="1259"/>
      <c r="H253" s="1265"/>
      <c r="I253" s="1265"/>
      <c r="J253" s="1265"/>
      <c r="K253" s="1265"/>
    </row>
    <row r="254">
      <c r="A254" s="1394" t="s">
        <v>1891</v>
      </c>
      <c r="B254" s="1416">
        <v>1000</v>
      </c>
      <c r="C254" s="1416">
        <v>1000</v>
      </c>
      <c r="D254" s="1416">
        <v>1000</v>
      </c>
      <c r="E254" s="1416">
        <v>1000</v>
      </c>
      <c r="F254" s="1416">
        <v>1000</v>
      </c>
      <c r="G254" s="1268">
        <v>1000</v>
      </c>
      <c r="H254" s="1416">
        <v>1000</v>
      </c>
      <c r="I254" s="1416">
        <v>1000</v>
      </c>
      <c r="J254" s="1416">
        <v>1000</v>
      </c>
      <c r="K254" s="1416">
        <v>1000</v>
      </c>
    </row>
    <row r="255">
      <c r="A255" s="1401" t="s">
        <v>1892</v>
      </c>
      <c r="B255" s="1398">
        <f>IF(ISNUMBER(B203),B203,0)+IF(ISNUMBER(B214),B214,0)+IF(ISNUMBER(B225),B225,0)+IF(ISNUMBER(B236),B236,0)</f>
        <v>11609958.239999998</v>
      </c>
      <c r="C255" s="1398">
        <f>IF(ISNUMBER(C203),C203,0)+IF(ISNUMBER(C214),C214,0)+IF(ISNUMBER(C225),C225,0)+IF(ISNUMBER(C236),C236,0)</f>
        <v>11609958.239999998</v>
      </c>
      <c r="D255" s="1398">
        <f>IF(ISNUMBER(D203),D203,0)+IF(ISNUMBER(D214),D214,0)+IF(ISNUMBER(D225),D225,0)+IF(ISNUMBER(D236),D236,0)</f>
        <v>11609958.239999998</v>
      </c>
      <c r="E255" s="1398">
        <f>IF(ISNUMBER(E203),E203,0)+IF(ISNUMBER(E214),E214,0)+IF(ISNUMBER(E225),E225,0)+IF(ISNUMBER(E236),E236,0)</f>
        <v>11609958.239999998</v>
      </c>
      <c r="F255" s="1398">
        <f>IF(ISNUMBER(F203),F203,0)+IF(ISNUMBER(F214),F214,0)+IF(ISNUMBER(F225),F225,0)+IF(ISNUMBER(F236),F236,0)</f>
        <v>11609958.239999998</v>
      </c>
      <c r="G255" s="1400">
        <f>IF(ISNUMBER(G203),G203,0)+IF(ISNUMBER(G214),G214,0)+IF(ISNUMBER(G225),G225,0)+IF(ISNUMBER(G236),G236,0)</f>
        <v>5141265.12</v>
      </c>
      <c r="H255" s="1398">
        <f>IF(ISNUMBER(H203),H203,0)+IF(ISNUMBER(H214),H214,0)+IF(ISNUMBER(H225),H225,0)+IF(ISNUMBER(H236),H236,0)</f>
        <v>3208777.2</v>
      </c>
      <c r="I255" s="1398">
        <f>IF(ISNUMBER(I203),I203,0)+IF(ISNUMBER(I214),I214,0)+IF(ISNUMBER(I225),I225,0)+IF(ISNUMBER(I236),I236,0)</f>
        <v>3208777.2</v>
      </c>
      <c r="J255" s="1398">
        <f>IF(ISNUMBER(J203),J203,0)+IF(ISNUMBER(J214),J214,0)+IF(ISNUMBER(J225),J225,0)+IF(ISNUMBER(J236),J236,0)</f>
        <v>3208777.2</v>
      </c>
      <c r="K255" s="1398">
        <f>IF(ISNUMBER(K203),K203,0)+IF(ISNUMBER(K214),K214,0)+IF(ISNUMBER(K225),K225,0)+IF(ISNUMBER(K236),K236,0)</f>
        <v>606646.8</v>
      </c>
    </row>
    <row r="256">
      <c r="A256" s="1394" t="s">
        <v>1893</v>
      </c>
      <c r="B256" s="1381">
        <f>B255-B191</f>
        <v>1343448.2399999984</v>
      </c>
      <c r="C256" s="1381">
        <f>C255-C191</f>
        <v>1037669.2399999984</v>
      </c>
      <c r="D256" s="1381">
        <f>D255-D191</f>
        <v>745132.2399999984</v>
      </c>
      <c r="E256" s="1381">
        <f>E255-E191</f>
        <v>525674.2399999984</v>
      </c>
      <c r="F256" s="1381">
        <f>F255-F191</f>
        <v>-1401903.7600000016</v>
      </c>
      <c r="G256" s="1395" t="s">
        <v>109</v>
      </c>
      <c r="H256" s="1381" t="s">
        <v>109</v>
      </c>
      <c r="I256" s="1381" t="s">
        <v>109</v>
      </c>
      <c r="J256" s="1381" t="s">
        <v>109</v>
      </c>
      <c r="K256" s="1381" t="s">
        <v>109</v>
      </c>
    </row>
    <row r="257">
      <c r="A257" s="1394" t="s">
        <v>1894</v>
      </c>
      <c r="B257" s="1249" t="str">
        <f>IF(ABS(B256)&lt;=B254,"TIE OK","FLAG: residual&gt;tolerance")</f>
        <v>FLAG: residual&gt;tolerance</v>
      </c>
      <c r="C257" s="1249" t="str">
        <f>IF(ABS(C256)&lt;=C254,"TIE OK","FLAG: residual&gt;tolerance")</f>
        <v>FLAG: residual&gt;tolerance</v>
      </c>
      <c r="D257" s="1249" t="str">
        <f>IF(ABS(D256)&lt;=D254,"TIE OK","FLAG: residual&gt;tolerance")</f>
        <v>FLAG: residual&gt;tolerance</v>
      </c>
      <c r="E257" s="1249" t="str">
        <f>IF(ABS(E256)&lt;=E254,"TIE OK","FLAG: residual&gt;tolerance")</f>
        <v>FLAG: residual&gt;tolerance</v>
      </c>
      <c r="F257" s="1249" t="str">
        <f>IF(ABS(F256)&lt;=F254,"TIE OK","FLAG: residual&gt;tolerance")</f>
        <v>FLAG: residual&gt;tolerance</v>
      </c>
      <c r="G257" s="1253" t="s">
        <v>109</v>
      </c>
      <c r="H257" s="1249" t="s">
        <v>109</v>
      </c>
      <c r="I257" s="1249" t="s">
        <v>109</v>
      </c>
      <c r="J257" s="1249" t="s">
        <v>109</v>
      </c>
      <c r="K257" s="1249" t="s">
        <v>109</v>
      </c>
    </row>
    <row r="258">
      <c r="A258" s="1240"/>
      <c r="B258" s="1240"/>
      <c r="C258" s="1240"/>
      <c r="D258" s="1240"/>
      <c r="E258" s="1240"/>
      <c r="F258" s="1240"/>
      <c r="G258" s="1254"/>
      <c r="H258" s="1240"/>
      <c r="I258" s="1240"/>
      <c r="J258" s="1240"/>
      <c r="K258" s="1240"/>
    </row>
    <row r="259">
      <c r="A259" s="1401" t="s">
        <v>1895</v>
      </c>
      <c r="B259" s="1398">
        <f>IF(ISNUMBER(B204),B204,0)+IF(ISNUMBER(B215),B215,0)+IF(ISNUMBER(B226),B226,0)+IF(ISNUMBER(B237),B237,0)</f>
        <v>22947066.10838613</v>
      </c>
      <c r="C259" s="1398">
        <f>IF(ISNUMBER(C204),C204,0)+IF(ISNUMBER(C215),C215,0)+IF(ISNUMBER(C226),C226,0)+IF(ISNUMBER(C237),C237,0)</f>
        <v>22947066.10838613</v>
      </c>
      <c r="D259" s="1398">
        <f>IF(ISNUMBER(D204),D204,0)+IF(ISNUMBER(D215),D215,0)+IF(ISNUMBER(D226),D226,0)+IF(ISNUMBER(D237),D237,0)</f>
        <v>22947066.10838613</v>
      </c>
      <c r="E259" s="1398">
        <f>IF(ISNUMBER(E204),E204,0)+IF(ISNUMBER(E215),E215,0)+IF(ISNUMBER(E226),E226,0)+IF(ISNUMBER(E237),E237,0)</f>
        <v>27036103.330433473</v>
      </c>
      <c r="F259" s="1398">
        <f>IF(ISNUMBER(F204),F204,0)+IF(ISNUMBER(F215),F215,0)+IF(ISNUMBER(F226),F226,0)+IF(ISNUMBER(F237),F237,0)</f>
        <v>27027845.36362087</v>
      </c>
      <c r="G259" s="1400">
        <f>IF(ISNUMBER(G204),G204,0)+IF(ISNUMBER(G215),G215,0)+IF(ISNUMBER(G226),G226,0)+IF(ISNUMBER(G237),G237,0)</f>
        <v>0</v>
      </c>
      <c r="H259" s="1398">
        <f>IF(ISNUMBER(H204),H204,0)+IF(ISNUMBER(H215),H215,0)+IF(ISNUMBER(H226),H226,0)+IF(ISNUMBER(H237),H237,0)</f>
        <v>0</v>
      </c>
      <c r="I259" s="1398">
        <f>IF(ISNUMBER(I204),I204,0)+IF(ISNUMBER(I215),I215,0)+IF(ISNUMBER(I226),I226,0)+IF(ISNUMBER(I237),I237,0)</f>
        <v>0</v>
      </c>
      <c r="J259" s="1398">
        <f>IF(ISNUMBER(J204),J204,0)+IF(ISNUMBER(J215),J215,0)+IF(ISNUMBER(J226),J226,0)+IF(ISNUMBER(J237),J237,0)</f>
        <v>0</v>
      </c>
      <c r="K259" s="1398">
        <f>IF(ISNUMBER(K204),K204,0)+IF(ISNUMBER(K215),K215,0)+IF(ISNUMBER(K226),K226,0)+IF(ISNUMBER(K237),K237,0)</f>
        <v>0</v>
      </c>
    </row>
    <row r="260">
      <c r="A260" s="1394" t="s">
        <v>1896</v>
      </c>
      <c r="B260" s="1381">
        <f>B259-B190</f>
        <v>1325828.1083861291</v>
      </c>
      <c r="C260" s="1381">
        <f>C259-C190</f>
        <v>-2227127.891613871</v>
      </c>
      <c r="D260" s="1381">
        <f>D259-D190</f>
        <v>-3454662.891613871</v>
      </c>
      <c r="E260" s="1381">
        <f>E259-E190</f>
        <v>715186.330433473</v>
      </c>
      <c r="F260" s="1381">
        <f>F259-F190</f>
        <v>6945500.36362087</v>
      </c>
      <c r="G260" s="1395" t="s">
        <v>109</v>
      </c>
      <c r="H260" s="1381" t="s">
        <v>109</v>
      </c>
      <c r="I260" s="1381" t="s">
        <v>109</v>
      </c>
      <c r="J260" s="1381" t="s">
        <v>109</v>
      </c>
      <c r="K260" s="1381" t="s">
        <v>109</v>
      </c>
    </row>
    <row r="261">
      <c r="A261" s="1394" t="s">
        <v>1897</v>
      </c>
      <c r="B261" s="1249" t="str">
        <f>IF(ABS(B260)&lt;=B254,"TIE OK","FLAG: residual&gt;tolerance")</f>
        <v>FLAG: residual&gt;tolerance</v>
      </c>
      <c r="C261" s="1249" t="str">
        <f>IF(ABS(C260)&lt;=C254,"TIE OK","FLAG: residual&gt;tolerance")</f>
        <v>FLAG: residual&gt;tolerance</v>
      </c>
      <c r="D261" s="1249" t="str">
        <f>IF(ABS(D260)&lt;=D254,"TIE OK","FLAG: residual&gt;tolerance")</f>
        <v>FLAG: residual&gt;tolerance</v>
      </c>
      <c r="E261" s="1249" t="str">
        <f>IF(ABS(E260)&lt;=E254,"TIE OK","FLAG: residual&gt;tolerance")</f>
        <v>FLAG: residual&gt;tolerance</v>
      </c>
      <c r="F261" s="1249" t="str">
        <f>IF(ABS(F260)&lt;=F254,"TIE OK","FLAG: residual&gt;tolerance")</f>
        <v>FLAG: residual&gt;tolerance</v>
      </c>
      <c r="G261" s="1253" t="s">
        <v>109</v>
      </c>
      <c r="H261" s="1249" t="s">
        <v>109</v>
      </c>
      <c r="I261" s="1249" t="s">
        <v>109</v>
      </c>
      <c r="J261" s="1249" t="s">
        <v>109</v>
      </c>
      <c r="K261" s="1249" t="s">
        <v>109</v>
      </c>
    </row>
    <row r="262">
      <c r="A262" s="1240"/>
      <c r="B262" s="1240"/>
      <c r="C262" s="1240"/>
      <c r="D262" s="1240"/>
      <c r="E262" s="1240"/>
      <c r="F262" s="1240"/>
      <c r="G262" s="1254"/>
      <c r="H262" s="1240"/>
      <c r="I262" s="1240"/>
      <c r="J262" s="1240"/>
      <c r="K262" s="1240"/>
    </row>
    <row r="263">
      <c r="A263" s="1401" t="s">
        <v>1898</v>
      </c>
      <c r="B263" s="1398">
        <f>IF(ISNUMBER(B206),B206,0)+IF(ISNUMBER(B217),B217,0)+IF(ISNUMBER(B228),B228,0)+IF(ISNUMBER(B239),B239,0)+IF(ISNUMBER(B248),B248,0)</f>
        <v>12014450.857849998</v>
      </c>
      <c r="C263" s="1398">
        <f>IF(ISNUMBER(C206),C206,0)+IF(ISNUMBER(C217),C217,0)+IF(ISNUMBER(C228),C228,0)+IF(ISNUMBER(C239),C239,0)+IF(ISNUMBER(C248),C248,0)</f>
        <v>31156738.095349997</v>
      </c>
      <c r="D263" s="1398">
        <f>IF(ISNUMBER(D206),D206,0)+IF(ISNUMBER(D217),D217,0)+IF(ISNUMBER(D228),D228,0)+IF(ISNUMBER(D239),D239,0)+IF(ISNUMBER(D248),D248,0)</f>
        <v>14206102.490649998</v>
      </c>
      <c r="E263" s="1398">
        <f>IF(ISNUMBER(E206),E206,0)+IF(ISNUMBER(E217),E217,0)+IF(ISNUMBER(E228),E228,0)+IF(ISNUMBER(E239),E239,0)+IF(ISNUMBER(E248),E248,0)</f>
        <v>22416595.343250003</v>
      </c>
      <c r="F263" s="1398">
        <f>IF(ISNUMBER(F206),F206,0)+IF(ISNUMBER(F217),F217,0)+IF(ISNUMBER(F228),F228,0)+IF(ISNUMBER(F239),F239,0)+IF(ISNUMBER(F248),F248,0)</f>
        <v>12356563.452350002</v>
      </c>
      <c r="G263" s="1400">
        <f>IF(ISNUMBER(G206),G206,0)+IF(ISNUMBER(G217),G217,0)+IF(ISNUMBER(G228),G228,0)+IF(ISNUMBER(G239),G239,0)+IF(ISNUMBER(G248),G248,0)</f>
        <v>0</v>
      </c>
      <c r="H263" s="1398">
        <f>IF(ISNUMBER(H206),H206,0)+IF(ISNUMBER(H217),H217,0)+IF(ISNUMBER(H228),H228,0)+IF(ISNUMBER(H239),H239,0)+IF(ISNUMBER(H248),H248,0)</f>
        <v>0</v>
      </c>
      <c r="I263" s="1398">
        <f>IF(ISNUMBER(I206),I206,0)+IF(ISNUMBER(I217),I217,0)+IF(ISNUMBER(I228),I228,0)+IF(ISNUMBER(I239),I239,0)+IF(ISNUMBER(I248),I248,0)</f>
        <v>0</v>
      </c>
      <c r="J263" s="1398">
        <f>IF(ISNUMBER(J206),J206,0)+IF(ISNUMBER(J217),J217,0)+IF(ISNUMBER(J228),J228,0)+IF(ISNUMBER(J239),J239,0)+IF(ISNUMBER(J248),J248,0)</f>
        <v>0</v>
      </c>
      <c r="K263" s="1398">
        <f>IF(ISNUMBER(K206),K206,0)+IF(ISNUMBER(K217),K217,0)+IF(ISNUMBER(K228),K228,0)+IF(ISNUMBER(K239),K239,0)+IF(ISNUMBER(K248),K248,0)</f>
        <v>0</v>
      </c>
    </row>
    <row r="264">
      <c r="A264" s="1394" t="s">
        <v>1899</v>
      </c>
      <c r="B264" s="1381">
        <f>B263-B192</f>
        <v>2826560.8578499984</v>
      </c>
      <c r="C264" s="1381">
        <f>C263-C192</f>
        <v>11924577.095349997</v>
      </c>
      <c r="D264" s="1381">
        <f>D263-D192</f>
        <v>-452373.5093500018</v>
      </c>
      <c r="E264" s="1381">
        <f>E263-E192</f>
        <v>6495593.343250003</v>
      </c>
      <c r="F264" s="1381">
        <f>F263-F192</f>
        <v>-1186518.5476499982</v>
      </c>
      <c r="G264" s="1395" t="s">
        <v>109</v>
      </c>
      <c r="H264" s="1381" t="s">
        <v>109</v>
      </c>
      <c r="I264" s="1381" t="s">
        <v>109</v>
      </c>
      <c r="J264" s="1381" t="s">
        <v>109</v>
      </c>
      <c r="K264" s="1381" t="s">
        <v>109</v>
      </c>
    </row>
    <row r="265">
      <c r="A265" s="1394" t="s">
        <v>1900</v>
      </c>
      <c r="B265" s="1249" t="str">
        <f>IF(ABS(B264)&lt;=B254,"TIE OK","FLAG: residual&gt;tolerance")</f>
        <v>FLAG: residual&gt;tolerance</v>
      </c>
      <c r="C265" s="1249" t="str">
        <f>IF(ABS(C264)&lt;=C254,"TIE OK","FLAG: residual&gt;tolerance")</f>
        <v>FLAG: residual&gt;tolerance</v>
      </c>
      <c r="D265" s="1249" t="str">
        <f>IF(ABS(D264)&lt;=D254,"TIE OK","FLAG: residual&gt;tolerance")</f>
        <v>FLAG: residual&gt;tolerance</v>
      </c>
      <c r="E265" s="1249" t="str">
        <f>IF(ABS(E264)&lt;=E254,"TIE OK","FLAG: residual&gt;tolerance")</f>
        <v>FLAG: residual&gt;tolerance</v>
      </c>
      <c r="F265" s="1249" t="str">
        <f>IF(ABS(F264)&lt;=F254,"TIE OK","FLAG: residual&gt;tolerance")</f>
        <v>FLAG: residual&gt;tolerance</v>
      </c>
      <c r="G265" s="1253" t="s">
        <v>109</v>
      </c>
      <c r="H265" s="1249" t="s">
        <v>109</v>
      </c>
      <c r="I265" s="1249" t="s">
        <v>109</v>
      </c>
      <c r="J265" s="1249" t="s">
        <v>109</v>
      </c>
      <c r="K265" s="1249" t="s">
        <v>109</v>
      </c>
    </row>
    <row r="266">
      <c r="A266" s="1240"/>
      <c r="B266" s="1240"/>
      <c r="C266" s="1240"/>
      <c r="D266" s="1240"/>
      <c r="E266" s="1240"/>
      <c r="F266" s="1240"/>
      <c r="G266" s="1254"/>
      <c r="H266" s="1240"/>
      <c r="I266" s="1240"/>
      <c r="J266" s="1240"/>
      <c r="K266" s="1240"/>
    </row>
    <row r="267">
      <c r="A267" s="1394" t="s">
        <v>1901</v>
      </c>
      <c r="G267" s="1254"/>
    </row>
    <row r="268">
      <c r="A268" s="1394" t="s">
        <v>1902</v>
      </c>
      <c r="B268" s="1409">
        <v>0</v>
      </c>
      <c r="C268" s="1409">
        <v>0</v>
      </c>
      <c r="D268" s="1409">
        <v>0</v>
      </c>
      <c r="E268" s="1409">
        <v>0</v>
      </c>
      <c r="F268" s="1409">
        <v>0</v>
      </c>
      <c r="G268" s="1395" t="s">
        <v>109</v>
      </c>
      <c r="H268" s="1381" t="s">
        <v>109</v>
      </c>
      <c r="I268" s="1381" t="s">
        <v>109</v>
      </c>
      <c r="J268" s="1381" t="s">
        <v>109</v>
      </c>
      <c r="K268" s="1381" t="s">
        <v>109</v>
      </c>
    </row>
    <row r="269">
      <c r="A269" s="1394" t="s">
        <v>1903</v>
      </c>
      <c r="B269" s="1409">
        <v>0</v>
      </c>
      <c r="C269" s="1409">
        <v>0</v>
      </c>
      <c r="D269" s="1409">
        <v>0</v>
      </c>
      <c r="E269" s="1409">
        <v>0</v>
      </c>
      <c r="F269" s="1409">
        <v>0</v>
      </c>
      <c r="G269" s="1395" t="s">
        <v>109</v>
      </c>
      <c r="H269" s="1381" t="s">
        <v>109</v>
      </c>
      <c r="I269" s="1381" t="s">
        <v>109</v>
      </c>
      <c r="J269" s="1381" t="s">
        <v>109</v>
      </c>
      <c r="K269" s="1381" t="s">
        <v>109</v>
      </c>
    </row>
    <row r="270">
      <c r="A270" s="1240"/>
      <c r="B270" s="1240"/>
      <c r="C270" s="1240"/>
      <c r="D270" s="1240"/>
      <c r="E270" s="1240"/>
      <c r="F270" s="1240"/>
      <c r="G270" s="1254"/>
      <c r="H270" s="1240"/>
      <c r="I270" s="1240"/>
      <c r="J270" s="1240"/>
      <c r="K270" s="1240"/>
    </row>
    <row r="271">
      <c r="A271" s="1384" t="s">
        <v>1904</v>
      </c>
      <c r="B271" s="1251"/>
      <c r="C271" s="1251"/>
      <c r="D271" s="1251"/>
      <c r="E271" s="1251"/>
      <c r="F271" s="1251"/>
      <c r="G271" s="1259"/>
      <c r="H271" s="1265"/>
      <c r="I271" s="1265"/>
      <c r="J271" s="1265"/>
      <c r="K271" s="1265"/>
    </row>
    <row r="272">
      <c r="A272" s="1394" t="s">
        <v>1905</v>
      </c>
      <c r="G272" s="1254"/>
    </row>
    <row r="273">
      <c r="A273" s="1394" t="s">
        <v>1906</v>
      </c>
      <c r="G273" s="1254"/>
    </row>
    <row r="274">
      <c r="A274" s="1384" t="s">
        <v>1907</v>
      </c>
      <c r="B274" s="1251"/>
      <c r="C274" s="1251"/>
      <c r="D274" s="1251"/>
      <c r="E274" s="1251"/>
      <c r="F274" s="1251"/>
      <c r="G274" s="1259"/>
      <c r="H274" s="1265"/>
      <c r="I274" s="1265"/>
      <c r="J274" s="1265"/>
      <c r="K274" s="1265"/>
    </row>
    <row r="275">
      <c r="A275" s="1394" t="s">
        <v>1908</v>
      </c>
      <c r="B275" s="1416">
        <v>4427043</v>
      </c>
      <c r="C275" s="1416">
        <v>8559953</v>
      </c>
      <c r="D275" s="1416">
        <v>12013335</v>
      </c>
      <c r="E275" s="1416">
        <v>9960198</v>
      </c>
      <c r="F275" s="1416">
        <v>4986124</v>
      </c>
      <c r="G275" s="1395" t="s">
        <v>109</v>
      </c>
      <c r="H275" s="1381" t="s">
        <v>109</v>
      </c>
      <c r="I275" s="1381" t="s">
        <v>109</v>
      </c>
      <c r="J275" s="1381" t="s">
        <v>109</v>
      </c>
      <c r="K275" s="1381" t="s">
        <v>109</v>
      </c>
    </row>
    <row r="276">
      <c r="A276" s="1394" t="s">
        <v>1909</v>
      </c>
      <c r="B276" s="1416">
        <v>1368202</v>
      </c>
      <c r="C276" s="1416">
        <v>1850469</v>
      </c>
      <c r="D276" s="1416">
        <v>2243773</v>
      </c>
      <c r="E276" s="1416">
        <v>2503761</v>
      </c>
      <c r="F276" s="1416">
        <v>1761951</v>
      </c>
      <c r="G276" s="1395" t="s">
        <v>109</v>
      </c>
      <c r="H276" s="1381" t="s">
        <v>109</v>
      </c>
      <c r="I276" s="1381" t="s">
        <v>109</v>
      </c>
      <c r="J276" s="1381" t="s">
        <v>109</v>
      </c>
      <c r="K276" s="1381" t="s">
        <v>109</v>
      </c>
    </row>
    <row r="277">
      <c r="A277" s="1401" t="s">
        <v>1910</v>
      </c>
      <c r="B277" s="1398">
        <f>B275+B276</f>
        <v>5795245</v>
      </c>
      <c r="C277" s="1398">
        <f>C275+C276</f>
        <v>10410422</v>
      </c>
      <c r="D277" s="1398">
        <f>D275+D276</f>
        <v>14257108</v>
      </c>
      <c r="E277" s="1398">
        <f>E275+E276</f>
        <v>12463959</v>
      </c>
      <c r="F277" s="1398">
        <f>F275+F276</f>
        <v>6748075</v>
      </c>
      <c r="G277" s="1400" t="s">
        <v>109</v>
      </c>
      <c r="H277" s="1398" t="s">
        <v>109</v>
      </c>
      <c r="I277" s="1398" t="s">
        <v>109</v>
      </c>
      <c r="J277" s="1398" t="s">
        <v>109</v>
      </c>
      <c r="K277" s="1398" t="s">
        <v>109</v>
      </c>
    </row>
    <row r="278">
      <c r="A278" s="1394" t="s">
        <v>1911</v>
      </c>
      <c r="G278" s="1254"/>
    </row>
    <row r="279">
      <c r="A279" s="1240"/>
      <c r="B279" s="1240"/>
      <c r="C279" s="1240"/>
      <c r="D279" s="1240"/>
      <c r="E279" s="1240"/>
      <c r="F279" s="1240"/>
      <c r="G279" s="1254"/>
      <c r="H279" s="1240"/>
      <c r="I279" s="1240"/>
      <c r="J279" s="1240"/>
      <c r="K279" s="1240"/>
    </row>
    <row r="280">
      <c r="A280" s="1384" t="s">
        <v>1912</v>
      </c>
      <c r="B280" s="1251"/>
      <c r="C280" s="1251"/>
      <c r="D280" s="1251"/>
      <c r="E280" s="1251"/>
      <c r="F280" s="1251"/>
      <c r="G280" s="1259"/>
      <c r="H280" s="1265"/>
      <c r="I280" s="1265"/>
      <c r="J280" s="1265"/>
      <c r="K280" s="1265"/>
    </row>
    <row r="281">
      <c r="A281" s="1394" t="s">
        <v>1913</v>
      </c>
      <c r="G281" s="1254"/>
    </row>
    <row r="282">
      <c r="A282" s="1394" t="s">
        <v>1914</v>
      </c>
      <c r="G282" s="1254"/>
    </row>
    <row r="283">
      <c r="A283" s="1394" t="s">
        <v>1915</v>
      </c>
      <c r="B283" s="1243">
        <v>0</v>
      </c>
      <c r="C283" s="1243">
        <v>0</v>
      </c>
      <c r="D283" s="1243">
        <v>0</v>
      </c>
      <c r="E283" s="1243">
        <v>0</v>
      </c>
      <c r="F283" s="1243">
        <v>0</v>
      </c>
      <c r="G283" s="1264" t="s">
        <v>109</v>
      </c>
      <c r="H283" s="1248" t="s">
        <v>109</v>
      </c>
      <c r="I283" s="1248" t="s">
        <v>109</v>
      </c>
      <c r="J283" s="1248" t="s">
        <v>109</v>
      </c>
      <c r="K283" s="1248" t="s">
        <v>109</v>
      </c>
    </row>
    <row r="284">
      <c r="A284" s="1394" t="s">
        <v>1916</v>
      </c>
      <c r="B284" s="1243">
        <v>0</v>
      </c>
      <c r="C284" s="1243">
        <v>0</v>
      </c>
      <c r="D284" s="1243">
        <v>0</v>
      </c>
      <c r="E284" s="1243">
        <v>0</v>
      </c>
      <c r="F284" s="1243">
        <v>0</v>
      </c>
      <c r="G284" s="1264" t="s">
        <v>109</v>
      </c>
      <c r="H284" s="1248" t="s">
        <v>109</v>
      </c>
      <c r="I284" s="1248" t="s">
        <v>109</v>
      </c>
      <c r="J284" s="1248" t="s">
        <v>109</v>
      </c>
      <c r="K284" s="1248" t="s">
        <v>109</v>
      </c>
    </row>
    <row r="285">
      <c r="A285" s="1394" t="s">
        <v>1917</v>
      </c>
      <c r="B285" s="1243">
        <v>0</v>
      </c>
      <c r="C285" s="1243">
        <v>0</v>
      </c>
      <c r="D285" s="1243">
        <v>0</v>
      </c>
      <c r="E285" s="1243">
        <v>0</v>
      </c>
      <c r="F285" s="1243">
        <v>0</v>
      </c>
      <c r="G285" s="1264" t="s">
        <v>109</v>
      </c>
      <c r="H285" s="1248" t="s">
        <v>109</v>
      </c>
      <c r="I285" s="1248" t="s">
        <v>109</v>
      </c>
      <c r="J285" s="1248" t="s">
        <v>109</v>
      </c>
      <c r="K285" s="1248" t="s">
        <v>109</v>
      </c>
    </row>
    <row r="286">
      <c r="A286" s="1394" t="s">
        <v>1918</v>
      </c>
      <c r="B286" s="1243">
        <v>0</v>
      </c>
      <c r="C286" s="1243">
        <v>0</v>
      </c>
      <c r="D286" s="1243">
        <v>0</v>
      </c>
      <c r="E286" s="1243">
        <v>0</v>
      </c>
      <c r="F286" s="1243">
        <v>0</v>
      </c>
      <c r="G286" s="1264" t="s">
        <v>109</v>
      </c>
      <c r="H286" s="1248" t="s">
        <v>109</v>
      </c>
      <c r="I286" s="1248" t="s">
        <v>109</v>
      </c>
      <c r="J286" s="1248" t="s">
        <v>109</v>
      </c>
      <c r="K286" s="1248" t="s">
        <v>109</v>
      </c>
    </row>
    <row r="287">
      <c r="A287" s="1394" t="s">
        <v>1919</v>
      </c>
      <c r="B287" s="1243">
        <v>0</v>
      </c>
      <c r="C287" s="1243">
        <v>0</v>
      </c>
      <c r="D287" s="1243">
        <v>0</v>
      </c>
      <c r="E287" s="1243">
        <v>0</v>
      </c>
      <c r="F287" s="1243">
        <v>0</v>
      </c>
      <c r="G287" s="1264" t="s">
        <v>109</v>
      </c>
      <c r="H287" s="1248" t="s">
        <v>109</v>
      </c>
      <c r="I287" s="1248" t="s">
        <v>109</v>
      </c>
      <c r="J287" s="1248" t="s">
        <v>109</v>
      </c>
      <c r="K287" s="1248" t="s">
        <v>109</v>
      </c>
    </row>
    <row r="288">
      <c r="A288" s="1394" t="s">
        <v>1920</v>
      </c>
      <c r="B288" s="1249" t="str">
        <f>IF(SUM(B283,B284,B285,B286,B287)=0,"CONFIRMED: $0.0000/MWh, no fuel line","FLAG: nonzero CND costo variable")</f>
        <v>CONFIRMED: $0.0000/MWh, no fuel line</v>
      </c>
      <c r="C288" s="1249" t="str">
        <f>IF(SUM(C283,C284,C285,C286,C287)=0,"CONFIRMED: $0.0000/MWh, no fuel line","FLAG: nonzero CND costo variable")</f>
        <v>CONFIRMED: $0.0000/MWh, no fuel line</v>
      </c>
      <c r="D288" s="1249" t="str">
        <f>IF(SUM(D283,D284,D285,D286,D287)=0,"CONFIRMED: $0.0000/MWh, no fuel line","FLAG: nonzero CND costo variable")</f>
        <v>CONFIRMED: $0.0000/MWh, no fuel line</v>
      </c>
      <c r="E288" s="1249" t="str">
        <f>IF(SUM(E283,E284,E285,E286,E287)=0,"CONFIRMED: $0.0000/MWh, no fuel line","FLAG: nonzero CND costo variable")</f>
        <v>CONFIRMED: $0.0000/MWh, no fuel line</v>
      </c>
      <c r="F288" s="1249" t="str">
        <f>IF(SUM(F283,F284,F285,F286,F287)=0,"CONFIRMED: $0.0000/MWh, no fuel line","FLAG: nonzero CND costo variable")</f>
        <v>CONFIRMED: $0.0000/MWh, no fuel line</v>
      </c>
      <c r="G288" s="1253"/>
      <c r="H288" s="1249"/>
      <c r="I288" s="1249"/>
      <c r="J288" s="1249"/>
      <c r="K288" s="1249"/>
    </row>
    <row r="289">
      <c r="A289" s="1394" t="s">
        <v>1921</v>
      </c>
      <c r="G289" s="1254"/>
    </row>
    <row r="290">
      <c r="A290" s="1240"/>
      <c r="B290" s="1240"/>
      <c r="C290" s="1240"/>
      <c r="D290" s="1240"/>
      <c r="E290" s="1240"/>
      <c r="F290" s="1240"/>
      <c r="G290" s="1254"/>
      <c r="H290" s="1240"/>
      <c r="I290" s="1240"/>
      <c r="J290" s="1240"/>
      <c r="K290" s="1240"/>
    </row>
    <row r="291">
      <c r="A291" s="1384" t="s">
        <v>1922</v>
      </c>
      <c r="B291" s="1251"/>
      <c r="C291" s="1251"/>
      <c r="D291" s="1251"/>
      <c r="E291" s="1251"/>
      <c r="F291" s="1251"/>
      <c r="G291" s="1259"/>
      <c r="H291" s="1265"/>
      <c r="I291" s="1265"/>
      <c r="J291" s="1265"/>
      <c r="K291" s="1265"/>
    </row>
    <row r="292">
      <c r="A292" s="1394" t="s">
        <v>1923</v>
      </c>
      <c r="G292" s="1254"/>
    </row>
    <row r="293">
      <c r="A293" s="1394" t="s">
        <v>1869</v>
      </c>
      <c r="G293" s="1254"/>
    </row>
    <row r="294">
      <c r="A294" s="1394" t="s">
        <v>1924</v>
      </c>
      <c r="B294" s="1381">
        <f>IF(AND(ISNUMBER(B36),ISNUMBER(B201)),MAX(0,B201-B36*1000),"")</f>
        <v>0</v>
      </c>
      <c r="C294" s="1381">
        <f>IF(AND(ISNUMBER(C36),ISNUMBER(C201)),MAX(0,C201-C36*1000),"")</f>
        <v>0</v>
      </c>
      <c r="D294" s="1381">
        <f>IF(AND(ISNUMBER(D36),ISNUMBER(D201)),MAX(0,D201-D36*1000),"")</f>
        <v>0</v>
      </c>
      <c r="E294" s="1381">
        <f>IF(AND(ISNUMBER(E36),ISNUMBER(E201)),MAX(0,E201-E36*1000),"")</f>
        <v>0</v>
      </c>
      <c r="F294" s="1381">
        <f>IF(AND(ISNUMBER(F36),ISNUMBER(F201)),MAX(0,F201-F36*1000),"")</f>
        <v>0</v>
      </c>
      <c r="G294" s="1395" t="str">
        <f>IF(AND(ISNUMBER(G36),ISNUMBER(G201)),MAX(0,G201-G36*1000),"")</f>
        <v/>
      </c>
      <c r="H294" s="1381" t="str">
        <f>IF(AND(ISNUMBER(H36),ISNUMBER(H201)),MAX(0,H201-H36*1000),"")</f>
        <v/>
      </c>
      <c r="I294" s="1381" t="str">
        <f>IF(AND(ISNUMBER(I36),ISNUMBER(I201)),MAX(0,I201-I36*1000),"")</f>
        <v/>
      </c>
      <c r="J294" s="1381" t="str">
        <f>IF(AND(ISNUMBER(J36),ISNUMBER(J201)),MAX(0,J201-J36*1000),"")</f>
        <v/>
      </c>
      <c r="K294" s="1381" t="str">
        <f>IF(AND(ISNUMBER(K36),ISNUMBER(K201)),MAX(0,K201-K36*1000),"")</f>
        <v/>
      </c>
    </row>
    <row r="295">
      <c r="A295" s="1394" t="s">
        <v>1925</v>
      </c>
      <c r="B295" s="1381">
        <f>IF(AND(ISNUMBER(B294),ISNUMBER(B170)),B294*B170,IF(B294=0,0,""))</f>
        <v>0</v>
      </c>
      <c r="C295" s="1381">
        <f>IF(AND(ISNUMBER(C294),ISNUMBER(C170)),C294*C170,IF(C294=0,0,""))</f>
        <v>0</v>
      </c>
      <c r="D295" s="1381">
        <f>IF(AND(ISNUMBER(D294),ISNUMBER(D170)),D294*D170,IF(D294=0,0,""))</f>
        <v>0</v>
      </c>
      <c r="E295" s="1381">
        <f>IF(AND(ISNUMBER(E294),ISNUMBER(E170)),E294*E170,IF(E294=0,0,""))</f>
        <v>0</v>
      </c>
      <c r="F295" s="1381">
        <f>IF(AND(ISNUMBER(F294),ISNUMBER(F170)),F294*F170,IF(F294=0,0,""))</f>
        <v>0</v>
      </c>
      <c r="G295" s="1395" t="str">
        <f>IF(AND(ISNUMBER(G294),ISNUMBER(G170)),G294*G170,IF(G294=0,0,""))</f>
        <v/>
      </c>
      <c r="H295" s="1381" t="str">
        <f>IF(AND(ISNUMBER(H294),ISNUMBER(H170)),H294*H170,IF(H294=0,0,""))</f>
        <v/>
      </c>
      <c r="I295" s="1381" t="str">
        <f>IF(AND(ISNUMBER(I294),ISNUMBER(I170)),I294*I170,IF(I294=0,0,""))</f>
        <v/>
      </c>
      <c r="J295" s="1381" t="str">
        <f>IF(AND(ISNUMBER(J294),ISNUMBER(J170)),J294*J170,IF(J294=0,0,""))</f>
        <v/>
      </c>
      <c r="K295" s="1381" t="str">
        <f>IF(AND(ISNUMBER(K294),ISNUMBER(K170)),K294*K170,IF(K294=0,0,""))</f>
        <v/>
      </c>
    </row>
    <row r="296">
      <c r="A296" s="1394" t="s">
        <v>1879</v>
      </c>
      <c r="G296" s="1254"/>
    </row>
    <row r="297">
      <c r="A297" s="1394" t="s">
        <v>1924</v>
      </c>
      <c r="B297" s="1381">
        <f>IF(AND(ISNUMBER(B40),ISNUMBER(B212)),MAX(0,B212-B40*1000),"")</f>
        <v>0</v>
      </c>
      <c r="C297" s="1381">
        <f>IF(AND(ISNUMBER(C40),ISNUMBER(C212)),MAX(0,C212-C40*1000),"")</f>
        <v>0</v>
      </c>
      <c r="D297" s="1381">
        <f>IF(AND(ISNUMBER(D40),ISNUMBER(D212)),MAX(0,D212-D40*1000),"")</f>
        <v>0</v>
      </c>
      <c r="E297" s="1381">
        <f>IF(AND(ISNUMBER(E40),ISNUMBER(E212)),MAX(0,E212-E40*1000),"")</f>
        <v>0</v>
      </c>
      <c r="F297" s="1381">
        <f>IF(AND(ISNUMBER(F40),ISNUMBER(F212)),MAX(0,F212-F40*1000),"")</f>
        <v>0</v>
      </c>
      <c r="G297" s="1395" t="str">
        <f>IF(AND(ISNUMBER(G40),ISNUMBER(G212)),MAX(0,G212-G40*1000),"")</f>
        <v/>
      </c>
      <c r="H297" s="1381" t="str">
        <f>IF(AND(ISNUMBER(H40),ISNUMBER(H212)),MAX(0,H212-H40*1000),"")</f>
        <v/>
      </c>
      <c r="I297" s="1381" t="str">
        <f>IF(AND(ISNUMBER(I40),ISNUMBER(I212)),MAX(0,I212-I40*1000),"")</f>
        <v/>
      </c>
      <c r="J297" s="1381" t="str">
        <f>IF(AND(ISNUMBER(J40),ISNUMBER(J212)),MAX(0,J212-J40*1000),"")</f>
        <v/>
      </c>
      <c r="K297" s="1381" t="str">
        <f>IF(AND(ISNUMBER(K40),ISNUMBER(K212)),MAX(0,K212-K40*1000),"")</f>
        <v/>
      </c>
    </row>
    <row r="298">
      <c r="A298" s="1394" t="s">
        <v>1925</v>
      </c>
      <c r="B298" s="1381">
        <f>IF(AND(ISNUMBER(B297),ISNUMBER(B170)),B297*B170,IF(B297=0,0,""))</f>
        <v>0</v>
      </c>
      <c r="C298" s="1381">
        <f>IF(AND(ISNUMBER(C297),ISNUMBER(C170)),C297*C170,IF(C297=0,0,""))</f>
        <v>0</v>
      </c>
      <c r="D298" s="1381">
        <f>IF(AND(ISNUMBER(D297),ISNUMBER(D170)),D297*D170,IF(D297=0,0,""))</f>
        <v>0</v>
      </c>
      <c r="E298" s="1381">
        <f>IF(AND(ISNUMBER(E297),ISNUMBER(E170)),E297*E170,IF(E297=0,0,""))</f>
        <v>0</v>
      </c>
      <c r="F298" s="1381">
        <f>IF(AND(ISNUMBER(F297),ISNUMBER(F170)),F297*F170,IF(F297=0,0,""))</f>
        <v>0</v>
      </c>
      <c r="G298" s="1395" t="str">
        <f>IF(AND(ISNUMBER(G297),ISNUMBER(G170)),G297*G170,IF(G297=0,0,""))</f>
        <v/>
      </c>
      <c r="H298" s="1381" t="str">
        <f>IF(AND(ISNUMBER(H297),ISNUMBER(H170)),H297*H170,IF(H297=0,0,""))</f>
        <v/>
      </c>
      <c r="I298" s="1381" t="str">
        <f>IF(AND(ISNUMBER(I297),ISNUMBER(I170)),I297*I170,IF(I297=0,0,""))</f>
        <v/>
      </c>
      <c r="J298" s="1381" t="str">
        <f>IF(AND(ISNUMBER(J297),ISNUMBER(J170)),J297*J170,IF(J297=0,0,""))</f>
        <v/>
      </c>
      <c r="K298" s="1381" t="str">
        <f>IF(AND(ISNUMBER(K297),ISNUMBER(K170)),K297*K170,IF(K297=0,0,""))</f>
        <v/>
      </c>
    </row>
    <row r="299">
      <c r="A299" s="1394" t="s">
        <v>1881</v>
      </c>
      <c r="G299" s="1254"/>
    </row>
    <row r="300">
      <c r="A300" s="1394" t="s">
        <v>1924</v>
      </c>
      <c r="B300" s="1381">
        <f>IF(AND(ISNUMBER(B43),ISNUMBER(B223)),MAX(0,B223-B43*1000),"")</f>
        <v>0</v>
      </c>
      <c r="C300" s="1381">
        <f>IF(AND(ISNUMBER(C43),ISNUMBER(C223)),MAX(0,C223-C43*1000),"")</f>
        <v>0</v>
      </c>
      <c r="D300" s="1381">
        <f>IF(AND(ISNUMBER(D43),ISNUMBER(D223)),MAX(0,D223-D43*1000),"")</f>
        <v>0</v>
      </c>
      <c r="E300" s="1381">
        <f>IF(AND(ISNUMBER(E43),ISNUMBER(E223)),MAX(0,E223-E43*1000),"")</f>
        <v>0</v>
      </c>
      <c r="F300" s="1381">
        <f>IF(AND(ISNUMBER(F43),ISNUMBER(F223)),MAX(0,F223-F43*1000),"")</f>
        <v>0</v>
      </c>
      <c r="G300" s="1395" t="str">
        <f>IF(AND(ISNUMBER(G43),ISNUMBER(G223)),MAX(0,G223-G43*1000),"")</f>
        <v/>
      </c>
      <c r="H300" s="1381" t="str">
        <f>IF(AND(ISNUMBER(H43),ISNUMBER(H223)),MAX(0,H223-H43*1000),"")</f>
        <v/>
      </c>
      <c r="I300" s="1381" t="str">
        <f>IF(AND(ISNUMBER(I43),ISNUMBER(I223)),MAX(0,I223-I43*1000),"")</f>
        <v/>
      </c>
      <c r="J300" s="1381" t="str">
        <f>IF(AND(ISNUMBER(J43),ISNUMBER(J223)),MAX(0,J223-J43*1000),"")</f>
        <v/>
      </c>
      <c r="K300" s="1381" t="str">
        <f>IF(AND(ISNUMBER(K43),ISNUMBER(K223)),MAX(0,K223-K43*1000),"")</f>
        <v/>
      </c>
    </row>
    <row r="301">
      <c r="A301" s="1394" t="s">
        <v>1925</v>
      </c>
      <c r="B301" s="1381">
        <f>IF(AND(ISNUMBER(B300),ISNUMBER(B170)),B300*B170,IF(B300=0,0,""))</f>
        <v>0</v>
      </c>
      <c r="C301" s="1381">
        <f>IF(AND(ISNUMBER(C300),ISNUMBER(C170)),C300*C170,IF(C300=0,0,""))</f>
        <v>0</v>
      </c>
      <c r="D301" s="1381">
        <f>IF(AND(ISNUMBER(D300),ISNUMBER(D170)),D300*D170,IF(D300=0,0,""))</f>
        <v>0</v>
      </c>
      <c r="E301" s="1381">
        <f>IF(AND(ISNUMBER(E300),ISNUMBER(E170)),E300*E170,IF(E300=0,0,""))</f>
        <v>0</v>
      </c>
      <c r="F301" s="1381">
        <f>IF(AND(ISNUMBER(F300),ISNUMBER(F170)),F300*F170,IF(F300=0,0,""))</f>
        <v>0</v>
      </c>
      <c r="G301" s="1395" t="str">
        <f>IF(AND(ISNUMBER(G300),ISNUMBER(G170)),G300*G170,IF(G300=0,0,""))</f>
        <v/>
      </c>
      <c r="H301" s="1381" t="str">
        <f>IF(AND(ISNUMBER(H300),ISNUMBER(H170)),H300*H170,IF(H300=0,0,""))</f>
        <v/>
      </c>
      <c r="I301" s="1381" t="str">
        <f>IF(AND(ISNUMBER(I300),ISNUMBER(I170)),I300*I170,IF(I300=0,0,""))</f>
        <v/>
      </c>
      <c r="J301" s="1381" t="str">
        <f>IF(AND(ISNUMBER(J300),ISNUMBER(J170)),J300*J170,IF(J300=0,0,""))</f>
        <v/>
      </c>
      <c r="K301" s="1381" t="str">
        <f>IF(AND(ISNUMBER(K300),ISNUMBER(K170)),K300*K170,IF(K300=0,0,""))</f>
        <v/>
      </c>
    </row>
    <row r="302">
      <c r="A302" s="1394" t="s">
        <v>1883</v>
      </c>
      <c r="G302" s="1254"/>
    </row>
    <row r="303">
      <c r="A303" s="1394" t="s">
        <v>1924</v>
      </c>
      <c r="B303" s="1381">
        <f>IF(AND(ISNUMBER(B46),ISNUMBER(B234)),MAX(0,B234-B46*1000),"")</f>
        <v>0</v>
      </c>
      <c r="C303" s="1381">
        <f>IF(AND(ISNUMBER(C46),ISNUMBER(C234)),MAX(0,C234-C46*1000),"")</f>
        <v>0</v>
      </c>
      <c r="D303" s="1381">
        <f>IF(AND(ISNUMBER(D46),ISNUMBER(D234)),MAX(0,D234-D46*1000),"")</f>
        <v>0</v>
      </c>
      <c r="E303" s="1381">
        <f>IF(AND(ISNUMBER(E46),ISNUMBER(E234)),MAX(0,E234-E46*1000),"")</f>
        <v>0</v>
      </c>
      <c r="F303" s="1381">
        <f>IF(AND(ISNUMBER(F46),ISNUMBER(F234)),MAX(0,F234-F46*1000),"")</f>
        <v>0</v>
      </c>
      <c r="G303" s="1395" t="str">
        <f>IF(AND(ISNUMBER(G46),ISNUMBER(G234)),MAX(0,G234-G46*1000),"")</f>
        <v/>
      </c>
      <c r="H303" s="1381" t="str">
        <f>IF(AND(ISNUMBER(H46),ISNUMBER(H234)),MAX(0,H234-H46*1000),"")</f>
        <v/>
      </c>
      <c r="I303" s="1381" t="str">
        <f>IF(AND(ISNUMBER(I46),ISNUMBER(I234)),MAX(0,I234-I46*1000),"")</f>
        <v/>
      </c>
      <c r="J303" s="1381" t="str">
        <f>IF(AND(ISNUMBER(J46),ISNUMBER(J234)),MAX(0,J234-J46*1000),"")</f>
        <v/>
      </c>
      <c r="K303" s="1381" t="str">
        <f>IF(AND(ISNUMBER(K46),ISNUMBER(K234)),MAX(0,K234-K46*1000),"")</f>
        <v/>
      </c>
    </row>
    <row r="304">
      <c r="A304" s="1394" t="s">
        <v>1925</v>
      </c>
      <c r="B304" s="1381">
        <f>IF(AND(ISNUMBER(B303),ISNUMBER(B170)),B303*B170,IF(B303=0,0,""))</f>
        <v>0</v>
      </c>
      <c r="C304" s="1381">
        <f>IF(AND(ISNUMBER(C303),ISNUMBER(C170)),C303*C170,IF(C303=0,0,""))</f>
        <v>0</v>
      </c>
      <c r="D304" s="1381">
        <f>IF(AND(ISNUMBER(D303),ISNUMBER(D170)),D303*D170,IF(D303=0,0,""))</f>
        <v>0</v>
      </c>
      <c r="E304" s="1381">
        <f>IF(AND(ISNUMBER(E303),ISNUMBER(E170)),E303*E170,IF(E303=0,0,""))</f>
        <v>0</v>
      </c>
      <c r="F304" s="1381">
        <f>IF(AND(ISNUMBER(F303),ISNUMBER(F170)),F303*F170,IF(F303=0,0,""))</f>
        <v>0</v>
      </c>
      <c r="G304" s="1395" t="str">
        <f>IF(AND(ISNUMBER(G303),ISNUMBER(G170)),G303*G170,IF(G303=0,0,""))</f>
        <v/>
      </c>
      <c r="H304" s="1381" t="str">
        <f>IF(AND(ISNUMBER(H303),ISNUMBER(H170)),H303*H170,IF(H303=0,0,""))</f>
        <v/>
      </c>
      <c r="I304" s="1381" t="str">
        <f>IF(AND(ISNUMBER(I303),ISNUMBER(I170)),I303*I170,IF(I303=0,0,""))</f>
        <v/>
      </c>
      <c r="J304" s="1381" t="str">
        <f>IF(AND(ISNUMBER(J303),ISNUMBER(J170)),J303*J170,IF(J303=0,0,""))</f>
        <v/>
      </c>
      <c r="K304" s="1381" t="str">
        <f>IF(AND(ISNUMBER(K303),ISNUMBER(K170)),K303*K170,IF(K303=0,0,""))</f>
        <v/>
      </c>
    </row>
    <row r="305">
      <c r="A305" s="1394" t="s">
        <v>1885</v>
      </c>
      <c r="G305" s="1254"/>
    </row>
    <row r="306">
      <c r="A306" s="1394" t="s">
        <v>1926</v>
      </c>
      <c r="B306" s="1409">
        <v>0</v>
      </c>
      <c r="C306" s="1409">
        <v>0</v>
      </c>
      <c r="D306" s="1409">
        <v>0</v>
      </c>
      <c r="E306" s="1409">
        <v>0</v>
      </c>
      <c r="F306" s="1409">
        <v>0</v>
      </c>
      <c r="G306" s="1339">
        <v>0</v>
      </c>
      <c r="H306" s="1409">
        <v>0</v>
      </c>
      <c r="I306" s="1409">
        <v>0</v>
      </c>
      <c r="J306" s="1409">
        <v>0</v>
      </c>
      <c r="K306" s="1409">
        <v>0</v>
      </c>
    </row>
    <row r="307">
      <c r="A307" s="1394" t="s">
        <v>1925</v>
      </c>
      <c r="B307" s="1381">
        <f>IF(AND(ISNUMBER(B306),ISNUMBER(B170)),B306*B170,IF(B306=0,0,""))</f>
        <v>0</v>
      </c>
      <c r="C307" s="1381">
        <f>IF(AND(ISNUMBER(C306),ISNUMBER(C170)),C306*C170,IF(C306=0,0,""))</f>
        <v>0</v>
      </c>
      <c r="D307" s="1381">
        <f>IF(AND(ISNUMBER(D306),ISNUMBER(D170)),D306*D170,IF(D306=0,0,""))</f>
        <v>0</v>
      </c>
      <c r="E307" s="1381">
        <f>IF(AND(ISNUMBER(E306),ISNUMBER(E170)),E306*E170,IF(E306=0,0,""))</f>
        <v>0</v>
      </c>
      <c r="F307" s="1381">
        <f>IF(AND(ISNUMBER(F306),ISNUMBER(F170)),F306*F170,IF(F306=0,0,""))</f>
        <v>0</v>
      </c>
      <c r="G307" s="1395">
        <f>IF(AND(ISNUMBER(G306),ISNUMBER(G170)),G306*G170,IF(G306=0,0,""))</f>
        <v>0</v>
      </c>
      <c r="H307" s="1381">
        <f>IF(AND(ISNUMBER(H306),ISNUMBER(H170)),H306*H170,IF(H306=0,0,""))</f>
        <v>0</v>
      </c>
      <c r="I307" s="1381">
        <f>IF(AND(ISNUMBER(I306),ISNUMBER(I170)),I306*I170,IF(I306=0,0,""))</f>
        <v>0</v>
      </c>
      <c r="J307" s="1381">
        <f>IF(AND(ISNUMBER(J306),ISNUMBER(J170)),J306*J170,IF(J306=0,0,""))</f>
        <v>0</v>
      </c>
      <c r="K307" s="1381">
        <f>IF(AND(ISNUMBER(K306),ISNUMBER(K170)),K306*K170,IF(K306=0,0,""))</f>
        <v>0</v>
      </c>
    </row>
    <row r="308">
      <c r="A308" s="1240"/>
      <c r="B308" s="1240"/>
      <c r="C308" s="1240"/>
      <c r="D308" s="1240"/>
      <c r="E308" s="1240"/>
      <c r="F308" s="1240"/>
      <c r="G308" s="1254"/>
      <c r="H308" s="1240"/>
      <c r="I308" s="1240"/>
      <c r="J308" s="1240"/>
      <c r="K308" s="1240"/>
    </row>
    <row r="309">
      <c r="A309" s="1394" t="s">
        <v>1927</v>
      </c>
      <c r="B309" s="1416">
        <v>1000</v>
      </c>
      <c r="C309" s="1416">
        <v>1000</v>
      </c>
      <c r="D309" s="1416">
        <v>1000</v>
      </c>
      <c r="E309" s="1416">
        <v>1000</v>
      </c>
      <c r="F309" s="1416">
        <v>1000</v>
      </c>
      <c r="G309" s="1268">
        <v>1000</v>
      </c>
      <c r="H309" s="1416">
        <v>1000</v>
      </c>
      <c r="I309" s="1416">
        <v>1000</v>
      </c>
      <c r="J309" s="1416">
        <v>1000</v>
      </c>
      <c r="K309" s="1416">
        <v>1000</v>
      </c>
    </row>
    <row r="310">
      <c r="A310" s="1401" t="s">
        <v>1928</v>
      </c>
      <c r="B310" s="1398">
        <f>IF(ISNUMBER(B295),B295,0)+IF(ISNUMBER(B298),B298,0)+IF(ISNUMBER(B301),B301,0)+IF(ISNUMBER(B304),B304,0)+IF(ISNUMBER(B307),B307,0)</f>
        <v>0</v>
      </c>
      <c r="C310" s="1398">
        <f>IF(ISNUMBER(C295),C295,0)+IF(ISNUMBER(C298),C298,0)+IF(ISNUMBER(C301),C301,0)+IF(ISNUMBER(C304),C304,0)+IF(ISNUMBER(C307),C307,0)</f>
        <v>0</v>
      </c>
      <c r="D310" s="1398">
        <f>IF(ISNUMBER(D295),D295,0)+IF(ISNUMBER(D298),D298,0)+IF(ISNUMBER(D301),D301,0)+IF(ISNUMBER(D304),D304,0)+IF(ISNUMBER(D307),D307,0)</f>
        <v>0</v>
      </c>
      <c r="E310" s="1398">
        <f>IF(ISNUMBER(E295),E295,0)+IF(ISNUMBER(E298),E298,0)+IF(ISNUMBER(E301),E301,0)+IF(ISNUMBER(E304),E304,0)+IF(ISNUMBER(E307),E307,0)</f>
        <v>0</v>
      </c>
      <c r="F310" s="1398">
        <f>IF(ISNUMBER(F295),F295,0)+IF(ISNUMBER(F298),F298,0)+IF(ISNUMBER(F301),F301,0)+IF(ISNUMBER(F304),F304,0)+IF(ISNUMBER(F307),F307,0)</f>
        <v>0</v>
      </c>
      <c r="G310" s="1400">
        <f>IF(ISNUMBER(G295),G295,0)+IF(ISNUMBER(G298),G298,0)+IF(ISNUMBER(G301),G301,0)+IF(ISNUMBER(G304),G304,0)+IF(ISNUMBER(G307),G307,0)</f>
        <v>0</v>
      </c>
      <c r="H310" s="1398">
        <f>IF(ISNUMBER(H295),H295,0)+IF(ISNUMBER(H298),H298,0)+IF(ISNUMBER(H301),H301,0)+IF(ISNUMBER(H304),H304,0)+IF(ISNUMBER(H307),H307,0)</f>
        <v>0</v>
      </c>
      <c r="I310" s="1398">
        <f>IF(ISNUMBER(I295),I295,0)+IF(ISNUMBER(I298),I298,0)+IF(ISNUMBER(I301),I301,0)+IF(ISNUMBER(I304),I304,0)+IF(ISNUMBER(I307),I307,0)</f>
        <v>0</v>
      </c>
      <c r="J310" s="1398">
        <f>IF(ISNUMBER(J295),J295,0)+IF(ISNUMBER(J298),J298,0)+IF(ISNUMBER(J301),J301,0)+IF(ISNUMBER(J304),J304,0)+IF(ISNUMBER(J307),J307,0)</f>
        <v>0</v>
      </c>
      <c r="K310" s="1398">
        <f>IF(ISNUMBER(K295),K295,0)+IF(ISNUMBER(K298),K298,0)+IF(ISNUMBER(K301),K301,0)+IF(ISNUMBER(K304),K304,0)+IF(ISNUMBER(K307),K307,0)</f>
        <v>0</v>
      </c>
    </row>
    <row r="311">
      <c r="A311" s="1240"/>
      <c r="B311" s="1240"/>
      <c r="C311" s="1240"/>
      <c r="D311" s="1240"/>
      <c r="E311" s="1240"/>
      <c r="F311" s="1240"/>
      <c r="G311" s="1254"/>
      <c r="H311" s="1240"/>
      <c r="I311" s="1240"/>
      <c r="J311" s="1240"/>
      <c r="K311" s="1240"/>
    </row>
    <row r="312">
      <c r="A312" s="1384" t="s">
        <v>1929</v>
      </c>
      <c r="B312" s="1251"/>
      <c r="C312" s="1251"/>
      <c r="D312" s="1251"/>
      <c r="E312" s="1251"/>
      <c r="F312" s="1251"/>
      <c r="G312" s="1259"/>
      <c r="H312" s="1265"/>
      <c r="I312" s="1265"/>
      <c r="J312" s="1265"/>
      <c r="K312" s="1265"/>
    </row>
    <row r="313">
      <c r="A313" s="1394" t="s">
        <v>1930</v>
      </c>
      <c r="G313" s="1254"/>
    </row>
    <row r="314">
      <c r="A314" s="1401" t="s">
        <v>1931</v>
      </c>
      <c r="B314" s="1398">
        <f>B310+B276</f>
        <v>1368202</v>
      </c>
      <c r="C314" s="1398">
        <f>C310+C276</f>
        <v>1850469</v>
      </c>
      <c r="D314" s="1398">
        <f>D310+D276</f>
        <v>2243773</v>
      </c>
      <c r="E314" s="1398">
        <f>E310+E276</f>
        <v>2503761</v>
      </c>
      <c r="F314" s="1398">
        <f>F310+F276</f>
        <v>1761951</v>
      </c>
      <c r="G314" s="1400" t="s">
        <v>109</v>
      </c>
      <c r="H314" s="1398" t="s">
        <v>109</v>
      </c>
      <c r="I314" s="1398" t="s">
        <v>109</v>
      </c>
      <c r="J314" s="1398" t="s">
        <v>109</v>
      </c>
      <c r="K314" s="1398" t="s">
        <v>109</v>
      </c>
    </row>
    <row r="315">
      <c r="A315" s="1394" t="s">
        <v>1932</v>
      </c>
      <c r="B315" s="1381">
        <f>B314-B277</f>
        <v>-4427043</v>
      </c>
      <c r="C315" s="1381">
        <f>C314-C277</f>
        <v>-8559953</v>
      </c>
      <c r="D315" s="1381">
        <f>D314-D277</f>
        <v>-12013335</v>
      </c>
      <c r="E315" s="1381">
        <f>E314-E277</f>
        <v>-9960198</v>
      </c>
      <c r="F315" s="1381">
        <f>F314-F277</f>
        <v>-4986124</v>
      </c>
      <c r="G315" s="1395" t="s">
        <v>109</v>
      </c>
      <c r="H315" s="1381" t="s">
        <v>109</v>
      </c>
      <c r="I315" s="1381" t="s">
        <v>109</v>
      </c>
      <c r="J315" s="1381" t="s">
        <v>109</v>
      </c>
      <c r="K315" s="1381" t="s">
        <v>109</v>
      </c>
    </row>
    <row r="316">
      <c r="A316" s="1394" t="s">
        <v>1933</v>
      </c>
      <c r="B316" s="1249" t="str">
        <f>IF(ABS(B315)&lt;=B309,"TIE OK","FLAG: residual&gt;tolerance")</f>
        <v>FLAG: residual&gt;tolerance</v>
      </c>
      <c r="C316" s="1249" t="str">
        <f>IF(ABS(C315)&lt;=C309,"TIE OK","FLAG: residual&gt;tolerance")</f>
        <v>FLAG: residual&gt;tolerance</v>
      </c>
      <c r="D316" s="1249" t="str">
        <f>IF(ABS(D315)&lt;=D309,"TIE OK","FLAG: residual&gt;tolerance")</f>
        <v>FLAG: residual&gt;tolerance</v>
      </c>
      <c r="E316" s="1249" t="str">
        <f>IF(ABS(E315)&lt;=E309,"TIE OK","FLAG: residual&gt;tolerance")</f>
        <v>FLAG: residual&gt;tolerance</v>
      </c>
      <c r="F316" s="1249" t="str">
        <f>IF(ABS(F315)&lt;=F309,"TIE OK","FLAG: residual&gt;tolerance")</f>
        <v>FLAG: residual&gt;tolerance</v>
      </c>
      <c r="G316" s="1253" t="s">
        <v>109</v>
      </c>
      <c r="H316" s="1249" t="s">
        <v>109</v>
      </c>
      <c r="I316" s="1249" t="s">
        <v>109</v>
      </c>
      <c r="J316" s="1249" t="s">
        <v>109</v>
      </c>
      <c r="K316" s="1249" t="s">
        <v>109</v>
      </c>
    </row>
    <row r="317">
      <c r="A317" s="1394" t="s">
        <v>1934</v>
      </c>
      <c r="G317" s="1254"/>
    </row>
    <row r="318">
      <c r="A318" s="1240"/>
      <c r="B318" s="1240"/>
      <c r="C318" s="1240"/>
      <c r="D318" s="1240"/>
      <c r="E318" s="1240"/>
      <c r="F318" s="1240"/>
      <c r="G318" s="1254"/>
      <c r="H318" s="1240"/>
      <c r="I318" s="1240"/>
      <c r="J318" s="1240"/>
      <c r="K318" s="1240"/>
    </row>
    <row r="319">
      <c r="A319" s="1384" t="s">
        <v>1935</v>
      </c>
      <c r="B319" s="1251"/>
      <c r="C319" s="1251"/>
      <c r="D319" s="1251"/>
      <c r="E319" s="1251"/>
      <c r="F319" s="1251"/>
      <c r="G319" s="1259"/>
      <c r="H319" s="1265"/>
      <c r="I319" s="1265"/>
      <c r="J319" s="1265"/>
      <c r="K319" s="1265"/>
    </row>
    <row r="320">
      <c r="A320" s="1394" t="s">
        <v>1936</v>
      </c>
      <c r="G320" s="1254"/>
    </row>
    <row r="321">
      <c r="A321" s="1394" t="s">
        <v>1937</v>
      </c>
      <c r="B321" s="1416">
        <v>2400538</v>
      </c>
      <c r="C321" s="1416">
        <v>2548375</v>
      </c>
      <c r="D321" s="1416">
        <v>2841019</v>
      </c>
      <c r="E321" s="1416">
        <v>2549512</v>
      </c>
      <c r="F321" s="1416">
        <v>3004212</v>
      </c>
      <c r="G321" s="1395" t="s">
        <v>109</v>
      </c>
      <c r="H321" s="1381" t="s">
        <v>109</v>
      </c>
      <c r="I321" s="1381" t="s">
        <v>109</v>
      </c>
      <c r="J321" s="1381" t="s">
        <v>109</v>
      </c>
      <c r="K321" s="1381" t="s">
        <v>109</v>
      </c>
    </row>
    <row r="322">
      <c r="A322" s="1394" t="s">
        <v>1938</v>
      </c>
      <c r="B322" s="1416">
        <v>4588379</v>
      </c>
      <c r="C322" s="1416">
        <v>5332929</v>
      </c>
      <c r="D322" s="1416">
        <v>5554329</v>
      </c>
      <c r="E322" s="1416">
        <v>5511351</v>
      </c>
      <c r="F322" s="1416">
        <v>5684677</v>
      </c>
      <c r="G322" s="1395" t="s">
        <v>109</v>
      </c>
      <c r="H322" s="1381" t="s">
        <v>109</v>
      </c>
      <c r="I322" s="1381" t="s">
        <v>109</v>
      </c>
      <c r="J322" s="1381" t="s">
        <v>109</v>
      </c>
      <c r="K322" s="1381" t="s">
        <v>109</v>
      </c>
    </row>
    <row r="323">
      <c r="A323" s="1401" t="s">
        <v>1939</v>
      </c>
      <c r="B323" s="1398">
        <f>B321+B322</f>
        <v>6988917</v>
      </c>
      <c r="C323" s="1398">
        <f>C321+C322</f>
        <v>7881304</v>
      </c>
      <c r="D323" s="1398">
        <f>D321+D322</f>
        <v>8395348</v>
      </c>
      <c r="E323" s="1398">
        <f>E321+E322</f>
        <v>8060863</v>
      </c>
      <c r="F323" s="1398">
        <f>F321+F322</f>
        <v>8688889</v>
      </c>
      <c r="G323" s="1400" t="s">
        <v>109</v>
      </c>
      <c r="H323" s="1398" t="s">
        <v>109</v>
      </c>
      <c r="I323" s="1398" t="s">
        <v>109</v>
      </c>
      <c r="J323" s="1398" t="s">
        <v>109</v>
      </c>
      <c r="K323" s="1398" t="s">
        <v>109</v>
      </c>
    </row>
    <row r="324">
      <c r="A324" s="1240"/>
      <c r="B324" s="1240"/>
      <c r="C324" s="1240"/>
      <c r="D324" s="1240"/>
      <c r="E324" s="1240"/>
      <c r="F324" s="1240"/>
      <c r="G324" s="1254"/>
      <c r="H324" s="1240"/>
      <c r="I324" s="1240"/>
      <c r="J324" s="1240"/>
      <c r="K324" s="1240"/>
    </row>
    <row r="325">
      <c r="A325" s="1384" t="s">
        <v>1940</v>
      </c>
      <c r="B325" s="1251"/>
      <c r="C325" s="1251"/>
      <c r="D325" s="1251"/>
      <c r="E325" s="1251"/>
      <c r="F325" s="1251"/>
      <c r="G325" s="1259"/>
      <c r="H325" s="1265"/>
      <c r="I325" s="1265"/>
      <c r="J325" s="1265"/>
      <c r="K325" s="1265"/>
    </row>
    <row r="326">
      <c r="A326" s="1394" t="s">
        <v>1941</v>
      </c>
      <c r="G326" s="1254"/>
    </row>
    <row r="327">
      <c r="A327" s="1394" t="s">
        <v>1942</v>
      </c>
      <c r="G327" s="1254"/>
    </row>
    <row r="328">
      <c r="A328" s="1394" t="s">
        <v>1943</v>
      </c>
      <c r="B328" s="1416">
        <v>2243522</v>
      </c>
      <c r="C328" s="1416">
        <v>2200491</v>
      </c>
      <c r="D328" s="1416">
        <v>2317702</v>
      </c>
      <c r="E328" s="1416">
        <v>2261391</v>
      </c>
      <c r="F328" s="1416">
        <v>2503486</v>
      </c>
      <c r="G328" s="1395" t="s">
        <v>109</v>
      </c>
      <c r="H328" s="1381" t="s">
        <v>109</v>
      </c>
      <c r="I328" s="1381" t="s">
        <v>109</v>
      </c>
      <c r="J328" s="1381" t="s">
        <v>109</v>
      </c>
      <c r="K328" s="1381" t="s">
        <v>109</v>
      </c>
    </row>
    <row r="329">
      <c r="A329" s="1394" t="s">
        <v>1944</v>
      </c>
      <c r="B329" s="1416">
        <v>1556626</v>
      </c>
      <c r="C329" s="1416">
        <v>1783817</v>
      </c>
      <c r="D329" s="1416">
        <v>1723164</v>
      </c>
      <c r="E329" s="1416">
        <v>1789413</v>
      </c>
      <c r="F329" s="1416">
        <v>1715633</v>
      </c>
      <c r="G329" s="1395" t="s">
        <v>109</v>
      </c>
      <c r="H329" s="1381" t="s">
        <v>109</v>
      </c>
      <c r="I329" s="1381" t="s">
        <v>109</v>
      </c>
      <c r="J329" s="1381" t="s">
        <v>109</v>
      </c>
      <c r="K329" s="1381" t="s">
        <v>109</v>
      </c>
    </row>
    <row r="330">
      <c r="A330" s="1394" t="s">
        <v>1945</v>
      </c>
      <c r="B330" s="1416">
        <v>518038</v>
      </c>
      <c r="C330" s="1416">
        <v>648943</v>
      </c>
      <c r="D330" s="1416">
        <v>872411</v>
      </c>
      <c r="E330" s="1416">
        <v>735830</v>
      </c>
      <c r="F330" s="1416">
        <v>1061842</v>
      </c>
      <c r="G330" s="1395" t="s">
        <v>109</v>
      </c>
      <c r="H330" s="1381" t="s">
        <v>109</v>
      </c>
      <c r="I330" s="1381" t="s">
        <v>109</v>
      </c>
      <c r="J330" s="1381" t="s">
        <v>109</v>
      </c>
      <c r="K330" s="1381" t="s">
        <v>109</v>
      </c>
    </row>
    <row r="331">
      <c r="A331" s="1240"/>
      <c r="B331" s="1240"/>
      <c r="C331" s="1240"/>
      <c r="D331" s="1240"/>
      <c r="E331" s="1240"/>
      <c r="F331" s="1240"/>
      <c r="G331" s="1254"/>
      <c r="H331" s="1240"/>
      <c r="I331" s="1240"/>
      <c r="J331" s="1240"/>
      <c r="K331" s="1240"/>
    </row>
    <row r="332">
      <c r="A332" s="1384" t="s">
        <v>1946</v>
      </c>
      <c r="B332" s="1251"/>
      <c r="C332" s="1251"/>
      <c r="D332" s="1251"/>
      <c r="E332" s="1251"/>
      <c r="F332" s="1251"/>
      <c r="G332" s="1259"/>
      <c r="H332" s="1265"/>
      <c r="I332" s="1265"/>
      <c r="J332" s="1265"/>
      <c r="K332" s="1265"/>
    </row>
    <row r="333">
      <c r="A333" s="1394" t="s">
        <v>1947</v>
      </c>
      <c r="G333" s="1254"/>
    </row>
    <row r="334">
      <c r="A334" s="1394" t="s">
        <v>1948</v>
      </c>
      <c r="G334" s="1254"/>
    </row>
    <row r="335">
      <c r="A335" s="1394" t="s">
        <v>1949</v>
      </c>
      <c r="G335" s="1254"/>
    </row>
    <row r="336">
      <c r="A336" s="1394" t="s">
        <v>1950</v>
      </c>
      <c r="B336" s="1416">
        <v>1</v>
      </c>
      <c r="C336" s="1416">
        <v>1</v>
      </c>
      <c r="D336" s="1416">
        <v>1</v>
      </c>
      <c r="E336" s="1416">
        <v>1</v>
      </c>
      <c r="F336" s="1416">
        <v>1</v>
      </c>
      <c r="G336" s="1268">
        <v>1</v>
      </c>
      <c r="H336" s="1416">
        <v>1</v>
      </c>
      <c r="I336" s="1416">
        <v>1</v>
      </c>
      <c r="J336" s="1416">
        <v>1</v>
      </c>
      <c r="K336" s="1416">
        <v>1</v>
      </c>
    </row>
    <row r="337">
      <c r="A337" s="1394" t="s">
        <v>1951</v>
      </c>
      <c r="B337" s="1416">
        <v>42793727</v>
      </c>
      <c r="C337" s="1416">
        <v>57204243</v>
      </c>
      <c r="D337" s="1416">
        <v>53187368</v>
      </c>
      <c r="E337" s="1416">
        <v>55356497</v>
      </c>
      <c r="F337" s="1416">
        <v>48358044</v>
      </c>
      <c r="G337" s="1395" t="s">
        <v>109</v>
      </c>
      <c r="H337" s="1381" t="s">
        <v>109</v>
      </c>
      <c r="I337" s="1381" t="s">
        <v>109</v>
      </c>
      <c r="J337" s="1381" t="s">
        <v>109</v>
      </c>
      <c r="K337" s="1381" t="s">
        <v>109</v>
      </c>
    </row>
    <row r="338">
      <c r="A338" s="1394" t="s">
        <v>1952</v>
      </c>
      <c r="B338" s="1416">
        <v>11878451</v>
      </c>
      <c r="C338" s="1416">
        <v>11881633</v>
      </c>
      <c r="D338" s="1416">
        <v>11997283</v>
      </c>
      <c r="E338" s="1416">
        <v>12446869</v>
      </c>
      <c r="F338" s="1416">
        <v>12521408</v>
      </c>
      <c r="G338" s="1395" t="s">
        <v>109</v>
      </c>
      <c r="H338" s="1381" t="s">
        <v>109</v>
      </c>
      <c r="I338" s="1381" t="s">
        <v>109</v>
      </c>
      <c r="J338" s="1381" t="s">
        <v>109</v>
      </c>
      <c r="K338" s="1381" t="s">
        <v>109</v>
      </c>
    </row>
    <row r="339">
      <c r="A339" s="1394" t="s">
        <v>1953</v>
      </c>
      <c r="G339" s="1254"/>
    </row>
    <row r="340">
      <c r="A340" s="1394" t="s">
        <v>1954</v>
      </c>
      <c r="B340" s="1381" t="s">
        <v>109</v>
      </c>
      <c r="C340" s="1416">
        <v>7772171</v>
      </c>
      <c r="D340" s="1416">
        <v>6167774</v>
      </c>
      <c r="E340" s="1416">
        <v>5845232</v>
      </c>
      <c r="F340" s="1381" t="s">
        <v>109</v>
      </c>
      <c r="G340" s="1395" t="s">
        <v>109</v>
      </c>
      <c r="H340" s="1381" t="s">
        <v>109</v>
      </c>
      <c r="I340" s="1381" t="s">
        <v>109</v>
      </c>
      <c r="J340" s="1381" t="s">
        <v>109</v>
      </c>
      <c r="K340" s="1381" t="s">
        <v>109</v>
      </c>
    </row>
    <row r="341">
      <c r="A341" s="1394" t="s">
        <v>1955</v>
      </c>
      <c r="B341" s="1381" t="s">
        <v>109</v>
      </c>
      <c r="C341" s="1416">
        <v>0</v>
      </c>
      <c r="D341" s="1416">
        <v>248173</v>
      </c>
      <c r="E341" s="1416">
        <v>1892325</v>
      </c>
      <c r="F341" s="1381" t="s">
        <v>109</v>
      </c>
      <c r="G341" s="1395" t="s">
        <v>109</v>
      </c>
      <c r="H341" s="1381" t="s">
        <v>109</v>
      </c>
      <c r="I341" s="1381" t="s">
        <v>109</v>
      </c>
      <c r="J341" s="1381" t="s">
        <v>109</v>
      </c>
      <c r="K341" s="1381" t="s">
        <v>109</v>
      </c>
    </row>
    <row r="342">
      <c r="A342" s="1394" t="s">
        <v>1956</v>
      </c>
      <c r="B342" s="1381" t="s">
        <v>109</v>
      </c>
      <c r="C342" s="1416">
        <v>36506559</v>
      </c>
      <c r="D342" s="1416">
        <v>34957344</v>
      </c>
      <c r="E342" s="1416">
        <v>36123836</v>
      </c>
      <c r="F342" s="1416">
        <v>48358044</v>
      </c>
      <c r="G342" s="1395" t="s">
        <v>109</v>
      </c>
      <c r="H342" s="1381" t="s">
        <v>109</v>
      </c>
      <c r="I342" s="1381" t="s">
        <v>109</v>
      </c>
      <c r="J342" s="1381" t="s">
        <v>109</v>
      </c>
      <c r="K342" s="1381" t="s">
        <v>109</v>
      </c>
    </row>
    <row r="343">
      <c r="A343" s="1394" t="s">
        <v>1957</v>
      </c>
      <c r="B343" s="1381" t="s">
        <v>109</v>
      </c>
      <c r="C343" s="1416">
        <v>8065290</v>
      </c>
      <c r="D343" s="1416">
        <v>7330129</v>
      </c>
      <c r="E343" s="1416">
        <v>7164374</v>
      </c>
      <c r="F343" s="1381" t="s">
        <v>109</v>
      </c>
      <c r="G343" s="1395" t="s">
        <v>109</v>
      </c>
      <c r="H343" s="1381" t="s">
        <v>109</v>
      </c>
      <c r="I343" s="1381" t="s">
        <v>109</v>
      </c>
      <c r="J343" s="1381" t="s">
        <v>109</v>
      </c>
      <c r="K343" s="1381" t="s">
        <v>109</v>
      </c>
    </row>
    <row r="344">
      <c r="A344" s="1394" t="s">
        <v>1958</v>
      </c>
      <c r="B344" s="1381" t="s">
        <v>109</v>
      </c>
      <c r="C344" s="1416">
        <v>4860223</v>
      </c>
      <c r="D344" s="1416">
        <v>4483948</v>
      </c>
      <c r="E344" s="1416">
        <v>4330730</v>
      </c>
      <c r="F344" s="1381" t="s">
        <v>109</v>
      </c>
      <c r="G344" s="1395" t="s">
        <v>109</v>
      </c>
      <c r="H344" s="1381" t="s">
        <v>109</v>
      </c>
      <c r="I344" s="1381" t="s">
        <v>109</v>
      </c>
      <c r="J344" s="1381" t="s">
        <v>109</v>
      </c>
      <c r="K344" s="1381" t="s">
        <v>109</v>
      </c>
    </row>
    <row r="345">
      <c r="A345" s="1401" t="s">
        <v>1959</v>
      </c>
      <c r="B345" s="1398" t="s">
        <v>109</v>
      </c>
      <c r="C345" s="1398">
        <f>IF(ISNUMBER(C340),C340,0)+IF(ISNUMBER(C341),C341,0)+IF(ISNUMBER(C342),C342,0)+IF(ISNUMBER(C343),C343,0)+IF(ISNUMBER(C344),C344,0)</f>
        <v>57204243</v>
      </c>
      <c r="D345" s="1398">
        <f>IF(ISNUMBER(D340),D340,0)+IF(ISNUMBER(D341),D341,0)+IF(ISNUMBER(D342),D342,0)+IF(ISNUMBER(D343),D343,0)+IF(ISNUMBER(D344),D344,0)</f>
        <v>53187368</v>
      </c>
      <c r="E345" s="1398">
        <f>IF(ISNUMBER(E340),E340,0)+IF(ISNUMBER(E341),E341,0)+IF(ISNUMBER(E342),E342,0)+IF(ISNUMBER(E343),E343,0)+IF(ISNUMBER(E344),E344,0)</f>
        <v>55356497</v>
      </c>
      <c r="F345" s="1398">
        <f>IF(ISNUMBER(F340),F340,0)+IF(ISNUMBER(F341),F341,0)+IF(ISNUMBER(F342),F342,0)+IF(ISNUMBER(F343),F343,0)+IF(ISNUMBER(F344),F344,0)</f>
        <v>48358044</v>
      </c>
      <c r="G345" s="1400" t="s">
        <v>109</v>
      </c>
      <c r="H345" s="1398" t="s">
        <v>109</v>
      </c>
      <c r="I345" s="1398" t="s">
        <v>109</v>
      </c>
      <c r="J345" s="1398" t="s">
        <v>109</v>
      </c>
      <c r="K345" s="1398" t="s">
        <v>109</v>
      </c>
    </row>
    <row r="346">
      <c r="A346" s="1394" t="s">
        <v>1960</v>
      </c>
      <c r="B346" s="1381" t="s">
        <v>109</v>
      </c>
      <c r="C346" s="1381">
        <f>C345-C337</f>
        <v>0</v>
      </c>
      <c r="D346" s="1381">
        <f>D345-D337</f>
        <v>0</v>
      </c>
      <c r="E346" s="1381">
        <f>E345-E337</f>
        <v>0</v>
      </c>
      <c r="F346" s="1381">
        <f>F345-F337</f>
        <v>0</v>
      </c>
      <c r="G346" s="1395" t="s">
        <v>109</v>
      </c>
      <c r="H346" s="1381" t="s">
        <v>109</v>
      </c>
      <c r="I346" s="1381" t="s">
        <v>109</v>
      </c>
      <c r="J346" s="1381" t="s">
        <v>109</v>
      </c>
      <c r="K346" s="1381" t="s">
        <v>109</v>
      </c>
    </row>
    <row r="347">
      <c r="A347" s="1394" t="s">
        <v>1961</v>
      </c>
      <c r="B347" s="1249" t="s">
        <v>109</v>
      </c>
      <c r="C347" s="1249" t="str">
        <f>IF(ABS(C346)&lt;=C336,"TIE OK","FLAG: residual&gt;tolerance")</f>
        <v>TIE OK</v>
      </c>
      <c r="D347" s="1249" t="str">
        <f>IF(ABS(D346)&lt;=D336,"TIE OK","FLAG: residual&gt;tolerance")</f>
        <v>TIE OK</v>
      </c>
      <c r="E347" s="1249" t="str">
        <f>IF(ABS(E346)&lt;=E336,"TIE OK","FLAG: residual&gt;tolerance")</f>
        <v>TIE OK</v>
      </c>
      <c r="F347" s="1249" t="str">
        <f>IF(ABS(F346)&lt;=F336,"TIE OK","FLAG: residual&gt;tolerance")</f>
        <v>TIE OK</v>
      </c>
      <c r="G347" s="1253" t="s">
        <v>109</v>
      </c>
      <c r="H347" s="1249" t="s">
        <v>109</v>
      </c>
      <c r="I347" s="1249" t="s">
        <v>109</v>
      </c>
      <c r="J347" s="1249" t="s">
        <v>109</v>
      </c>
      <c r="K347" s="1249" t="s">
        <v>109</v>
      </c>
    </row>
    <row r="348">
      <c r="A348" s="1394" t="s">
        <v>1962</v>
      </c>
      <c r="G348" s="1254"/>
    </row>
    <row r="349">
      <c r="A349" s="1394" t="s">
        <v>1954</v>
      </c>
      <c r="B349" s="1381" t="s">
        <v>109</v>
      </c>
      <c r="C349" s="1416">
        <v>407246</v>
      </c>
      <c r="D349" s="1416">
        <v>650936</v>
      </c>
      <c r="E349" s="1416">
        <v>412105</v>
      </c>
      <c r="F349" s="1381" t="s">
        <v>109</v>
      </c>
      <c r="G349" s="1395" t="s">
        <v>109</v>
      </c>
      <c r="H349" s="1381" t="s">
        <v>109</v>
      </c>
      <c r="I349" s="1381" t="s">
        <v>109</v>
      </c>
      <c r="J349" s="1381" t="s">
        <v>109</v>
      </c>
      <c r="K349" s="1381" t="s">
        <v>109</v>
      </c>
    </row>
    <row r="350">
      <c r="A350" s="1394" t="s">
        <v>1955</v>
      </c>
      <c r="B350" s="1381" t="s">
        <v>109</v>
      </c>
      <c r="C350" s="1416">
        <v>0</v>
      </c>
      <c r="D350" s="1416">
        <v>752</v>
      </c>
      <c r="E350" s="1416">
        <v>5492</v>
      </c>
      <c r="F350" s="1381" t="s">
        <v>109</v>
      </c>
      <c r="G350" s="1395" t="s">
        <v>109</v>
      </c>
      <c r="H350" s="1381" t="s">
        <v>109</v>
      </c>
      <c r="I350" s="1381" t="s">
        <v>109</v>
      </c>
      <c r="J350" s="1381" t="s">
        <v>109</v>
      </c>
      <c r="K350" s="1381" t="s">
        <v>109</v>
      </c>
    </row>
    <row r="351">
      <c r="A351" s="1394" t="s">
        <v>1956</v>
      </c>
      <c r="B351" s="1381" t="s">
        <v>109</v>
      </c>
      <c r="C351" s="1416">
        <v>7225324</v>
      </c>
      <c r="D351" s="1416">
        <v>10365596</v>
      </c>
      <c r="E351" s="1416">
        <v>9052202</v>
      </c>
      <c r="F351" s="1416">
        <v>4986124</v>
      </c>
      <c r="G351" s="1395" t="s">
        <v>109</v>
      </c>
      <c r="H351" s="1381" t="s">
        <v>109</v>
      </c>
      <c r="I351" s="1381" t="s">
        <v>109</v>
      </c>
      <c r="J351" s="1381" t="s">
        <v>109</v>
      </c>
      <c r="K351" s="1381" t="s">
        <v>109</v>
      </c>
    </row>
    <row r="352">
      <c r="A352" s="1394" t="s">
        <v>1957</v>
      </c>
      <c r="B352" s="1381" t="s">
        <v>109</v>
      </c>
      <c r="C352" s="1416">
        <v>759724</v>
      </c>
      <c r="D352" s="1416">
        <v>651597</v>
      </c>
      <c r="E352" s="1416">
        <v>377079</v>
      </c>
      <c r="F352" s="1381" t="s">
        <v>109</v>
      </c>
      <c r="G352" s="1395" t="s">
        <v>109</v>
      </c>
      <c r="H352" s="1381" t="s">
        <v>109</v>
      </c>
      <c r="I352" s="1381" t="s">
        <v>109</v>
      </c>
      <c r="J352" s="1381" t="s">
        <v>109</v>
      </c>
      <c r="K352" s="1381" t="s">
        <v>109</v>
      </c>
    </row>
    <row r="353">
      <c r="A353" s="1394" t="s">
        <v>1958</v>
      </c>
      <c r="B353" s="1381" t="s">
        <v>109</v>
      </c>
      <c r="C353" s="1416">
        <v>167659</v>
      </c>
      <c r="D353" s="1416">
        <v>344454</v>
      </c>
      <c r="E353" s="1416">
        <v>113320</v>
      </c>
      <c r="F353" s="1381" t="s">
        <v>109</v>
      </c>
      <c r="G353" s="1395" t="s">
        <v>109</v>
      </c>
      <c r="H353" s="1381" t="s">
        <v>109</v>
      </c>
      <c r="I353" s="1381" t="s">
        <v>109</v>
      </c>
      <c r="J353" s="1381" t="s">
        <v>109</v>
      </c>
      <c r="K353" s="1381" t="s">
        <v>109</v>
      </c>
    </row>
    <row r="354">
      <c r="A354" s="1401" t="s">
        <v>1963</v>
      </c>
      <c r="B354" s="1398" t="s">
        <v>109</v>
      </c>
      <c r="C354" s="1398">
        <f>IF(ISNUMBER(C349),C349,0)+IF(ISNUMBER(C350),C350,0)+IF(ISNUMBER(C351),C351,0)+IF(ISNUMBER(C352),C352,0)+IF(ISNUMBER(C353),C353,0)</f>
        <v>8559953</v>
      </c>
      <c r="D354" s="1398">
        <f>IF(ISNUMBER(D349),D349,0)+IF(ISNUMBER(D350),D350,0)+IF(ISNUMBER(D351),D351,0)+IF(ISNUMBER(D352),D352,0)+IF(ISNUMBER(D353),D353,0)</f>
        <v>12013335</v>
      </c>
      <c r="E354" s="1398">
        <f>IF(ISNUMBER(E349),E349,0)+IF(ISNUMBER(E350),E350,0)+IF(ISNUMBER(E351),E351,0)+IF(ISNUMBER(E352),E352,0)+IF(ISNUMBER(E353),E353,0)</f>
        <v>9960198</v>
      </c>
      <c r="F354" s="1398">
        <f>IF(ISNUMBER(F349),F349,0)+IF(ISNUMBER(F350),F350,0)+IF(ISNUMBER(F351),F351,0)+IF(ISNUMBER(F352),F352,0)+IF(ISNUMBER(F353),F353,0)</f>
        <v>4986124</v>
      </c>
      <c r="G354" s="1400" t="s">
        <v>109</v>
      </c>
      <c r="H354" s="1398" t="s">
        <v>109</v>
      </c>
      <c r="I354" s="1398" t="s">
        <v>109</v>
      </c>
      <c r="J354" s="1398" t="s">
        <v>109</v>
      </c>
      <c r="K354" s="1398" t="s">
        <v>109</v>
      </c>
    </row>
    <row r="355">
      <c r="A355" s="1394" t="s">
        <v>1964</v>
      </c>
      <c r="B355" s="1381" t="s">
        <v>109</v>
      </c>
      <c r="C355" s="1381">
        <f>C354-C275</f>
        <v>0</v>
      </c>
      <c r="D355" s="1381">
        <f>D354-D275</f>
        <v>0</v>
      </c>
      <c r="E355" s="1381">
        <f>E354-E275</f>
        <v>0</v>
      </c>
      <c r="F355" s="1381">
        <f>F354-F275</f>
        <v>0</v>
      </c>
      <c r="G355" s="1395" t="s">
        <v>109</v>
      </c>
      <c r="H355" s="1381" t="s">
        <v>109</v>
      </c>
      <c r="I355" s="1381" t="s">
        <v>109</v>
      </c>
      <c r="J355" s="1381" t="s">
        <v>109</v>
      </c>
      <c r="K355" s="1381" t="s">
        <v>109</v>
      </c>
    </row>
    <row r="356">
      <c r="A356" s="1394" t="s">
        <v>1965</v>
      </c>
      <c r="B356" s="1249" t="s">
        <v>109</v>
      </c>
      <c r="C356" s="1249" t="str">
        <f>IF(ABS(C355)&lt;=C336,"TIE OK","FLAG: residual&gt;tolerance")</f>
        <v>TIE OK</v>
      </c>
      <c r="D356" s="1249" t="str">
        <f>IF(ABS(D355)&lt;=D336,"TIE OK","FLAG: residual&gt;tolerance")</f>
        <v>TIE OK</v>
      </c>
      <c r="E356" s="1249" t="str">
        <f>IF(ABS(E355)&lt;=E336,"TIE OK","FLAG: residual&gt;tolerance")</f>
        <v>TIE OK</v>
      </c>
      <c r="F356" s="1249" t="str">
        <f>IF(ABS(F355)&lt;=F336,"TIE OK","FLAG: residual&gt;tolerance")</f>
        <v>TIE OK</v>
      </c>
      <c r="G356" s="1253" t="s">
        <v>109</v>
      </c>
      <c r="H356" s="1249" t="s">
        <v>109</v>
      </c>
      <c r="I356" s="1249" t="s">
        <v>109</v>
      </c>
      <c r="J356" s="1249" t="s">
        <v>109</v>
      </c>
      <c r="K356" s="1249" t="s">
        <v>109</v>
      </c>
    </row>
    <row r="357">
      <c r="A357" s="1394" t="s">
        <v>1966</v>
      </c>
      <c r="G357" s="1254"/>
    </row>
    <row r="358">
      <c r="A358" s="1394" t="s">
        <v>1954</v>
      </c>
      <c r="B358" s="1381" t="s">
        <v>109</v>
      </c>
      <c r="C358" s="1416">
        <v>92768</v>
      </c>
      <c r="D358" s="1416">
        <v>265835</v>
      </c>
      <c r="E358" s="1416">
        <v>302628</v>
      </c>
      <c r="F358" s="1381" t="s">
        <v>109</v>
      </c>
      <c r="G358" s="1395" t="s">
        <v>109</v>
      </c>
      <c r="H358" s="1381" t="s">
        <v>109</v>
      </c>
      <c r="I358" s="1381" t="s">
        <v>109</v>
      </c>
      <c r="J358" s="1381" t="s">
        <v>109</v>
      </c>
      <c r="K358" s="1381" t="s">
        <v>109</v>
      </c>
    </row>
    <row r="359">
      <c r="A359" s="1394" t="s">
        <v>1955</v>
      </c>
      <c r="B359" s="1381" t="s">
        <v>109</v>
      </c>
      <c r="C359" s="1416">
        <v>0</v>
      </c>
      <c r="D359" s="1416">
        <v>2219</v>
      </c>
      <c r="E359" s="1416">
        <v>14623</v>
      </c>
      <c r="F359" s="1381" t="s">
        <v>109</v>
      </c>
      <c r="G359" s="1395" t="s">
        <v>109</v>
      </c>
      <c r="H359" s="1381" t="s">
        <v>109</v>
      </c>
      <c r="I359" s="1381" t="s">
        <v>109</v>
      </c>
      <c r="J359" s="1381" t="s">
        <v>109</v>
      </c>
      <c r="K359" s="1381" t="s">
        <v>109</v>
      </c>
    </row>
    <row r="360">
      <c r="A360" s="1394" t="s">
        <v>1956</v>
      </c>
      <c r="B360" s="1381" t="s">
        <v>109</v>
      </c>
      <c r="C360" s="1416">
        <v>1183260</v>
      </c>
      <c r="D360" s="1416">
        <v>1361897</v>
      </c>
      <c r="E360" s="1416">
        <v>1496614</v>
      </c>
      <c r="F360" s="1416">
        <v>1761951</v>
      </c>
      <c r="G360" s="1395" t="s">
        <v>109</v>
      </c>
      <c r="H360" s="1381" t="s">
        <v>109</v>
      </c>
      <c r="I360" s="1381" t="s">
        <v>109</v>
      </c>
      <c r="J360" s="1381" t="s">
        <v>109</v>
      </c>
      <c r="K360" s="1381" t="s">
        <v>109</v>
      </c>
    </row>
    <row r="361">
      <c r="A361" s="1394" t="s">
        <v>1957</v>
      </c>
      <c r="B361" s="1381" t="s">
        <v>109</v>
      </c>
      <c r="C361" s="1416">
        <v>350163</v>
      </c>
      <c r="D361" s="1416">
        <v>375097</v>
      </c>
      <c r="E361" s="1416">
        <v>425953</v>
      </c>
      <c r="F361" s="1381" t="s">
        <v>109</v>
      </c>
      <c r="G361" s="1395" t="s">
        <v>109</v>
      </c>
      <c r="H361" s="1381" t="s">
        <v>109</v>
      </c>
      <c r="I361" s="1381" t="s">
        <v>109</v>
      </c>
      <c r="J361" s="1381" t="s">
        <v>109</v>
      </c>
      <c r="K361" s="1381" t="s">
        <v>109</v>
      </c>
    </row>
    <row r="362">
      <c r="A362" s="1394" t="s">
        <v>1958</v>
      </c>
      <c r="B362" s="1381" t="s">
        <v>109</v>
      </c>
      <c r="C362" s="1416">
        <v>224278</v>
      </c>
      <c r="D362" s="1416">
        <v>238725</v>
      </c>
      <c r="E362" s="1416">
        <v>263943</v>
      </c>
      <c r="F362" s="1381" t="s">
        <v>109</v>
      </c>
      <c r="G362" s="1395" t="s">
        <v>109</v>
      </c>
      <c r="H362" s="1381" t="s">
        <v>109</v>
      </c>
      <c r="I362" s="1381" t="s">
        <v>109</v>
      </c>
      <c r="J362" s="1381" t="s">
        <v>109</v>
      </c>
      <c r="K362" s="1381" t="s">
        <v>109</v>
      </c>
    </row>
    <row r="363">
      <c r="A363" s="1401" t="s">
        <v>1967</v>
      </c>
      <c r="B363" s="1398" t="s">
        <v>109</v>
      </c>
      <c r="C363" s="1398">
        <f>IF(ISNUMBER(C358),C358,0)+IF(ISNUMBER(C359),C359,0)+IF(ISNUMBER(C360),C360,0)+IF(ISNUMBER(C361),C361,0)+IF(ISNUMBER(C362),C362,0)</f>
        <v>1850469</v>
      </c>
      <c r="D363" s="1398">
        <f>IF(ISNUMBER(D358),D358,0)+IF(ISNUMBER(D359),D359,0)+IF(ISNUMBER(D360),D360,0)+IF(ISNUMBER(D361),D361,0)+IF(ISNUMBER(D362),D362,0)</f>
        <v>2243773</v>
      </c>
      <c r="E363" s="1398">
        <f>IF(ISNUMBER(E358),E358,0)+IF(ISNUMBER(E359),E359,0)+IF(ISNUMBER(E360),E360,0)+IF(ISNUMBER(E361),E361,0)+IF(ISNUMBER(E362),E362,0)</f>
        <v>2503761</v>
      </c>
      <c r="F363" s="1398">
        <f>IF(ISNUMBER(F358),F358,0)+IF(ISNUMBER(F359),F359,0)+IF(ISNUMBER(F360),F360,0)+IF(ISNUMBER(F361),F361,0)+IF(ISNUMBER(F362),F362,0)</f>
        <v>1761951</v>
      </c>
      <c r="G363" s="1400" t="s">
        <v>109</v>
      </c>
      <c r="H363" s="1398" t="s">
        <v>109</v>
      </c>
      <c r="I363" s="1398" t="s">
        <v>109</v>
      </c>
      <c r="J363" s="1398" t="s">
        <v>109</v>
      </c>
      <c r="K363" s="1398" t="s">
        <v>109</v>
      </c>
    </row>
    <row r="364">
      <c r="A364" s="1394" t="s">
        <v>1968</v>
      </c>
      <c r="B364" s="1381" t="s">
        <v>109</v>
      </c>
      <c r="C364" s="1381">
        <f>C363-C276</f>
        <v>0</v>
      </c>
      <c r="D364" s="1381">
        <f>D363-D276</f>
        <v>0</v>
      </c>
      <c r="E364" s="1381">
        <f>E363-E276</f>
        <v>0</v>
      </c>
      <c r="F364" s="1381">
        <f>F363-F276</f>
        <v>0</v>
      </c>
      <c r="G364" s="1395" t="s">
        <v>109</v>
      </c>
      <c r="H364" s="1381" t="s">
        <v>109</v>
      </c>
      <c r="I364" s="1381" t="s">
        <v>109</v>
      </c>
      <c r="J364" s="1381" t="s">
        <v>109</v>
      </c>
      <c r="K364" s="1381" t="s">
        <v>109</v>
      </c>
    </row>
    <row r="365">
      <c r="A365" s="1394" t="s">
        <v>1969</v>
      </c>
      <c r="B365" s="1249" t="s">
        <v>109</v>
      </c>
      <c r="C365" s="1249" t="str">
        <f>IF(ABS(C364)&lt;=C336,"TIE OK","FLAG: residual&gt;tolerance")</f>
        <v>TIE OK</v>
      </c>
      <c r="D365" s="1249" t="str">
        <f>IF(ABS(D364)&lt;=D336,"TIE OK","FLAG: residual&gt;tolerance")</f>
        <v>TIE OK</v>
      </c>
      <c r="E365" s="1249" t="str">
        <f>IF(ABS(E364)&lt;=E336,"TIE OK","FLAG: residual&gt;tolerance")</f>
        <v>TIE OK</v>
      </c>
      <c r="F365" s="1249" t="str">
        <f>IF(ABS(F364)&lt;=F336,"TIE OK","FLAG: residual&gt;tolerance")</f>
        <v>TIE OK</v>
      </c>
      <c r="G365" s="1253" t="s">
        <v>109</v>
      </c>
      <c r="H365" s="1249" t="s">
        <v>109</v>
      </c>
      <c r="I365" s="1249" t="s">
        <v>109</v>
      </c>
      <c r="J365" s="1249" t="s">
        <v>109</v>
      </c>
      <c r="K365" s="1249" t="s">
        <v>109</v>
      </c>
    </row>
    <row r="366">
      <c r="A366" s="1394" t="s">
        <v>1970</v>
      </c>
      <c r="G366" s="1254"/>
    </row>
    <row r="367">
      <c r="A367" s="1394" t="s">
        <v>1954</v>
      </c>
      <c r="B367" s="1381" t="s">
        <v>109</v>
      </c>
      <c r="C367" s="1416">
        <v>1646235</v>
      </c>
      <c r="D367" s="1416">
        <v>1680134</v>
      </c>
      <c r="E367" s="1416">
        <v>1686175</v>
      </c>
      <c r="F367" s="1381" t="s">
        <v>109</v>
      </c>
      <c r="G367" s="1395" t="s">
        <v>109</v>
      </c>
      <c r="H367" s="1381" t="s">
        <v>109</v>
      </c>
      <c r="I367" s="1381" t="s">
        <v>109</v>
      </c>
      <c r="J367" s="1381" t="s">
        <v>109</v>
      </c>
      <c r="K367" s="1381" t="s">
        <v>109</v>
      </c>
    </row>
    <row r="368">
      <c r="A368" s="1394" t="s">
        <v>1955</v>
      </c>
      <c r="B368" s="1381" t="s">
        <v>109</v>
      </c>
      <c r="C368" s="1416">
        <v>0</v>
      </c>
      <c r="D368" s="1416">
        <v>55491</v>
      </c>
      <c r="E368" s="1416">
        <v>406993</v>
      </c>
      <c r="F368" s="1381" t="s">
        <v>109</v>
      </c>
      <c r="G368" s="1395" t="s">
        <v>109</v>
      </c>
      <c r="H368" s="1381" t="s">
        <v>109</v>
      </c>
      <c r="I368" s="1381" t="s">
        <v>109</v>
      </c>
      <c r="J368" s="1381" t="s">
        <v>109</v>
      </c>
      <c r="K368" s="1381" t="s">
        <v>109</v>
      </c>
    </row>
    <row r="369">
      <c r="A369" s="1394" t="s">
        <v>1956</v>
      </c>
      <c r="B369" s="1381" t="s">
        <v>109</v>
      </c>
      <c r="C369" s="1416">
        <v>6869637</v>
      </c>
      <c r="D369" s="1416">
        <v>6876705</v>
      </c>
      <c r="E369" s="1416">
        <v>6954278</v>
      </c>
      <c r="F369" s="1416">
        <v>12521408</v>
      </c>
      <c r="G369" s="1395" t="s">
        <v>109</v>
      </c>
      <c r="H369" s="1381" t="s">
        <v>109</v>
      </c>
      <c r="I369" s="1381" t="s">
        <v>109</v>
      </c>
      <c r="J369" s="1381" t="s">
        <v>109</v>
      </c>
      <c r="K369" s="1381" t="s">
        <v>109</v>
      </c>
    </row>
    <row r="370">
      <c r="A370" s="1394" t="s">
        <v>1957</v>
      </c>
      <c r="B370" s="1381" t="s">
        <v>109</v>
      </c>
      <c r="C370" s="1416">
        <v>2212082</v>
      </c>
      <c r="D370" s="1416">
        <v>2222592</v>
      </c>
      <c r="E370" s="1416">
        <v>2230118</v>
      </c>
      <c r="F370" s="1381" t="s">
        <v>109</v>
      </c>
      <c r="G370" s="1395" t="s">
        <v>109</v>
      </c>
      <c r="H370" s="1381" t="s">
        <v>109</v>
      </c>
      <c r="I370" s="1381" t="s">
        <v>109</v>
      </c>
      <c r="J370" s="1381" t="s">
        <v>109</v>
      </c>
      <c r="K370" s="1381" t="s">
        <v>109</v>
      </c>
    </row>
    <row r="371">
      <c r="A371" s="1394" t="s">
        <v>1958</v>
      </c>
      <c r="B371" s="1381" t="s">
        <v>109</v>
      </c>
      <c r="C371" s="1416">
        <v>1153679</v>
      </c>
      <c r="D371" s="1416">
        <v>1162361</v>
      </c>
      <c r="E371" s="1416">
        <v>1169305</v>
      </c>
      <c r="F371" s="1381" t="s">
        <v>109</v>
      </c>
      <c r="G371" s="1395" t="s">
        <v>109</v>
      </c>
      <c r="H371" s="1381" t="s">
        <v>109</v>
      </c>
      <c r="I371" s="1381" t="s">
        <v>109</v>
      </c>
      <c r="J371" s="1381" t="s">
        <v>109</v>
      </c>
      <c r="K371" s="1381" t="s">
        <v>109</v>
      </c>
    </row>
    <row r="372">
      <c r="A372" s="1401" t="s">
        <v>1971</v>
      </c>
      <c r="B372" s="1398" t="s">
        <v>109</v>
      </c>
      <c r="C372" s="1398">
        <f>IF(ISNUMBER(C367),C367,0)+IF(ISNUMBER(C368),C368,0)+IF(ISNUMBER(C369),C369,0)+IF(ISNUMBER(C370),C370,0)+IF(ISNUMBER(C371),C371,0)</f>
        <v>11881633</v>
      </c>
      <c r="D372" s="1398">
        <f>IF(ISNUMBER(D367),D367,0)+IF(ISNUMBER(D368),D368,0)+IF(ISNUMBER(D369),D369,0)+IF(ISNUMBER(D370),D370,0)+IF(ISNUMBER(D371),D371,0)</f>
        <v>11997283</v>
      </c>
      <c r="E372" s="1398">
        <f>IF(ISNUMBER(E367),E367,0)+IF(ISNUMBER(E368),E368,0)+IF(ISNUMBER(E369),E369,0)+IF(ISNUMBER(E370),E370,0)+IF(ISNUMBER(E371),E371,0)</f>
        <v>12446869</v>
      </c>
      <c r="F372" s="1398">
        <f>IF(ISNUMBER(F367),F367,0)+IF(ISNUMBER(F368),F368,0)+IF(ISNUMBER(F369),F369,0)+IF(ISNUMBER(F370),F370,0)+IF(ISNUMBER(F371),F371,0)</f>
        <v>12521408</v>
      </c>
      <c r="G372" s="1400" t="s">
        <v>109</v>
      </c>
      <c r="H372" s="1398" t="s">
        <v>109</v>
      </c>
      <c r="I372" s="1398" t="s">
        <v>109</v>
      </c>
      <c r="J372" s="1398" t="s">
        <v>109</v>
      </c>
      <c r="K372" s="1398" t="s">
        <v>109</v>
      </c>
    </row>
    <row r="373">
      <c r="A373" s="1394" t="s">
        <v>1972</v>
      </c>
      <c r="B373" s="1381" t="s">
        <v>109</v>
      </c>
      <c r="C373" s="1381">
        <f>C372-C338</f>
        <v>0</v>
      </c>
      <c r="D373" s="1381">
        <f>D372-D338</f>
        <v>0</v>
      </c>
      <c r="E373" s="1381">
        <f>E372-E338</f>
        <v>0</v>
      </c>
      <c r="F373" s="1381">
        <f>F372-F338</f>
        <v>0</v>
      </c>
      <c r="G373" s="1395" t="s">
        <v>109</v>
      </c>
      <c r="H373" s="1381" t="s">
        <v>109</v>
      </c>
      <c r="I373" s="1381" t="s">
        <v>109</v>
      </c>
      <c r="J373" s="1381" t="s">
        <v>109</v>
      </c>
      <c r="K373" s="1381" t="s">
        <v>109</v>
      </c>
    </row>
    <row r="374">
      <c r="A374" s="1394" t="s">
        <v>1973</v>
      </c>
      <c r="B374" s="1249" t="s">
        <v>109</v>
      </c>
      <c r="C374" s="1249" t="str">
        <f>IF(ABS(C373)&lt;=C336,"TIE OK","FLAG: residual&gt;tolerance")</f>
        <v>TIE OK</v>
      </c>
      <c r="D374" s="1249" t="str">
        <f>IF(ABS(D373)&lt;=D336,"TIE OK","FLAG: residual&gt;tolerance")</f>
        <v>TIE OK</v>
      </c>
      <c r="E374" s="1249" t="str">
        <f>IF(ABS(E373)&lt;=E336,"TIE OK","FLAG: residual&gt;tolerance")</f>
        <v>TIE OK</v>
      </c>
      <c r="F374" s="1249" t="str">
        <f>IF(ABS(F373)&lt;=F336,"TIE OK","FLAG: residual&gt;tolerance")</f>
        <v>TIE OK</v>
      </c>
      <c r="G374" s="1253" t="s">
        <v>109</v>
      </c>
      <c r="H374" s="1249" t="s">
        <v>109</v>
      </c>
      <c r="I374" s="1249" t="s">
        <v>109</v>
      </c>
      <c r="J374" s="1249" t="s">
        <v>109</v>
      </c>
      <c r="K374" s="1249" t="s">
        <v>109</v>
      </c>
    </row>
    <row r="375">
      <c r="A375" s="1394" t="s">
        <v>1974</v>
      </c>
      <c r="G375" s="1254"/>
    </row>
    <row r="376">
      <c r="A376" s="1394" t="s">
        <v>1954</v>
      </c>
      <c r="B376" s="1381" t="s">
        <v>109</v>
      </c>
      <c r="C376" s="1416">
        <v>532479</v>
      </c>
      <c r="D376" s="1416">
        <v>498988</v>
      </c>
      <c r="E376" s="1416">
        <v>535798</v>
      </c>
      <c r="F376" s="1381" t="s">
        <v>109</v>
      </c>
      <c r="G376" s="1395" t="s">
        <v>109</v>
      </c>
      <c r="H376" s="1381" t="s">
        <v>109</v>
      </c>
      <c r="I376" s="1381" t="s">
        <v>109</v>
      </c>
      <c r="J376" s="1381" t="s">
        <v>109</v>
      </c>
      <c r="K376" s="1381" t="s">
        <v>109</v>
      </c>
    </row>
    <row r="377">
      <c r="A377" s="1394" t="s">
        <v>1955</v>
      </c>
      <c r="B377" s="1381" t="s">
        <v>109</v>
      </c>
      <c r="C377" s="1416">
        <v>0</v>
      </c>
      <c r="D377" s="1416">
        <v>0</v>
      </c>
      <c r="E377" s="1416">
        <v>18268</v>
      </c>
      <c r="F377" s="1381" t="s">
        <v>109</v>
      </c>
      <c r="G377" s="1395" t="s">
        <v>109</v>
      </c>
      <c r="H377" s="1381" t="s">
        <v>109</v>
      </c>
      <c r="I377" s="1381" t="s">
        <v>109</v>
      </c>
      <c r="J377" s="1381" t="s">
        <v>109</v>
      </c>
      <c r="K377" s="1381" t="s">
        <v>109</v>
      </c>
    </row>
    <row r="378">
      <c r="A378" s="1394" t="s">
        <v>1956</v>
      </c>
      <c r="B378" s="1381" t="s">
        <v>109</v>
      </c>
      <c r="C378" s="1416">
        <v>1087919</v>
      </c>
      <c r="D378" s="1416">
        <v>1203791</v>
      </c>
      <c r="E378" s="1416">
        <v>1054490</v>
      </c>
      <c r="F378" s="1416">
        <v>3004212</v>
      </c>
      <c r="G378" s="1395" t="s">
        <v>109</v>
      </c>
      <c r="H378" s="1381" t="s">
        <v>109</v>
      </c>
      <c r="I378" s="1381" t="s">
        <v>109</v>
      </c>
      <c r="J378" s="1381" t="s">
        <v>109</v>
      </c>
      <c r="K378" s="1381" t="s">
        <v>109</v>
      </c>
    </row>
    <row r="379">
      <c r="A379" s="1394" t="s">
        <v>1957</v>
      </c>
      <c r="B379" s="1381" t="s">
        <v>109</v>
      </c>
      <c r="C379" s="1416">
        <v>626850</v>
      </c>
      <c r="D379" s="1416">
        <v>849862</v>
      </c>
      <c r="E379" s="1416">
        <v>721775</v>
      </c>
      <c r="F379" s="1381" t="s">
        <v>109</v>
      </c>
      <c r="G379" s="1395" t="s">
        <v>109</v>
      </c>
      <c r="H379" s="1381" t="s">
        <v>109</v>
      </c>
      <c r="I379" s="1381" t="s">
        <v>109</v>
      </c>
      <c r="J379" s="1381" t="s">
        <v>109</v>
      </c>
      <c r="K379" s="1381" t="s">
        <v>109</v>
      </c>
    </row>
    <row r="380">
      <c r="A380" s="1394" t="s">
        <v>1958</v>
      </c>
      <c r="B380" s="1381" t="s">
        <v>109</v>
      </c>
      <c r="C380" s="1416">
        <v>301127</v>
      </c>
      <c r="D380" s="1416">
        <v>288378</v>
      </c>
      <c r="E380" s="1416">
        <v>219181</v>
      </c>
      <c r="F380" s="1381" t="s">
        <v>109</v>
      </c>
      <c r="G380" s="1395" t="s">
        <v>109</v>
      </c>
      <c r="H380" s="1381" t="s">
        <v>109</v>
      </c>
      <c r="I380" s="1381" t="s">
        <v>109</v>
      </c>
      <c r="J380" s="1381" t="s">
        <v>109</v>
      </c>
      <c r="K380" s="1381" t="s">
        <v>109</v>
      </c>
    </row>
    <row r="381">
      <c r="A381" s="1401" t="s">
        <v>1975</v>
      </c>
      <c r="B381" s="1398" t="s">
        <v>109</v>
      </c>
      <c r="C381" s="1398">
        <f>IF(ISNUMBER(C376),C376,0)+IF(ISNUMBER(C377),C377,0)+IF(ISNUMBER(C378),C378,0)+IF(ISNUMBER(C379),C379,0)+IF(ISNUMBER(C380),C380,0)</f>
        <v>2548375</v>
      </c>
      <c r="D381" s="1398">
        <f>IF(ISNUMBER(D376),D376,0)+IF(ISNUMBER(D377),D377,0)+IF(ISNUMBER(D378),D378,0)+IF(ISNUMBER(D379),D379,0)+IF(ISNUMBER(D380),D380,0)</f>
        <v>2841019</v>
      </c>
      <c r="E381" s="1398">
        <f>IF(ISNUMBER(E376),E376,0)+IF(ISNUMBER(E377),E377,0)+IF(ISNUMBER(E378),E378,0)+IF(ISNUMBER(E379),E379,0)+IF(ISNUMBER(E380),E380,0)</f>
        <v>2549512</v>
      </c>
      <c r="F381" s="1398">
        <f>IF(ISNUMBER(F376),F376,0)+IF(ISNUMBER(F377),F377,0)+IF(ISNUMBER(F378),F378,0)+IF(ISNUMBER(F379),F379,0)+IF(ISNUMBER(F380),F380,0)</f>
        <v>3004212</v>
      </c>
      <c r="G381" s="1400" t="s">
        <v>109</v>
      </c>
      <c r="H381" s="1398" t="s">
        <v>109</v>
      </c>
      <c r="I381" s="1398" t="s">
        <v>109</v>
      </c>
      <c r="J381" s="1398" t="s">
        <v>109</v>
      </c>
      <c r="K381" s="1398" t="s">
        <v>109</v>
      </c>
    </row>
    <row r="382">
      <c r="A382" s="1394" t="s">
        <v>1976</v>
      </c>
      <c r="B382" s="1381" t="s">
        <v>109</v>
      </c>
      <c r="C382" s="1381">
        <f>C381-C321</f>
        <v>0</v>
      </c>
      <c r="D382" s="1381">
        <f>D381-D321</f>
        <v>0</v>
      </c>
      <c r="E382" s="1381">
        <f>E381-E321</f>
        <v>0</v>
      </c>
      <c r="F382" s="1381">
        <f>F381-F321</f>
        <v>0</v>
      </c>
      <c r="G382" s="1395" t="s">
        <v>109</v>
      </c>
      <c r="H382" s="1381" t="s">
        <v>109</v>
      </c>
      <c r="I382" s="1381" t="s">
        <v>109</v>
      </c>
      <c r="J382" s="1381" t="s">
        <v>109</v>
      </c>
      <c r="K382" s="1381" t="s">
        <v>109</v>
      </c>
    </row>
    <row r="383">
      <c r="A383" s="1394" t="s">
        <v>1977</v>
      </c>
      <c r="B383" s="1249" t="s">
        <v>109</v>
      </c>
      <c r="C383" s="1249" t="str">
        <f>IF(ABS(C382)&lt;=C336,"TIE OK","FLAG: residual&gt;tolerance")</f>
        <v>TIE OK</v>
      </c>
      <c r="D383" s="1249" t="str">
        <f>IF(ABS(D382)&lt;=D336,"TIE OK","FLAG: residual&gt;tolerance")</f>
        <v>TIE OK</v>
      </c>
      <c r="E383" s="1249" t="str">
        <f>IF(ABS(E382)&lt;=E336,"TIE OK","FLAG: residual&gt;tolerance")</f>
        <v>TIE OK</v>
      </c>
      <c r="F383" s="1249" t="str">
        <f>IF(ABS(F382)&lt;=F336,"TIE OK","FLAG: residual&gt;tolerance")</f>
        <v>TIE OK</v>
      </c>
      <c r="G383" s="1253" t="s">
        <v>109</v>
      </c>
      <c r="H383" s="1249" t="s">
        <v>109</v>
      </c>
      <c r="I383" s="1249" t="s">
        <v>109</v>
      </c>
      <c r="J383" s="1249" t="s">
        <v>109</v>
      </c>
      <c r="K383" s="1249" t="s">
        <v>109</v>
      </c>
    </row>
    <row r="384">
      <c r="A384" s="1394" t="s">
        <v>1978</v>
      </c>
      <c r="G384" s="1254"/>
    </row>
    <row r="385">
      <c r="A385" s="1394" t="s">
        <v>1979</v>
      </c>
      <c r="B385" s="1381" t="s">
        <v>109</v>
      </c>
      <c r="C385" s="1416">
        <v>1630965</v>
      </c>
      <c r="D385" s="1416">
        <v>1652782</v>
      </c>
      <c r="E385" s="1416">
        <v>1625984</v>
      </c>
      <c r="F385" s="1416">
        <v>1766895</v>
      </c>
      <c r="G385" s="1395" t="s">
        <v>109</v>
      </c>
      <c r="H385" s="1381" t="s">
        <v>109</v>
      </c>
      <c r="I385" s="1381" t="s">
        <v>109</v>
      </c>
      <c r="J385" s="1381" t="s">
        <v>109</v>
      </c>
      <c r="K385" s="1381" t="s">
        <v>109</v>
      </c>
    </row>
    <row r="386">
      <c r="A386" s="1394" t="s">
        <v>1954</v>
      </c>
      <c r="B386" s="1381" t="s">
        <v>109</v>
      </c>
      <c r="C386" s="1416">
        <v>536385</v>
      </c>
      <c r="D386" s="1416">
        <v>631848</v>
      </c>
      <c r="E386" s="1416">
        <v>652232</v>
      </c>
      <c r="F386" s="1381" t="s">
        <v>109</v>
      </c>
      <c r="G386" s="1395" t="s">
        <v>109</v>
      </c>
      <c r="H386" s="1381" t="s">
        <v>109</v>
      </c>
      <c r="I386" s="1381" t="s">
        <v>109</v>
      </c>
      <c r="J386" s="1381" t="s">
        <v>109</v>
      </c>
      <c r="K386" s="1381" t="s">
        <v>109</v>
      </c>
    </row>
    <row r="387">
      <c r="A387" s="1394" t="s">
        <v>1955</v>
      </c>
      <c r="B387" s="1381" t="s">
        <v>109</v>
      </c>
      <c r="C387" s="1416">
        <v>405</v>
      </c>
      <c r="D387" s="1416">
        <v>10187</v>
      </c>
      <c r="E387" s="1416">
        <v>55704</v>
      </c>
      <c r="F387" s="1381" t="s">
        <v>109</v>
      </c>
      <c r="G387" s="1395" t="s">
        <v>109</v>
      </c>
      <c r="H387" s="1381" t="s">
        <v>109</v>
      </c>
      <c r="I387" s="1381" t="s">
        <v>109</v>
      </c>
      <c r="J387" s="1381" t="s">
        <v>109</v>
      </c>
      <c r="K387" s="1381" t="s">
        <v>109</v>
      </c>
    </row>
    <row r="388">
      <c r="A388" s="1394" t="s">
        <v>1956</v>
      </c>
      <c r="B388" s="1381" t="s">
        <v>109</v>
      </c>
      <c r="C388" s="1416">
        <v>1973892</v>
      </c>
      <c r="D388" s="1416">
        <v>1868816</v>
      </c>
      <c r="E388" s="1416">
        <v>1676681</v>
      </c>
      <c r="F388" s="1416">
        <v>3903807</v>
      </c>
      <c r="G388" s="1395" t="s">
        <v>109</v>
      </c>
      <c r="H388" s="1381" t="s">
        <v>109</v>
      </c>
      <c r="I388" s="1381" t="s">
        <v>109</v>
      </c>
      <c r="J388" s="1381" t="s">
        <v>109</v>
      </c>
      <c r="K388" s="1381" t="s">
        <v>109</v>
      </c>
    </row>
    <row r="389">
      <c r="A389" s="1394" t="s">
        <v>1957</v>
      </c>
      <c r="B389" s="1381" t="s">
        <v>109</v>
      </c>
      <c r="C389" s="1416">
        <v>582233</v>
      </c>
      <c r="D389" s="1416">
        <v>693062</v>
      </c>
      <c r="E389" s="1416">
        <v>698511</v>
      </c>
      <c r="F389" s="1381" t="s">
        <v>109</v>
      </c>
      <c r="G389" s="1395" t="s">
        <v>109</v>
      </c>
      <c r="H389" s="1381" t="s">
        <v>109</v>
      </c>
      <c r="I389" s="1381" t="s">
        <v>109</v>
      </c>
      <c r="J389" s="1381" t="s">
        <v>109</v>
      </c>
      <c r="K389" s="1381" t="s">
        <v>109</v>
      </c>
    </row>
    <row r="390">
      <c r="A390" s="1394" t="s">
        <v>1958</v>
      </c>
      <c r="B390" s="1381" t="s">
        <v>109</v>
      </c>
      <c r="C390" s="1416">
        <v>582172</v>
      </c>
      <c r="D390" s="1416">
        <v>683333</v>
      </c>
      <c r="E390" s="1416">
        <v>775341</v>
      </c>
      <c r="F390" s="1381" t="s">
        <v>109</v>
      </c>
      <c r="G390" s="1395" t="s">
        <v>109</v>
      </c>
      <c r="H390" s="1381" t="s">
        <v>109</v>
      </c>
      <c r="I390" s="1381" t="s">
        <v>109</v>
      </c>
      <c r="J390" s="1381" t="s">
        <v>109</v>
      </c>
      <c r="K390" s="1381" t="s">
        <v>109</v>
      </c>
    </row>
    <row r="391">
      <c r="A391" s="1394" t="s">
        <v>1980</v>
      </c>
      <c r="B391" s="1381" t="s">
        <v>109</v>
      </c>
      <c r="C391" s="1416">
        <v>1155</v>
      </c>
      <c r="D391" s="1416">
        <v>1173</v>
      </c>
      <c r="E391" s="1416">
        <v>1611</v>
      </c>
      <c r="F391" s="1381" t="s">
        <v>109</v>
      </c>
      <c r="G391" s="1395" t="s">
        <v>109</v>
      </c>
      <c r="H391" s="1381" t="s">
        <v>109</v>
      </c>
      <c r="I391" s="1381" t="s">
        <v>109</v>
      </c>
      <c r="J391" s="1381" t="s">
        <v>109</v>
      </c>
      <c r="K391" s="1381" t="s">
        <v>109</v>
      </c>
    </row>
    <row r="392">
      <c r="A392" s="1394" t="s">
        <v>1981</v>
      </c>
      <c r="B392" s="1381" t="s">
        <v>109</v>
      </c>
      <c r="C392" s="1416">
        <v>350</v>
      </c>
      <c r="D392" s="1381" t="s">
        <v>109</v>
      </c>
      <c r="E392" s="1381" t="s">
        <v>109</v>
      </c>
      <c r="F392" s="1381" t="s">
        <v>109</v>
      </c>
      <c r="G392" s="1395" t="s">
        <v>109</v>
      </c>
      <c r="H392" s="1381" t="s">
        <v>109</v>
      </c>
      <c r="I392" s="1381" t="s">
        <v>109</v>
      </c>
      <c r="J392" s="1381" t="s">
        <v>109</v>
      </c>
      <c r="K392" s="1381" t="s">
        <v>109</v>
      </c>
    </row>
    <row r="393">
      <c r="A393" s="1394" t="s">
        <v>1982</v>
      </c>
      <c r="B393" s="1381" t="s">
        <v>109</v>
      </c>
      <c r="C393" s="1416">
        <v>25372</v>
      </c>
      <c r="D393" s="1416">
        <v>13128</v>
      </c>
      <c r="E393" s="1416">
        <v>25287</v>
      </c>
      <c r="F393" s="1416">
        <v>13975</v>
      </c>
      <c r="G393" s="1395" t="s">
        <v>109</v>
      </c>
      <c r="H393" s="1381" t="s">
        <v>109</v>
      </c>
      <c r="I393" s="1381" t="s">
        <v>109</v>
      </c>
      <c r="J393" s="1381" t="s">
        <v>109</v>
      </c>
      <c r="K393" s="1381" t="s">
        <v>109</v>
      </c>
    </row>
    <row r="394">
      <c r="A394" s="1401" t="s">
        <v>1983</v>
      </c>
      <c r="B394" s="1398" t="s">
        <v>109</v>
      </c>
      <c r="C394" s="1398">
        <f>IF(ISNUMBER(C385),C385,0)+IF(ISNUMBER(C386),C386,0)+IF(ISNUMBER(C387),C387,0)+IF(ISNUMBER(C388),C388,0)+IF(ISNUMBER(C389),C389,0)+IF(ISNUMBER(C390),C390,0)+IF(ISNUMBER(C391),C391,0)+IF(ISNUMBER(C392),C392,0)+IF(ISNUMBER(C393),C393,0)</f>
        <v>5332929</v>
      </c>
      <c r="D394" s="1398">
        <f>IF(ISNUMBER(D385),D385,0)+IF(ISNUMBER(D386),D386,0)+IF(ISNUMBER(D387),D387,0)+IF(ISNUMBER(D388),D388,0)+IF(ISNUMBER(D389),D389,0)+IF(ISNUMBER(D390),D390,0)+IF(ISNUMBER(D391),D391,0)+IF(ISNUMBER(D392),D392,0)+IF(ISNUMBER(D393),D393,0)</f>
        <v>5554329</v>
      </c>
      <c r="E394" s="1398">
        <f>IF(ISNUMBER(E385),E385,0)+IF(ISNUMBER(E386),E386,0)+IF(ISNUMBER(E387),E387,0)+IF(ISNUMBER(E388),E388,0)+IF(ISNUMBER(E389),E389,0)+IF(ISNUMBER(E390),E390,0)+IF(ISNUMBER(E391),E391,0)+IF(ISNUMBER(E392),E392,0)+IF(ISNUMBER(E393),E393,0)</f>
        <v>5511351</v>
      </c>
      <c r="F394" s="1398">
        <f>IF(ISNUMBER(F385),F385,0)+IF(ISNUMBER(F386),F386,0)+IF(ISNUMBER(F387),F387,0)+IF(ISNUMBER(F388),F388,0)+IF(ISNUMBER(F389),F389,0)+IF(ISNUMBER(F390),F390,0)+IF(ISNUMBER(F391),F391,0)+IF(ISNUMBER(F392),F392,0)+IF(ISNUMBER(F393),F393,0)</f>
        <v>5684677</v>
      </c>
      <c r="G394" s="1400" t="s">
        <v>109</v>
      </c>
      <c r="H394" s="1398" t="s">
        <v>109</v>
      </c>
      <c r="I394" s="1398" t="s">
        <v>109</v>
      </c>
      <c r="J394" s="1398" t="s">
        <v>109</v>
      </c>
      <c r="K394" s="1398" t="s">
        <v>109</v>
      </c>
    </row>
    <row r="395">
      <c r="A395" s="1394" t="s">
        <v>1984</v>
      </c>
      <c r="B395" s="1381" t="s">
        <v>109</v>
      </c>
      <c r="C395" s="1381">
        <f>C394-C322</f>
        <v>0</v>
      </c>
      <c r="D395" s="1381">
        <f>D394-D322</f>
        <v>0</v>
      </c>
      <c r="E395" s="1381">
        <f>E394-E322</f>
        <v>0</v>
      </c>
      <c r="F395" s="1381">
        <f>F394-F322</f>
        <v>0</v>
      </c>
      <c r="G395" s="1395" t="s">
        <v>109</v>
      </c>
      <c r="H395" s="1381" t="s">
        <v>109</v>
      </c>
      <c r="I395" s="1381" t="s">
        <v>109</v>
      </c>
      <c r="J395" s="1381" t="s">
        <v>109</v>
      </c>
      <c r="K395" s="1381" t="s">
        <v>109</v>
      </c>
    </row>
    <row r="396">
      <c r="A396" s="1394" t="s">
        <v>1985</v>
      </c>
      <c r="B396" s="1249" t="s">
        <v>109</v>
      </c>
      <c r="C396" s="1249" t="str">
        <f>IF(ABS(C395)&lt;=C336,"TIE OK","FLAG: residual&gt;tolerance")</f>
        <v>TIE OK</v>
      </c>
      <c r="D396" s="1249" t="str">
        <f>IF(ABS(D395)&lt;=D336,"TIE OK","FLAG: residual&gt;tolerance")</f>
        <v>TIE OK</v>
      </c>
      <c r="E396" s="1249" t="str">
        <f>IF(ABS(E395)&lt;=E336,"TIE OK","FLAG: residual&gt;tolerance")</f>
        <v>TIE OK</v>
      </c>
      <c r="F396" s="1249" t="str">
        <f>IF(ABS(F395)&lt;=F336,"TIE OK","FLAG: residual&gt;tolerance")</f>
        <v>TIE OK</v>
      </c>
      <c r="G396" s="1253" t="s">
        <v>109</v>
      </c>
      <c r="H396" s="1249" t="s">
        <v>109</v>
      </c>
      <c r="I396" s="1249" t="s">
        <v>109</v>
      </c>
      <c r="J396" s="1249" t="s">
        <v>109</v>
      </c>
      <c r="K396" s="1249" t="s">
        <v>109</v>
      </c>
    </row>
    <row r="397">
      <c r="A397" s="1394" t="s">
        <v>1986</v>
      </c>
      <c r="B397" s="1386" t="s">
        <v>109</v>
      </c>
      <c r="C397" s="1386">
        <f>IF(AND(ISNUMBER(C351),ISNUMBER(C275),C275&lt;&gt;0),C351/C275,"")</f>
        <v>0.8440845411183917</v>
      </c>
      <c r="D397" s="1386">
        <f>IF(AND(ISNUMBER(D351),ISNUMBER(D275),D275&lt;&gt;0),D351/D275,"")</f>
        <v>0.8628408347890074</v>
      </c>
      <c r="E397" s="1386">
        <f>IF(AND(ISNUMBER(E351),ISNUMBER(E275),E275&lt;&gt;0),E351/E275,"")</f>
        <v>0.9088375552373558</v>
      </c>
      <c r="F397" s="1386">
        <f>IF(AND(ISNUMBER(F351),ISNUMBER(F275),F275&lt;&gt;0),F351/F275,"")</f>
        <v>1</v>
      </c>
      <c r="G397" s="1413" t="s">
        <v>109</v>
      </c>
      <c r="H397" s="1386" t="s">
        <v>109</v>
      </c>
      <c r="I397" s="1386" t="s">
        <v>109</v>
      </c>
      <c r="J397" s="1386" t="s">
        <v>109</v>
      </c>
      <c r="K397" s="1386" t="s">
        <v>109</v>
      </c>
    </row>
    <row r="398">
      <c r="A398" s="1394" t="s">
        <v>1987</v>
      </c>
      <c r="G398" s="1254"/>
    </row>
    <row r="399">
      <c r="A399" s="1240"/>
      <c r="B399" s="1240"/>
      <c r="C399" s="1240"/>
      <c r="D399" s="1240"/>
      <c r="E399" s="1240"/>
      <c r="F399" s="1240"/>
      <c r="G399" s="1254"/>
      <c r="H399" s="1240"/>
      <c r="I399" s="1240"/>
      <c r="J399" s="1240"/>
      <c r="K399" s="1240"/>
    </row>
    <row r="400">
      <c r="A400" s="1384" t="s">
        <v>1988</v>
      </c>
      <c r="B400" s="1251"/>
      <c r="C400" s="1251"/>
      <c r="D400" s="1251"/>
      <c r="E400" s="1251"/>
      <c r="F400" s="1251"/>
      <c r="G400" s="1259"/>
      <c r="H400" s="1265"/>
      <c r="I400" s="1265"/>
      <c r="J400" s="1265"/>
      <c r="K400" s="1265"/>
    </row>
    <row r="401">
      <c r="A401" s="1394" t="s">
        <v>1989</v>
      </c>
      <c r="B401" s="1248" t="s">
        <v>109</v>
      </c>
      <c r="C401" s="1248" t="s">
        <v>109</v>
      </c>
      <c r="D401" s="1248" t="s">
        <v>109</v>
      </c>
      <c r="E401" s="1248" t="s">
        <v>109</v>
      </c>
      <c r="F401" s="1243">
        <v>108.47</v>
      </c>
      <c r="G401" s="1262">
        <v>108.47</v>
      </c>
      <c r="H401" s="1243">
        <v>108.47</v>
      </c>
      <c r="I401" s="1243">
        <v>108.47</v>
      </c>
      <c r="J401" s="1243">
        <v>108.47</v>
      </c>
      <c r="K401" s="1243">
        <v>108.47</v>
      </c>
    </row>
    <row r="402">
      <c r="A402" s="1394" t="s">
        <v>1990</v>
      </c>
      <c r="B402" s="1248" t="s">
        <v>109</v>
      </c>
      <c r="C402" s="1248" t="s">
        <v>109</v>
      </c>
      <c r="D402" s="1248" t="s">
        <v>109</v>
      </c>
      <c r="E402" s="1248" t="s">
        <v>109</v>
      </c>
      <c r="F402" s="1283">
        <v>63</v>
      </c>
      <c r="G402" s="1264">
        <f>G404</f>
        <v>60</v>
      </c>
      <c r="H402" s="1248">
        <f>H404</f>
        <v>58</v>
      </c>
      <c r="I402" s="1248">
        <f>I404</f>
        <v>57</v>
      </c>
      <c r="J402" s="1248">
        <f>J404</f>
        <v>56</v>
      </c>
      <c r="K402" s="1248">
        <f>K404</f>
        <v>55</v>
      </c>
    </row>
    <row r="403">
      <c r="A403" s="1394" t="s">
        <v>121</v>
      </c>
      <c r="B403" s="1248"/>
      <c r="C403" s="1248"/>
      <c r="D403" s="1248"/>
      <c r="E403" s="1248"/>
      <c r="F403" s="1248"/>
      <c r="G403" s="1262">
        <v>45</v>
      </c>
      <c r="H403" s="1243">
        <v>44</v>
      </c>
      <c r="I403" s="1243">
        <v>43</v>
      </c>
      <c r="J403" s="1243">
        <v>42</v>
      </c>
      <c r="K403" s="1243">
        <v>41</v>
      </c>
    </row>
    <row r="404">
      <c r="A404" s="1394" t="s">
        <v>123</v>
      </c>
      <c r="B404" s="1248"/>
      <c r="C404" s="1248"/>
      <c r="D404" s="1248"/>
      <c r="E404" s="1248"/>
      <c r="F404" s="1248"/>
      <c r="G404" s="1262">
        <v>60</v>
      </c>
      <c r="H404" s="1243">
        <v>58</v>
      </c>
      <c r="I404" s="1243">
        <v>57</v>
      </c>
      <c r="J404" s="1243">
        <v>56</v>
      </c>
      <c r="K404" s="1243">
        <v>55</v>
      </c>
    </row>
    <row r="405">
      <c r="A405" s="1394" t="s">
        <v>124</v>
      </c>
      <c r="B405" s="1248"/>
      <c r="C405" s="1248"/>
      <c r="D405" s="1248"/>
      <c r="E405" s="1248"/>
      <c r="F405" s="1248"/>
      <c r="G405" s="1262">
        <v>75</v>
      </c>
      <c r="H405" s="1243">
        <v>73</v>
      </c>
      <c r="I405" s="1243">
        <v>72</v>
      </c>
      <c r="J405" s="1243">
        <v>71</v>
      </c>
      <c r="K405" s="1243">
        <v>70</v>
      </c>
    </row>
    <row r="406">
      <c r="A406" s="1240"/>
      <c r="B406" s="1240"/>
      <c r="C406" s="1240"/>
      <c r="D406" s="1240"/>
      <c r="E406" s="1240"/>
      <c r="F406" s="1240"/>
      <c r="G406" s="1254"/>
      <c r="H406" s="1240"/>
      <c r="I406" s="1240"/>
      <c r="J406" s="1240"/>
      <c r="K406" s="1240"/>
    </row>
    <row r="407">
      <c r="A407" s="1384" t="s">
        <v>1991</v>
      </c>
      <c r="B407" s="1251"/>
      <c r="C407" s="1251"/>
      <c r="D407" s="1251"/>
      <c r="E407" s="1251"/>
      <c r="F407" s="1251"/>
      <c r="G407" s="1259"/>
      <c r="H407" s="1265"/>
      <c r="I407" s="1265"/>
      <c r="J407" s="1265"/>
      <c r="K407" s="1265"/>
    </row>
    <row r="408">
      <c r="A408" s="1394" t="s">
        <v>1992</v>
      </c>
      <c r="B408" s="1386" t="s">
        <v>109</v>
      </c>
      <c r="C408" s="1386" t="s">
        <v>109</v>
      </c>
      <c r="D408" s="1386" t="s">
        <v>109</v>
      </c>
      <c r="E408" s="1386" t="s">
        <v>109</v>
      </c>
      <c r="F408" s="1386" t="s">
        <v>109</v>
      </c>
      <c r="G408" s="1276">
        <v>0.65</v>
      </c>
      <c r="H408" s="1271">
        <v>0.56</v>
      </c>
      <c r="I408" s="1271">
        <v>0.48</v>
      </c>
      <c r="J408" s="1271">
        <v>0.48</v>
      </c>
      <c r="K408" s="1271">
        <v>0.48</v>
      </c>
    </row>
    <row r="409">
      <c r="A409" s="1394" t="s">
        <v>1993</v>
      </c>
      <c r="B409" s="1386" t="s">
        <v>109</v>
      </c>
      <c r="C409" s="1386" t="s">
        <v>109</v>
      </c>
      <c r="D409" s="1386" t="s">
        <v>109</v>
      </c>
      <c r="E409" s="1386" t="s">
        <v>109</v>
      </c>
      <c r="F409" s="1386" t="s">
        <v>109</v>
      </c>
      <c r="G409" s="1276">
        <v>0.65</v>
      </c>
      <c r="H409" s="1271">
        <v>0.56</v>
      </c>
      <c r="I409" s="1271">
        <v>0.48</v>
      </c>
      <c r="J409" s="1271">
        <v>0.48</v>
      </c>
      <c r="K409" s="1271">
        <v>0.48</v>
      </c>
    </row>
    <row r="410">
      <c r="A410" s="1394" t="s">
        <v>1994</v>
      </c>
      <c r="B410" s="1386" t="s">
        <v>109</v>
      </c>
      <c r="C410" s="1386" t="s">
        <v>109</v>
      </c>
      <c r="D410" s="1386" t="s">
        <v>109</v>
      </c>
      <c r="E410" s="1386" t="s">
        <v>109</v>
      </c>
      <c r="F410" s="1386" t="s">
        <v>109</v>
      </c>
      <c r="G410" s="1276">
        <v>0.65</v>
      </c>
      <c r="H410" s="1271">
        <v>0.56</v>
      </c>
      <c r="I410" s="1271">
        <v>0.48</v>
      </c>
      <c r="J410" s="1271">
        <v>0.48</v>
      </c>
      <c r="K410" s="1271">
        <v>0.48</v>
      </c>
    </row>
    <row r="411">
      <c r="A411" s="1394" t="s">
        <v>1995</v>
      </c>
      <c r="B411" s="1386" t="s">
        <v>109</v>
      </c>
      <c r="C411" s="1386" t="s">
        <v>109</v>
      </c>
      <c r="D411" s="1386" t="s">
        <v>109</v>
      </c>
      <c r="E411" s="1386" t="s">
        <v>109</v>
      </c>
      <c r="F411" s="1386" t="s">
        <v>109</v>
      </c>
      <c r="G411" s="1276">
        <v>0.65</v>
      </c>
      <c r="H411" s="1271">
        <v>0.56</v>
      </c>
      <c r="I411" s="1271">
        <v>0.48</v>
      </c>
      <c r="J411" s="1271">
        <v>0.48</v>
      </c>
      <c r="K411" s="1271">
        <v>0.48</v>
      </c>
    </row>
    <row r="412">
      <c r="A412" s="1394" t="s">
        <v>1996</v>
      </c>
      <c r="B412" s="1386" t="s">
        <v>109</v>
      </c>
      <c r="C412" s="1386" t="s">
        <v>109</v>
      </c>
      <c r="D412" s="1386" t="s">
        <v>109</v>
      </c>
      <c r="E412" s="1386" t="s">
        <v>109</v>
      </c>
      <c r="F412" s="1386" t="s">
        <v>109</v>
      </c>
      <c r="G412" s="1276">
        <v>0</v>
      </c>
      <c r="H412" s="1271">
        <v>0</v>
      </c>
      <c r="I412" s="1271">
        <v>0</v>
      </c>
      <c r="J412" s="1271">
        <v>0</v>
      </c>
      <c r="K412" s="1271">
        <v>0</v>
      </c>
    </row>
    <row r="413">
      <c r="A413" s="1394" t="s">
        <v>1997</v>
      </c>
      <c r="B413" s="1386" t="s">
        <v>109</v>
      </c>
      <c r="C413" s="1386" t="s">
        <v>109</v>
      </c>
      <c r="D413" s="1386" t="s">
        <v>109</v>
      </c>
      <c r="E413" s="1386" t="s">
        <v>109</v>
      </c>
      <c r="F413" s="1386" t="s">
        <v>109</v>
      </c>
      <c r="G413" s="1276">
        <v>0.65</v>
      </c>
      <c r="H413" s="1271">
        <v>0.56</v>
      </c>
      <c r="I413" s="1271">
        <v>0.48</v>
      </c>
      <c r="J413" s="1271">
        <v>0.48</v>
      </c>
      <c r="K413" s="1271">
        <v>0.48</v>
      </c>
    </row>
    <row r="414">
      <c r="A414" s="1394" t="s">
        <v>1998</v>
      </c>
      <c r="B414" s="1381" t="s">
        <v>109</v>
      </c>
      <c r="C414" s="1381" t="s">
        <v>109</v>
      </c>
      <c r="D414" s="1381" t="s">
        <v>109</v>
      </c>
      <c r="E414" s="1381" t="s">
        <v>109</v>
      </c>
      <c r="F414" s="1409">
        <v>305119</v>
      </c>
      <c r="G414" s="1410">
        <f>Supuestos!G32</f>
        <v>284701.22423999995</v>
      </c>
      <c r="H414" s="1390">
        <f>Supuestos!H32</f>
        <v>364081.22423999995</v>
      </c>
      <c r="I414" s="1390">
        <f>Supuestos!I32</f>
        <v>272938.22423999995</v>
      </c>
      <c r="J414" s="1390">
        <f>Supuestos!J32</f>
        <v>272938.22423999995</v>
      </c>
      <c r="K414" s="1390">
        <f>Supuestos!K32</f>
        <v>117889.08</v>
      </c>
    </row>
    <row r="415">
      <c r="A415" s="1394" t="s">
        <v>1999</v>
      </c>
      <c r="B415" s="1381" t="s">
        <v>109</v>
      </c>
      <c r="C415" s="1381" t="s">
        <v>109</v>
      </c>
      <c r="D415" s="1381" t="s">
        <v>109</v>
      </c>
      <c r="E415" s="1381" t="s">
        <v>109</v>
      </c>
      <c r="F415" s="1409">
        <v>215832</v>
      </c>
      <c r="G415" s="1410">
        <f>Supuestos!G33</f>
        <v>191925.7680000001</v>
      </c>
      <c r="H415" s="1390">
        <f>Supuestos!H33</f>
        <v>112545.7680000001</v>
      </c>
      <c r="I415" s="1390">
        <f>Supuestos!I33</f>
        <v>203688.7680000001</v>
      </c>
      <c r="J415" s="1390">
        <f>Supuestos!J33</f>
        <v>203688.7680000001</v>
      </c>
      <c r="K415" s="1390">
        <f>Supuestos!K33</f>
        <v>358737.91224000003</v>
      </c>
    </row>
    <row r="416">
      <c r="A416" s="1240"/>
      <c r="B416" s="1240"/>
      <c r="C416" s="1240"/>
      <c r="D416" s="1240"/>
      <c r="E416" s="1240"/>
      <c r="F416" s="1240"/>
      <c r="G416" s="1254"/>
      <c r="H416" s="1240"/>
      <c r="I416" s="1240"/>
      <c r="J416" s="1240"/>
      <c r="K416" s="1240"/>
    </row>
    <row r="417">
      <c r="A417" s="1384" t="s">
        <v>2000</v>
      </c>
      <c r="B417" s="1251"/>
      <c r="C417" s="1251"/>
      <c r="D417" s="1251"/>
      <c r="E417" s="1251"/>
      <c r="F417" s="1251"/>
      <c r="G417" s="1259"/>
      <c r="H417" s="1265"/>
      <c r="I417" s="1265"/>
      <c r="J417" s="1265"/>
      <c r="K417" s="1265"/>
    </row>
    <row r="418">
      <c r="A418" s="1394" t="s">
        <v>2001</v>
      </c>
      <c r="B418" s="1390">
        <f>ModeloFinanciero!B7</f>
        <v>42793727</v>
      </c>
      <c r="C418" s="1390">
        <f>ModeloFinanciero!C7</f>
        <v>57204243</v>
      </c>
      <c r="D418" s="1390">
        <f>ModeloFinanciero!D7</f>
        <v>53187368</v>
      </c>
      <c r="E418" s="1390">
        <f>ModeloFinanciero!E7</f>
        <v>55356497</v>
      </c>
      <c r="F418" s="1390">
        <f>ModeloFinanciero!F7</f>
        <v>48358044</v>
      </c>
      <c r="G418" s="1410">
        <f>ModeloFinanciero!G7</f>
        <v>38521429.45146265</v>
      </c>
      <c r="H418" s="1390">
        <f>ModeloFinanciero!H7</f>
        <v>32605880.051462643</v>
      </c>
      <c r="I418" s="1390">
        <f>ModeloFinanciero!I7</f>
        <v>33463954.12746264</v>
      </c>
      <c r="J418" s="1390">
        <f>ModeloFinanciero!J7</f>
        <v>33345801.35946264</v>
      </c>
      <c r="K418" s="1390">
        <f>ModeloFinanciero!K7</f>
        <v>25937469.56112</v>
      </c>
    </row>
    <row r="419">
      <c r="A419" s="1394" t="s">
        <v>2002</v>
      </c>
      <c r="B419" s="1381" t="s">
        <v>109</v>
      </c>
      <c r="C419" s="1381" t="s">
        <v>109</v>
      </c>
      <c r="D419" s="1381" t="s">
        <v>109</v>
      </c>
      <c r="E419" s="1381" t="s">
        <v>109</v>
      </c>
      <c r="F419" s="1381">
        <f>F414*F401</f>
        <v>33096257.93</v>
      </c>
      <c r="G419" s="1410">
        <f>Supuestos!G37</f>
        <v>22805292.851462636</v>
      </c>
      <c r="H419" s="1390">
        <f>Supuestos!H37</f>
        <v>26078225.507462636</v>
      </c>
      <c r="I419" s="1390">
        <f>Supuestos!I37</f>
        <v>21768158.351462636</v>
      </c>
      <c r="J419" s="1390">
        <f>Supuestos!J37</f>
        <v>21768158.351462636</v>
      </c>
      <c r="K419" s="1390">
        <f>Supuestos!K37</f>
        <v>6035812.38792</v>
      </c>
    </row>
    <row r="420">
      <c r="A420" s="1394" t="s">
        <v>2003</v>
      </c>
      <c r="B420" s="1381" t="s">
        <v>109</v>
      </c>
      <c r="C420" s="1381" t="s">
        <v>109</v>
      </c>
      <c r="D420" s="1381" t="s">
        <v>109</v>
      </c>
      <c r="E420" s="1381" t="s">
        <v>109</v>
      </c>
      <c r="F420" s="1381">
        <f>F415*F402</f>
        <v>13597416</v>
      </c>
      <c r="G420" s="1410">
        <f>Supuestos!G38</f>
        <v>11515546.080000006</v>
      </c>
      <c r="H420" s="1390">
        <f>Supuestos!H38</f>
        <v>6527654.544000005</v>
      </c>
      <c r="I420" s="1390">
        <f>Supuestos!I38</f>
        <v>11610259.776000006</v>
      </c>
      <c r="J420" s="1390">
        <f>Supuestos!J38</f>
        <v>11406571.008000005</v>
      </c>
      <c r="K420" s="1390">
        <f>Supuestos!K38</f>
        <v>19730585.1732</v>
      </c>
    </row>
    <row r="421">
      <c r="A421" s="1394" t="s">
        <v>2004</v>
      </c>
      <c r="B421" s="1381" t="s">
        <v>109</v>
      </c>
      <c r="C421" s="1381" t="s">
        <v>109</v>
      </c>
      <c r="D421" s="1381" t="s">
        <v>109</v>
      </c>
      <c r="E421" s="1381" t="s">
        <v>109</v>
      </c>
      <c r="F421" s="1381" t="s">
        <v>109</v>
      </c>
      <c r="G421" s="1410">
        <f>Supuestos!G82</f>
        <v>4200590.5200000005</v>
      </c>
      <c r="H421" s="1390">
        <f>Supuestos!H82</f>
        <v>0</v>
      </c>
      <c r="I421" s="1390">
        <f>Supuestos!I82</f>
        <v>85536.00000000001</v>
      </c>
      <c r="J421" s="1390">
        <f>Supuestos!J82</f>
        <v>171072.00000000003</v>
      </c>
      <c r="K421" s="1390">
        <f>Supuestos!K82</f>
        <v>171072.00000000003</v>
      </c>
    </row>
    <row r="422">
      <c r="A422" s="1401" t="s">
        <v>2005</v>
      </c>
      <c r="B422" s="1398">
        <f>B418</f>
        <v>42793727</v>
      </c>
      <c r="C422" s="1398">
        <f>C418</f>
        <v>57204243</v>
      </c>
      <c r="D422" s="1398">
        <f>D418</f>
        <v>53187368</v>
      </c>
      <c r="E422" s="1398">
        <f>E418</f>
        <v>55356497</v>
      </c>
      <c r="F422" s="1398">
        <f>F418</f>
        <v>48358044</v>
      </c>
      <c r="G422" s="1400">
        <f>G419+G420+G421</f>
        <v>38521429.45146265</v>
      </c>
      <c r="H422" s="1398">
        <f>H419+H420+H421</f>
        <v>32605880.051462643</v>
      </c>
      <c r="I422" s="1398">
        <f>I419+I420+I421</f>
        <v>33463954.12746264</v>
      </c>
      <c r="J422" s="1398">
        <f>J419+J420+J421</f>
        <v>33345801.35946264</v>
      </c>
      <c r="K422" s="1398">
        <f>K419+K420+K421</f>
        <v>25937469.56112</v>
      </c>
    </row>
    <row r="423">
      <c r="A423" s="1394" t="s">
        <v>2006</v>
      </c>
      <c r="B423" s="1248" t="str">
        <f>IF(ISNUMBER(B30),IF(B30=0,"",B422/B30),"")</f>
        <v/>
      </c>
      <c r="C423" s="1248" t="str">
        <f>IF(ISNUMBER(C30),IF(C30=0,"",C422/C30),"")</f>
        <v/>
      </c>
      <c r="D423" s="1248">
        <f>IF(ISNUMBER(D30),IF(D30=0,"",D422/D30),"")</f>
        <v>142.02917096148815</v>
      </c>
      <c r="E423" s="1248">
        <f>IF(ISNUMBER(E30),IF(E30=0,"",E422/E30),"")</f>
        <v>111.20585836427044</v>
      </c>
      <c r="F423" s="1248">
        <f>IF(ISNUMBER(F30),IF(F30=0,"",F422/F30),"")</f>
        <v>102.74408337140004</v>
      </c>
      <c r="G423" s="1264">
        <f>IF(ISNUMBER(G30),IF(G30=0,"",G422/G30),"")</f>
        <v>81.15483547959822</v>
      </c>
      <c r="H423" s="1248">
        <f>IF(ISNUMBER(H30),IF(H30=0,"",H422/H30),"")</f>
        <v>68.69228034691977</v>
      </c>
      <c r="I423" s="1248">
        <f>IF(ISNUMBER(I30),IF(I30=0,"",I422/I30),"")</f>
        <v>70.50002376295346</v>
      </c>
      <c r="J423" s="1248">
        <f>IF(ISNUMBER(J30),IF(J30=0,"",J422/J30),"")</f>
        <v>70.25110598952087</v>
      </c>
      <c r="K423" s="1248">
        <f>IF(ISNUMBER(K30),IF(K30=0,"",K422/K30),"")</f>
        <v>54.643638747675176</v>
      </c>
    </row>
    <row r="424">
      <c r="A424" s="1394" t="s">
        <v>2007</v>
      </c>
      <c r="B424" s="1416">
        <v>1</v>
      </c>
      <c r="C424" s="1416">
        <v>1</v>
      </c>
      <c r="D424" s="1416">
        <v>1</v>
      </c>
      <c r="E424" s="1416">
        <v>1</v>
      </c>
      <c r="F424" s="1416">
        <v>1</v>
      </c>
      <c r="G424" s="1268">
        <v>1</v>
      </c>
      <c r="H424" s="1416">
        <v>1</v>
      </c>
      <c r="I424" s="1416">
        <v>1</v>
      </c>
      <c r="J424" s="1416">
        <v>1</v>
      </c>
      <c r="K424" s="1416">
        <v>1</v>
      </c>
    </row>
    <row r="425">
      <c r="A425" s="1401" t="s">
        <v>2008</v>
      </c>
      <c r="B425" s="1398">
        <f>B422-B418</f>
        <v>0</v>
      </c>
      <c r="C425" s="1398">
        <f>C422-C418</f>
        <v>0</v>
      </c>
      <c r="D425" s="1398">
        <f>D422-D418</f>
        <v>0</v>
      </c>
      <c r="E425" s="1398">
        <f>E422-E418</f>
        <v>0</v>
      </c>
      <c r="F425" s="1398">
        <f>F422-F418</f>
        <v>0</v>
      </c>
      <c r="G425" s="1400">
        <f>G422-G418</f>
        <v>0</v>
      </c>
      <c r="H425" s="1398">
        <f>H422-H418</f>
        <v>0</v>
      </c>
      <c r="I425" s="1398">
        <f>I422-I418</f>
        <v>0</v>
      </c>
      <c r="J425" s="1398">
        <f>J422-J418</f>
        <v>0</v>
      </c>
      <c r="K425" s="1398">
        <f>K422-K418</f>
        <v>0</v>
      </c>
    </row>
  </sheetData>
</worksheet>
</file>

<file path=xl/worksheets/sheet7.xml><?xml version="1.0" encoding="utf-8"?>
<worksheet xmlns="http://schemas.openxmlformats.org/spreadsheetml/2006/main" xmlns:r="http://schemas.openxmlformats.org/officeDocument/2006/relationships">
  <dimension ref="A1:K45"/>
  <sheetViews>
    <sheetView showGridLines="0" workbookViewId="0"/>
  </sheetViews>
  <sheetFormatPr defaultColWidth="8.375" defaultRowHeight="15"/>
  <cols>
    <col min="1" max="1" width="46.875" customWidth="1"/>
    <col min="2" max="11" width="13.125" customWidth="1"/>
  </cols>
  <sheetData>
    <row r="1">
      <c r="A1" s="1384" t="s">
        <v>0</v>
      </c>
      <c r="B1" s="1330"/>
      <c r="C1" s="1330"/>
      <c r="D1" s="1330"/>
      <c r="E1" s="1330"/>
      <c r="F1" s="1330"/>
      <c r="G1" s="1335"/>
      <c r="H1" s="1322"/>
      <c r="I1" s="1322"/>
      <c r="J1" s="1322"/>
      <c r="K1" s="1322"/>
    </row>
    <row r="2">
      <c r="A2" s="1394" t="s">
        <v>2009</v>
      </c>
      <c r="G2" s="1321"/>
    </row>
    <row r="3">
      <c r="A3" s="1394" t="s">
        <v>2010</v>
      </c>
      <c r="G3" s="1321"/>
    </row>
    <row r="4">
      <c r="A4" s="1313"/>
      <c r="B4" s="1313"/>
      <c r="C4" s="1313"/>
      <c r="D4" s="1313"/>
      <c r="E4" s="1313"/>
      <c r="F4" s="1313"/>
      <c r="G4" s="1321"/>
      <c r="H4" s="1313"/>
      <c r="I4" s="1313"/>
      <c r="J4" s="1313"/>
      <c r="K4" s="1313"/>
    </row>
    <row r="5">
      <c r="A5" s="1384" t="s">
        <v>3</v>
      </c>
      <c r="B5" s="1385" t="s">
        <v>4</v>
      </c>
      <c r="C5" s="1385" t="s">
        <v>5</v>
      </c>
      <c r="D5" s="1385" t="s">
        <v>6</v>
      </c>
      <c r="E5" s="1385" t="s">
        <v>7</v>
      </c>
      <c r="F5" s="1385" t="s">
        <v>8</v>
      </c>
      <c r="G5" s="1389" t="s">
        <v>9</v>
      </c>
      <c r="H5" s="1391" t="s">
        <v>10</v>
      </c>
      <c r="I5" s="1391" t="s">
        <v>11</v>
      </c>
      <c r="J5" s="1391" t="s">
        <v>12</v>
      </c>
      <c r="K5" s="1391" t="s">
        <v>13</v>
      </c>
    </row>
    <row r="6">
      <c r="A6" s="1313"/>
      <c r="B6" s="1313"/>
      <c r="C6" s="1313"/>
      <c r="D6" s="1313"/>
      <c r="E6" s="1313"/>
      <c r="F6" s="1313"/>
      <c r="G6" s="1321"/>
      <c r="H6" s="1313"/>
      <c r="I6" s="1313"/>
      <c r="J6" s="1313"/>
      <c r="K6" s="1313"/>
    </row>
    <row r="7">
      <c r="A7" s="1384" t="s">
        <v>2011</v>
      </c>
      <c r="B7" s="1325"/>
      <c r="C7" s="1325"/>
      <c r="D7" s="1325"/>
      <c r="E7" s="1325"/>
      <c r="F7" s="1325"/>
      <c r="G7" s="1329"/>
      <c r="H7" s="1317"/>
      <c r="I7" s="1317"/>
      <c r="J7" s="1317"/>
      <c r="K7" s="1317"/>
    </row>
    <row r="8">
      <c r="A8" s="1394" t="s">
        <v>2012</v>
      </c>
      <c r="B8" s="1319"/>
      <c r="C8" s="1319"/>
      <c r="D8" s="1319"/>
      <c r="E8" s="1319"/>
      <c r="F8" s="1381">
        <f>E11</f>
        <v>140250000</v>
      </c>
      <c r="G8" s="1395">
        <f>F11</f>
        <v>131250000</v>
      </c>
      <c r="H8" s="1381">
        <f>G11</f>
        <v>122250000</v>
      </c>
      <c r="I8" s="1381">
        <f>H11</f>
        <v>113250000</v>
      </c>
      <c r="J8" s="1381">
        <f>I11</f>
        <v>104250000</v>
      </c>
      <c r="K8" s="1381">
        <f>J11</f>
        <v>95250000</v>
      </c>
    </row>
    <row r="9">
      <c r="A9" s="1394" t="s">
        <v>2013</v>
      </c>
      <c r="B9" s="1319"/>
      <c r="C9" s="1319"/>
      <c r="D9" s="1319"/>
      <c r="E9" s="1319"/>
      <c r="F9" s="1409">
        <v>7000000</v>
      </c>
      <c r="G9" s="1339">
        <v>7000000</v>
      </c>
      <c r="H9" s="1409">
        <v>7000000</v>
      </c>
      <c r="I9" s="1409">
        <v>7000000</v>
      </c>
      <c r="J9" s="1409">
        <v>7000000</v>
      </c>
      <c r="K9" s="1409">
        <v>7000000</v>
      </c>
    </row>
    <row r="10">
      <c r="A10" s="1394" t="s">
        <v>2014</v>
      </c>
      <c r="B10" s="1319"/>
      <c r="C10" s="1319"/>
      <c r="D10" s="1319"/>
      <c r="E10" s="1319"/>
      <c r="F10" s="1409">
        <v>2000000</v>
      </c>
      <c r="G10" s="1339">
        <v>2000000</v>
      </c>
      <c r="H10" s="1409">
        <v>2000000</v>
      </c>
      <c r="I10" s="1409">
        <v>2000000</v>
      </c>
      <c r="J10" s="1409">
        <v>2000000</v>
      </c>
      <c r="K10" s="1409">
        <v>2000000</v>
      </c>
    </row>
    <row r="11">
      <c r="A11" s="1401" t="s">
        <v>2015</v>
      </c>
      <c r="B11" s="1334"/>
      <c r="C11" s="1338">
        <v>158250000</v>
      </c>
      <c r="D11" s="1338">
        <v>153000000</v>
      </c>
      <c r="E11" s="1338">
        <v>140250000</v>
      </c>
      <c r="F11" s="1398">
        <f>F8-F9-F10</f>
        <v>131250000</v>
      </c>
      <c r="G11" s="1400">
        <f>G8-G9-G10</f>
        <v>122250000</v>
      </c>
      <c r="H11" s="1398">
        <f>H8-H9-H10</f>
        <v>113250000</v>
      </c>
      <c r="I11" s="1398">
        <f>I8-I9-I10</f>
        <v>104250000</v>
      </c>
      <c r="J11" s="1398">
        <f>J8-J9-J10</f>
        <v>95250000</v>
      </c>
      <c r="K11" s="1398">
        <f>K8-K9-K10</f>
        <v>86250000</v>
      </c>
    </row>
    <row r="12">
      <c r="A12" s="1313"/>
      <c r="B12" s="1313"/>
      <c r="C12" s="1313"/>
      <c r="D12" s="1313"/>
      <c r="E12" s="1313"/>
      <c r="F12" s="1313"/>
      <c r="G12" s="1321"/>
      <c r="H12" s="1313"/>
      <c r="I12" s="1313"/>
      <c r="J12" s="1313"/>
      <c r="K12" s="1313"/>
    </row>
    <row r="13">
      <c r="A13" s="1384" t="s">
        <v>2016</v>
      </c>
      <c r="B13" s="1325"/>
      <c r="C13" s="1325"/>
      <c r="D13" s="1325"/>
      <c r="E13" s="1325"/>
      <c r="F13" s="1325"/>
      <c r="G13" s="1329"/>
      <c r="H13" s="1317"/>
      <c r="I13" s="1317"/>
      <c r="J13" s="1317"/>
      <c r="K13" s="1317"/>
    </row>
    <row r="14">
      <c r="A14" s="1394" t="s">
        <v>2017</v>
      </c>
      <c r="B14" s="1315"/>
      <c r="C14" s="1315"/>
      <c r="D14" s="1315"/>
      <c r="E14" s="1315"/>
      <c r="F14" s="1327">
        <v>0.05875</v>
      </c>
      <c r="G14" s="1328">
        <v>0.05875</v>
      </c>
      <c r="H14" s="1327">
        <v>0.05875</v>
      </c>
      <c r="I14" s="1327">
        <v>0.05875</v>
      </c>
      <c r="J14" s="1327">
        <v>0.05875</v>
      </c>
      <c r="K14" s="1327">
        <v>0.05875</v>
      </c>
    </row>
    <row r="15">
      <c r="A15" s="1394" t="s">
        <v>2018</v>
      </c>
      <c r="B15" s="1319"/>
      <c r="C15" s="1319"/>
      <c r="D15" s="1319"/>
      <c r="E15" s="1319"/>
      <c r="F15" s="1381">
        <f>0.05875*(F8+F11)/2</f>
        <v>7975312.5</v>
      </c>
      <c r="G15" s="1395">
        <f>0.05875*(G8+G11)/2</f>
        <v>7446562.5</v>
      </c>
      <c r="H15" s="1381">
        <f>0.05875*(H8+H11)/2</f>
        <v>6917812.5</v>
      </c>
      <c r="I15" s="1381">
        <f>0.05875*(I8+I11)/2</f>
        <v>6389062.5</v>
      </c>
      <c r="J15" s="1381">
        <f>0.05875*(J8+J11)/2</f>
        <v>5860312.5</v>
      </c>
      <c r="K15" s="1381">
        <f>0.05875*(K8+K11)/2</f>
        <v>5331562.5</v>
      </c>
    </row>
    <row r="16">
      <c r="A16" s="1394" t="s">
        <v>2019</v>
      </c>
      <c r="B16" s="1319"/>
      <c r="C16" s="1319"/>
      <c r="D16" s="1319"/>
      <c r="E16" s="1319"/>
      <c r="F16" s="1409">
        <v>208786</v>
      </c>
      <c r="G16" s="1339">
        <v>208786</v>
      </c>
      <c r="H16" s="1409">
        <v>208786</v>
      </c>
      <c r="I16" s="1409">
        <v>208786</v>
      </c>
      <c r="J16" s="1409">
        <v>208786</v>
      </c>
      <c r="K16" s="1409">
        <v>172783</v>
      </c>
    </row>
    <row r="17">
      <c r="A17" s="1394" t="s">
        <v>2020</v>
      </c>
      <c r="B17" s="1319"/>
      <c r="C17" s="1319"/>
      <c r="D17" s="1319"/>
      <c r="E17" s="1319"/>
      <c r="F17" s="1409">
        <v>497097</v>
      </c>
      <c r="G17" s="1339">
        <v>497097</v>
      </c>
      <c r="H17" s="1409">
        <v>497097</v>
      </c>
      <c r="I17" s="1409">
        <v>497097</v>
      </c>
      <c r="J17" s="1409">
        <v>497097</v>
      </c>
      <c r="K17" s="1409">
        <v>497097</v>
      </c>
    </row>
    <row r="18">
      <c r="A18" s="1401" t="s">
        <v>2021</v>
      </c>
      <c r="B18" s="1334"/>
      <c r="C18" s="1334"/>
      <c r="D18" s="1334"/>
      <c r="E18" s="1334"/>
      <c r="F18" s="1398">
        <f>F15+F16+F17</f>
        <v>8681195.5</v>
      </c>
      <c r="G18" s="1400">
        <f>G15+G16+G17</f>
        <v>8152445.5</v>
      </c>
      <c r="H18" s="1398">
        <f>H15+H16+H17</f>
        <v>7623695.5</v>
      </c>
      <c r="I18" s="1398">
        <f>I15+I16+I17</f>
        <v>7094945.5</v>
      </c>
      <c r="J18" s="1398">
        <f>J15+J16+J17</f>
        <v>6566195.5</v>
      </c>
      <c r="K18" s="1398">
        <f>K15+K16+K17</f>
        <v>6001442.5</v>
      </c>
    </row>
    <row r="19">
      <c r="A19" s="1313"/>
      <c r="B19" s="1313"/>
      <c r="C19" s="1313"/>
      <c r="D19" s="1313"/>
      <c r="E19" s="1313"/>
      <c r="F19" s="1313"/>
      <c r="G19" s="1321"/>
      <c r="H19" s="1313"/>
      <c r="I19" s="1313"/>
      <c r="J19" s="1313"/>
      <c r="K19" s="1313"/>
    </row>
    <row r="20">
      <c r="A20" s="1384" t="s">
        <v>2022</v>
      </c>
      <c r="B20" s="1325"/>
      <c r="C20" s="1325"/>
      <c r="D20" s="1325"/>
      <c r="E20" s="1325"/>
      <c r="F20" s="1325"/>
      <c r="G20" s="1329"/>
      <c r="H20" s="1317"/>
      <c r="I20" s="1317"/>
      <c r="J20" s="1317"/>
      <c r="K20" s="1317"/>
    </row>
    <row r="21">
      <c r="A21" s="1394" t="s">
        <v>2023</v>
      </c>
      <c r="B21" s="1390">
        <f>ModeloFinanciero!B19+ModeloFinanciero!B12-ModeloFinanciero!B11</f>
        <v>29850167</v>
      </c>
      <c r="C21" s="1390">
        <f>ModeloFinanciero!C19+ModeloFinanciero!C12-ModeloFinanciero!C11</f>
        <v>38912517</v>
      </c>
      <c r="D21" s="1390">
        <f>ModeloFinanciero!D19+ModeloFinanciero!D12-ModeloFinanciero!D11</f>
        <v>30407494</v>
      </c>
      <c r="E21" s="1390">
        <f>ModeloFinanciero!E19+ModeloFinanciero!E12-ModeloFinanciero!E11</f>
        <v>34831675</v>
      </c>
      <c r="F21" s="1390">
        <f>ModeloFinanciero!F19+ModeloFinanciero!F12-ModeloFinanciero!F11</f>
        <v>32921080</v>
      </c>
      <c r="G21" s="1410">
        <f>ModeloFinanciero!G19+ModeloFinanciero!G12-ModeloFinanciero!G11</f>
        <v>23190749.291462645</v>
      </c>
      <c r="H21" s="1390">
        <f>ModeloFinanciero!H19+ModeloFinanciero!H12-ModeloFinanciero!H11</f>
        <v>13165697.291462645</v>
      </c>
      <c r="I21" s="1390">
        <f>ModeloFinanciero!I19+ModeloFinanciero!I12-ModeloFinanciero!I11</f>
        <v>18742244.477462642</v>
      </c>
      <c r="J21" s="1390">
        <f>ModeloFinanciero!J19+ModeloFinanciero!J12-ModeloFinanciero!J11</f>
        <v>18624091.709462643</v>
      </c>
      <c r="K21" s="1390">
        <f>ModeloFinanciero!K19+ModeloFinanciero!K12-ModeloFinanciero!K11</f>
        <v>11215759.911119998</v>
      </c>
    </row>
    <row r="22">
      <c r="A22" s="1394" t="s">
        <v>2024</v>
      </c>
      <c r="B22" s="1319"/>
      <c r="C22" s="1319"/>
      <c r="D22" s="1319"/>
      <c r="E22" s="1319"/>
      <c r="F22" s="1381">
        <f>F15+F9+F10</f>
        <v>16975312.5</v>
      </c>
      <c r="G22" s="1395">
        <f>G15+G9+G10</f>
        <v>16446562.5</v>
      </c>
      <c r="H22" s="1381">
        <f>H15+H9+H10</f>
        <v>15917812.5</v>
      </c>
      <c r="I22" s="1381">
        <f>I15+I9+I10</f>
        <v>15389062.5</v>
      </c>
      <c r="J22" s="1381">
        <f>J15+J9+J10</f>
        <v>14860312.5</v>
      </c>
      <c r="K22" s="1381">
        <f>K15+K9+K10</f>
        <v>14331562.5</v>
      </c>
    </row>
    <row r="23">
      <c r="A23" s="1401" t="s">
        <v>2025</v>
      </c>
      <c r="B23" s="1316"/>
      <c r="C23" s="1316"/>
      <c r="D23" s="1316"/>
      <c r="E23" s="1316"/>
      <c r="F23" s="1316">
        <f>IFERROR(F21/F22,"")</f>
        <v>1.9393504537839878</v>
      </c>
      <c r="G23" s="1312">
        <f>IFERROR(G21/G22,"")</f>
        <v>1.410066650186788</v>
      </c>
      <c r="H23" s="1316">
        <f>IFERROR(H21/H22,"")</f>
        <v>0.8271046848593452</v>
      </c>
      <c r="I23" s="1316">
        <f>IFERROR(I21/I22,"")</f>
        <v>1.2178938435959072</v>
      </c>
      <c r="J23" s="1316">
        <f>IFERROR(J21/J22,"")</f>
        <v>1.2532772584333367</v>
      </c>
      <c r="K23" s="1316">
        <f>IFERROR(K21/K22,"")</f>
        <v>0.7825915639777588</v>
      </c>
    </row>
    <row r="24">
      <c r="A24" s="1394" t="s">
        <v>2026</v>
      </c>
      <c r="B24" s="1324"/>
      <c r="C24" s="1324"/>
      <c r="D24" s="1324"/>
      <c r="E24" s="1324"/>
      <c r="F24" s="1331">
        <v>1.25</v>
      </c>
      <c r="G24" s="1336">
        <v>1.25</v>
      </c>
      <c r="H24" s="1331">
        <v>1.25</v>
      </c>
      <c r="I24" s="1331">
        <v>1.25</v>
      </c>
      <c r="J24" s="1331">
        <v>1.25</v>
      </c>
      <c r="K24" s="1331">
        <v>1.25</v>
      </c>
    </row>
    <row r="25">
      <c r="A25" s="1394" t="s">
        <v>2027</v>
      </c>
      <c r="B25" s="1319"/>
      <c r="C25" s="1319"/>
      <c r="D25" s="1319"/>
      <c r="E25" s="1319"/>
      <c r="F25" s="1319"/>
      <c r="G25" s="1395" t="str">
        <f>IFERROR(IF(G23&gt;=1.25,"CUMPLE","INCUMPLE &lt;1.25x"),"")</f>
        <v>CUMPLE</v>
      </c>
      <c r="H25" s="1381" t="str">
        <f>IFERROR(IF(H23&gt;=1.25,"CUMPLE","INCUMPLE &lt;1.25x"),"")</f>
        <v>INCUMPLE &lt;1.25x</v>
      </c>
      <c r="I25" s="1381" t="str">
        <f>IFERROR(IF(I23&gt;=1.25,"CUMPLE","INCUMPLE &lt;1.25x"),"")</f>
        <v>INCUMPLE &lt;1.25x</v>
      </c>
      <c r="J25" s="1381" t="str">
        <f>IFERROR(IF(J23&gt;=1.25,"CUMPLE","INCUMPLE &lt;1.25x"),"")</f>
        <v>CUMPLE</v>
      </c>
      <c r="K25" s="1381" t="str">
        <f>IFERROR(IF(K23&gt;=1.25,"CUMPLE","INCUMPLE &lt;1.25x"),"")</f>
        <v>INCUMPLE &lt;1.25x</v>
      </c>
    </row>
    <row r="26">
      <c r="A26" s="1394" t="s">
        <v>2028</v>
      </c>
      <c r="G26" s="1321"/>
    </row>
    <row r="27">
      <c r="A27" s="1313"/>
      <c r="B27" s="1313"/>
      <c r="C27" s="1313"/>
      <c r="D27" s="1313"/>
      <c r="E27" s="1313"/>
      <c r="F27" s="1313"/>
      <c r="G27" s="1321"/>
      <c r="H27" s="1313"/>
      <c r="I27" s="1313"/>
      <c r="J27" s="1313"/>
      <c r="K27" s="1313"/>
    </row>
    <row r="28">
      <c r="A28" s="1384" t="s">
        <v>2029</v>
      </c>
      <c r="B28" s="1325"/>
      <c r="C28" s="1325"/>
      <c r="D28" s="1325"/>
      <c r="E28" s="1325"/>
      <c r="F28" s="1325"/>
      <c r="G28" s="1329"/>
      <c r="H28" s="1317"/>
      <c r="I28" s="1317"/>
      <c r="J28" s="1317"/>
      <c r="K28" s="1317"/>
    </row>
    <row r="29">
      <c r="A29" s="1394" t="s">
        <v>2030</v>
      </c>
      <c r="B29" s="1319"/>
      <c r="C29" s="1319"/>
      <c r="D29" s="1319"/>
      <c r="E29" s="1319"/>
      <c r="F29" s="1390">
        <f>F21+ModeloFinanciero!F24-ABS(ModeloFinanciero!F96)</f>
        <v>27591926</v>
      </c>
      <c r="G29" s="1410">
        <f>G21+ModeloFinanciero!G24-ABS(ModeloFinanciero!G96)</f>
        <v>21031036.291462645</v>
      </c>
      <c r="H29" s="1390">
        <f>H21+ModeloFinanciero!H24-ABS(ModeloFinanciero!H96)</f>
        <v>14277460.291462645</v>
      </c>
      <c r="I29" s="1390">
        <f>I21+ModeloFinanciero!I24-ABS(ModeloFinanciero!I96)</f>
        <v>17750732.477462642</v>
      </c>
      <c r="J29" s="1390">
        <f>J21+ModeloFinanciero!J24-ABS(ModeloFinanciero!J96)</f>
        <v>17491129.709462643</v>
      </c>
      <c r="K29" s="1390">
        <f>K21+ModeloFinanciero!K24-ABS(ModeloFinanciero!K96)</f>
        <v>12440410.911119998</v>
      </c>
    </row>
    <row r="30">
      <c r="A30" s="1401" t="s">
        <v>2031</v>
      </c>
      <c r="B30" s="1316"/>
      <c r="C30" s="1316"/>
      <c r="D30" s="1316"/>
      <c r="E30" s="1316"/>
      <c r="F30" s="1316">
        <f>IFERROR(F29/F22,"")</f>
        <v>1.62541490767843</v>
      </c>
      <c r="G30" s="1312">
        <f>IFERROR(G29/G22,"")</f>
        <v>1.2787496652545263</v>
      </c>
      <c r="H30" s="1316">
        <f>IFERROR(H29/H22,"")</f>
        <v>0.8969486411190385</v>
      </c>
      <c r="I30" s="1316">
        <f>IFERROR(I29/I22,"")</f>
        <v>1.1534641877932876</v>
      </c>
      <c r="J30" s="1316">
        <f>IFERROR(J29/J22,"")</f>
        <v>1.177036466054307</v>
      </c>
      <c r="K30" s="1316">
        <f>IFERROR(K29/K22,"")</f>
        <v>0.8680428886326943</v>
      </c>
    </row>
    <row r="31">
      <c r="A31" s="1313"/>
      <c r="B31" s="1313"/>
      <c r="C31" s="1313"/>
      <c r="D31" s="1313"/>
      <c r="E31" s="1313"/>
      <c r="F31" s="1313"/>
      <c r="G31" s="1321"/>
      <c r="H31" s="1313"/>
      <c r="I31" s="1313"/>
      <c r="J31" s="1313"/>
      <c r="K31" s="1313"/>
    </row>
    <row r="32">
      <c r="A32" s="1384" t="s">
        <v>2032</v>
      </c>
      <c r="B32" s="1325"/>
      <c r="C32" s="1325"/>
      <c r="D32" s="1325"/>
      <c r="E32" s="1325"/>
      <c r="F32" s="1325"/>
      <c r="G32" s="1329"/>
      <c r="H32" s="1317"/>
      <c r="I32" s="1317"/>
      <c r="J32" s="1317"/>
      <c r="K32" s="1317"/>
    </row>
    <row r="33">
      <c r="A33" s="1394" t="s">
        <v>2033</v>
      </c>
      <c r="B33" s="1315"/>
      <c r="C33" s="1315"/>
      <c r="D33" s="1315"/>
      <c r="E33" s="1315"/>
      <c r="F33" s="1315"/>
      <c r="G33" s="1328">
        <v>0.05875</v>
      </c>
      <c r="H33" s="1327">
        <v>0.05875</v>
      </c>
      <c r="I33" s="1327">
        <v>0.05875</v>
      </c>
      <c r="J33" s="1327">
        <v>0.05875</v>
      </c>
      <c r="K33" s="1327">
        <v>0.05875</v>
      </c>
    </row>
    <row r="34">
      <c r="A34" s="1394" t="s">
        <v>2034</v>
      </c>
      <c r="B34" s="1319"/>
      <c r="C34" s="1319"/>
      <c r="D34" s="1319"/>
      <c r="E34" s="1319"/>
      <c r="F34" s="1319"/>
      <c r="G34" s="1395">
        <f>G29/1.05875+H29/1.05875^2+I29/1.05875^3+J29/1.05875^4+K29/1.05875^5</f>
        <v>70829007.36198944</v>
      </c>
      <c r="H34" s="1381">
        <f>H29/1.05875+I29/1.05875^2+J29/1.05875^3+K29/1.05875^4</f>
        <v>53959175.25304368</v>
      </c>
      <c r="I34" s="1381">
        <f>I29/1.05875+J29/1.05875^2+K29/1.05875^3</f>
        <v>42851816.50769735</v>
      </c>
      <c r="J34" s="1381">
        <f>J29/1.05875+K29/1.05875^2</f>
        <v>27618628.250061937</v>
      </c>
      <c r="K34" s="1381">
        <f>K29/1.05875</f>
        <v>11750092.950290434</v>
      </c>
    </row>
    <row r="35">
      <c r="A35" s="1394" t="s">
        <v>2035</v>
      </c>
      <c r="B35" s="1319"/>
      <c r="C35" s="1319"/>
      <c r="D35" s="1319"/>
      <c r="E35" s="1319"/>
      <c r="F35" s="1319"/>
      <c r="G35" s="1395">
        <f>G8</f>
        <v>131250000</v>
      </c>
      <c r="H35" s="1381">
        <f>H8</f>
        <v>122250000</v>
      </c>
      <c r="I35" s="1381">
        <f>I8</f>
        <v>113250000</v>
      </c>
      <c r="J35" s="1381">
        <f>J8</f>
        <v>104250000</v>
      </c>
      <c r="K35" s="1381">
        <f>K8</f>
        <v>95250000</v>
      </c>
    </row>
    <row r="36">
      <c r="A36" s="1401" t="s">
        <v>2036</v>
      </c>
      <c r="B36" s="1316"/>
      <c r="C36" s="1316"/>
      <c r="D36" s="1316"/>
      <c r="E36" s="1316"/>
      <c r="F36" s="1316"/>
      <c r="G36" s="1312">
        <f>IFERROR(G34/G35,"")</f>
        <v>0.5396495799008719</v>
      </c>
      <c r="H36" s="1316">
        <f>IFERROR(H34/H35,"")</f>
        <v>0.44138384665066405</v>
      </c>
      <c r="I36" s="1316">
        <f>IFERROR(I34/I35,"")</f>
        <v>0.3783824857191819</v>
      </c>
      <c r="J36" s="1316">
        <f>IFERROR(J34/J35,"")</f>
        <v>0.26492688968884354</v>
      </c>
      <c r="K36" s="1316">
        <f>IFERROR(K34/K35,"")</f>
        <v>0.12336055590856099</v>
      </c>
    </row>
    <row r="37">
      <c r="A37" s="1394" t="s">
        <v>2037</v>
      </c>
      <c r="B37" s="1319"/>
      <c r="C37" s="1319"/>
      <c r="D37" s="1319"/>
      <c r="E37" s="1319"/>
      <c r="F37" s="1319"/>
      <c r="G37" s="1410">
        <f>ModeloFinanciero!G37</f>
        <v>4260349</v>
      </c>
      <c r="H37" s="1390">
        <f>ModeloFinanciero!H37</f>
        <v>4260349</v>
      </c>
      <c r="I37" s="1390">
        <f>ModeloFinanciero!I37</f>
        <v>4260349</v>
      </c>
      <c r="J37" s="1390">
        <f>ModeloFinanciero!J37</f>
        <v>4260349</v>
      </c>
      <c r="K37" s="1390">
        <f>ModeloFinanciero!K37</f>
        <v>4260349</v>
      </c>
    </row>
    <row r="38">
      <c r="A38" s="1401" t="s">
        <v>2038</v>
      </c>
      <c r="B38" s="1316"/>
      <c r="C38" s="1316"/>
      <c r="D38" s="1316"/>
      <c r="E38" s="1316"/>
      <c r="F38" s="1316"/>
      <c r="G38" s="1312">
        <f>IFERROR((G34+G37)/G35,"")</f>
        <v>0.5721093818056339</v>
      </c>
      <c r="H38" s="1316">
        <f>IFERROR((H34+H37)/H35,"")</f>
        <v>0.47623332722326117</v>
      </c>
      <c r="I38" s="1316">
        <f>IFERROR((I34+I37)/I35,"")</f>
        <v>0.4160014614366212</v>
      </c>
      <c r="J38" s="1316">
        <f>IFERROR((J34+J37)/J35,"")</f>
        <v>0.30579354676318404</v>
      </c>
      <c r="K38" s="1316">
        <f>IFERROR((K34+K37)/K35,"")</f>
        <v>0.16808862939937463</v>
      </c>
    </row>
    <row r="39">
      <c r="A39" s="1313"/>
      <c r="B39" s="1313"/>
      <c r="C39" s="1313"/>
      <c r="D39" s="1313"/>
      <c r="E39" s="1313"/>
      <c r="F39" s="1313"/>
      <c r="G39" s="1321"/>
      <c r="H39" s="1313"/>
      <c r="I39" s="1313"/>
      <c r="J39" s="1313"/>
      <c r="K39" s="1313"/>
    </row>
    <row r="40">
      <c r="A40" s="1384" t="s">
        <v>2039</v>
      </c>
      <c r="B40" s="1325"/>
      <c r="C40" s="1325"/>
      <c r="D40" s="1325"/>
      <c r="E40" s="1325"/>
      <c r="F40" s="1325"/>
      <c r="G40" s="1329"/>
      <c r="H40" s="1317"/>
      <c r="I40" s="1317"/>
      <c r="J40" s="1317"/>
      <c r="K40" s="1317"/>
    </row>
    <row r="41">
      <c r="A41" s="1394" t="s">
        <v>2040</v>
      </c>
      <c r="G41" s="1321"/>
    </row>
    <row r="42">
      <c r="A42" s="1394" t="s">
        <v>2041</v>
      </c>
      <c r="G42" s="1321"/>
    </row>
    <row r="43">
      <c r="A43" s="1394" t="s">
        <v>2042</v>
      </c>
      <c r="G43" s="1321"/>
    </row>
    <row r="44">
      <c r="A44" s="1394" t="s">
        <v>2043</v>
      </c>
      <c r="G44" s="1321"/>
    </row>
    <row r="45">
      <c r="A45" s="1394" t="s">
        <v>2044</v>
      </c>
      <c r="G45" s="1321"/>
    </row>
  </sheetData>
</worksheet>
</file>

<file path=xl/worksheets/sheet8.xml><?xml version="1.0" encoding="utf-8"?>
<worksheet xmlns="http://schemas.openxmlformats.org/spreadsheetml/2006/main" xmlns:r="http://schemas.openxmlformats.org/officeDocument/2006/relationships">
  <dimension ref="A1:K161"/>
  <sheetViews>
    <sheetView showGridLines="0" workbookViewId="0"/>
  </sheetViews>
  <sheetFormatPr defaultColWidth="8.375" defaultRowHeight="15"/>
  <cols>
    <col min="1" max="1" width="53.125" customWidth="1"/>
    <col min="2" max="11" width="13.375" customWidth="1"/>
  </cols>
  <sheetData>
    <row r="1">
      <c r="A1" s="1427" t="s">
        <v>0</v>
      </c>
      <c r="B1" s="1425"/>
      <c r="C1" s="1425"/>
      <c r="D1" s="1425"/>
      <c r="E1" s="1425"/>
      <c r="F1" s="1425"/>
      <c r="G1" s="1440"/>
      <c r="H1" s="1437"/>
      <c r="I1" s="1437"/>
      <c r="J1" s="1437"/>
      <c r="K1" s="1437"/>
    </row>
    <row r="2">
      <c r="A2" s="1427" t="s">
        <v>2045</v>
      </c>
      <c r="B2" s="1445"/>
      <c r="C2" s="1445"/>
      <c r="D2" s="1445"/>
      <c r="E2" s="1445"/>
      <c r="F2" s="1445"/>
      <c r="G2" s="1457"/>
      <c r="H2" s="1447"/>
      <c r="I2" s="1447"/>
      <c r="J2" s="1447"/>
      <c r="K2" s="1447"/>
    </row>
    <row r="3">
      <c r="A3" s="1433" t="s">
        <v>2046</v>
      </c>
      <c r="G3" s="1434"/>
    </row>
    <row r="4">
      <c r="A4" s="1433" t="s">
        <v>2047</v>
      </c>
      <c r="G4" s="1434"/>
    </row>
    <row r="5">
      <c r="A5" s="1427" t="s">
        <v>3</v>
      </c>
      <c r="B5" s="1425" t="s">
        <v>4</v>
      </c>
      <c r="C5" s="1425" t="s">
        <v>5</v>
      </c>
      <c r="D5" s="1425" t="s">
        <v>6</v>
      </c>
      <c r="E5" s="1425" t="s">
        <v>7</v>
      </c>
      <c r="F5" s="1425" t="s">
        <v>8</v>
      </c>
      <c r="G5" s="1440" t="s">
        <v>9</v>
      </c>
      <c r="H5" s="1437" t="s">
        <v>10</v>
      </c>
      <c r="I5" s="1437" t="s">
        <v>11</v>
      </c>
      <c r="J5" s="1437" t="s">
        <v>12</v>
      </c>
      <c r="K5" s="1437" t="s">
        <v>13</v>
      </c>
    </row>
    <row r="6">
      <c r="A6" s="1420"/>
      <c r="B6" s="1420"/>
      <c r="C6" s="1420"/>
      <c r="D6" s="1420"/>
      <c r="E6" s="1420"/>
      <c r="F6" s="1420"/>
      <c r="G6" s="1434"/>
      <c r="H6" s="1420"/>
      <c r="I6" s="1420"/>
      <c r="J6" s="1420"/>
      <c r="K6" s="1420"/>
    </row>
    <row r="7">
      <c r="A7" s="1427" t="s">
        <v>2048</v>
      </c>
      <c r="B7" s="1425"/>
      <c r="C7" s="1425"/>
      <c r="D7" s="1425"/>
      <c r="E7" s="1425"/>
      <c r="F7" s="1425"/>
      <c r="G7" s="1440"/>
      <c r="H7" s="1437"/>
      <c r="I7" s="1437"/>
      <c r="J7" s="1437"/>
      <c r="K7" s="1437"/>
    </row>
    <row r="8">
      <c r="A8" s="1433" t="s">
        <v>2049</v>
      </c>
      <c r="B8" s="1431"/>
      <c r="C8" s="1426">
        <v>0.0455</v>
      </c>
      <c r="D8" s="1431"/>
      <c r="E8" s="1431"/>
      <c r="F8" s="1431"/>
      <c r="G8" s="1443"/>
      <c r="H8" s="1431"/>
      <c r="I8" s="1431"/>
      <c r="J8" s="1431"/>
      <c r="K8" s="1431"/>
    </row>
    <row r="9">
      <c r="A9" s="1433" t="s">
        <v>2050</v>
      </c>
      <c r="B9" s="1431"/>
      <c r="C9" s="1426">
        <v>0.055</v>
      </c>
      <c r="D9" s="1431"/>
      <c r="E9" s="1431"/>
      <c r="F9" s="1431"/>
      <c r="G9" s="1443"/>
      <c r="H9" s="1431"/>
      <c r="I9" s="1431"/>
      <c r="J9" s="1431"/>
      <c r="K9" s="1431"/>
    </row>
    <row r="10">
      <c r="A10" s="1433" t="s">
        <v>2051</v>
      </c>
      <c r="B10" s="1431"/>
      <c r="C10" s="1426">
        <v>0.018</v>
      </c>
      <c r="D10" s="1431"/>
      <c r="E10" s="1431"/>
      <c r="F10" s="1431"/>
      <c r="G10" s="1443"/>
      <c r="H10" s="1431"/>
      <c r="I10" s="1431"/>
      <c r="J10" s="1431"/>
      <c r="K10" s="1431"/>
    </row>
    <row r="11">
      <c r="A11" s="1433" t="s">
        <v>2052</v>
      </c>
      <c r="B11" s="1422"/>
      <c r="C11" s="1449">
        <v>0.38</v>
      </c>
      <c r="D11" s="1422"/>
      <c r="E11" s="1422"/>
      <c r="F11" s="1422"/>
      <c r="G11" s="1436"/>
      <c r="H11" s="1422"/>
      <c r="I11" s="1422"/>
      <c r="J11" s="1422"/>
      <c r="K11" s="1422"/>
    </row>
    <row r="12">
      <c r="A12" s="1433" t="s">
        <v>2053</v>
      </c>
      <c r="B12" s="1431"/>
      <c r="C12" s="1426">
        <v>0.45</v>
      </c>
      <c r="D12" s="1431"/>
      <c r="E12" s="1431"/>
      <c r="F12" s="1431"/>
      <c r="G12" s="1443"/>
      <c r="H12" s="1431"/>
      <c r="I12" s="1431"/>
      <c r="J12" s="1431"/>
      <c r="K12" s="1431"/>
    </row>
    <row r="13">
      <c r="A13" s="1433" t="s">
        <v>2054</v>
      </c>
      <c r="B13" s="1431"/>
      <c r="C13" s="1431">
        <f>1-C12</f>
        <v>0.55</v>
      </c>
      <c r="D13" s="1431"/>
      <c r="E13" s="1431"/>
      <c r="F13" s="1431"/>
      <c r="G13" s="1443"/>
      <c r="H13" s="1431"/>
      <c r="I13" s="1431"/>
      <c r="J13" s="1431"/>
      <c r="K13" s="1431"/>
    </row>
    <row r="14">
      <c r="A14" s="1433" t="s">
        <v>2055</v>
      </c>
      <c r="B14" s="1422"/>
      <c r="C14" s="1422">
        <f>C12/C13</f>
        <v>0.8181818181818181</v>
      </c>
      <c r="D14" s="1422"/>
      <c r="E14" s="1422"/>
      <c r="F14" s="1422"/>
      <c r="G14" s="1436"/>
      <c r="H14" s="1422"/>
      <c r="I14" s="1422"/>
      <c r="J14" s="1422"/>
      <c r="K14" s="1422"/>
    </row>
    <row r="15">
      <c r="A15" s="1433" t="s">
        <v>2056</v>
      </c>
      <c r="B15" s="1431"/>
      <c r="C15" s="1426">
        <v>0.25</v>
      </c>
      <c r="D15" s="1431"/>
      <c r="E15" s="1431"/>
      <c r="F15" s="1431"/>
      <c r="G15" s="1443"/>
      <c r="H15" s="1431"/>
      <c r="I15" s="1431"/>
      <c r="J15" s="1431"/>
      <c r="K15" s="1431"/>
    </row>
    <row r="16">
      <c r="A16" s="1433" t="s">
        <v>2057</v>
      </c>
      <c r="B16" s="1422"/>
      <c r="C16" s="1422">
        <f>C11*(1+(1-C15)*C14)</f>
        <v>0.6131818181818182</v>
      </c>
      <c r="D16" s="1422"/>
      <c r="E16" s="1422"/>
      <c r="F16" s="1422"/>
      <c r="G16" s="1436"/>
      <c r="H16" s="1422"/>
      <c r="I16" s="1422"/>
      <c r="J16" s="1422"/>
      <c r="K16" s="1422"/>
    </row>
    <row r="17">
      <c r="A17" s="1433" t="s">
        <v>2058</v>
      </c>
      <c r="B17" s="1431"/>
      <c r="C17" s="1431">
        <f>C8+C16*C9+C10</f>
        <v>0.09722499999999999</v>
      </c>
      <c r="D17" s="1431"/>
      <c r="E17" s="1431"/>
      <c r="F17" s="1431"/>
      <c r="G17" s="1443"/>
      <c r="H17" s="1431"/>
      <c r="I17" s="1431"/>
      <c r="J17" s="1431"/>
      <c r="K17" s="1431"/>
    </row>
    <row r="18">
      <c r="A18" s="1433" t="s">
        <v>2059</v>
      </c>
      <c r="B18" s="1431"/>
      <c r="C18" s="1426">
        <v>0.05875</v>
      </c>
      <c r="D18" s="1431"/>
      <c r="E18" s="1431"/>
      <c r="F18" s="1431"/>
      <c r="G18" s="1443"/>
      <c r="H18" s="1431"/>
      <c r="I18" s="1431"/>
      <c r="J18" s="1431"/>
      <c r="K18" s="1431"/>
    </row>
    <row r="19">
      <c r="A19" s="1433" t="s">
        <v>2060</v>
      </c>
      <c r="B19" s="1431"/>
      <c r="C19" s="1431">
        <f>C18*(1-C15)</f>
        <v>0.0440625</v>
      </c>
      <c r="D19" s="1431"/>
      <c r="E19" s="1431"/>
      <c r="F19" s="1431"/>
      <c r="G19" s="1443"/>
      <c r="H19" s="1431"/>
      <c r="I19" s="1431"/>
      <c r="J19" s="1431"/>
      <c r="K19" s="1431"/>
    </row>
    <row r="20">
      <c r="A20" s="1442" t="s">
        <v>2061</v>
      </c>
      <c r="B20" s="1428"/>
      <c r="C20" s="1428">
        <f>C13*C17+C12*C19</f>
        <v>0.073301875</v>
      </c>
      <c r="D20" s="1428"/>
      <c r="E20" s="1428"/>
      <c r="F20" s="1428"/>
      <c r="G20" s="1458"/>
      <c r="H20" s="1428"/>
      <c r="I20" s="1428"/>
      <c r="J20" s="1428"/>
      <c r="K20" s="1428"/>
    </row>
    <row r="21">
      <c r="A21" s="1433" t="s">
        <v>2062</v>
      </c>
      <c r="B21" s="1431"/>
      <c r="C21" s="1426">
        <v>0.02</v>
      </c>
      <c r="D21" s="1431"/>
      <c r="E21" s="1431"/>
      <c r="F21" s="1431"/>
      <c r="G21" s="1443"/>
      <c r="H21" s="1431"/>
      <c r="I21" s="1431"/>
      <c r="J21" s="1431"/>
      <c r="K21" s="1431"/>
    </row>
    <row r="22">
      <c r="A22" s="1420"/>
      <c r="B22" s="1420"/>
      <c r="C22" s="1420"/>
      <c r="D22" s="1420"/>
      <c r="E22" s="1420"/>
      <c r="F22" s="1420"/>
      <c r="G22" s="1434"/>
      <c r="H22" s="1420"/>
      <c r="I22" s="1420"/>
      <c r="J22" s="1420"/>
      <c r="K22" s="1420"/>
    </row>
    <row r="23">
      <c r="A23" s="1427" t="s">
        <v>2063</v>
      </c>
      <c r="B23" s="1425"/>
      <c r="C23" s="1425"/>
      <c r="D23" s="1425"/>
      <c r="E23" s="1425"/>
      <c r="F23" s="1425"/>
      <c r="G23" s="1440"/>
      <c r="H23" s="1437"/>
      <c r="I23" s="1437"/>
      <c r="J23" s="1437"/>
      <c r="K23" s="1437"/>
    </row>
    <row r="24">
      <c r="A24" s="1433" t="s">
        <v>2064</v>
      </c>
      <c r="B24" s="1422"/>
      <c r="C24" s="1422"/>
      <c r="D24" s="1422"/>
      <c r="E24" s="1422"/>
      <c r="F24" s="1422"/>
      <c r="G24" s="1436">
        <f>1/(1+$C$20)^1</f>
        <v>0.931704325961417</v>
      </c>
      <c r="H24" s="1422">
        <f>1/(1+$C$20)^2</f>
        <v>0.8680729510152182</v>
      </c>
      <c r="I24" s="1422">
        <f>1/(1+$C$20)^3</f>
        <v>0.808787323710972</v>
      </c>
      <c r="J24" s="1422">
        <f>1/(1+$C$20)^4</f>
        <v>0.7535506482842694</v>
      </c>
      <c r="K24" s="1422">
        <f>1/(1+$C$20)^5</f>
        <v>0.7020863988374839</v>
      </c>
    </row>
    <row r="25">
      <c r="A25" s="1420"/>
      <c r="B25" s="1420"/>
      <c r="C25" s="1420"/>
      <c r="D25" s="1420"/>
      <c r="E25" s="1420"/>
      <c r="F25" s="1420"/>
      <c r="G25" s="1434"/>
      <c r="H25" s="1420"/>
      <c r="I25" s="1420"/>
      <c r="J25" s="1420"/>
      <c r="K25" s="1420"/>
    </row>
    <row r="26">
      <c r="A26" s="1427" t="s">
        <v>2065</v>
      </c>
      <c r="B26" s="1425"/>
      <c r="C26" s="1425"/>
      <c r="D26" s="1425"/>
      <c r="E26" s="1425"/>
      <c r="F26" s="1425"/>
      <c r="G26" s="1440"/>
      <c r="H26" s="1437"/>
      <c r="I26" s="1437"/>
      <c r="J26" s="1437"/>
      <c r="K26" s="1437"/>
    </row>
    <row r="27">
      <c r="A27" s="1433" t="s">
        <v>2066</v>
      </c>
      <c r="G27" s="1434"/>
    </row>
    <row r="28">
      <c r="A28" s="1433" t="s">
        <v>2067</v>
      </c>
      <c r="G28" s="1434"/>
    </row>
    <row r="29">
      <c r="A29" s="1433" t="s">
        <v>2068</v>
      </c>
      <c r="G29" s="1434"/>
    </row>
    <row r="30">
      <c r="A30" s="1433" t="s">
        <v>2069</v>
      </c>
      <c r="G30" s="1434"/>
    </row>
    <row r="31">
      <c r="A31" s="1433" t="s">
        <v>2070</v>
      </c>
      <c r="G31" s="1434"/>
    </row>
    <row r="32">
      <c r="A32" s="1420"/>
      <c r="B32" s="1420"/>
      <c r="C32" s="1420"/>
      <c r="D32" s="1420"/>
      <c r="E32" s="1420"/>
      <c r="F32" s="1420"/>
      <c r="G32" s="1434"/>
      <c r="H32" s="1420"/>
      <c r="I32" s="1420"/>
      <c r="J32" s="1420"/>
      <c r="K32" s="1420"/>
    </row>
    <row r="33">
      <c r="A33" s="1427" t="s">
        <v>2071</v>
      </c>
      <c r="B33" s="1425"/>
      <c r="C33" s="1425"/>
      <c r="D33" s="1425"/>
      <c r="E33" s="1425"/>
      <c r="F33" s="1425"/>
      <c r="G33" s="1440"/>
      <c r="H33" s="1437"/>
      <c r="I33" s="1437"/>
      <c r="J33" s="1437"/>
      <c r="K33" s="1437"/>
    </row>
    <row r="34">
      <c r="A34" s="1427" t="s">
        <v>2072</v>
      </c>
      <c r="B34" s="1425"/>
      <c r="C34" s="1425"/>
      <c r="D34" s="1425"/>
      <c r="E34" s="1425"/>
      <c r="F34" s="1425"/>
      <c r="G34" s="1440"/>
      <c r="H34" s="1437"/>
      <c r="I34" s="1437"/>
      <c r="J34" s="1437"/>
      <c r="K34" s="1437"/>
    </row>
    <row r="35">
      <c r="A35" s="1433" t="s">
        <v>2073</v>
      </c>
      <c r="B35" s="1421"/>
      <c r="C35" s="1421"/>
      <c r="D35" s="1421"/>
      <c r="E35" s="1421"/>
      <c r="F35" s="1421"/>
      <c r="G35" s="1450">
        <f>Supuestos!G88-Supuestos!G102-Supuestos!G105-Supuestos!G112</f>
        <v>11042860.760000002</v>
      </c>
      <c r="H35" s="1429">
        <f>Supuestos!H88-Supuestos!H102-Supuestos!H105-Supuestos!H112</f>
        <v>1051978.0160000008</v>
      </c>
      <c r="I35" s="1429">
        <f>Supuestos!I88-Supuestos!I102-Supuestos!I105-Supuestos!I112</f>
        <v>6645609.83</v>
      </c>
      <c r="J35" s="1429">
        <f>Supuestos!J88-Supuestos!J102-Supuestos!J105-Supuestos!J112</f>
        <v>6544541.6899999995</v>
      </c>
      <c r="K35" s="1429">
        <f>Supuestos!K88-Supuestos!K102-Supuestos!K105-Supuestos!K112</f>
        <v>6357937.550000001</v>
      </c>
    </row>
    <row r="36">
      <c r="A36" s="1433" t="s">
        <v>2074</v>
      </c>
      <c r="B36" s="1421"/>
      <c r="C36" s="1421"/>
      <c r="D36" s="1421"/>
      <c r="E36" s="1421"/>
      <c r="F36" s="1421"/>
      <c r="G36" s="1450">
        <f>Generation_PPA!E369</f>
        <v>6954278</v>
      </c>
      <c r="H36" s="1429">
        <f>Generation_PPA!E369</f>
        <v>6954278</v>
      </c>
      <c r="I36" s="1429">
        <f>Generation_PPA!E369</f>
        <v>6954278</v>
      </c>
      <c r="J36" s="1429">
        <f>Generation_PPA!E369</f>
        <v>6954278</v>
      </c>
      <c r="K36" s="1429">
        <f>Generation_PPA!E369</f>
        <v>6954278</v>
      </c>
    </row>
    <row r="37">
      <c r="A37" s="1433" t="s">
        <v>2075</v>
      </c>
      <c r="B37" s="1421"/>
      <c r="C37" s="1421"/>
      <c r="D37" s="1421"/>
      <c r="E37" s="1421"/>
      <c r="F37" s="1421"/>
      <c r="G37" s="1438">
        <f>G35-MAX(0,G35-G36)*$C$15</f>
        <v>10020715.07</v>
      </c>
      <c r="H37" s="1421">
        <f>H35-MAX(0,H35-H36)*$C$15</f>
        <v>1051978.0160000008</v>
      </c>
      <c r="I37" s="1421">
        <f>I35-MAX(0,I35-I36)*$C$15</f>
        <v>6645609.83</v>
      </c>
      <c r="J37" s="1421">
        <f>J35-MAX(0,J35-J36)*$C$15</f>
        <v>6544541.6899999995</v>
      </c>
      <c r="K37" s="1421">
        <f>K35-MAX(0,K35-K36)*$C$15</f>
        <v>6357937.550000001</v>
      </c>
    </row>
    <row r="38">
      <c r="A38" s="1433" t="s">
        <v>2076</v>
      </c>
      <c r="B38" s="1421"/>
      <c r="C38" s="1421"/>
      <c r="D38" s="1421"/>
      <c r="E38" s="1421"/>
      <c r="F38" s="1421"/>
      <c r="G38" s="1438">
        <f>G37*G$24</f>
        <v>9336343.579945764</v>
      </c>
      <c r="H38" s="1421">
        <f>H37*H$24</f>
        <v>913193.6607522551</v>
      </c>
      <c r="I38" s="1421">
        <f>I37*I$24</f>
        <v>5374884.988833027</v>
      </c>
      <c r="J38" s="1421">
        <f>J37*J$24</f>
        <v>4931643.633222928</v>
      </c>
      <c r="K38" s="1421">
        <f>K37*K$24</f>
        <v>4463821.478513116</v>
      </c>
    </row>
    <row r="39">
      <c r="A39" s="1433" t="s">
        <v>2077</v>
      </c>
      <c r="B39" s="1421"/>
      <c r="C39" s="1421">
        <f>SUM(G38:K38)</f>
        <v>25019887.34126709</v>
      </c>
      <c r="D39" s="1421"/>
      <c r="E39" s="1421"/>
      <c r="F39" s="1421"/>
      <c r="G39" s="1438"/>
      <c r="H39" s="1421"/>
      <c r="I39" s="1421"/>
      <c r="J39" s="1421"/>
      <c r="K39" s="1421"/>
    </row>
    <row r="40">
      <c r="A40" s="1433" t="s">
        <v>2078</v>
      </c>
      <c r="B40" s="1421"/>
      <c r="C40" s="1421">
        <f>K35*(1-$C$15)</f>
        <v>4768453.162500001</v>
      </c>
      <c r="D40" s="1421"/>
      <c r="E40" s="1421"/>
      <c r="F40" s="1421"/>
      <c r="G40" s="1438"/>
      <c r="H40" s="1421"/>
      <c r="I40" s="1421"/>
      <c r="J40" s="1421"/>
      <c r="K40" s="1421"/>
    </row>
    <row r="41">
      <c r="A41" s="1433" t="s">
        <v>2079</v>
      </c>
      <c r="B41" s="1422"/>
      <c r="C41" s="1422">
        <f>(1+$C$21)/($C$20-$C$21)*(1-((1+$C$21)/(1+$C$20))^27)</f>
        <v>14.29934023237736</v>
      </c>
      <c r="D41" s="1422"/>
      <c r="E41" s="1422"/>
      <c r="F41" s="1422"/>
      <c r="G41" s="1436"/>
      <c r="H41" s="1422"/>
      <c r="I41" s="1422"/>
      <c r="J41" s="1422"/>
      <c r="K41" s="1422"/>
    </row>
    <row r="42">
      <c r="A42" s="1433" t="s">
        <v>2080</v>
      </c>
      <c r="B42" s="1421"/>
      <c r="C42" s="1421">
        <f>C40*C41</f>
        <v>68185734.15274332</v>
      </c>
      <c r="D42" s="1421"/>
      <c r="E42" s="1421"/>
      <c r="F42" s="1421"/>
      <c r="G42" s="1438"/>
      <c r="H42" s="1421"/>
      <c r="I42" s="1421"/>
      <c r="J42" s="1421"/>
      <c r="K42" s="1421"/>
    </row>
    <row r="43">
      <c r="A43" s="1433" t="s">
        <v>2081</v>
      </c>
      <c r="B43" s="1421"/>
      <c r="C43" s="1421">
        <f>C42/(1+$C$20)^5</f>
        <v>47872276.5433896</v>
      </c>
      <c r="D43" s="1421"/>
      <c r="E43" s="1421"/>
      <c r="F43" s="1421"/>
      <c r="G43" s="1438"/>
      <c r="H43" s="1421"/>
      <c r="I43" s="1421"/>
      <c r="J43" s="1421"/>
      <c r="K43" s="1421"/>
    </row>
    <row r="44">
      <c r="A44" s="1442" t="s">
        <v>2082</v>
      </c>
      <c r="B44" s="1424"/>
      <c r="C44" s="1424">
        <f>C39+C43</f>
        <v>72892163.8846567</v>
      </c>
      <c r="D44" s="1424"/>
      <c r="E44" s="1424"/>
      <c r="F44" s="1424"/>
      <c r="G44" s="1446"/>
      <c r="H44" s="1424"/>
      <c r="I44" s="1424"/>
      <c r="J44" s="1424"/>
      <c r="K44" s="1424"/>
    </row>
    <row r="45">
      <c r="A45" s="1427" t="s">
        <v>2083</v>
      </c>
      <c r="B45" s="1425"/>
      <c r="C45" s="1425"/>
      <c r="D45" s="1425"/>
      <c r="E45" s="1425"/>
      <c r="F45" s="1425"/>
      <c r="G45" s="1440"/>
      <c r="H45" s="1437"/>
      <c r="I45" s="1437"/>
      <c r="J45" s="1437"/>
      <c r="K45" s="1437"/>
    </row>
    <row r="46">
      <c r="A46" s="1433" t="s">
        <v>2073</v>
      </c>
      <c r="B46" s="1421"/>
      <c r="C46" s="1421"/>
      <c r="D46" s="1421"/>
      <c r="E46" s="1421"/>
      <c r="F46" s="1421"/>
      <c r="G46" s="1450">
        <f>Supuestos!G92-Supuestos!G106-Supuestos!G113</f>
        <v>6341905.967632238</v>
      </c>
      <c r="H46" s="1429">
        <f>Supuestos!H92-Supuestos!H106-Supuestos!H113</f>
        <v>6341905.967632238</v>
      </c>
      <c r="I46" s="1429">
        <f>Supuestos!I92-Supuestos!I106-Supuestos!I113</f>
        <v>6341905.967632238</v>
      </c>
      <c r="J46" s="1429">
        <f>Supuestos!J92-Supuestos!J106-Supuestos!J113</f>
        <v>6341905.967632238</v>
      </c>
      <c r="K46" s="1429">
        <f>Supuestos!K92-Supuestos!K106-Supuestos!K113</f>
        <v>2702916.965199999</v>
      </c>
    </row>
    <row r="47">
      <c r="A47" s="1433" t="s">
        <v>2074</v>
      </c>
      <c r="B47" s="1421"/>
      <c r="C47" s="1421"/>
      <c r="D47" s="1421"/>
      <c r="E47" s="1421"/>
      <c r="F47" s="1421"/>
      <c r="G47" s="1450">
        <f>Generation_PPA!E370</f>
        <v>2230118</v>
      </c>
      <c r="H47" s="1429">
        <f>Generation_PPA!E370</f>
        <v>2230118</v>
      </c>
      <c r="I47" s="1429">
        <f>Generation_PPA!E370</f>
        <v>2230118</v>
      </c>
      <c r="J47" s="1429">
        <f>Generation_PPA!E370</f>
        <v>2230118</v>
      </c>
      <c r="K47" s="1429">
        <f>Generation_PPA!E370</f>
        <v>2230118</v>
      </c>
    </row>
    <row r="48">
      <c r="A48" s="1433" t="s">
        <v>2075</v>
      </c>
      <c r="B48" s="1421"/>
      <c r="C48" s="1421"/>
      <c r="D48" s="1421"/>
      <c r="E48" s="1421"/>
      <c r="F48" s="1421"/>
      <c r="G48" s="1438">
        <f>G46-MAX(0,G46-G47)*$C$15</f>
        <v>5313958.975724178</v>
      </c>
      <c r="H48" s="1421">
        <f>H46-MAX(0,H46-H47)*$C$15</f>
        <v>5313958.975724178</v>
      </c>
      <c r="I48" s="1421">
        <f>I46-MAX(0,I46-I47)*$C$15</f>
        <v>5313958.975724178</v>
      </c>
      <c r="J48" s="1421">
        <f>J46-MAX(0,J46-J47)*$C$15</f>
        <v>5313958.975724178</v>
      </c>
      <c r="K48" s="1421">
        <f>K46-MAX(0,K46-K47)*$C$15</f>
        <v>2584717.223899999</v>
      </c>
    </row>
    <row r="49">
      <c r="A49" s="1433" t="s">
        <v>2076</v>
      </c>
      <c r="B49" s="1421"/>
      <c r="C49" s="1421"/>
      <c r="D49" s="1421"/>
      <c r="E49" s="1421"/>
      <c r="F49" s="1421"/>
      <c r="G49" s="1438">
        <f>G48*G$24</f>
        <v>4951038.565663717</v>
      </c>
      <c r="H49" s="1421">
        <f>H48*H$24</f>
        <v>4612904.049630694</v>
      </c>
      <c r="I49" s="1421">
        <f>I48*I$24</f>
        <v>4297862.658285856</v>
      </c>
      <c r="J49" s="1421">
        <f>J48*J$24</f>
        <v>4004337.231112967</v>
      </c>
      <c r="K49" s="1421">
        <f>K48*K$24</f>
        <v>1814694.8077411691</v>
      </c>
    </row>
    <row r="50">
      <c r="A50" s="1433" t="s">
        <v>2077</v>
      </c>
      <c r="B50" s="1421"/>
      <c r="C50" s="1421">
        <f>SUM(G49:K49)</f>
        <v>19680837.3124344</v>
      </c>
      <c r="D50" s="1421"/>
      <c r="E50" s="1421"/>
      <c r="F50" s="1421"/>
      <c r="G50" s="1438"/>
      <c r="H50" s="1421"/>
      <c r="I50" s="1421"/>
      <c r="J50" s="1421"/>
      <c r="K50" s="1421"/>
    </row>
    <row r="51">
      <c r="A51" s="1433" t="s">
        <v>2078</v>
      </c>
      <c r="B51" s="1421"/>
      <c r="C51" s="1421">
        <f>K46*(1-$C$15)</f>
        <v>2027187.7238999992</v>
      </c>
      <c r="D51" s="1421"/>
      <c r="E51" s="1421"/>
      <c r="F51" s="1421"/>
      <c r="G51" s="1438"/>
      <c r="H51" s="1421"/>
      <c r="I51" s="1421"/>
      <c r="J51" s="1421"/>
      <c r="K51" s="1421"/>
    </row>
    <row r="52">
      <c r="A52" s="1433" t="s">
        <v>2084</v>
      </c>
      <c r="B52" s="1422"/>
      <c r="C52" s="1422">
        <f>(1+$C$21)/($C$20-$C$21)*(1-((1+$C$21)/(1+$C$20))^29)</f>
        <v>14.767831950920186</v>
      </c>
      <c r="D52" s="1422"/>
      <c r="E52" s="1422"/>
      <c r="F52" s="1422"/>
      <c r="G52" s="1436"/>
      <c r="H52" s="1422"/>
      <c r="I52" s="1422"/>
      <c r="J52" s="1422"/>
      <c r="K52" s="1422"/>
    </row>
    <row r="53">
      <c r="A53" s="1433" t="s">
        <v>2080</v>
      </c>
      <c r="B53" s="1421"/>
      <c r="C53" s="1421">
        <f>C51*C52</f>
        <v>29937167.639523577</v>
      </c>
      <c r="D53" s="1421"/>
      <c r="E53" s="1421"/>
      <c r="F53" s="1421"/>
      <c r="G53" s="1438"/>
      <c r="H53" s="1421"/>
      <c r="I53" s="1421"/>
      <c r="J53" s="1421"/>
      <c r="K53" s="1421"/>
    </row>
    <row r="54">
      <c r="A54" s="1433" t="s">
        <v>2081</v>
      </c>
      <c r="B54" s="1421"/>
      <c r="C54" s="1421">
        <f>C53/(1+$C$20)^5</f>
        <v>21018478.21942717</v>
      </c>
      <c r="D54" s="1421"/>
      <c r="E54" s="1421"/>
      <c r="F54" s="1421"/>
      <c r="G54" s="1438"/>
      <c r="H54" s="1421"/>
      <c r="I54" s="1421"/>
      <c r="J54" s="1421"/>
      <c r="K54" s="1421"/>
    </row>
    <row r="55">
      <c r="A55" s="1442" t="s">
        <v>2082</v>
      </c>
      <c r="B55" s="1424"/>
      <c r="C55" s="1424">
        <f>C50+C54</f>
        <v>40699315.53186157</v>
      </c>
      <c r="D55" s="1424"/>
      <c r="E55" s="1424"/>
      <c r="F55" s="1424"/>
      <c r="G55" s="1446"/>
      <c r="H55" s="1424"/>
      <c r="I55" s="1424"/>
      <c r="J55" s="1424"/>
      <c r="K55" s="1424"/>
    </row>
    <row r="56">
      <c r="A56" s="1427" t="s">
        <v>2085</v>
      </c>
      <c r="B56" s="1425"/>
      <c r="C56" s="1425"/>
      <c r="D56" s="1425"/>
      <c r="E56" s="1425"/>
      <c r="F56" s="1425"/>
      <c r="G56" s="1440"/>
      <c r="H56" s="1437"/>
      <c r="I56" s="1437"/>
      <c r="J56" s="1437"/>
      <c r="K56" s="1437"/>
    </row>
    <row r="57">
      <c r="A57" s="1433" t="s">
        <v>2073</v>
      </c>
      <c r="B57" s="1421"/>
      <c r="C57" s="1421"/>
      <c r="D57" s="1421"/>
      <c r="E57" s="1421"/>
      <c r="F57" s="1421"/>
      <c r="G57" s="1450">
        <f>Supuestos!G94-Supuestos!G107-Supuestos!G114</f>
        <v>4038824.1079904</v>
      </c>
      <c r="H57" s="1429">
        <f>Supuestos!H94-Supuestos!H107-Supuestos!H114</f>
        <v>4038824.1079904</v>
      </c>
      <c r="I57" s="1429">
        <f>Supuestos!I94-Supuestos!I107-Supuestos!I114</f>
        <v>4038824.1079904</v>
      </c>
      <c r="J57" s="1429">
        <f>Supuestos!J94-Supuestos!J107-Supuestos!J114</f>
        <v>4038824.1079904</v>
      </c>
      <c r="K57" s="1429">
        <f>Supuestos!K94-Supuestos!K107-Supuestos!K114</f>
        <v>1647553.568</v>
      </c>
    </row>
    <row r="58">
      <c r="A58" s="1433" t="s">
        <v>2074</v>
      </c>
      <c r="B58" s="1421"/>
      <c r="C58" s="1421"/>
      <c r="D58" s="1421"/>
      <c r="E58" s="1421"/>
      <c r="F58" s="1421"/>
      <c r="G58" s="1450">
        <f>Generation_PPA!E371</f>
        <v>1169305</v>
      </c>
      <c r="H58" s="1429">
        <f>Generation_PPA!E371</f>
        <v>1169305</v>
      </c>
      <c r="I58" s="1429">
        <f>Generation_PPA!E371</f>
        <v>1169305</v>
      </c>
      <c r="J58" s="1429">
        <f>Generation_PPA!E371</f>
        <v>1169305</v>
      </c>
      <c r="K58" s="1429">
        <f>Generation_PPA!E371</f>
        <v>1169305</v>
      </c>
    </row>
    <row r="59">
      <c r="A59" s="1433" t="s">
        <v>2075</v>
      </c>
      <c r="B59" s="1421"/>
      <c r="C59" s="1421"/>
      <c r="D59" s="1421"/>
      <c r="E59" s="1421"/>
      <c r="F59" s="1421"/>
      <c r="G59" s="1438">
        <f>G57-MAX(0,G57-G58)*$C$15</f>
        <v>3321444.3309928</v>
      </c>
      <c r="H59" s="1421">
        <f>H57-MAX(0,H57-H58)*$C$15</f>
        <v>3321444.3309928</v>
      </c>
      <c r="I59" s="1421">
        <f>I57-MAX(0,I57-I58)*$C$15</f>
        <v>3321444.3309928</v>
      </c>
      <c r="J59" s="1421">
        <f>J57-MAX(0,J57-J58)*$C$15</f>
        <v>3321444.3309928</v>
      </c>
      <c r="K59" s="1421">
        <f>K57-MAX(0,K57-K58)*$C$15</f>
        <v>1527991.426</v>
      </c>
    </row>
    <row r="60">
      <c r="A60" s="1433" t="s">
        <v>2076</v>
      </c>
      <c r="B60" s="1421"/>
      <c r="C60" s="1421"/>
      <c r="D60" s="1421"/>
      <c r="E60" s="1421"/>
      <c r="F60" s="1421"/>
      <c r="G60" s="1438">
        <f>G59*G$24</f>
        <v>3094604.0516260164</v>
      </c>
      <c r="H60" s="1421">
        <f>H59*H$24</f>
        <v>2883255.982037687</v>
      </c>
      <c r="I60" s="1421">
        <f>I59*I$24</f>
        <v>2686342.0713186464</v>
      </c>
      <c r="J60" s="1421">
        <f>J59*J$24</f>
        <v>2502876.528859736</v>
      </c>
      <c r="K60" s="1421">
        <f>K59*K$24</f>
        <v>1072781.9977348917</v>
      </c>
    </row>
    <row r="61">
      <c r="A61" s="1433" t="s">
        <v>2077</v>
      </c>
      <c r="B61" s="1421"/>
      <c r="C61" s="1421">
        <f>SUM(G60:K60)</f>
        <v>12239860.631576978</v>
      </c>
      <c r="D61" s="1421"/>
      <c r="E61" s="1421"/>
      <c r="F61" s="1421"/>
      <c r="G61" s="1438"/>
      <c r="H61" s="1421"/>
      <c r="I61" s="1421"/>
      <c r="J61" s="1421"/>
      <c r="K61" s="1421"/>
    </row>
    <row r="62">
      <c r="A62" s="1433" t="s">
        <v>2078</v>
      </c>
      <c r="B62" s="1421"/>
      <c r="C62" s="1421">
        <f>K57*(1-$C$15)</f>
        <v>1235665.176</v>
      </c>
      <c r="D62" s="1421"/>
      <c r="E62" s="1421"/>
      <c r="F62" s="1421"/>
      <c r="G62" s="1438"/>
      <c r="H62" s="1421"/>
      <c r="I62" s="1421"/>
      <c r="J62" s="1421"/>
      <c r="K62" s="1421"/>
    </row>
    <row r="63">
      <c r="A63" s="1433" t="s">
        <v>2086</v>
      </c>
      <c r="B63" s="1422"/>
      <c r="C63" s="1422">
        <f>(1+$C$21)/($C$20-$C$21)*(1-((1+$C$21)/(1+$C$20))^31)</f>
        <v>15.19094701310297</v>
      </c>
      <c r="D63" s="1422"/>
      <c r="E63" s="1422"/>
      <c r="F63" s="1422"/>
      <c r="G63" s="1436"/>
      <c r="H63" s="1422"/>
      <c r="I63" s="1422"/>
      <c r="J63" s="1422"/>
      <c r="K63" s="1422"/>
    </row>
    <row r="64">
      <c r="A64" s="1433" t="s">
        <v>2080</v>
      </c>
      <c r="B64" s="1421"/>
      <c r="C64" s="1421">
        <f>C62*C63</f>
        <v>18770924.214552555</v>
      </c>
      <c r="D64" s="1421"/>
      <c r="E64" s="1421"/>
      <c r="F64" s="1421"/>
      <c r="G64" s="1438"/>
      <c r="H64" s="1421"/>
      <c r="I64" s="1421"/>
      <c r="J64" s="1421"/>
      <c r="K64" s="1421"/>
    </row>
    <row r="65">
      <c r="A65" s="1433" t="s">
        <v>2081</v>
      </c>
      <c r="B65" s="1421"/>
      <c r="C65" s="1421">
        <f>C64/(1+$C$20)^5</f>
        <v>13178810.58464653</v>
      </c>
      <c r="D65" s="1421"/>
      <c r="E65" s="1421"/>
      <c r="F65" s="1421"/>
      <c r="G65" s="1438"/>
      <c r="H65" s="1421"/>
      <c r="I65" s="1421"/>
      <c r="J65" s="1421"/>
      <c r="K65" s="1421"/>
    </row>
    <row r="66">
      <c r="A66" s="1442" t="s">
        <v>2082</v>
      </c>
      <c r="B66" s="1424"/>
      <c r="C66" s="1424">
        <f>C61+C65</f>
        <v>25418671.216223508</v>
      </c>
      <c r="D66" s="1424"/>
      <c r="E66" s="1424"/>
      <c r="F66" s="1424"/>
      <c r="G66" s="1446"/>
      <c r="H66" s="1424"/>
      <c r="I66" s="1424"/>
      <c r="J66" s="1424"/>
      <c r="K66" s="1424"/>
    </row>
    <row r="67">
      <c r="A67" s="1427" t="s">
        <v>2087</v>
      </c>
      <c r="B67" s="1425"/>
      <c r="C67" s="1425"/>
      <c r="D67" s="1425"/>
      <c r="E67" s="1425"/>
      <c r="F67" s="1425"/>
      <c r="G67" s="1440"/>
      <c r="H67" s="1437"/>
      <c r="I67" s="1437"/>
      <c r="J67" s="1437"/>
      <c r="K67" s="1437"/>
    </row>
    <row r="68">
      <c r="A68" s="1433" t="s">
        <v>2073</v>
      </c>
      <c r="B68" s="1421"/>
      <c r="C68" s="1421"/>
      <c r="D68" s="1421"/>
      <c r="E68" s="1421"/>
      <c r="F68" s="1421"/>
      <c r="G68" s="1450">
        <f>Supuestos!G96-Supuestos!G103-Supuestos!G110</f>
        <v>4685585.775839999</v>
      </c>
      <c r="H68" s="1429">
        <f>Supuestos!H96-Supuestos!H103-Supuestos!H110</f>
        <v>4685585.775839999</v>
      </c>
      <c r="I68" s="1429">
        <f>Supuestos!I96-Supuestos!I103-Supuestos!I110</f>
        <v>4685585.775839999</v>
      </c>
      <c r="J68" s="1429">
        <f>Supuestos!J96-Supuestos!J103-Supuestos!J110</f>
        <v>4685585.775839999</v>
      </c>
      <c r="K68" s="1429">
        <f>Supuestos!K96-Supuestos!K103-Supuestos!K110</f>
        <v>3511202.28792</v>
      </c>
    </row>
    <row r="69">
      <c r="A69" s="1433" t="s">
        <v>2074</v>
      </c>
      <c r="B69" s="1421"/>
      <c r="C69" s="1421"/>
      <c r="D69" s="1421"/>
      <c r="E69" s="1421"/>
      <c r="F69" s="1421"/>
      <c r="G69" s="1450">
        <f>Generation_PPA!E367</f>
        <v>1686175</v>
      </c>
      <c r="H69" s="1429">
        <f>Generation_PPA!E367</f>
        <v>1686175</v>
      </c>
      <c r="I69" s="1429">
        <f>Generation_PPA!E367</f>
        <v>1686175</v>
      </c>
      <c r="J69" s="1429">
        <f>Generation_PPA!E367</f>
        <v>1686175</v>
      </c>
      <c r="K69" s="1429">
        <f>Generation_PPA!E367</f>
        <v>1686175</v>
      </c>
    </row>
    <row r="70">
      <c r="A70" s="1433" t="s">
        <v>2075</v>
      </c>
      <c r="B70" s="1421"/>
      <c r="C70" s="1421"/>
      <c r="D70" s="1421"/>
      <c r="E70" s="1421"/>
      <c r="F70" s="1421"/>
      <c r="G70" s="1438">
        <f>G68-MAX(0,G68-G69)*$C$15</f>
        <v>3935733.0818799995</v>
      </c>
      <c r="H70" s="1421">
        <f>H68-MAX(0,H68-H69)*$C$15</f>
        <v>3935733.0818799995</v>
      </c>
      <c r="I70" s="1421">
        <f>I68-MAX(0,I68-I69)*$C$15</f>
        <v>3935733.0818799995</v>
      </c>
      <c r="J70" s="1421">
        <f>J68-MAX(0,J68-J69)*$C$15</f>
        <v>3935733.0818799995</v>
      </c>
      <c r="K70" s="1421">
        <f>K68-MAX(0,K68-K69)*$C$15</f>
        <v>3054945.46594</v>
      </c>
    </row>
    <row r="71">
      <c r="A71" s="1433" t="s">
        <v>2076</v>
      </c>
      <c r="B71" s="1421"/>
      <c r="C71" s="1421"/>
      <c r="D71" s="1421"/>
      <c r="E71" s="1421"/>
      <c r="F71" s="1421"/>
      <c r="G71" s="1438">
        <f>G70*G$24</f>
        <v>3666939.538217055</v>
      </c>
      <c r="H71" s="1421">
        <f>H70*H$24</f>
        <v>3416503.4307957906</v>
      </c>
      <c r="I71" s="1421">
        <f>I70*I$24</f>
        <v>3183171.0261344602</v>
      </c>
      <c r="J71" s="1421">
        <f>J70*J$24</f>
        <v>2965774.215324519</v>
      </c>
      <c r="K71" s="1421">
        <f>K70*K$24</f>
        <v>2144835.660826714</v>
      </c>
    </row>
    <row r="72">
      <c r="A72" s="1433" t="s">
        <v>2077</v>
      </c>
      <c r="B72" s="1421"/>
      <c r="C72" s="1421">
        <f>SUM(G71:K71)</f>
        <v>15377223.871298539</v>
      </c>
      <c r="D72" s="1421"/>
      <c r="E72" s="1421"/>
      <c r="F72" s="1421"/>
      <c r="G72" s="1438"/>
      <c r="H72" s="1421"/>
      <c r="I72" s="1421"/>
      <c r="J72" s="1421"/>
      <c r="K72" s="1421"/>
    </row>
    <row r="73">
      <c r="A73" s="1433" t="s">
        <v>2078</v>
      </c>
      <c r="B73" s="1421"/>
      <c r="C73" s="1421">
        <f>K68*(1-$C$15)</f>
        <v>2633401.71594</v>
      </c>
      <c r="D73" s="1421"/>
      <c r="E73" s="1421"/>
      <c r="F73" s="1421"/>
      <c r="G73" s="1438"/>
      <c r="H73" s="1421"/>
      <c r="I73" s="1421"/>
      <c r="J73" s="1421"/>
      <c r="K73" s="1421"/>
    </row>
    <row r="74">
      <c r="A74" s="1433" t="s">
        <v>2084</v>
      </c>
      <c r="B74" s="1422"/>
      <c r="C74" s="1422">
        <f>(1+$C$21)/($C$20-$C$21)*(1-((1+$C$21)/(1+$C$20))^29)</f>
        <v>14.767831950920186</v>
      </c>
      <c r="D74" s="1422"/>
      <c r="E74" s="1422"/>
      <c r="F74" s="1422"/>
      <c r="G74" s="1436"/>
      <c r="H74" s="1422"/>
      <c r="I74" s="1422"/>
      <c r="J74" s="1422"/>
      <c r="K74" s="1422"/>
    </row>
    <row r="75">
      <c r="A75" s="1433" t="s">
        <v>2080</v>
      </c>
      <c r="B75" s="1421"/>
      <c r="C75" s="1421">
        <f>C73*C74</f>
        <v>38889634.000266775</v>
      </c>
      <c r="D75" s="1421"/>
      <c r="E75" s="1421"/>
      <c r="F75" s="1421"/>
      <c r="G75" s="1438"/>
      <c r="H75" s="1421"/>
      <c r="I75" s="1421"/>
      <c r="J75" s="1421"/>
      <c r="K75" s="1421"/>
    </row>
    <row r="76">
      <c r="A76" s="1433" t="s">
        <v>2081</v>
      </c>
      <c r="B76" s="1421"/>
      <c r="C76" s="1421">
        <f>C75/(1+$C$20)^5</f>
        <v>27303883.087355077</v>
      </c>
      <c r="D76" s="1421"/>
      <c r="E76" s="1421"/>
      <c r="F76" s="1421"/>
      <c r="G76" s="1438"/>
      <c r="H76" s="1421"/>
      <c r="I76" s="1421"/>
      <c r="J76" s="1421"/>
      <c r="K76" s="1421"/>
    </row>
    <row r="77">
      <c r="A77" s="1442" t="s">
        <v>2082</v>
      </c>
      <c r="B77" s="1424"/>
      <c r="C77" s="1424">
        <f>C72+C76</f>
        <v>42681106.958653614</v>
      </c>
      <c r="D77" s="1424"/>
      <c r="E77" s="1424"/>
      <c r="F77" s="1424"/>
      <c r="G77" s="1446"/>
      <c r="H77" s="1424"/>
      <c r="I77" s="1424"/>
      <c r="J77" s="1424"/>
      <c r="K77" s="1424"/>
    </row>
    <row r="78">
      <c r="A78" s="1427" t="s">
        <v>2088</v>
      </c>
      <c r="B78" s="1425"/>
      <c r="C78" s="1425"/>
      <c r="D78" s="1425"/>
      <c r="E78" s="1425"/>
      <c r="F78" s="1425"/>
      <c r="G78" s="1440"/>
      <c r="H78" s="1437"/>
      <c r="I78" s="1437"/>
      <c r="J78" s="1437"/>
      <c r="K78" s="1437"/>
    </row>
    <row r="79">
      <c r="A79" s="1433" t="s">
        <v>2073</v>
      </c>
      <c r="B79" s="1421"/>
      <c r="C79" s="1421"/>
      <c r="D79" s="1421"/>
      <c r="E79" s="1421"/>
      <c r="F79" s="1421"/>
      <c r="G79" s="1450">
        <f>Supuestos!G97-Supuestos!G104-Supuestos!G111</f>
        <v>951105.68</v>
      </c>
      <c r="H79" s="1429">
        <f>Supuestos!H97-Supuestos!H104-Supuestos!H111</f>
        <v>916936.424</v>
      </c>
      <c r="I79" s="1429">
        <f>Supuestos!I97-Supuestos!I104-Supuestos!I111</f>
        <v>899851.7960000001</v>
      </c>
      <c r="J79" s="1429">
        <f>Supuestos!J97-Supuestos!J104-Supuestos!J111</f>
        <v>882767.1680000001</v>
      </c>
      <c r="K79" s="1429">
        <f>Supuestos!K97-Supuestos!K104-Supuestos!K111</f>
        <v>865682.54</v>
      </c>
    </row>
    <row r="80">
      <c r="A80" s="1433" t="s">
        <v>2074</v>
      </c>
      <c r="B80" s="1421"/>
      <c r="C80" s="1421"/>
      <c r="D80" s="1421"/>
      <c r="E80" s="1421"/>
      <c r="F80" s="1421"/>
      <c r="G80" s="1450">
        <f>Generation_PPA!E368</f>
        <v>406993</v>
      </c>
      <c r="H80" s="1429">
        <f>Generation_PPA!E368</f>
        <v>406993</v>
      </c>
      <c r="I80" s="1429">
        <f>Generation_PPA!E368</f>
        <v>406993</v>
      </c>
      <c r="J80" s="1429">
        <f>Generation_PPA!E368</f>
        <v>406993</v>
      </c>
      <c r="K80" s="1429">
        <f>Generation_PPA!E368</f>
        <v>406993</v>
      </c>
    </row>
    <row r="81">
      <c r="A81" s="1433" t="s">
        <v>2075</v>
      </c>
      <c r="B81" s="1421"/>
      <c r="C81" s="1421"/>
      <c r="D81" s="1421"/>
      <c r="E81" s="1421"/>
      <c r="F81" s="1421"/>
      <c r="G81" s="1438">
        <f>G79-MAX(0,G79-G80)*$C$15</f>
        <v>815077.51</v>
      </c>
      <c r="H81" s="1421">
        <f>H79-MAX(0,H79-H80)*$C$15</f>
        <v>789450.568</v>
      </c>
      <c r="I81" s="1421">
        <f>I79-MAX(0,I79-I80)*$C$15</f>
        <v>776637.0970000001</v>
      </c>
      <c r="J81" s="1421">
        <f>J79-MAX(0,J79-J80)*$C$15</f>
        <v>763823.626</v>
      </c>
      <c r="K81" s="1421">
        <f>K79-MAX(0,K79-K80)*$C$15</f>
        <v>751010.155</v>
      </c>
    </row>
    <row r="82">
      <c r="A82" s="1433" t="s">
        <v>2076</v>
      </c>
      <c r="B82" s="1421"/>
      <c r="C82" s="1421"/>
      <c r="D82" s="1421"/>
      <c r="E82" s="1421"/>
      <c r="F82" s="1421"/>
      <c r="G82" s="1438">
        <f>G81*G$24</f>
        <v>759411.24206086</v>
      </c>
      <c r="H82" s="1421">
        <f>H81*H$24</f>
        <v>685300.6842444001</v>
      </c>
      <c r="I82" s="1421">
        <f>I81*I$24</f>
        <v>628134.2391772886</v>
      </c>
      <c r="J82" s="1421">
        <f>J81*J$24</f>
        <v>575579.7885471414</v>
      </c>
      <c r="K82" s="1421">
        <f>K81*K$24</f>
        <v>527274.0152143306</v>
      </c>
    </row>
    <row r="83">
      <c r="A83" s="1433" t="s">
        <v>2077</v>
      </c>
      <c r="B83" s="1421"/>
      <c r="C83" s="1421">
        <f>SUM(G82:K82)</f>
        <v>3175699.969244021</v>
      </c>
      <c r="D83" s="1421"/>
      <c r="E83" s="1421"/>
      <c r="F83" s="1421"/>
      <c r="G83" s="1438"/>
      <c r="H83" s="1421"/>
      <c r="I83" s="1421"/>
      <c r="J83" s="1421"/>
      <c r="K83" s="1421"/>
    </row>
    <row r="84">
      <c r="A84" s="1433" t="s">
        <v>2078</v>
      </c>
      <c r="B84" s="1421"/>
      <c r="C84" s="1421">
        <f>K79*(1-$C$15)</f>
        <v>649261.905</v>
      </c>
      <c r="D84" s="1421"/>
      <c r="E84" s="1421"/>
      <c r="F84" s="1421"/>
      <c r="G84" s="1438"/>
      <c r="H84" s="1421"/>
      <c r="I84" s="1421"/>
      <c r="J84" s="1421"/>
      <c r="K84" s="1421"/>
    </row>
    <row r="85">
      <c r="A85" s="1433" t="s">
        <v>2089</v>
      </c>
      <c r="B85" s="1422"/>
      <c r="C85" s="1422">
        <f>(1+$C$21)/($C$20-$C$21)*(1-((1+$C$21)/(1+$C$20))^25)</f>
        <v>13.780605472118713</v>
      </c>
      <c r="D85" s="1422"/>
      <c r="E85" s="1422"/>
      <c r="F85" s="1422"/>
      <c r="G85" s="1436"/>
      <c r="H85" s="1422"/>
      <c r="I85" s="1422"/>
      <c r="J85" s="1422"/>
      <c r="K85" s="1422"/>
    </row>
    <row r="86">
      <c r="A86" s="1433" t="s">
        <v>2080</v>
      </c>
      <c r="B86" s="1421"/>
      <c r="C86" s="1421">
        <f>C84*C85</f>
        <v>8947222.160881221</v>
      </c>
      <c r="D86" s="1421"/>
      <c r="E86" s="1421"/>
      <c r="F86" s="1421"/>
      <c r="G86" s="1438"/>
      <c r="H86" s="1421"/>
      <c r="I86" s="1421"/>
      <c r="J86" s="1421"/>
      <c r="K86" s="1421"/>
    </row>
    <row r="87">
      <c r="A87" s="1433" t="s">
        <v>2081</v>
      </c>
      <c r="B87" s="1421"/>
      <c r="C87" s="1421">
        <f>C86/(1+$C$20)^5</f>
        <v>6281722.986532028</v>
      </c>
      <c r="D87" s="1421"/>
      <c r="E87" s="1421"/>
      <c r="F87" s="1421"/>
      <c r="G87" s="1438"/>
      <c r="H87" s="1421"/>
      <c r="I87" s="1421"/>
      <c r="J87" s="1421"/>
      <c r="K87" s="1421"/>
    </row>
    <row r="88">
      <c r="A88" s="1442" t="s">
        <v>2082</v>
      </c>
      <c r="B88" s="1424"/>
      <c r="C88" s="1424">
        <f>C83+C87</f>
        <v>9457422.955776049</v>
      </c>
      <c r="D88" s="1424"/>
      <c r="E88" s="1424"/>
      <c r="F88" s="1424"/>
      <c r="G88" s="1446"/>
      <c r="H88" s="1424"/>
      <c r="I88" s="1424"/>
      <c r="J88" s="1424"/>
      <c r="K88" s="1424"/>
    </row>
    <row r="89">
      <c r="A89" s="1427" t="s">
        <v>2090</v>
      </c>
      <c r="B89" s="1425"/>
      <c r="C89" s="1425"/>
      <c r="D89" s="1425"/>
      <c r="E89" s="1425"/>
      <c r="F89" s="1425"/>
      <c r="G89" s="1440"/>
      <c r="H89" s="1437"/>
      <c r="I89" s="1437"/>
      <c r="J89" s="1437"/>
      <c r="K89" s="1437"/>
    </row>
    <row r="90">
      <c r="A90" s="1433" t="s">
        <v>2091</v>
      </c>
      <c r="B90" s="1421"/>
      <c r="C90" s="1421"/>
      <c r="D90" s="1421"/>
      <c r="E90" s="1421"/>
      <c r="F90" s="1421"/>
      <c r="G90" s="1450">
        <f>-ModeloFinanciero!G9-Supuestos!G109-Supuestos!G115-(ModeloFinanciero!G13-Supuestos!G108)</f>
        <v>-3869533</v>
      </c>
      <c r="H90" s="1429">
        <f>-ModeloFinanciero!H9-Supuestos!H109-Supuestos!H115-(ModeloFinanciero!H13-Supuestos!H108)</f>
        <v>-3869533</v>
      </c>
      <c r="I90" s="1429">
        <f>-ModeloFinanciero!I9-Supuestos!I109-Supuestos!I115-(ModeloFinanciero!I13-Supuestos!I108)</f>
        <v>-3869533</v>
      </c>
      <c r="J90" s="1429">
        <f>-ModeloFinanciero!J9-Supuestos!J109-Supuestos!J115-(ModeloFinanciero!J13-Supuestos!J108)</f>
        <v>-3869533</v>
      </c>
      <c r="K90" s="1429">
        <f>-ModeloFinanciero!K9-Supuestos!K109-Supuestos!K115-(ModeloFinanciero!K13-Supuestos!K108)</f>
        <v>-3869533</v>
      </c>
    </row>
    <row r="91">
      <c r="A91" s="1433" t="s">
        <v>2092</v>
      </c>
      <c r="B91" s="1421"/>
      <c r="C91" s="1421"/>
      <c r="D91" s="1421"/>
      <c r="E91" s="1421"/>
      <c r="F91" s="1421"/>
      <c r="G91" s="1450">
        <f>ModeloFinanciero!G96</f>
        <v>-441856</v>
      </c>
      <c r="H91" s="1429">
        <f>ModeloFinanciero!H96</f>
        <v>-441856</v>
      </c>
      <c r="I91" s="1429">
        <f>ModeloFinanciero!I96</f>
        <v>-441856</v>
      </c>
      <c r="J91" s="1429">
        <f>ModeloFinanciero!J96</f>
        <v>-441856</v>
      </c>
      <c r="K91" s="1429">
        <f>ModeloFinanciero!K96</f>
        <v>-441856</v>
      </c>
    </row>
    <row r="92">
      <c r="A92" s="1433" t="s">
        <v>2093</v>
      </c>
      <c r="B92" s="1421"/>
      <c r="C92" s="1421"/>
      <c r="D92" s="1421"/>
      <c r="E92" s="1421"/>
      <c r="F92" s="1421"/>
      <c r="G92" s="1438">
        <f>G90+G91</f>
        <v>-4311389</v>
      </c>
      <c r="H92" s="1421">
        <f>H90+H91</f>
        <v>-4311389</v>
      </c>
      <c r="I92" s="1421">
        <f>I90+I91</f>
        <v>-4311389</v>
      </c>
      <c r="J92" s="1421">
        <f>J90+J91</f>
        <v>-4311389</v>
      </c>
      <c r="K92" s="1421">
        <f>K90+K91</f>
        <v>-4311389</v>
      </c>
    </row>
    <row r="93">
      <c r="A93" s="1433" t="s">
        <v>2094</v>
      </c>
      <c r="B93" s="1421"/>
      <c r="C93" s="1421"/>
      <c r="D93" s="1421"/>
      <c r="E93" s="1421"/>
      <c r="F93" s="1421"/>
      <c r="G93" s="1438">
        <f>G92*G$24</f>
        <v>-4016939.7822024673</v>
      </c>
      <c r="H93" s="1421">
        <f>H92*H$24</f>
        <v>-3742600.1722045504</v>
      </c>
      <c r="I93" s="1421">
        <f>I92*I$24</f>
        <v>-3486996.770786924</v>
      </c>
      <c r="J93" s="1421">
        <f>J92*J$24</f>
        <v>-3248849.975955668</v>
      </c>
      <c r="K93" s="1421">
        <f>K92*K$24</f>
        <v>-3026967.576997541</v>
      </c>
    </row>
    <row r="94">
      <c r="A94" s="1433" t="s">
        <v>2095</v>
      </c>
      <c r="B94" s="1421"/>
      <c r="C94" s="1421">
        <f>SUM(G93:K93)</f>
        <v>-17522354.27814715</v>
      </c>
      <c r="D94" s="1421"/>
      <c r="E94" s="1421"/>
      <c r="F94" s="1421"/>
      <c r="G94" s="1438"/>
      <c r="H94" s="1421"/>
      <c r="I94" s="1421"/>
      <c r="J94" s="1421"/>
      <c r="K94" s="1421"/>
    </row>
    <row r="95">
      <c r="A95" s="1433" t="s">
        <v>2096</v>
      </c>
      <c r="B95" s="1421"/>
      <c r="C95" s="1421">
        <f>K92</f>
        <v>-4311389</v>
      </c>
      <c r="D95" s="1421"/>
      <c r="E95" s="1421"/>
      <c r="F95" s="1421"/>
      <c r="G95" s="1438"/>
      <c r="H95" s="1421"/>
      <c r="I95" s="1421"/>
      <c r="J95" s="1421"/>
      <c r="K95" s="1421"/>
    </row>
    <row r="96">
      <c r="A96" s="1433" t="s">
        <v>2097</v>
      </c>
      <c r="B96" s="1422"/>
      <c r="C96" s="1422">
        <f>(1+$C$21)/($C$20-$C$21)*(1-((1+$C$21)/(1+$C$20))^27)</f>
        <v>14.29934023237736</v>
      </c>
      <c r="D96" s="1422"/>
      <c r="E96" s="1422"/>
      <c r="F96" s="1422"/>
      <c r="G96" s="1436"/>
      <c r="H96" s="1422"/>
      <c r="I96" s="1422"/>
      <c r="J96" s="1422"/>
      <c r="K96" s="1422"/>
    </row>
    <row r="97">
      <c r="A97" s="1433" t="s">
        <v>2098</v>
      </c>
      <c r="B97" s="1421"/>
      <c r="C97" s="1421">
        <f>C95*C96</f>
        <v>-61650018.185129195</v>
      </c>
      <c r="D97" s="1421"/>
      <c r="E97" s="1421"/>
      <c r="F97" s="1421"/>
      <c r="G97" s="1438"/>
      <c r="H97" s="1421"/>
      <c r="I97" s="1421"/>
      <c r="J97" s="1421"/>
      <c r="K97" s="1421"/>
    </row>
    <row r="98">
      <c r="A98" s="1433" t="s">
        <v>2099</v>
      </c>
      <c r="B98" s="1421"/>
      <c r="C98" s="1421">
        <f>C97/(1+$C$20)^5</f>
        <v>-43283639.25586276</v>
      </c>
      <c r="D98" s="1421"/>
      <c r="E98" s="1421"/>
      <c r="F98" s="1421"/>
      <c r="G98" s="1438"/>
      <c r="H98" s="1421"/>
      <c r="I98" s="1421"/>
      <c r="J98" s="1421"/>
      <c r="K98" s="1421"/>
    </row>
    <row r="99">
      <c r="A99" s="1442" t="s">
        <v>2100</v>
      </c>
      <c r="B99" s="1424"/>
      <c r="C99" s="1424">
        <f>C94+C98</f>
        <v>-60805993.5340099</v>
      </c>
      <c r="D99" s="1424"/>
      <c r="E99" s="1424"/>
      <c r="F99" s="1424"/>
      <c r="G99" s="1446"/>
      <c r="H99" s="1424"/>
      <c r="I99" s="1424"/>
      <c r="J99" s="1424"/>
      <c r="K99" s="1424"/>
    </row>
    <row r="100">
      <c r="A100" s="1420"/>
      <c r="B100" s="1420"/>
      <c r="C100" s="1420"/>
      <c r="D100" s="1420"/>
      <c r="E100" s="1420"/>
      <c r="F100" s="1420"/>
      <c r="G100" s="1434"/>
      <c r="H100" s="1420"/>
      <c r="I100" s="1420"/>
      <c r="J100" s="1420"/>
      <c r="K100" s="1420"/>
    </row>
    <row r="101">
      <c r="A101" s="1433" t="s">
        <v>2101</v>
      </c>
      <c r="B101" s="1421"/>
      <c r="C101" s="1421"/>
      <c r="D101" s="1421"/>
      <c r="E101" s="1421"/>
      <c r="F101" s="1421"/>
      <c r="G101" s="1450">
        <f>G35+G46+G57+G68+G79+G90-Debt_Schedule!G21</f>
        <v>0</v>
      </c>
      <c r="H101" s="1429">
        <f>H35+H46+H57+H68+H79+H90-Debt_Schedule!H21</f>
        <v>0</v>
      </c>
      <c r="I101" s="1429">
        <f>I35+I46+I57+I68+I79+I90-Debt_Schedule!I21</f>
        <v>0</v>
      </c>
      <c r="J101" s="1429">
        <f>J35+J46+J57+J68+J79+J90-Debt_Schedule!J21</f>
        <v>0</v>
      </c>
      <c r="K101" s="1429">
        <f>K35+K46+K57+K68+K79+K90-Debt_Schedule!K21</f>
        <v>0</v>
      </c>
    </row>
    <row r="102">
      <c r="A102" s="1433" t="s">
        <v>2102</v>
      </c>
      <c r="B102" s="1421"/>
      <c r="C102" s="1421"/>
      <c r="D102" s="1421"/>
      <c r="E102" s="1421"/>
      <c r="F102" s="1421"/>
      <c r="G102" s="1438">
        <f>G37+G48+G59+G70+G81+G92</f>
        <v>19095539.96859698</v>
      </c>
      <c r="H102" s="1421">
        <f>H37+H48+H59+H70+H81+H92</f>
        <v>10101175.972596979</v>
      </c>
      <c r="I102" s="1421">
        <f>I37+I48+I59+I70+I81+I92</f>
        <v>15681994.315596975</v>
      </c>
      <c r="J102" s="1421">
        <f>J37+J48+J59+J70+J81+J92</f>
        <v>15568112.704596974</v>
      </c>
      <c r="K102" s="1421">
        <f>K37+K48+K59+K70+K81+K92</f>
        <v>9965212.820840001</v>
      </c>
    </row>
    <row r="103">
      <c r="A103" s="1420"/>
      <c r="B103" s="1420"/>
      <c r="C103" s="1420"/>
      <c r="D103" s="1420"/>
      <c r="E103" s="1420"/>
      <c r="F103" s="1420"/>
      <c r="G103" s="1434"/>
      <c r="H103" s="1420"/>
      <c r="I103" s="1420"/>
      <c r="J103" s="1420"/>
      <c r="K103" s="1420"/>
    </row>
    <row r="104">
      <c r="A104" s="1427" t="s">
        <v>2103</v>
      </c>
      <c r="B104" s="1425"/>
      <c r="C104" s="1425"/>
      <c r="D104" s="1425"/>
      <c r="E104" s="1425"/>
      <c r="F104" s="1425"/>
      <c r="G104" s="1440"/>
      <c r="H104" s="1437"/>
      <c r="I104" s="1437"/>
      <c r="J104" s="1437"/>
      <c r="K104" s="1437"/>
    </row>
    <row r="105">
      <c r="A105" s="1442" t="s">
        <v>2104</v>
      </c>
      <c r="B105" s="1424"/>
      <c r="C105" s="1424">
        <f>C44+C55+C66+C77+C88+C99</f>
        <v>130342687.01316151</v>
      </c>
      <c r="D105" s="1424"/>
      <c r="E105" s="1424"/>
      <c r="F105" s="1424"/>
      <c r="G105" s="1446"/>
      <c r="H105" s="1424"/>
      <c r="I105" s="1424"/>
      <c r="J105" s="1424"/>
      <c r="K105" s="1424"/>
    </row>
    <row r="106">
      <c r="A106" s="1433" t="s">
        <v>2105</v>
      </c>
      <c r="B106" s="1421"/>
      <c r="C106" s="1421">
        <f>C39+C50+C61+C72+C83+C94</f>
        <v>57971154.84767388</v>
      </c>
      <c r="D106" s="1421"/>
      <c r="E106" s="1421"/>
      <c r="F106" s="1421"/>
      <c r="G106" s="1438"/>
      <c r="H106" s="1421"/>
      <c r="I106" s="1421"/>
      <c r="J106" s="1421"/>
      <c r="K106" s="1421"/>
    </row>
    <row r="107">
      <c r="A107" s="1433" t="s">
        <v>2106</v>
      </c>
      <c r="G107" s="1434"/>
    </row>
    <row r="108">
      <c r="A108" s="1433" t="s">
        <v>2107</v>
      </c>
      <c r="B108" s="1421"/>
      <c r="C108" s="1429">
        <f>Debt_Schedule!F11</f>
        <v>131250000</v>
      </c>
      <c r="D108" s="1421"/>
      <c r="E108" s="1421"/>
      <c r="F108" s="1421"/>
      <c r="G108" s="1438"/>
      <c r="H108" s="1421"/>
      <c r="I108" s="1421"/>
      <c r="J108" s="1421"/>
      <c r="K108" s="1421"/>
    </row>
    <row r="109">
      <c r="A109" s="1433" t="s">
        <v>2108</v>
      </c>
      <c r="B109" s="1421"/>
      <c r="C109" s="1429">
        <f>ModeloFinanciero!F51</f>
        <v>21419</v>
      </c>
      <c r="D109" s="1421"/>
      <c r="E109" s="1421"/>
      <c r="F109" s="1421"/>
      <c r="G109" s="1438"/>
      <c r="H109" s="1421"/>
      <c r="I109" s="1421"/>
      <c r="J109" s="1421"/>
      <c r="K109" s="1421"/>
    </row>
    <row r="110">
      <c r="A110" s="1433" t="s">
        <v>2109</v>
      </c>
      <c r="B110" s="1421"/>
      <c r="C110" s="1429">
        <f>ModeloFinanciero!F52+ModeloFinanciero!F59</f>
        <v>2490452</v>
      </c>
      <c r="D110" s="1421"/>
      <c r="E110" s="1421"/>
      <c r="F110" s="1421"/>
      <c r="G110" s="1438"/>
      <c r="H110" s="1421"/>
      <c r="I110" s="1421"/>
      <c r="J110" s="1421"/>
      <c r="K110" s="1421"/>
    </row>
    <row r="111">
      <c r="A111" s="1433" t="s">
        <v>2110</v>
      </c>
      <c r="B111" s="1421"/>
      <c r="C111" s="1429">
        <f>ModeloFinanciero!F55+ModeloFinanciero!F61</f>
        <v>4074</v>
      </c>
      <c r="D111" s="1421"/>
      <c r="E111" s="1421"/>
      <c r="F111" s="1421"/>
      <c r="G111" s="1438"/>
      <c r="H111" s="1421"/>
      <c r="I111" s="1421"/>
      <c r="J111" s="1421"/>
      <c r="K111" s="1421"/>
    </row>
    <row r="112">
      <c r="A112" s="1433" t="s">
        <v>2111</v>
      </c>
      <c r="B112" s="1421"/>
      <c r="C112" s="1429">
        <f>-(ModeloFinanciero!F29+ModeloFinanciero!F30)</f>
        <v>-19057503</v>
      </c>
      <c r="D112" s="1421"/>
      <c r="E112" s="1421"/>
      <c r="F112" s="1421"/>
      <c r="G112" s="1438"/>
      <c r="H112" s="1421"/>
      <c r="I112" s="1421"/>
      <c r="J112" s="1421"/>
      <c r="K112" s="1421"/>
    </row>
    <row r="113">
      <c r="A113" s="1433" t="s">
        <v>2112</v>
      </c>
      <c r="B113" s="1421"/>
      <c r="C113" s="1429">
        <f>-ModeloFinanciero!F37</f>
        <v>-4260349</v>
      </c>
      <c r="D113" s="1421"/>
      <c r="E113" s="1421"/>
      <c r="F113" s="1421"/>
      <c r="G113" s="1438"/>
      <c r="H113" s="1421"/>
      <c r="I113" s="1421"/>
      <c r="J113" s="1421"/>
      <c r="K113" s="1421"/>
    </row>
    <row r="114">
      <c r="A114" s="1442" t="s">
        <v>2113</v>
      </c>
      <c r="B114" s="1424"/>
      <c r="C114" s="1424">
        <f>C108+C109+C110+C111+C112+C113</f>
        <v>110448093</v>
      </c>
      <c r="D114" s="1424"/>
      <c r="E114" s="1424"/>
      <c r="F114" s="1424"/>
      <c r="G114" s="1446"/>
      <c r="H114" s="1424"/>
      <c r="I114" s="1424"/>
      <c r="J114" s="1424"/>
      <c r="K114" s="1424"/>
    </row>
    <row r="115">
      <c r="A115" s="1442" t="s">
        <v>2114</v>
      </c>
      <c r="B115" s="1424"/>
      <c r="C115" s="1424">
        <f>C105-C114</f>
        <v>19894594.01316151</v>
      </c>
      <c r="D115" s="1424"/>
      <c r="E115" s="1424"/>
      <c r="F115" s="1424"/>
      <c r="G115" s="1446"/>
      <c r="H115" s="1424"/>
      <c r="I115" s="1424"/>
      <c r="J115" s="1424"/>
      <c r="K115" s="1424"/>
    </row>
    <row r="116">
      <c r="A116" s="1433" t="s">
        <v>2115</v>
      </c>
      <c r="B116" s="1441"/>
      <c r="C116" s="1459">
        <v>16575011</v>
      </c>
      <c r="D116" s="1441"/>
      <c r="E116" s="1441"/>
      <c r="F116" s="1441"/>
      <c r="G116" s="1432"/>
      <c r="H116" s="1441"/>
      <c r="I116" s="1441"/>
      <c r="J116" s="1441"/>
      <c r="K116" s="1441"/>
    </row>
    <row r="117">
      <c r="A117" s="1433" t="s">
        <v>2116</v>
      </c>
      <c r="B117" s="1423"/>
      <c r="C117" s="1423">
        <f>C115/C116</f>
        <v>1.2002763686347786</v>
      </c>
      <c r="D117" s="1423"/>
      <c r="E117" s="1423"/>
      <c r="F117" s="1423"/>
      <c r="G117" s="1452"/>
      <c r="H117" s="1423"/>
      <c r="I117" s="1423"/>
      <c r="J117" s="1423"/>
      <c r="K117" s="1423"/>
    </row>
    <row r="118">
      <c r="A118" s="1433" t="s">
        <v>2117</v>
      </c>
      <c r="B118" s="1423"/>
      <c r="C118" s="1455">
        <v>7.4</v>
      </c>
      <c r="D118" s="1423"/>
      <c r="E118" s="1423"/>
      <c r="F118" s="1423"/>
      <c r="G118" s="1452"/>
      <c r="H118" s="1423"/>
      <c r="I118" s="1423"/>
      <c r="J118" s="1423"/>
      <c r="K118" s="1423"/>
    </row>
    <row r="119">
      <c r="A119" s="1433" t="s">
        <v>2118</v>
      </c>
      <c r="B119" s="1439"/>
      <c r="C119" s="1439">
        <f>C117/C118-1</f>
        <v>-0.8378004907250299</v>
      </c>
      <c r="D119" s="1439"/>
      <c r="E119" s="1439"/>
      <c r="F119" s="1439"/>
      <c r="G119" s="1430"/>
      <c r="H119" s="1439"/>
      <c r="I119" s="1439"/>
      <c r="J119" s="1439"/>
      <c r="K119" s="1439"/>
    </row>
    <row r="120">
      <c r="A120" s="1420"/>
      <c r="B120" s="1420"/>
      <c r="C120" s="1420"/>
      <c r="D120" s="1420"/>
      <c r="E120" s="1420"/>
      <c r="F120" s="1420"/>
      <c r="G120" s="1434"/>
      <c r="H120" s="1420"/>
      <c r="I120" s="1420"/>
      <c r="J120" s="1420"/>
      <c r="K120" s="1420"/>
    </row>
    <row r="121">
      <c r="A121" s="1427" t="s">
        <v>2119</v>
      </c>
      <c r="B121" s="1425"/>
      <c r="C121" s="1425"/>
      <c r="D121" s="1425"/>
      <c r="E121" s="1425"/>
      <c r="F121" s="1425"/>
      <c r="G121" s="1440"/>
      <c r="H121" s="1437"/>
      <c r="I121" s="1437"/>
      <c r="J121" s="1437"/>
      <c r="K121" s="1437"/>
    </row>
    <row r="122">
      <c r="A122" s="1433" t="s">
        <v>2120</v>
      </c>
      <c r="B122" s="1421"/>
      <c r="C122" s="1421">
        <f>C40+C51+C62+C73+C84+C95</f>
        <v>7002580.683339998</v>
      </c>
      <c r="D122" s="1421"/>
      <c r="E122" s="1421"/>
      <c r="F122" s="1421"/>
      <c r="G122" s="1438"/>
      <c r="H122" s="1421"/>
      <c r="I122" s="1421"/>
      <c r="J122" s="1421"/>
      <c r="K122" s="1421"/>
    </row>
    <row r="123">
      <c r="A123" s="1433" t="s">
        <v>2121</v>
      </c>
      <c r="B123" s="1421"/>
      <c r="C123" s="1421">
        <f>C122*(1+$C$21)/($C$20-$C$21)</f>
        <v>134003396.6348613</v>
      </c>
      <c r="D123" s="1421"/>
      <c r="E123" s="1421"/>
      <c r="F123" s="1421"/>
      <c r="G123" s="1438"/>
      <c r="H123" s="1421"/>
      <c r="I123" s="1421"/>
      <c r="J123" s="1421"/>
      <c r="K123" s="1421"/>
    </row>
    <row r="124">
      <c r="A124" s="1433" t="s">
        <v>2122</v>
      </c>
      <c r="B124" s="1421"/>
      <c r="C124" s="1421">
        <f>C123/(1+$C$20)^5</f>
        <v>94081962.17536078</v>
      </c>
      <c r="D124" s="1421"/>
      <c r="E124" s="1421"/>
      <c r="F124" s="1421"/>
      <c r="G124" s="1438"/>
      <c r="H124" s="1421"/>
      <c r="I124" s="1421"/>
      <c r="J124" s="1421"/>
      <c r="K124" s="1421"/>
    </row>
    <row r="125">
      <c r="A125" s="1442" t="s">
        <v>2123</v>
      </c>
      <c r="B125" s="1424"/>
      <c r="C125" s="1424">
        <f>C106+C124</f>
        <v>152053117.02303466</v>
      </c>
      <c r="D125" s="1424"/>
      <c r="E125" s="1424"/>
      <c r="F125" s="1424"/>
      <c r="G125" s="1446"/>
      <c r="H125" s="1424"/>
      <c r="I125" s="1424"/>
      <c r="J125" s="1424"/>
      <c r="K125" s="1424"/>
    </row>
    <row r="126">
      <c r="A126" s="1433" t="s">
        <v>2124</v>
      </c>
      <c r="B126" s="1421"/>
      <c r="C126" s="1421">
        <f>C125-C114</f>
        <v>41605024.02303466</v>
      </c>
      <c r="D126" s="1421"/>
      <c r="E126" s="1421"/>
      <c r="F126" s="1421"/>
      <c r="G126" s="1438"/>
      <c r="H126" s="1421"/>
      <c r="I126" s="1421"/>
      <c r="J126" s="1421"/>
      <c r="K126" s="1421"/>
    </row>
    <row r="127">
      <c r="A127" s="1433" t="s">
        <v>2125</v>
      </c>
      <c r="B127" s="1423"/>
      <c r="C127" s="1423">
        <f>C126/C116</f>
        <v>2.510105364215726</v>
      </c>
      <c r="D127" s="1423"/>
      <c r="E127" s="1423"/>
      <c r="F127" s="1423"/>
      <c r="G127" s="1452"/>
      <c r="H127" s="1423"/>
      <c r="I127" s="1423"/>
      <c r="J127" s="1423"/>
      <c r="K127" s="1423"/>
    </row>
    <row r="128">
      <c r="A128" s="1420"/>
      <c r="B128" s="1420"/>
      <c r="C128" s="1420"/>
      <c r="D128" s="1420"/>
      <c r="E128" s="1420"/>
      <c r="F128" s="1420"/>
      <c r="G128" s="1434"/>
      <c r="H128" s="1420"/>
      <c r="I128" s="1420"/>
      <c r="J128" s="1420"/>
      <c r="K128" s="1420"/>
    </row>
    <row r="129">
      <c r="A129" s="1427" t="s">
        <v>2126</v>
      </c>
      <c r="B129" s="1425"/>
      <c r="C129" s="1425"/>
      <c r="D129" s="1425"/>
      <c r="E129" s="1425"/>
      <c r="F129" s="1425"/>
      <c r="G129" s="1440"/>
      <c r="H129" s="1437"/>
      <c r="I129" s="1437"/>
      <c r="J129" s="1437"/>
      <c r="K129" s="1437"/>
    </row>
    <row r="130">
      <c r="A130" s="1433" t="s">
        <v>2127</v>
      </c>
      <c r="B130" s="1421"/>
      <c r="C130" s="1448">
        <v>437912880</v>
      </c>
      <c r="D130" s="1421"/>
      <c r="E130" s="1421"/>
      <c r="F130" s="1421"/>
      <c r="G130" s="1438"/>
      <c r="H130" s="1421"/>
      <c r="I130" s="1421"/>
      <c r="J130" s="1421"/>
      <c r="K130" s="1421"/>
    </row>
    <row r="131">
      <c r="A131" s="1433" t="s">
        <v>2128</v>
      </c>
      <c r="B131" s="1421"/>
      <c r="C131" s="1448">
        <v>324237858</v>
      </c>
      <c r="D131" s="1421"/>
      <c r="E131" s="1421"/>
      <c r="F131" s="1421"/>
      <c r="G131" s="1438"/>
      <c r="H131" s="1421"/>
      <c r="I131" s="1421"/>
      <c r="J131" s="1421"/>
      <c r="K131" s="1421"/>
    </row>
    <row r="132">
      <c r="A132" s="1433" t="s">
        <v>2129</v>
      </c>
      <c r="B132" s="1421"/>
      <c r="C132" s="1448">
        <v>253112385</v>
      </c>
      <c r="D132" s="1421"/>
      <c r="E132" s="1421"/>
      <c r="F132" s="1421"/>
      <c r="G132" s="1438"/>
      <c r="H132" s="1421"/>
      <c r="I132" s="1421"/>
      <c r="J132" s="1421"/>
      <c r="K132" s="1421"/>
    </row>
    <row r="133">
      <c r="A133" s="1433" t="s">
        <v>2130</v>
      </c>
      <c r="B133" s="1421"/>
      <c r="C133" s="1448">
        <v>139437363</v>
      </c>
      <c r="D133" s="1421"/>
      <c r="E133" s="1421"/>
      <c r="F133" s="1421"/>
      <c r="G133" s="1438"/>
      <c r="H133" s="1421"/>
      <c r="I133" s="1421"/>
      <c r="J133" s="1421"/>
      <c r="K133" s="1421"/>
    </row>
    <row r="134">
      <c r="A134" s="1433" t="s">
        <v>2131</v>
      </c>
      <c r="B134" s="1439"/>
      <c r="C134" s="1439">
        <f>C105/C132-1</f>
        <v>-0.485040263781792</v>
      </c>
      <c r="D134" s="1439"/>
      <c r="E134" s="1439"/>
      <c r="F134" s="1439"/>
      <c r="G134" s="1430"/>
      <c r="H134" s="1439"/>
      <c r="I134" s="1439"/>
      <c r="J134" s="1439"/>
      <c r="K134" s="1439"/>
    </row>
    <row r="135">
      <c r="A135" s="1433" t="s">
        <v>2132</v>
      </c>
      <c r="B135" s="1439"/>
      <c r="C135" s="1439">
        <f>C125/C130-1</f>
        <v>-0.6527777008453493</v>
      </c>
      <c r="D135" s="1439"/>
      <c r="E135" s="1439"/>
      <c r="F135" s="1439"/>
      <c r="G135" s="1430"/>
      <c r="H135" s="1439"/>
      <c r="I135" s="1439"/>
      <c r="J135" s="1439"/>
      <c r="K135" s="1439"/>
    </row>
    <row r="136">
      <c r="A136" s="1433" t="s">
        <v>2133</v>
      </c>
      <c r="B136" s="1439"/>
      <c r="C136" s="1439">
        <f>C115/C133-1</f>
        <v>-0.8573223590497655</v>
      </c>
      <c r="D136" s="1439"/>
      <c r="E136" s="1439"/>
      <c r="F136" s="1439"/>
      <c r="G136" s="1430"/>
      <c r="H136" s="1439"/>
      <c r="I136" s="1439"/>
      <c r="J136" s="1439"/>
      <c r="K136" s="1439"/>
    </row>
    <row r="137">
      <c r="A137" s="1433" t="s">
        <v>2134</v>
      </c>
      <c r="G137" s="1434"/>
    </row>
    <row r="138">
      <c r="A138" s="1433" t="s">
        <v>2135</v>
      </c>
      <c r="G138" s="1434"/>
    </row>
    <row r="139">
      <c r="A139" s="1420"/>
      <c r="B139" s="1420"/>
      <c r="C139" s="1420"/>
      <c r="D139" s="1420"/>
      <c r="E139" s="1420"/>
      <c r="F139" s="1420"/>
      <c r="G139" s="1434"/>
      <c r="H139" s="1420"/>
      <c r="I139" s="1420"/>
      <c r="J139" s="1420"/>
      <c r="K139" s="1420"/>
    </row>
    <row r="140">
      <c r="A140" s="1427" t="s">
        <v>2136</v>
      </c>
      <c r="B140" s="1425"/>
      <c r="C140" s="1425"/>
      <c r="D140" s="1425"/>
      <c r="E140" s="1425"/>
      <c r="F140" s="1425"/>
      <c r="G140" s="1440"/>
      <c r="H140" s="1437"/>
      <c r="I140" s="1437"/>
      <c r="J140" s="1437"/>
      <c r="K140" s="1437"/>
    </row>
    <row r="141">
      <c r="A141" s="1433" t="s">
        <v>2137</v>
      </c>
      <c r="B141" s="1422"/>
      <c r="C141" s="1422">
        <f>SUM(G24:K24)+C96*K24</f>
        <v>14.103573937311133</v>
      </c>
      <c r="D141" s="1422"/>
      <c r="E141" s="1422"/>
      <c r="F141" s="1422"/>
      <c r="G141" s="1436"/>
      <c r="H141" s="1422"/>
      <c r="I141" s="1422"/>
      <c r="J141" s="1422"/>
      <c r="K141" s="1422"/>
    </row>
    <row r="142">
      <c r="A142" s="1433" t="s">
        <v>2138</v>
      </c>
      <c r="B142" s="1441"/>
      <c r="C142" s="1456">
        <f>Generation_PPA!K415</f>
        <v>358737.91224000003</v>
      </c>
      <c r="D142" s="1441"/>
      <c r="E142" s="1441"/>
      <c r="F142" s="1441"/>
      <c r="G142" s="1432"/>
      <c r="H142" s="1441"/>
      <c r="I142" s="1441"/>
      <c r="J142" s="1441"/>
      <c r="K142" s="1441"/>
    </row>
    <row r="143">
      <c r="A143" s="1433" t="s">
        <v>2139</v>
      </c>
      <c r="B143" s="1435"/>
      <c r="C143" s="1444">
        <v>55</v>
      </c>
      <c r="D143" s="1435"/>
      <c r="E143" s="1435"/>
      <c r="F143" s="1435"/>
      <c r="G143" s="1451"/>
      <c r="H143" s="1435"/>
      <c r="I143" s="1435"/>
      <c r="J143" s="1435"/>
      <c r="K143" s="1435"/>
    </row>
    <row r="144">
      <c r="A144" s="1433" t="s">
        <v>2140</v>
      </c>
      <c r="B144" s="1435"/>
      <c r="C144" s="1444">
        <v>45</v>
      </c>
      <c r="D144" s="1444">
        <v>50</v>
      </c>
      <c r="E144" s="1444">
        <v>55</v>
      </c>
      <c r="F144" s="1444">
        <v>60</v>
      </c>
      <c r="G144" s="1453">
        <v>65</v>
      </c>
      <c r="H144" s="1444">
        <v>70</v>
      </c>
      <c r="I144" s="1444">
        <v>75</v>
      </c>
      <c r="J144" s="1435"/>
      <c r="K144" s="1435"/>
    </row>
    <row r="145">
      <c r="A145" s="1433" t="s">
        <v>2141</v>
      </c>
      <c r="B145" s="1454">
        <v>0.9</v>
      </c>
      <c r="C145" s="1421">
        <f>$C$115+$C$141*$C$142*($B145*C$144-$C$143)*(1-$C$15)</f>
        <v>-35127323.516492516</v>
      </c>
      <c r="D145" s="1421">
        <f>$C$115+$C$141*$C$142*($B145*D$144-$C$143)*(1-$C$15)</f>
        <v>-18051556.007289536</v>
      </c>
      <c r="E145" s="1421">
        <f>$C$115+$C$141*$C$142*($B145*E$144-$C$143)*(1-$C$15)</f>
        <v>-975788.4980865642</v>
      </c>
      <c r="F145" s="1421">
        <f>$C$115+$C$141*$C$142*($B145*F$144-$C$143)*(1-$C$15)</f>
        <v>16099979.011116404</v>
      </c>
      <c r="G145" s="1438">
        <f>$C$115+$C$141*$C$142*($B145*G$144-$C$143)*(1-$C$15)</f>
        <v>33175746.52031938</v>
      </c>
      <c r="H145" s="1421">
        <f>$C$115+$C$141*$C$142*($B145*H$144-$C$143)*(1-$C$15)</f>
        <v>50251514.02952235</v>
      </c>
      <c r="I145" s="1421">
        <f>$C$115+$C$141*$C$142*($B145*I$144-$C$143)*(1-$C$15)</f>
        <v>67327281.53872532</v>
      </c>
      <c r="J145" s="1421"/>
      <c r="K145" s="1421"/>
    </row>
    <row r="146">
      <c r="A146" s="1433" t="s">
        <v>2142</v>
      </c>
      <c r="B146" s="1454">
        <v>1</v>
      </c>
      <c r="C146" s="1421">
        <f>$C$115+$C$141*$C$142*($B146*C$144-$C$143)*(1-$C$15)</f>
        <v>-18051556.007289536</v>
      </c>
      <c r="D146" s="1421">
        <f>$C$115+$C$141*$C$142*($B146*D$144-$C$143)*(1-$C$15)</f>
        <v>921519.002935987</v>
      </c>
      <c r="E146" s="1421">
        <f>$C$115+$C$141*$C$142*($B146*E$144-$C$143)*(1-$C$15)</f>
        <v>19894594.01316151</v>
      </c>
      <c r="F146" s="1421">
        <f>$C$115+$C$141*$C$142*($B146*F$144-$C$143)*(1-$C$15)</f>
        <v>38867669.02338703</v>
      </c>
      <c r="G146" s="1438">
        <f>$C$115+$C$141*$C$142*($B146*G$144-$C$143)*(1-$C$15)</f>
        <v>57840744.03361256</v>
      </c>
      <c r="H146" s="1421">
        <f>$C$115+$C$141*$C$142*($B146*H$144-$C$143)*(1-$C$15)</f>
        <v>76813819.04383808</v>
      </c>
      <c r="I146" s="1421">
        <f>$C$115+$C$141*$C$142*($B146*I$144-$C$143)*(1-$C$15)</f>
        <v>95786894.0540636</v>
      </c>
      <c r="J146" s="1421"/>
      <c r="K146" s="1421"/>
    </row>
    <row r="147">
      <c r="A147" s="1433" t="s">
        <v>2143</v>
      </c>
      <c r="B147" s="1454">
        <v>1.1</v>
      </c>
      <c r="C147" s="1421">
        <f>$C$115+$C$141*$C$142*($B147*C$144-$C$143)*(1-$C$15)</f>
        <v>-975788.4980865419</v>
      </c>
      <c r="D147" s="1421">
        <f>$C$115+$C$141*$C$142*($B147*D$144-$C$143)*(1-$C$15)</f>
        <v>19894594.01316151</v>
      </c>
      <c r="E147" s="1421">
        <f>$C$115+$C$141*$C$142*($B147*E$144-$C$143)*(1-$C$15)</f>
        <v>40764976.524409615</v>
      </c>
      <c r="F147" s="1421">
        <f>$C$115+$C$141*$C$142*($B147*F$144-$C$143)*(1-$C$15)</f>
        <v>61635359.03565766</v>
      </c>
      <c r="G147" s="1438">
        <f>$C$115+$C$141*$C$142*($B147*G$144-$C$143)*(1-$C$15)</f>
        <v>82505741.54690574</v>
      </c>
      <c r="H147" s="1421">
        <f>$C$115+$C$141*$C$142*($B147*H$144-$C$143)*(1-$C$15)</f>
        <v>103376124.05815381</v>
      </c>
      <c r="I147" s="1421">
        <f>$C$115+$C$141*$C$142*($B147*I$144-$C$143)*(1-$C$15)</f>
        <v>124246506.56940189</v>
      </c>
      <c r="J147" s="1421"/>
      <c r="K147" s="1421"/>
    </row>
    <row r="148">
      <c r="A148" s="1433" t="s">
        <v>2144</v>
      </c>
      <c r="G148" s="1434"/>
    </row>
    <row r="149">
      <c r="A149" s="1420"/>
      <c r="B149" s="1420"/>
      <c r="C149" s="1420"/>
      <c r="D149" s="1420"/>
      <c r="E149" s="1420"/>
      <c r="F149" s="1420"/>
      <c r="G149" s="1434"/>
      <c r="H149" s="1420"/>
      <c r="I149" s="1420"/>
      <c r="J149" s="1420"/>
      <c r="K149" s="1420"/>
    </row>
    <row r="150">
      <c r="A150" s="1433" t="s">
        <v>2145</v>
      </c>
      <c r="G150" s="1434"/>
    </row>
    <row r="151">
      <c r="A151" s="1433" t="s">
        <v>2146</v>
      </c>
      <c r="B151" s="1431"/>
      <c r="C151" s="1431">
        <f>$C$20-0.005</f>
        <v>0.068301875</v>
      </c>
      <c r="D151" s="1431">
        <f>$C$20</f>
        <v>0.073301875</v>
      </c>
      <c r="E151" s="1431">
        <f>$C$20+0.005</f>
        <v>0.078301875</v>
      </c>
      <c r="F151" s="1431"/>
      <c r="G151" s="1443"/>
      <c r="H151" s="1431"/>
      <c r="I151" s="1431"/>
      <c r="J151" s="1431"/>
      <c r="K151" s="1431"/>
    </row>
    <row r="152">
      <c r="A152" s="1433" t="s">
        <v>2147</v>
      </c>
      <c r="B152" s="1421"/>
      <c r="C152" s="1421">
        <f>G102/(1+C$151)^1+H102/(1+C$151)^2+I102/(1+C$151)^3+J102/(1+C$151)^4+K102/(1+C$151)^5+(($C$40+$C$95)*(1+$C$21)/(C$151-$C$21)*(1-((1+$C$21)/(1+C$151))^27)+($C$51+$C$73)*(1+$C$21)/(C$151-$C$21)*(1-((1+$C$21)/(1+C$151))^29)+$C$62*(1+$C$21)/(C$151-$C$21)*(1-((1+$C$21)/(1+C$151))^31)+$C$84*(1+$C$21)/(C$151-$C$21)*(1-((1+$C$21)/(1+C$151))^25))/(1+C$151)^5-$C$114</f>
        <v>26482972.117985666</v>
      </c>
      <c r="D152" s="1421">
        <f>G102/(1+D$151)^1+H102/(1+D$151)^2+I102/(1+D$151)^3+J102/(1+D$151)^4+K102/(1+D$151)^5+(($C$40+$C$95)*(1+$C$21)/(D$151-$C$21)*(1-((1+$C$21)/(1+D$151))^27)+($C$51+$C$73)*(1+$C$21)/(D$151-$C$21)*(1-((1+$C$21)/(1+D$151))^29)+$C$62*(1+$C$21)/(D$151-$C$21)*(1-((1+$C$21)/(1+D$151))^31)+$C$84*(1+$C$21)/(D$151-$C$21)*(1-((1+$C$21)/(1+D$151))^25))/(1+D$151)^5-$C$114</f>
        <v>19894594.01316154</v>
      </c>
      <c r="E152" s="1421">
        <f>G102/(1+E$151)^1+H102/(1+E$151)^2+I102/(1+E$151)^3+J102/(1+E$151)^4+K102/(1+E$151)^5+(($C$40+$C$95)*(1+$C$21)/(E$151-$C$21)*(1-((1+$C$21)/(1+E$151))^27)+($C$51+$C$73)*(1+$C$21)/(E$151-$C$21)*(1-((1+$C$21)/(1+E$151))^29)+$C$62*(1+$C$21)/(E$151-$C$21)*(1-((1+$C$21)/(1+E$151))^31)+$C$84*(1+$C$21)/(E$151-$C$21)*(1-((1+$C$21)/(1+E$151))^25))/(1+E$151)^5-$C$114</f>
        <v>13875039.042286843</v>
      </c>
      <c r="F152" s="1421"/>
      <c r="G152" s="1438"/>
      <c r="H152" s="1421"/>
      <c r="I152" s="1421"/>
      <c r="J152" s="1421"/>
      <c r="K152" s="1421"/>
    </row>
    <row r="153">
      <c r="A153" s="1420"/>
      <c r="B153" s="1420"/>
      <c r="C153" s="1420"/>
      <c r="D153" s="1420"/>
      <c r="E153" s="1420"/>
      <c r="F153" s="1420"/>
      <c r="G153" s="1434"/>
      <c r="H153" s="1420"/>
      <c r="I153" s="1420"/>
      <c r="J153" s="1420"/>
      <c r="K153" s="1420"/>
    </row>
    <row r="154">
      <c r="A154" s="1427" t="s">
        <v>2148</v>
      </c>
      <c r="B154" s="1425"/>
      <c r="C154" s="1425"/>
      <c r="D154" s="1425"/>
      <c r="E154" s="1425"/>
      <c r="F154" s="1425"/>
      <c r="G154" s="1440"/>
      <c r="H154" s="1437"/>
      <c r="I154" s="1437"/>
      <c r="J154" s="1437"/>
      <c r="K154" s="1437"/>
    </row>
    <row r="155">
      <c r="A155" s="1433" t="s">
        <v>2149</v>
      </c>
      <c r="G155" s="1434"/>
    </row>
    <row r="156">
      <c r="A156" s="1433" t="s">
        <v>2150</v>
      </c>
      <c r="G156" s="1434"/>
    </row>
    <row r="157">
      <c r="A157" s="1433" t="s">
        <v>2151</v>
      </c>
      <c r="G157" s="1434"/>
    </row>
    <row r="158">
      <c r="A158" s="1433" t="s">
        <v>2152</v>
      </c>
      <c r="G158" s="1434"/>
    </row>
    <row r="159">
      <c r="A159" s="1433" t="s">
        <v>2153</v>
      </c>
      <c r="G159" s="1434"/>
    </row>
    <row r="160">
      <c r="A160" s="1433" t="s">
        <v>2154</v>
      </c>
      <c r="G160" s="1434"/>
    </row>
    <row r="161">
      <c r="A161" s="1433" t="s">
        <v>2155</v>
      </c>
      <c r="G161" s="1434"/>
    </row>
  </sheetData>
</worksheet>
</file>

<file path=xl/worksheets/sheet9.xml><?xml version="1.0" encoding="utf-8"?>
<worksheet xmlns="http://schemas.openxmlformats.org/spreadsheetml/2006/main" xmlns:r="http://schemas.openxmlformats.org/officeDocument/2006/relationships">
  <dimension ref="A1:M190"/>
  <sheetViews>
    <sheetView showGridLines="0" workbookViewId="0"/>
  </sheetViews>
  <sheetFormatPr defaultColWidth="8.375" defaultRowHeight="15"/>
  <cols>
    <col min="1" max="8" width="16.875" customWidth="1"/>
    <col min="9" max="9" width="39.375" customWidth="1"/>
    <col min="10" max="12" width="16.875" customWidth="1"/>
    <col min="13" max="13" width="59.375" customWidth="1"/>
  </cols>
  <sheetData>
    <row r="1">
      <c r="A1" s="1489" t="s">
        <v>0</v>
      </c>
      <c r="B1" s="1486"/>
      <c r="C1" s="1486"/>
      <c r="D1" s="1486"/>
      <c r="E1" s="1486"/>
      <c r="F1" s="1486"/>
      <c r="G1" s="1486"/>
      <c r="H1" s="1486"/>
      <c r="I1" s="1486"/>
      <c r="J1" s="1486"/>
      <c r="K1" s="1486"/>
      <c r="L1" s="1486"/>
      <c r="M1" s="1486"/>
    </row>
    <row r="2">
      <c r="A2" s="1486" t="s">
        <v>2156</v>
      </c>
      <c r="B2" s="1486"/>
      <c r="C2" s="1486"/>
      <c r="D2" s="1486"/>
      <c r="E2" s="1486"/>
      <c r="F2" s="1486"/>
      <c r="G2" s="1486"/>
      <c r="H2" s="1486"/>
      <c r="I2" s="1486"/>
      <c r="J2" s="1486"/>
      <c r="K2" s="1486"/>
      <c r="L2" s="1486"/>
      <c r="M2" s="1486"/>
    </row>
    <row r="3">
      <c r="A3" s="1486" t="s">
        <v>2157</v>
      </c>
      <c r="B3" s="1486"/>
      <c r="C3" s="1486"/>
      <c r="D3" s="1486"/>
      <c r="E3" s="1486"/>
      <c r="F3" s="1486"/>
      <c r="G3" s="1486"/>
      <c r="H3" s="1486"/>
      <c r="I3" s="1486"/>
      <c r="J3" s="1486"/>
      <c r="K3" s="1486"/>
      <c r="L3" s="1486"/>
      <c r="M3" s="1486"/>
    </row>
    <row r="4">
      <c r="A4" s="1488" t="s">
        <v>2158</v>
      </c>
      <c r="B4" s="1488" t="s">
        <v>2159</v>
      </c>
      <c r="C4" s="1488" t="s">
        <v>2160</v>
      </c>
      <c r="D4" s="1488" t="s">
        <v>2161</v>
      </c>
      <c r="E4" s="1488" t="s">
        <v>2162</v>
      </c>
      <c r="F4" s="1488" t="s">
        <v>2163</v>
      </c>
      <c r="G4" s="1488" t="s">
        <v>2164</v>
      </c>
      <c r="H4" s="1488" t="s">
        <v>2165</v>
      </c>
      <c r="I4" s="1488" t="s">
        <v>2166</v>
      </c>
      <c r="J4" s="1488" t="s">
        <v>2167</v>
      </c>
      <c r="K4" s="1488" t="s">
        <v>2168</v>
      </c>
      <c r="L4" s="1488" t="s">
        <v>2169</v>
      </c>
      <c r="M4" s="1488" t="s">
        <v>2170</v>
      </c>
    </row>
    <row r="5">
      <c r="A5" s="1486" t="s">
        <v>2171</v>
      </c>
      <c r="B5" s="1486" t="s">
        <v>2172</v>
      </c>
      <c r="C5" s="1486" t="s">
        <v>2173</v>
      </c>
      <c r="D5" s="1486"/>
      <c r="E5" s="1486"/>
      <c r="F5" s="1486"/>
      <c r="G5" s="1486"/>
      <c r="H5" s="1486" t="s">
        <v>2174</v>
      </c>
      <c r="I5" s="1486" t="s">
        <v>2175</v>
      </c>
      <c r="J5" s="1486" t="s">
        <v>109</v>
      </c>
      <c r="K5" s="1490" t="s">
        <v>268</v>
      </c>
      <c r="L5" s="1486" t="s">
        <v>264</v>
      </c>
      <c r="M5" s="1486" t="s">
        <v>2176</v>
      </c>
    </row>
    <row r="6">
      <c r="A6" s="1486" t="s">
        <v>2177</v>
      </c>
      <c r="B6" s="1486" t="s">
        <v>2178</v>
      </c>
      <c r="C6" s="1486" t="s">
        <v>2173</v>
      </c>
      <c r="D6" s="1486" t="s">
        <v>261</v>
      </c>
      <c r="E6" s="1486" t="s">
        <v>260</v>
      </c>
      <c r="F6" s="1486"/>
      <c r="G6" s="1486" t="s">
        <v>263</v>
      </c>
      <c r="H6" s="1486" t="s">
        <v>2179</v>
      </c>
      <c r="I6" s="1486" t="s">
        <v>2180</v>
      </c>
      <c r="J6" s="1486" t="s">
        <v>2181</v>
      </c>
      <c r="K6" s="1490" t="s">
        <v>268</v>
      </c>
      <c r="L6" s="1486" t="s">
        <v>2182</v>
      </c>
      <c r="M6" s="1486" t="s">
        <v>2183</v>
      </c>
    </row>
    <row r="7">
      <c r="A7" s="1486" t="s">
        <v>2184</v>
      </c>
      <c r="B7" s="1486" t="s">
        <v>2178</v>
      </c>
      <c r="C7" s="1486" t="s">
        <v>2173</v>
      </c>
      <c r="D7" s="1486" t="s">
        <v>779</v>
      </c>
      <c r="E7" s="1486" t="s">
        <v>778</v>
      </c>
      <c r="F7" s="1486"/>
      <c r="G7" s="1486" t="s">
        <v>263</v>
      </c>
      <c r="H7" s="1486" t="s">
        <v>2179</v>
      </c>
      <c r="I7" s="1486" t="s">
        <v>2180</v>
      </c>
      <c r="J7" s="1486" t="s">
        <v>2185</v>
      </c>
      <c r="K7" s="1490" t="s">
        <v>268</v>
      </c>
      <c r="L7" s="1486" t="s">
        <v>2186</v>
      </c>
      <c r="M7" s="1486" t="s">
        <v>2187</v>
      </c>
    </row>
    <row r="8">
      <c r="A8" s="1486" t="s">
        <v>2188</v>
      </c>
      <c r="B8" s="1486" t="s">
        <v>2178</v>
      </c>
      <c r="C8" s="1486" t="s">
        <v>2173</v>
      </c>
      <c r="D8" s="1486" t="s">
        <v>981</v>
      </c>
      <c r="E8" s="1486" t="s">
        <v>980</v>
      </c>
      <c r="F8" s="1486"/>
      <c r="G8" s="1486" t="s">
        <v>263</v>
      </c>
      <c r="H8" s="1486" t="s">
        <v>2179</v>
      </c>
      <c r="I8" s="1486" t="s">
        <v>2180</v>
      </c>
      <c r="J8" s="1486" t="s">
        <v>2189</v>
      </c>
      <c r="K8" s="1490" t="s">
        <v>268</v>
      </c>
      <c r="L8" s="1486" t="s">
        <v>2190</v>
      </c>
      <c r="M8" s="1486" t="s">
        <v>2191</v>
      </c>
    </row>
    <row r="9">
      <c r="A9" s="1486" t="s">
        <v>2192</v>
      </c>
      <c r="B9" s="1486" t="s">
        <v>2178</v>
      </c>
      <c r="C9" s="1486" t="s">
        <v>2173</v>
      </c>
      <c r="D9" s="1486" t="s">
        <v>1202</v>
      </c>
      <c r="E9" s="1486" t="s">
        <v>1201</v>
      </c>
      <c r="F9" s="1486"/>
      <c r="G9" s="1486" t="s">
        <v>263</v>
      </c>
      <c r="H9" s="1486" t="s">
        <v>2179</v>
      </c>
      <c r="I9" s="1486" t="s">
        <v>2180</v>
      </c>
      <c r="J9" s="1486" t="s">
        <v>2193</v>
      </c>
      <c r="K9" s="1490" t="s">
        <v>268</v>
      </c>
      <c r="L9" s="1486" t="s">
        <v>2194</v>
      </c>
      <c r="M9" s="1486" t="s">
        <v>2195</v>
      </c>
    </row>
    <row r="10">
      <c r="A10" s="1486" t="s">
        <v>2196</v>
      </c>
      <c r="B10" s="1486" t="s">
        <v>2197</v>
      </c>
      <c r="C10" s="1486" t="s">
        <v>2173</v>
      </c>
      <c r="D10" s="1486" t="s">
        <v>261</v>
      </c>
      <c r="E10" s="1486" t="s">
        <v>260</v>
      </c>
      <c r="F10" s="1486" t="s">
        <v>264</v>
      </c>
      <c r="G10" s="1486" t="s">
        <v>263</v>
      </c>
      <c r="H10" s="1486" t="s">
        <v>2198</v>
      </c>
      <c r="I10" s="1486" t="s">
        <v>265</v>
      </c>
      <c r="J10" s="1486" t="s">
        <v>2181</v>
      </c>
      <c r="K10" s="1490" t="s">
        <v>268</v>
      </c>
      <c r="L10" s="1486" t="s">
        <v>506</v>
      </c>
      <c r="M10" s="1486"/>
    </row>
    <row r="11">
      <c r="A11" s="1486" t="s">
        <v>2199</v>
      </c>
      <c r="B11" s="1486" t="s">
        <v>2197</v>
      </c>
      <c r="C11" s="1486" t="s">
        <v>2173</v>
      </c>
      <c r="D11" s="1486" t="s">
        <v>261</v>
      </c>
      <c r="E11" s="1486" t="s">
        <v>260</v>
      </c>
      <c r="F11" s="1486" t="s">
        <v>487</v>
      </c>
      <c r="G11" s="1486" t="s">
        <v>263</v>
      </c>
      <c r="H11" s="1486" t="s">
        <v>2198</v>
      </c>
      <c r="I11" s="1486" t="s">
        <v>488</v>
      </c>
      <c r="J11" s="1486" t="s">
        <v>2181</v>
      </c>
      <c r="K11" s="1490" t="s">
        <v>268</v>
      </c>
      <c r="L11" s="1486" t="s">
        <v>407</v>
      </c>
      <c r="M11" s="1486"/>
    </row>
    <row r="12">
      <c r="A12" s="1486" t="s">
        <v>2200</v>
      </c>
      <c r="B12" s="1486" t="s">
        <v>2197</v>
      </c>
      <c r="C12" s="1486" t="s">
        <v>2173</v>
      </c>
      <c r="D12" s="1486" t="s">
        <v>261</v>
      </c>
      <c r="E12" s="1486" t="s">
        <v>260</v>
      </c>
      <c r="F12" s="1486" t="s">
        <v>493</v>
      </c>
      <c r="G12" s="1486" t="s">
        <v>263</v>
      </c>
      <c r="H12" s="1486" t="s">
        <v>2198</v>
      </c>
      <c r="I12" s="1486" t="s">
        <v>494</v>
      </c>
      <c r="J12" s="1486" t="s">
        <v>2181</v>
      </c>
      <c r="K12" s="1490" t="s">
        <v>268</v>
      </c>
      <c r="L12" s="1486" t="s">
        <v>468</v>
      </c>
      <c r="M12" s="1486"/>
    </row>
    <row r="13">
      <c r="A13" s="1486" t="s">
        <v>2201</v>
      </c>
      <c r="B13" s="1486" t="s">
        <v>2197</v>
      </c>
      <c r="C13" s="1486" t="s">
        <v>2173</v>
      </c>
      <c r="D13" s="1486" t="s">
        <v>261</v>
      </c>
      <c r="E13" s="1486" t="s">
        <v>260</v>
      </c>
      <c r="F13" s="1486" t="s">
        <v>506</v>
      </c>
      <c r="G13" s="1486" t="s">
        <v>263</v>
      </c>
      <c r="H13" s="1486" t="s">
        <v>2198</v>
      </c>
      <c r="I13" s="1486" t="s">
        <v>507</v>
      </c>
      <c r="J13" s="1486" t="s">
        <v>2181</v>
      </c>
      <c r="K13" s="1490" t="s">
        <v>268</v>
      </c>
      <c r="L13" s="1486" t="s">
        <v>282</v>
      </c>
      <c r="M13" s="1486"/>
    </row>
    <row r="14">
      <c r="A14" s="1486" t="s">
        <v>2202</v>
      </c>
      <c r="B14" s="1486" t="s">
        <v>2197</v>
      </c>
      <c r="C14" s="1486" t="s">
        <v>2173</v>
      </c>
      <c r="D14" s="1486" t="s">
        <v>261</v>
      </c>
      <c r="E14" s="1486" t="s">
        <v>260</v>
      </c>
      <c r="F14" s="1486" t="s">
        <v>511</v>
      </c>
      <c r="G14" s="1486" t="s">
        <v>263</v>
      </c>
      <c r="H14" s="1486" t="s">
        <v>2198</v>
      </c>
      <c r="I14" s="1486" t="s">
        <v>512</v>
      </c>
      <c r="J14" s="1486" t="s">
        <v>2181</v>
      </c>
      <c r="K14" s="1490" t="s">
        <v>268</v>
      </c>
      <c r="L14" s="1486" t="s">
        <v>282</v>
      </c>
      <c r="M14" s="1486"/>
    </row>
    <row r="15">
      <c r="A15" s="1486" t="s">
        <v>2203</v>
      </c>
      <c r="B15" s="1486" t="s">
        <v>2197</v>
      </c>
      <c r="C15" s="1486" t="s">
        <v>2173</v>
      </c>
      <c r="D15" s="1486" t="s">
        <v>261</v>
      </c>
      <c r="E15" s="1486" t="s">
        <v>260</v>
      </c>
      <c r="F15" s="1486" t="s">
        <v>515</v>
      </c>
      <c r="G15" s="1486" t="s">
        <v>263</v>
      </c>
      <c r="H15" s="1486" t="s">
        <v>2198</v>
      </c>
      <c r="I15" s="1486" t="s">
        <v>520</v>
      </c>
      <c r="J15" s="1486" t="s">
        <v>2181</v>
      </c>
      <c r="K15" s="1490" t="s">
        <v>268</v>
      </c>
      <c r="L15" s="1486" t="s">
        <v>468</v>
      </c>
      <c r="M15" s="1486"/>
    </row>
    <row r="16">
      <c r="A16" s="1486" t="s">
        <v>2204</v>
      </c>
      <c r="B16" s="1486" t="s">
        <v>2197</v>
      </c>
      <c r="C16" s="1486" t="s">
        <v>2173</v>
      </c>
      <c r="D16" s="1486" t="s">
        <v>261</v>
      </c>
      <c r="E16" s="1486" t="s">
        <v>260</v>
      </c>
      <c r="F16" s="1486" t="s">
        <v>528</v>
      </c>
      <c r="G16" s="1486" t="s">
        <v>263</v>
      </c>
      <c r="H16" s="1486" t="s">
        <v>2198</v>
      </c>
      <c r="I16" s="1486" t="s">
        <v>529</v>
      </c>
      <c r="J16" s="1486" t="s">
        <v>2181</v>
      </c>
      <c r="K16" s="1490" t="s">
        <v>268</v>
      </c>
      <c r="L16" s="1486" t="s">
        <v>394</v>
      </c>
      <c r="M16" s="1486"/>
    </row>
    <row r="17">
      <c r="A17" s="1486" t="s">
        <v>2205</v>
      </c>
      <c r="B17" s="1486" t="s">
        <v>2197</v>
      </c>
      <c r="C17" s="1486" t="s">
        <v>2173</v>
      </c>
      <c r="D17" s="1486" t="s">
        <v>261</v>
      </c>
      <c r="E17" s="1486" t="s">
        <v>260</v>
      </c>
      <c r="F17" s="1486" t="s">
        <v>533</v>
      </c>
      <c r="G17" s="1486" t="s">
        <v>263</v>
      </c>
      <c r="H17" s="1486" t="s">
        <v>2198</v>
      </c>
      <c r="I17" s="1486" t="s">
        <v>541</v>
      </c>
      <c r="J17" s="1486" t="s">
        <v>2181</v>
      </c>
      <c r="K17" s="1490" t="s">
        <v>268</v>
      </c>
      <c r="L17" s="1486" t="s">
        <v>533</v>
      </c>
      <c r="M17" s="1486"/>
    </row>
    <row r="18">
      <c r="A18" s="1486" t="s">
        <v>2206</v>
      </c>
      <c r="B18" s="1486" t="s">
        <v>2197</v>
      </c>
      <c r="C18" s="1486" t="s">
        <v>2173</v>
      </c>
      <c r="D18" s="1486" t="s">
        <v>261</v>
      </c>
      <c r="E18" s="1486" t="s">
        <v>260</v>
      </c>
      <c r="F18" s="1486" t="s">
        <v>555</v>
      </c>
      <c r="G18" s="1486" t="s">
        <v>263</v>
      </c>
      <c r="H18" s="1486" t="s">
        <v>2198</v>
      </c>
      <c r="I18" s="1486" t="s">
        <v>556</v>
      </c>
      <c r="J18" s="1486" t="s">
        <v>2181</v>
      </c>
      <c r="K18" s="1490" t="s">
        <v>268</v>
      </c>
      <c r="L18" s="1486" t="s">
        <v>407</v>
      </c>
      <c r="M18" s="1486"/>
    </row>
    <row r="19">
      <c r="A19" s="1486" t="s">
        <v>2207</v>
      </c>
      <c r="B19" s="1486" t="s">
        <v>2197</v>
      </c>
      <c r="C19" s="1486" t="s">
        <v>2173</v>
      </c>
      <c r="D19" s="1486" t="s">
        <v>261</v>
      </c>
      <c r="E19" s="1486" t="s">
        <v>260</v>
      </c>
      <c r="F19" s="1486" t="s">
        <v>562</v>
      </c>
      <c r="G19" s="1486" t="s">
        <v>263</v>
      </c>
      <c r="H19" s="1486" t="s">
        <v>2198</v>
      </c>
      <c r="I19" s="1486" t="s">
        <v>563</v>
      </c>
      <c r="J19" s="1486" t="s">
        <v>2181</v>
      </c>
      <c r="K19" s="1490" t="s">
        <v>268</v>
      </c>
      <c r="L19" s="1486" t="s">
        <v>282</v>
      </c>
      <c r="M19" s="1486"/>
    </row>
    <row r="20">
      <c r="A20" s="1486" t="s">
        <v>2208</v>
      </c>
      <c r="B20" s="1486" t="s">
        <v>2197</v>
      </c>
      <c r="C20" s="1486" t="s">
        <v>2173</v>
      </c>
      <c r="D20" s="1486" t="s">
        <v>261</v>
      </c>
      <c r="E20" s="1486" t="s">
        <v>260</v>
      </c>
      <c r="F20" s="1486" t="s">
        <v>566</v>
      </c>
      <c r="G20" s="1486" t="s">
        <v>263</v>
      </c>
      <c r="H20" s="1486" t="s">
        <v>2198</v>
      </c>
      <c r="I20" s="1486" t="s">
        <v>575</v>
      </c>
      <c r="J20" s="1486" t="s">
        <v>2181</v>
      </c>
      <c r="K20" s="1490" t="s">
        <v>268</v>
      </c>
      <c r="L20" s="1486" t="s">
        <v>566</v>
      </c>
      <c r="M20" s="1486"/>
    </row>
    <row r="21">
      <c r="A21" s="1486" t="s">
        <v>2209</v>
      </c>
      <c r="B21" s="1486" t="s">
        <v>2197</v>
      </c>
      <c r="C21" s="1486" t="s">
        <v>2173</v>
      </c>
      <c r="D21" s="1486" t="s">
        <v>261</v>
      </c>
      <c r="E21" s="1486" t="s">
        <v>260</v>
      </c>
      <c r="F21" s="1486" t="s">
        <v>282</v>
      </c>
      <c r="G21" s="1486" t="s">
        <v>263</v>
      </c>
      <c r="H21" s="1486" t="s">
        <v>2198</v>
      </c>
      <c r="I21" s="1486" t="s">
        <v>288</v>
      </c>
      <c r="J21" s="1486" t="s">
        <v>2181</v>
      </c>
      <c r="K21" s="1490" t="s">
        <v>268</v>
      </c>
      <c r="L21" s="1486" t="s">
        <v>2210</v>
      </c>
      <c r="M21" s="1486"/>
    </row>
    <row r="22">
      <c r="A22" s="1486" t="s">
        <v>2211</v>
      </c>
      <c r="B22" s="1486" t="s">
        <v>2197</v>
      </c>
      <c r="C22" s="1486" t="s">
        <v>2173</v>
      </c>
      <c r="D22" s="1486" t="s">
        <v>261</v>
      </c>
      <c r="E22" s="1486" t="s">
        <v>260</v>
      </c>
      <c r="F22" s="1486" t="s">
        <v>591</v>
      </c>
      <c r="G22" s="1486" t="s">
        <v>263</v>
      </c>
      <c r="H22" s="1486" t="s">
        <v>2198</v>
      </c>
      <c r="I22" s="1486" t="s">
        <v>592</v>
      </c>
      <c r="J22" s="1486" t="s">
        <v>2181</v>
      </c>
      <c r="K22" s="1490" t="s">
        <v>268</v>
      </c>
      <c r="L22" s="1486" t="s">
        <v>442</v>
      </c>
      <c r="M22" s="1486"/>
    </row>
    <row r="23">
      <c r="A23" s="1486" t="s">
        <v>2212</v>
      </c>
      <c r="B23" s="1486" t="s">
        <v>2197</v>
      </c>
      <c r="C23" s="1486" t="s">
        <v>2173</v>
      </c>
      <c r="D23" s="1486" t="s">
        <v>261</v>
      </c>
      <c r="E23" s="1486" t="s">
        <v>260</v>
      </c>
      <c r="F23" s="1486" t="s">
        <v>601</v>
      </c>
      <c r="G23" s="1486" t="s">
        <v>263</v>
      </c>
      <c r="H23" s="1486" t="s">
        <v>2198</v>
      </c>
      <c r="I23" s="1486" t="s">
        <v>602</v>
      </c>
      <c r="J23" s="1486" t="s">
        <v>2181</v>
      </c>
      <c r="K23" s="1490" t="s">
        <v>268</v>
      </c>
      <c r="L23" s="1486" t="s">
        <v>394</v>
      </c>
      <c r="M23" s="1486"/>
    </row>
    <row r="24">
      <c r="A24" s="1486" t="s">
        <v>2213</v>
      </c>
      <c r="B24" s="1486" t="s">
        <v>2197</v>
      </c>
      <c r="C24" s="1486" t="s">
        <v>2173</v>
      </c>
      <c r="D24" s="1486" t="s">
        <v>261</v>
      </c>
      <c r="E24" s="1486" t="s">
        <v>260</v>
      </c>
      <c r="F24" s="1486" t="s">
        <v>607</v>
      </c>
      <c r="G24" s="1486" t="s">
        <v>263</v>
      </c>
      <c r="H24" s="1486" t="s">
        <v>2198</v>
      </c>
      <c r="I24" s="1486" t="s">
        <v>608</v>
      </c>
      <c r="J24" s="1486" t="s">
        <v>2181</v>
      </c>
      <c r="K24" s="1490" t="s">
        <v>268</v>
      </c>
      <c r="L24" s="1486" t="s">
        <v>394</v>
      </c>
      <c r="M24" s="1486"/>
    </row>
    <row r="25">
      <c r="A25" s="1486" t="s">
        <v>2214</v>
      </c>
      <c r="B25" s="1486" t="s">
        <v>2197</v>
      </c>
      <c r="C25" s="1486" t="s">
        <v>2173</v>
      </c>
      <c r="D25" s="1486" t="s">
        <v>261</v>
      </c>
      <c r="E25" s="1486" t="s">
        <v>260</v>
      </c>
      <c r="F25" s="1486" t="s">
        <v>613</v>
      </c>
      <c r="G25" s="1486" t="s">
        <v>263</v>
      </c>
      <c r="H25" s="1486" t="s">
        <v>2198</v>
      </c>
      <c r="I25" s="1486" t="s">
        <v>614</v>
      </c>
      <c r="J25" s="1486" t="s">
        <v>2181</v>
      </c>
      <c r="K25" s="1490" t="s">
        <v>268</v>
      </c>
      <c r="L25" s="1486" t="s">
        <v>394</v>
      </c>
      <c r="M25" s="1486"/>
    </row>
    <row r="26">
      <c r="A26" s="1486" t="s">
        <v>2215</v>
      </c>
      <c r="B26" s="1486" t="s">
        <v>2197</v>
      </c>
      <c r="C26" s="1486" t="s">
        <v>2173</v>
      </c>
      <c r="D26" s="1486" t="s">
        <v>261</v>
      </c>
      <c r="E26" s="1486" t="s">
        <v>260</v>
      </c>
      <c r="F26" s="1486" t="s">
        <v>618</v>
      </c>
      <c r="G26" s="1486" t="s">
        <v>263</v>
      </c>
      <c r="H26" s="1486" t="s">
        <v>2198</v>
      </c>
      <c r="I26" s="1486" t="s">
        <v>627</v>
      </c>
      <c r="J26" s="1486" t="s">
        <v>2181</v>
      </c>
      <c r="K26" s="1490" t="s">
        <v>268</v>
      </c>
      <c r="L26" s="1486" t="s">
        <v>684</v>
      </c>
      <c r="M26" s="1486"/>
    </row>
    <row r="27">
      <c r="A27" s="1486" t="s">
        <v>2216</v>
      </c>
      <c r="B27" s="1486" t="s">
        <v>2197</v>
      </c>
      <c r="C27" s="1486" t="s">
        <v>2173</v>
      </c>
      <c r="D27" s="1486" t="s">
        <v>261</v>
      </c>
      <c r="E27" s="1486" t="s">
        <v>260</v>
      </c>
      <c r="F27" s="1486" t="s">
        <v>654</v>
      </c>
      <c r="G27" s="1486" t="s">
        <v>263</v>
      </c>
      <c r="H27" s="1486" t="s">
        <v>2198</v>
      </c>
      <c r="I27" s="1486" t="s">
        <v>664</v>
      </c>
      <c r="J27" s="1486" t="s">
        <v>2181</v>
      </c>
      <c r="K27" s="1490" t="s">
        <v>268</v>
      </c>
      <c r="L27" s="1486" t="s">
        <v>607</v>
      </c>
      <c r="M27" s="1486"/>
    </row>
    <row r="28">
      <c r="A28" s="1486" t="s">
        <v>2217</v>
      </c>
      <c r="B28" s="1486" t="s">
        <v>2197</v>
      </c>
      <c r="C28" s="1486" t="s">
        <v>2173</v>
      </c>
      <c r="D28" s="1486" t="s">
        <v>261</v>
      </c>
      <c r="E28" s="1486" t="s">
        <v>260</v>
      </c>
      <c r="F28" s="1486" t="s">
        <v>684</v>
      </c>
      <c r="G28" s="1486" t="s">
        <v>263</v>
      </c>
      <c r="H28" s="1486" t="s">
        <v>2198</v>
      </c>
      <c r="I28" s="1486" t="s">
        <v>685</v>
      </c>
      <c r="J28" s="1486" t="s">
        <v>2181</v>
      </c>
      <c r="K28" s="1490" t="s">
        <v>268</v>
      </c>
      <c r="L28" s="1486" t="s">
        <v>2218</v>
      </c>
      <c r="M28" s="1486"/>
    </row>
    <row r="29">
      <c r="A29" s="1486" t="s">
        <v>2219</v>
      </c>
      <c r="B29" s="1486" t="s">
        <v>2197</v>
      </c>
      <c r="C29" s="1486" t="s">
        <v>2173</v>
      </c>
      <c r="D29" s="1486" t="s">
        <v>261</v>
      </c>
      <c r="E29" s="1486" t="s">
        <v>260</v>
      </c>
      <c r="F29" s="1486" t="s">
        <v>394</v>
      </c>
      <c r="G29" s="1486" t="s">
        <v>263</v>
      </c>
      <c r="H29" s="1486" t="s">
        <v>2198</v>
      </c>
      <c r="I29" s="1486" t="s">
        <v>395</v>
      </c>
      <c r="J29" s="1486" t="s">
        <v>2181</v>
      </c>
      <c r="K29" s="1490" t="s">
        <v>268</v>
      </c>
      <c r="L29" s="1486" t="s">
        <v>487</v>
      </c>
      <c r="M29" s="1486"/>
    </row>
    <row r="30">
      <c r="A30" s="1486" t="s">
        <v>2220</v>
      </c>
      <c r="B30" s="1486" t="s">
        <v>2197</v>
      </c>
      <c r="C30" s="1486" t="s">
        <v>2173</v>
      </c>
      <c r="D30" s="1486" t="s">
        <v>261</v>
      </c>
      <c r="E30" s="1486" t="s">
        <v>260</v>
      </c>
      <c r="F30" s="1486" t="s">
        <v>407</v>
      </c>
      <c r="G30" s="1486" t="s">
        <v>263</v>
      </c>
      <c r="H30" s="1486" t="s">
        <v>2198</v>
      </c>
      <c r="I30" s="1486" t="s">
        <v>416</v>
      </c>
      <c r="J30" s="1486" t="s">
        <v>2181</v>
      </c>
      <c r="K30" s="1490" t="s">
        <v>268</v>
      </c>
      <c r="L30" s="1486" t="s">
        <v>684</v>
      </c>
      <c r="M30" s="1486"/>
    </row>
    <row r="31">
      <c r="A31" s="1486" t="s">
        <v>2221</v>
      </c>
      <c r="B31" s="1486" t="s">
        <v>2197</v>
      </c>
      <c r="C31" s="1486" t="s">
        <v>2173</v>
      </c>
      <c r="D31" s="1486" t="s">
        <v>261</v>
      </c>
      <c r="E31" s="1486" t="s">
        <v>260</v>
      </c>
      <c r="F31" s="1486" t="s">
        <v>442</v>
      </c>
      <c r="G31" s="1486" t="s">
        <v>263</v>
      </c>
      <c r="H31" s="1486" t="s">
        <v>2198</v>
      </c>
      <c r="I31" s="1486" t="s">
        <v>443</v>
      </c>
      <c r="J31" s="1486" t="s">
        <v>2181</v>
      </c>
      <c r="K31" s="1490" t="s">
        <v>268</v>
      </c>
      <c r="L31" s="1486" t="s">
        <v>282</v>
      </c>
      <c r="M31" s="1486"/>
    </row>
    <row r="32">
      <c r="A32" s="1486" t="s">
        <v>2222</v>
      </c>
      <c r="B32" s="1486" t="s">
        <v>2197</v>
      </c>
      <c r="C32" s="1486" t="s">
        <v>2173</v>
      </c>
      <c r="D32" s="1486" t="s">
        <v>261</v>
      </c>
      <c r="E32" s="1486" t="s">
        <v>260</v>
      </c>
      <c r="F32" s="1486" t="s">
        <v>447</v>
      </c>
      <c r="G32" s="1486" t="s">
        <v>263</v>
      </c>
      <c r="H32" s="1486" t="s">
        <v>2198</v>
      </c>
      <c r="I32" s="1486" t="s">
        <v>448</v>
      </c>
      <c r="J32" s="1486" t="s">
        <v>2181</v>
      </c>
      <c r="K32" s="1490" t="s">
        <v>268</v>
      </c>
      <c r="L32" s="1486" t="s">
        <v>493</v>
      </c>
      <c r="M32" s="1486"/>
    </row>
    <row r="33">
      <c r="A33" s="1486" t="s">
        <v>2223</v>
      </c>
      <c r="B33" s="1486" t="s">
        <v>2197</v>
      </c>
      <c r="C33" s="1486" t="s">
        <v>2173</v>
      </c>
      <c r="D33" s="1486" t="s">
        <v>261</v>
      </c>
      <c r="E33" s="1486" t="s">
        <v>260</v>
      </c>
      <c r="F33" s="1486" t="s">
        <v>462</v>
      </c>
      <c r="G33" s="1486" t="s">
        <v>263</v>
      </c>
      <c r="H33" s="1486" t="s">
        <v>2198</v>
      </c>
      <c r="I33" s="1486" t="s">
        <v>463</v>
      </c>
      <c r="J33" s="1486" t="s">
        <v>2181</v>
      </c>
      <c r="K33" s="1490" t="s">
        <v>268</v>
      </c>
      <c r="L33" s="1486" t="s">
        <v>282</v>
      </c>
      <c r="M33" s="1486"/>
    </row>
    <row r="34">
      <c r="A34" s="1486" t="s">
        <v>2224</v>
      </c>
      <c r="B34" s="1486" t="s">
        <v>2197</v>
      </c>
      <c r="C34" s="1486" t="s">
        <v>2173</v>
      </c>
      <c r="D34" s="1486" t="s">
        <v>261</v>
      </c>
      <c r="E34" s="1486" t="s">
        <v>260</v>
      </c>
      <c r="F34" s="1486" t="s">
        <v>468</v>
      </c>
      <c r="G34" s="1486" t="s">
        <v>263</v>
      </c>
      <c r="H34" s="1486" t="s">
        <v>2198</v>
      </c>
      <c r="I34" s="1486" t="s">
        <v>469</v>
      </c>
      <c r="J34" s="1486" t="s">
        <v>2181</v>
      </c>
      <c r="K34" s="1490" t="s">
        <v>268</v>
      </c>
      <c r="L34" s="1486" t="s">
        <v>394</v>
      </c>
      <c r="M34" s="1486"/>
    </row>
    <row r="35">
      <c r="A35" s="1486" t="s">
        <v>2225</v>
      </c>
      <c r="B35" s="1486" t="s">
        <v>2197</v>
      </c>
      <c r="C35" s="1486" t="s">
        <v>2173</v>
      </c>
      <c r="D35" s="1486" t="s">
        <v>261</v>
      </c>
      <c r="E35" s="1486" t="s">
        <v>260</v>
      </c>
      <c r="F35" s="1486" t="s">
        <v>475</v>
      </c>
      <c r="G35" s="1486" t="s">
        <v>263</v>
      </c>
      <c r="H35" s="1486" t="s">
        <v>2198</v>
      </c>
      <c r="I35" s="1486" t="s">
        <v>476</v>
      </c>
      <c r="J35" s="1486" t="s">
        <v>2181</v>
      </c>
      <c r="K35" s="1490" t="s">
        <v>268</v>
      </c>
      <c r="L35" s="1486" t="s">
        <v>468</v>
      </c>
      <c r="M35" s="1486"/>
    </row>
    <row r="36">
      <c r="A36" s="1486" t="s">
        <v>2226</v>
      </c>
      <c r="B36" s="1486" t="s">
        <v>2197</v>
      </c>
      <c r="C36" s="1486" t="s">
        <v>2173</v>
      </c>
      <c r="D36" s="1486" t="s">
        <v>779</v>
      </c>
      <c r="E36" s="1486" t="s">
        <v>778</v>
      </c>
      <c r="F36" s="1486" t="s">
        <v>264</v>
      </c>
      <c r="G36" s="1486" t="s">
        <v>263</v>
      </c>
      <c r="H36" s="1486" t="s">
        <v>2198</v>
      </c>
      <c r="I36" s="1486" t="s">
        <v>265</v>
      </c>
      <c r="J36" s="1486" t="s">
        <v>2185</v>
      </c>
      <c r="K36" s="1490" t="s">
        <v>268</v>
      </c>
      <c r="L36" s="1486" t="s">
        <v>515</v>
      </c>
      <c r="M36" s="1486"/>
    </row>
    <row r="37">
      <c r="A37" s="1486" t="s">
        <v>2227</v>
      </c>
      <c r="B37" s="1486" t="s">
        <v>2197</v>
      </c>
      <c r="C37" s="1486" t="s">
        <v>2173</v>
      </c>
      <c r="D37" s="1486" t="s">
        <v>779</v>
      </c>
      <c r="E37" s="1486" t="s">
        <v>778</v>
      </c>
      <c r="F37" s="1486" t="s">
        <v>487</v>
      </c>
      <c r="G37" s="1486" t="s">
        <v>263</v>
      </c>
      <c r="H37" s="1486" t="s">
        <v>2198</v>
      </c>
      <c r="I37" s="1486" t="s">
        <v>844</v>
      </c>
      <c r="J37" s="1486" t="s">
        <v>2185</v>
      </c>
      <c r="K37" s="1490" t="s">
        <v>268</v>
      </c>
      <c r="L37" s="1486" t="s">
        <v>407</v>
      </c>
      <c r="M37" s="1486"/>
    </row>
    <row r="38">
      <c r="A38" s="1486" t="s">
        <v>2228</v>
      </c>
      <c r="B38" s="1486" t="s">
        <v>2197</v>
      </c>
      <c r="C38" s="1486" t="s">
        <v>2173</v>
      </c>
      <c r="D38" s="1486" t="s">
        <v>779</v>
      </c>
      <c r="E38" s="1486" t="s">
        <v>778</v>
      </c>
      <c r="F38" s="1486" t="s">
        <v>493</v>
      </c>
      <c r="G38" s="1486" t="s">
        <v>263</v>
      </c>
      <c r="H38" s="1486" t="s">
        <v>2198</v>
      </c>
      <c r="I38" s="1486" t="s">
        <v>494</v>
      </c>
      <c r="J38" s="1486" t="s">
        <v>2185</v>
      </c>
      <c r="K38" s="1490" t="s">
        <v>268</v>
      </c>
      <c r="L38" s="1486" t="s">
        <v>468</v>
      </c>
      <c r="M38" s="1486"/>
    </row>
    <row r="39">
      <c r="A39" s="1486" t="s">
        <v>2229</v>
      </c>
      <c r="B39" s="1486" t="s">
        <v>2197</v>
      </c>
      <c r="C39" s="1486" t="s">
        <v>2173</v>
      </c>
      <c r="D39" s="1486" t="s">
        <v>779</v>
      </c>
      <c r="E39" s="1486" t="s">
        <v>778</v>
      </c>
      <c r="F39" s="1486" t="s">
        <v>506</v>
      </c>
      <c r="G39" s="1486" t="s">
        <v>263</v>
      </c>
      <c r="H39" s="1486" t="s">
        <v>2198</v>
      </c>
      <c r="I39" s="1486" t="s">
        <v>507</v>
      </c>
      <c r="J39" s="1486" t="s">
        <v>2185</v>
      </c>
      <c r="K39" s="1490" t="s">
        <v>268</v>
      </c>
      <c r="L39" s="1486" t="s">
        <v>282</v>
      </c>
      <c r="M39" s="1486"/>
    </row>
    <row r="40">
      <c r="A40" s="1486" t="s">
        <v>2230</v>
      </c>
      <c r="B40" s="1486" t="s">
        <v>2197</v>
      </c>
      <c r="C40" s="1486" t="s">
        <v>2173</v>
      </c>
      <c r="D40" s="1486" t="s">
        <v>779</v>
      </c>
      <c r="E40" s="1486" t="s">
        <v>778</v>
      </c>
      <c r="F40" s="1486" t="s">
        <v>511</v>
      </c>
      <c r="G40" s="1486" t="s">
        <v>263</v>
      </c>
      <c r="H40" s="1486" t="s">
        <v>2198</v>
      </c>
      <c r="I40" s="1486" t="s">
        <v>512</v>
      </c>
      <c r="J40" s="1486" t="s">
        <v>2185</v>
      </c>
      <c r="K40" s="1490" t="s">
        <v>268</v>
      </c>
      <c r="L40" s="1486" t="s">
        <v>282</v>
      </c>
      <c r="M40" s="1486"/>
    </row>
    <row r="41">
      <c r="A41" s="1486" t="s">
        <v>2231</v>
      </c>
      <c r="B41" s="1486" t="s">
        <v>2197</v>
      </c>
      <c r="C41" s="1486" t="s">
        <v>2173</v>
      </c>
      <c r="D41" s="1486" t="s">
        <v>779</v>
      </c>
      <c r="E41" s="1486" t="s">
        <v>778</v>
      </c>
      <c r="F41" s="1486" t="s">
        <v>515</v>
      </c>
      <c r="G41" s="1486" t="s">
        <v>263</v>
      </c>
      <c r="H41" s="1486" t="s">
        <v>2198</v>
      </c>
      <c r="I41" s="1486" t="s">
        <v>520</v>
      </c>
      <c r="J41" s="1486" t="s">
        <v>2185</v>
      </c>
      <c r="K41" s="1490" t="s">
        <v>268</v>
      </c>
      <c r="L41" s="1486" t="s">
        <v>468</v>
      </c>
      <c r="M41" s="1486"/>
    </row>
    <row r="42">
      <c r="A42" s="1486" t="s">
        <v>2232</v>
      </c>
      <c r="B42" s="1486" t="s">
        <v>2197</v>
      </c>
      <c r="C42" s="1486" t="s">
        <v>2173</v>
      </c>
      <c r="D42" s="1486" t="s">
        <v>779</v>
      </c>
      <c r="E42" s="1486" t="s">
        <v>778</v>
      </c>
      <c r="F42" s="1486" t="s">
        <v>528</v>
      </c>
      <c r="G42" s="1486" t="s">
        <v>263</v>
      </c>
      <c r="H42" s="1486" t="s">
        <v>2198</v>
      </c>
      <c r="I42" s="1486" t="s">
        <v>529</v>
      </c>
      <c r="J42" s="1486" t="s">
        <v>2185</v>
      </c>
      <c r="K42" s="1490" t="s">
        <v>268</v>
      </c>
      <c r="L42" s="1486" t="s">
        <v>282</v>
      </c>
      <c r="M42" s="1486"/>
    </row>
    <row r="43">
      <c r="A43" s="1486" t="s">
        <v>2233</v>
      </c>
      <c r="B43" s="1486" t="s">
        <v>2197</v>
      </c>
      <c r="C43" s="1486" t="s">
        <v>2173</v>
      </c>
      <c r="D43" s="1486" t="s">
        <v>779</v>
      </c>
      <c r="E43" s="1486" t="s">
        <v>778</v>
      </c>
      <c r="F43" s="1486" t="s">
        <v>533</v>
      </c>
      <c r="G43" s="1486" t="s">
        <v>263</v>
      </c>
      <c r="H43" s="1486" t="s">
        <v>2198</v>
      </c>
      <c r="I43" s="1486" t="s">
        <v>541</v>
      </c>
      <c r="J43" s="1486" t="s">
        <v>2185</v>
      </c>
      <c r="K43" s="1490" t="s">
        <v>268</v>
      </c>
      <c r="L43" s="1486" t="s">
        <v>562</v>
      </c>
      <c r="M43" s="1486"/>
    </row>
    <row r="44">
      <c r="A44" s="1486" t="s">
        <v>2234</v>
      </c>
      <c r="B44" s="1486" t="s">
        <v>2197</v>
      </c>
      <c r="C44" s="1486" t="s">
        <v>2173</v>
      </c>
      <c r="D44" s="1486" t="s">
        <v>779</v>
      </c>
      <c r="E44" s="1486" t="s">
        <v>778</v>
      </c>
      <c r="F44" s="1486" t="s">
        <v>555</v>
      </c>
      <c r="G44" s="1486" t="s">
        <v>263</v>
      </c>
      <c r="H44" s="1486" t="s">
        <v>2198</v>
      </c>
      <c r="I44" s="1486" t="s">
        <v>867</v>
      </c>
      <c r="J44" s="1486" t="s">
        <v>2185</v>
      </c>
      <c r="K44" s="1490" t="s">
        <v>268</v>
      </c>
      <c r="L44" s="1486" t="s">
        <v>475</v>
      </c>
      <c r="M44" s="1486"/>
    </row>
    <row r="45">
      <c r="A45" s="1486" t="s">
        <v>2235</v>
      </c>
      <c r="B45" s="1486" t="s">
        <v>2197</v>
      </c>
      <c r="C45" s="1486" t="s">
        <v>2173</v>
      </c>
      <c r="D45" s="1486" t="s">
        <v>779</v>
      </c>
      <c r="E45" s="1486" t="s">
        <v>778</v>
      </c>
      <c r="F45" s="1486" t="s">
        <v>562</v>
      </c>
      <c r="G45" s="1486" t="s">
        <v>263</v>
      </c>
      <c r="H45" s="1486" t="s">
        <v>2198</v>
      </c>
      <c r="I45" s="1486" t="s">
        <v>563</v>
      </c>
      <c r="J45" s="1486" t="s">
        <v>2185</v>
      </c>
      <c r="K45" s="1490" t="s">
        <v>268</v>
      </c>
      <c r="L45" s="1486" t="s">
        <v>282</v>
      </c>
      <c r="M45" s="1486"/>
    </row>
    <row r="46">
      <c r="A46" s="1486" t="s">
        <v>2236</v>
      </c>
      <c r="B46" s="1486" t="s">
        <v>2197</v>
      </c>
      <c r="C46" s="1486" t="s">
        <v>2173</v>
      </c>
      <c r="D46" s="1486" t="s">
        <v>779</v>
      </c>
      <c r="E46" s="1486" t="s">
        <v>778</v>
      </c>
      <c r="F46" s="1486" t="s">
        <v>566</v>
      </c>
      <c r="G46" s="1486" t="s">
        <v>263</v>
      </c>
      <c r="H46" s="1486" t="s">
        <v>2198</v>
      </c>
      <c r="I46" s="1486" t="s">
        <v>567</v>
      </c>
      <c r="J46" s="1486" t="s">
        <v>2185</v>
      </c>
      <c r="K46" s="1490" t="s">
        <v>268</v>
      </c>
      <c r="L46" s="1486" t="s">
        <v>562</v>
      </c>
      <c r="M46" s="1486"/>
    </row>
    <row r="47">
      <c r="A47" s="1486" t="s">
        <v>2237</v>
      </c>
      <c r="B47" s="1486" t="s">
        <v>2197</v>
      </c>
      <c r="C47" s="1486" t="s">
        <v>2173</v>
      </c>
      <c r="D47" s="1486" t="s">
        <v>779</v>
      </c>
      <c r="E47" s="1486" t="s">
        <v>778</v>
      </c>
      <c r="F47" s="1486" t="s">
        <v>282</v>
      </c>
      <c r="G47" s="1486" t="s">
        <v>263</v>
      </c>
      <c r="H47" s="1486" t="s">
        <v>2198</v>
      </c>
      <c r="I47" s="1486" t="s">
        <v>790</v>
      </c>
      <c r="J47" s="1486" t="s">
        <v>2185</v>
      </c>
      <c r="K47" s="1490" t="s">
        <v>268</v>
      </c>
      <c r="L47" s="1486" t="s">
        <v>2194</v>
      </c>
      <c r="M47" s="1486"/>
    </row>
    <row r="48">
      <c r="A48" s="1486" t="s">
        <v>2238</v>
      </c>
      <c r="B48" s="1486" t="s">
        <v>2197</v>
      </c>
      <c r="C48" s="1486" t="s">
        <v>2173</v>
      </c>
      <c r="D48" s="1486" t="s">
        <v>779</v>
      </c>
      <c r="E48" s="1486" t="s">
        <v>778</v>
      </c>
      <c r="F48" s="1486" t="s">
        <v>591</v>
      </c>
      <c r="G48" s="1486" t="s">
        <v>263</v>
      </c>
      <c r="H48" s="1486" t="s">
        <v>2198</v>
      </c>
      <c r="I48" s="1486" t="s">
        <v>592</v>
      </c>
      <c r="J48" s="1486" t="s">
        <v>2185</v>
      </c>
      <c r="K48" s="1490" t="s">
        <v>268</v>
      </c>
      <c r="L48" s="1486" t="s">
        <v>394</v>
      </c>
      <c r="M48" s="1486"/>
    </row>
    <row r="49">
      <c r="A49" s="1486" t="s">
        <v>2239</v>
      </c>
      <c r="B49" s="1486" t="s">
        <v>2197</v>
      </c>
      <c r="C49" s="1486" t="s">
        <v>2173</v>
      </c>
      <c r="D49" s="1486" t="s">
        <v>779</v>
      </c>
      <c r="E49" s="1486" t="s">
        <v>778</v>
      </c>
      <c r="F49" s="1486" t="s">
        <v>601</v>
      </c>
      <c r="G49" s="1486" t="s">
        <v>263</v>
      </c>
      <c r="H49" s="1486" t="s">
        <v>2198</v>
      </c>
      <c r="I49" s="1486" t="s">
        <v>602</v>
      </c>
      <c r="J49" s="1486" t="s">
        <v>2185</v>
      </c>
      <c r="K49" s="1490" t="s">
        <v>268</v>
      </c>
      <c r="L49" s="1486" t="s">
        <v>394</v>
      </c>
      <c r="M49" s="1486"/>
    </row>
    <row r="50">
      <c r="A50" s="1486" t="s">
        <v>2240</v>
      </c>
      <c r="B50" s="1486" t="s">
        <v>2197</v>
      </c>
      <c r="C50" s="1486" t="s">
        <v>2173</v>
      </c>
      <c r="D50" s="1486" t="s">
        <v>779</v>
      </c>
      <c r="E50" s="1486" t="s">
        <v>778</v>
      </c>
      <c r="F50" s="1486" t="s">
        <v>607</v>
      </c>
      <c r="G50" s="1486" t="s">
        <v>263</v>
      </c>
      <c r="H50" s="1486" t="s">
        <v>2198</v>
      </c>
      <c r="I50" s="1486" t="s">
        <v>608</v>
      </c>
      <c r="J50" s="1486" t="s">
        <v>2185</v>
      </c>
      <c r="K50" s="1490" t="s">
        <v>268</v>
      </c>
      <c r="L50" s="1486" t="s">
        <v>394</v>
      </c>
      <c r="M50" s="1486"/>
    </row>
    <row r="51">
      <c r="A51" s="1486" t="s">
        <v>2241</v>
      </c>
      <c r="B51" s="1486" t="s">
        <v>2197</v>
      </c>
      <c r="C51" s="1486" t="s">
        <v>2173</v>
      </c>
      <c r="D51" s="1486" t="s">
        <v>779</v>
      </c>
      <c r="E51" s="1486" t="s">
        <v>778</v>
      </c>
      <c r="F51" s="1486" t="s">
        <v>613</v>
      </c>
      <c r="G51" s="1486" t="s">
        <v>263</v>
      </c>
      <c r="H51" s="1486" t="s">
        <v>2198</v>
      </c>
      <c r="I51" s="1486" t="s">
        <v>614</v>
      </c>
      <c r="J51" s="1486" t="s">
        <v>2185</v>
      </c>
      <c r="K51" s="1490" t="s">
        <v>268</v>
      </c>
      <c r="L51" s="1486" t="s">
        <v>394</v>
      </c>
      <c r="M51" s="1486"/>
    </row>
    <row r="52">
      <c r="A52" s="1486" t="s">
        <v>2242</v>
      </c>
      <c r="B52" s="1486" t="s">
        <v>2197</v>
      </c>
      <c r="C52" s="1486" t="s">
        <v>2173</v>
      </c>
      <c r="D52" s="1486" t="s">
        <v>779</v>
      </c>
      <c r="E52" s="1486" t="s">
        <v>778</v>
      </c>
      <c r="F52" s="1486" t="s">
        <v>618</v>
      </c>
      <c r="G52" s="1486" t="s">
        <v>263</v>
      </c>
      <c r="H52" s="1486" t="s">
        <v>2198</v>
      </c>
      <c r="I52" s="1486" t="s">
        <v>627</v>
      </c>
      <c r="J52" s="1486" t="s">
        <v>2185</v>
      </c>
      <c r="K52" s="1490" t="s">
        <v>268</v>
      </c>
      <c r="L52" s="1486" t="s">
        <v>2243</v>
      </c>
      <c r="M52" s="1486"/>
    </row>
    <row r="53">
      <c r="A53" s="1486" t="s">
        <v>2244</v>
      </c>
      <c r="B53" s="1486" t="s">
        <v>2197</v>
      </c>
      <c r="C53" s="1486" t="s">
        <v>2173</v>
      </c>
      <c r="D53" s="1486" t="s">
        <v>779</v>
      </c>
      <c r="E53" s="1486" t="s">
        <v>778</v>
      </c>
      <c r="F53" s="1486" t="s">
        <v>654</v>
      </c>
      <c r="G53" s="1486" t="s">
        <v>263</v>
      </c>
      <c r="H53" s="1486" t="s">
        <v>2198</v>
      </c>
      <c r="I53" s="1486" t="s">
        <v>664</v>
      </c>
      <c r="J53" s="1486" t="s">
        <v>2185</v>
      </c>
      <c r="K53" s="1490" t="s">
        <v>268</v>
      </c>
      <c r="L53" s="1486" t="s">
        <v>2210</v>
      </c>
      <c r="M53" s="1486"/>
    </row>
    <row r="54">
      <c r="A54" s="1486" t="s">
        <v>2245</v>
      </c>
      <c r="B54" s="1486" t="s">
        <v>2197</v>
      </c>
      <c r="C54" s="1486" t="s">
        <v>2173</v>
      </c>
      <c r="D54" s="1486" t="s">
        <v>779</v>
      </c>
      <c r="E54" s="1486" t="s">
        <v>778</v>
      </c>
      <c r="F54" s="1486" t="s">
        <v>394</v>
      </c>
      <c r="G54" s="1486" t="s">
        <v>263</v>
      </c>
      <c r="H54" s="1486" t="s">
        <v>2198</v>
      </c>
      <c r="I54" s="1486" t="s">
        <v>395</v>
      </c>
      <c r="J54" s="1486" t="s">
        <v>2185</v>
      </c>
      <c r="K54" s="1490" t="s">
        <v>268</v>
      </c>
      <c r="L54" s="1486" t="s">
        <v>475</v>
      </c>
      <c r="M54" s="1486"/>
    </row>
    <row r="55">
      <c r="A55" s="1486" t="s">
        <v>2246</v>
      </c>
      <c r="B55" s="1486" t="s">
        <v>2197</v>
      </c>
      <c r="C55" s="1486" t="s">
        <v>2173</v>
      </c>
      <c r="D55" s="1486" t="s">
        <v>779</v>
      </c>
      <c r="E55" s="1486" t="s">
        <v>778</v>
      </c>
      <c r="F55" s="1486" t="s">
        <v>407</v>
      </c>
      <c r="G55" s="1486" t="s">
        <v>263</v>
      </c>
      <c r="H55" s="1486" t="s">
        <v>2198</v>
      </c>
      <c r="I55" s="1486" t="s">
        <v>416</v>
      </c>
      <c r="J55" s="1486" t="s">
        <v>2185</v>
      </c>
      <c r="K55" s="1490" t="s">
        <v>268</v>
      </c>
      <c r="L55" s="1486" t="s">
        <v>613</v>
      </c>
      <c r="M55" s="1486"/>
    </row>
    <row r="56">
      <c r="A56" s="1486" t="s">
        <v>2247</v>
      </c>
      <c r="B56" s="1486" t="s">
        <v>2197</v>
      </c>
      <c r="C56" s="1486" t="s">
        <v>2173</v>
      </c>
      <c r="D56" s="1486" t="s">
        <v>779</v>
      </c>
      <c r="E56" s="1486" t="s">
        <v>778</v>
      </c>
      <c r="F56" s="1486" t="s">
        <v>442</v>
      </c>
      <c r="G56" s="1486" t="s">
        <v>263</v>
      </c>
      <c r="H56" s="1486" t="s">
        <v>2198</v>
      </c>
      <c r="I56" s="1486" t="s">
        <v>443</v>
      </c>
      <c r="J56" s="1486" t="s">
        <v>2185</v>
      </c>
      <c r="K56" s="1490" t="s">
        <v>268</v>
      </c>
      <c r="L56" s="1486" t="s">
        <v>282</v>
      </c>
      <c r="M56" s="1486"/>
    </row>
    <row r="57">
      <c r="A57" s="1486" t="s">
        <v>2248</v>
      </c>
      <c r="B57" s="1486" t="s">
        <v>2197</v>
      </c>
      <c r="C57" s="1486" t="s">
        <v>2173</v>
      </c>
      <c r="D57" s="1486" t="s">
        <v>779</v>
      </c>
      <c r="E57" s="1486" t="s">
        <v>778</v>
      </c>
      <c r="F57" s="1486" t="s">
        <v>447</v>
      </c>
      <c r="G57" s="1486" t="s">
        <v>263</v>
      </c>
      <c r="H57" s="1486" t="s">
        <v>2198</v>
      </c>
      <c r="I57" s="1486" t="s">
        <v>448</v>
      </c>
      <c r="J57" s="1486" t="s">
        <v>2185</v>
      </c>
      <c r="K57" s="1490" t="s">
        <v>268</v>
      </c>
      <c r="L57" s="1486" t="s">
        <v>394</v>
      </c>
      <c r="M57" s="1486"/>
    </row>
    <row r="58">
      <c r="A58" s="1486" t="s">
        <v>2249</v>
      </c>
      <c r="B58" s="1486" t="s">
        <v>2197</v>
      </c>
      <c r="C58" s="1486" t="s">
        <v>2173</v>
      </c>
      <c r="D58" s="1486" t="s">
        <v>779</v>
      </c>
      <c r="E58" s="1486" t="s">
        <v>778</v>
      </c>
      <c r="F58" s="1486" t="s">
        <v>462</v>
      </c>
      <c r="G58" s="1486" t="s">
        <v>263</v>
      </c>
      <c r="H58" s="1486" t="s">
        <v>2198</v>
      </c>
      <c r="I58" s="1486" t="s">
        <v>463</v>
      </c>
      <c r="J58" s="1486" t="s">
        <v>2185</v>
      </c>
      <c r="K58" s="1490" t="s">
        <v>268</v>
      </c>
      <c r="L58" s="1486" t="s">
        <v>282</v>
      </c>
      <c r="M58" s="1486"/>
    </row>
    <row r="59">
      <c r="A59" s="1486" t="s">
        <v>2250</v>
      </c>
      <c r="B59" s="1486" t="s">
        <v>2197</v>
      </c>
      <c r="C59" s="1486" t="s">
        <v>2173</v>
      </c>
      <c r="D59" s="1486" t="s">
        <v>779</v>
      </c>
      <c r="E59" s="1486" t="s">
        <v>778</v>
      </c>
      <c r="F59" s="1486" t="s">
        <v>468</v>
      </c>
      <c r="G59" s="1486" t="s">
        <v>263</v>
      </c>
      <c r="H59" s="1486" t="s">
        <v>2198</v>
      </c>
      <c r="I59" s="1486" t="s">
        <v>469</v>
      </c>
      <c r="J59" s="1486" t="s">
        <v>2185</v>
      </c>
      <c r="K59" s="1490" t="s">
        <v>268</v>
      </c>
      <c r="L59" s="1486" t="s">
        <v>407</v>
      </c>
      <c r="M59" s="1486"/>
    </row>
    <row r="60">
      <c r="A60" s="1486" t="s">
        <v>2251</v>
      </c>
      <c r="B60" s="1486" t="s">
        <v>2197</v>
      </c>
      <c r="C60" s="1486" t="s">
        <v>2173</v>
      </c>
      <c r="D60" s="1486" t="s">
        <v>779</v>
      </c>
      <c r="E60" s="1486" t="s">
        <v>778</v>
      </c>
      <c r="F60" s="1486" t="s">
        <v>475</v>
      </c>
      <c r="G60" s="1486" t="s">
        <v>263</v>
      </c>
      <c r="H60" s="1486" t="s">
        <v>2198</v>
      </c>
      <c r="I60" s="1486" t="s">
        <v>476</v>
      </c>
      <c r="J60" s="1486" t="s">
        <v>2185</v>
      </c>
      <c r="K60" s="1490" t="s">
        <v>268</v>
      </c>
      <c r="L60" s="1486" t="s">
        <v>468</v>
      </c>
      <c r="M60" s="1486"/>
    </row>
    <row r="61">
      <c r="A61" s="1486" t="s">
        <v>2252</v>
      </c>
      <c r="B61" s="1486" t="s">
        <v>2197</v>
      </c>
      <c r="C61" s="1486" t="s">
        <v>2173</v>
      </c>
      <c r="D61" s="1486" t="s">
        <v>981</v>
      </c>
      <c r="E61" s="1486" t="s">
        <v>980</v>
      </c>
      <c r="F61" s="1486" t="s">
        <v>264</v>
      </c>
      <c r="G61" s="1486" t="s">
        <v>263</v>
      </c>
      <c r="H61" s="1486" t="s">
        <v>2198</v>
      </c>
      <c r="I61" s="1486" t="s">
        <v>265</v>
      </c>
      <c r="J61" s="1486" t="s">
        <v>2189</v>
      </c>
      <c r="K61" s="1490" t="s">
        <v>268</v>
      </c>
      <c r="L61" s="1486" t="s">
        <v>468</v>
      </c>
      <c r="M61" s="1486"/>
    </row>
    <row r="62">
      <c r="A62" s="1486" t="s">
        <v>2253</v>
      </c>
      <c r="B62" s="1486" t="s">
        <v>2197</v>
      </c>
      <c r="C62" s="1486" t="s">
        <v>2173</v>
      </c>
      <c r="D62" s="1486" t="s">
        <v>981</v>
      </c>
      <c r="E62" s="1486" t="s">
        <v>980</v>
      </c>
      <c r="F62" s="1486" t="s">
        <v>487</v>
      </c>
      <c r="G62" s="1486" t="s">
        <v>263</v>
      </c>
      <c r="H62" s="1486" t="s">
        <v>2198</v>
      </c>
      <c r="I62" s="1486" t="s">
        <v>844</v>
      </c>
      <c r="J62" s="1486" t="s">
        <v>2189</v>
      </c>
      <c r="K62" s="1490" t="s">
        <v>268</v>
      </c>
      <c r="L62" s="1486" t="s">
        <v>394</v>
      </c>
      <c r="M62" s="1486"/>
    </row>
    <row r="63">
      <c r="A63" s="1486" t="s">
        <v>2254</v>
      </c>
      <c r="B63" s="1486" t="s">
        <v>2197</v>
      </c>
      <c r="C63" s="1486" t="s">
        <v>2173</v>
      </c>
      <c r="D63" s="1486" t="s">
        <v>981</v>
      </c>
      <c r="E63" s="1486" t="s">
        <v>980</v>
      </c>
      <c r="F63" s="1486" t="s">
        <v>493</v>
      </c>
      <c r="G63" s="1486" t="s">
        <v>263</v>
      </c>
      <c r="H63" s="1486" t="s">
        <v>2198</v>
      </c>
      <c r="I63" s="1486" t="s">
        <v>494</v>
      </c>
      <c r="J63" s="1486" t="s">
        <v>2189</v>
      </c>
      <c r="K63" s="1490" t="s">
        <v>268</v>
      </c>
      <c r="L63" s="1486" t="s">
        <v>468</v>
      </c>
      <c r="M63" s="1486"/>
    </row>
    <row r="64">
      <c r="A64" s="1486" t="s">
        <v>2255</v>
      </c>
      <c r="B64" s="1486" t="s">
        <v>2197</v>
      </c>
      <c r="C64" s="1486" t="s">
        <v>2173</v>
      </c>
      <c r="D64" s="1486" t="s">
        <v>981</v>
      </c>
      <c r="E64" s="1486" t="s">
        <v>980</v>
      </c>
      <c r="F64" s="1486" t="s">
        <v>506</v>
      </c>
      <c r="G64" s="1486" t="s">
        <v>263</v>
      </c>
      <c r="H64" s="1486" t="s">
        <v>2198</v>
      </c>
      <c r="I64" s="1486" t="s">
        <v>1072</v>
      </c>
      <c r="J64" s="1486" t="s">
        <v>2189</v>
      </c>
      <c r="K64" s="1490" t="s">
        <v>268</v>
      </c>
      <c r="L64" s="1486" t="s">
        <v>282</v>
      </c>
      <c r="M64" s="1486"/>
    </row>
    <row r="65">
      <c r="A65" s="1486" t="s">
        <v>2256</v>
      </c>
      <c r="B65" s="1486" t="s">
        <v>2197</v>
      </c>
      <c r="C65" s="1486" t="s">
        <v>2173</v>
      </c>
      <c r="D65" s="1486" t="s">
        <v>981</v>
      </c>
      <c r="E65" s="1486" t="s">
        <v>980</v>
      </c>
      <c r="F65" s="1486" t="s">
        <v>511</v>
      </c>
      <c r="G65" s="1486" t="s">
        <v>263</v>
      </c>
      <c r="H65" s="1486" t="s">
        <v>2198</v>
      </c>
      <c r="I65" s="1486" t="s">
        <v>1076</v>
      </c>
      <c r="J65" s="1486" t="s">
        <v>2189</v>
      </c>
      <c r="K65" s="1490" t="s">
        <v>268</v>
      </c>
      <c r="L65" s="1486" t="s">
        <v>468</v>
      </c>
      <c r="M65" s="1486"/>
    </row>
    <row r="66">
      <c r="A66" s="1486" t="s">
        <v>2257</v>
      </c>
      <c r="B66" s="1486" t="s">
        <v>2197</v>
      </c>
      <c r="C66" s="1486" t="s">
        <v>2173</v>
      </c>
      <c r="D66" s="1486" t="s">
        <v>981</v>
      </c>
      <c r="E66" s="1486" t="s">
        <v>980</v>
      </c>
      <c r="F66" s="1486" t="s">
        <v>515</v>
      </c>
      <c r="G66" s="1486" t="s">
        <v>263</v>
      </c>
      <c r="H66" s="1486" t="s">
        <v>2198</v>
      </c>
      <c r="I66" s="1486" t="s">
        <v>1082</v>
      </c>
      <c r="J66" s="1486" t="s">
        <v>2189</v>
      </c>
      <c r="K66" s="1490" t="s">
        <v>268</v>
      </c>
      <c r="L66" s="1486" t="s">
        <v>282</v>
      </c>
      <c r="M66" s="1486"/>
    </row>
    <row r="67">
      <c r="A67" s="1486" t="s">
        <v>2258</v>
      </c>
      <c r="B67" s="1486" t="s">
        <v>2197</v>
      </c>
      <c r="C67" s="1486" t="s">
        <v>2173</v>
      </c>
      <c r="D67" s="1486" t="s">
        <v>981</v>
      </c>
      <c r="E67" s="1486" t="s">
        <v>980</v>
      </c>
      <c r="F67" s="1486" t="s">
        <v>528</v>
      </c>
      <c r="G67" s="1486" t="s">
        <v>263</v>
      </c>
      <c r="H67" s="1486" t="s">
        <v>2198</v>
      </c>
      <c r="I67" s="1486" t="s">
        <v>1088</v>
      </c>
      <c r="J67" s="1486" t="s">
        <v>2189</v>
      </c>
      <c r="K67" s="1490" t="s">
        <v>268</v>
      </c>
      <c r="L67" s="1486" t="s">
        <v>555</v>
      </c>
      <c r="M67" s="1486"/>
    </row>
    <row r="68">
      <c r="A68" s="1486" t="s">
        <v>2259</v>
      </c>
      <c r="B68" s="1486" t="s">
        <v>2197</v>
      </c>
      <c r="C68" s="1486" t="s">
        <v>2173</v>
      </c>
      <c r="D68" s="1486" t="s">
        <v>981</v>
      </c>
      <c r="E68" s="1486" t="s">
        <v>980</v>
      </c>
      <c r="F68" s="1486" t="s">
        <v>533</v>
      </c>
      <c r="G68" s="1486" t="s">
        <v>263</v>
      </c>
      <c r="H68" s="1486" t="s">
        <v>2198</v>
      </c>
      <c r="I68" s="1486" t="s">
        <v>1095</v>
      </c>
      <c r="J68" s="1486" t="s">
        <v>2189</v>
      </c>
      <c r="K68" s="1490" t="s">
        <v>268</v>
      </c>
      <c r="L68" s="1486" t="s">
        <v>468</v>
      </c>
      <c r="M68" s="1486"/>
    </row>
    <row r="69">
      <c r="A69" s="1486" t="s">
        <v>2260</v>
      </c>
      <c r="B69" s="1486" t="s">
        <v>2197</v>
      </c>
      <c r="C69" s="1486" t="s">
        <v>2173</v>
      </c>
      <c r="D69" s="1486" t="s">
        <v>981</v>
      </c>
      <c r="E69" s="1486" t="s">
        <v>980</v>
      </c>
      <c r="F69" s="1486" t="s">
        <v>555</v>
      </c>
      <c r="G69" s="1486" t="s">
        <v>263</v>
      </c>
      <c r="H69" s="1486" t="s">
        <v>2198</v>
      </c>
      <c r="I69" s="1486" t="s">
        <v>1101</v>
      </c>
      <c r="J69" s="1486" t="s">
        <v>2189</v>
      </c>
      <c r="K69" s="1490" t="s">
        <v>268</v>
      </c>
      <c r="L69" s="1486" t="s">
        <v>282</v>
      </c>
      <c r="M69" s="1486"/>
    </row>
    <row r="70">
      <c r="A70" s="1486" t="s">
        <v>2261</v>
      </c>
      <c r="B70" s="1486" t="s">
        <v>2197</v>
      </c>
      <c r="C70" s="1486" t="s">
        <v>2173</v>
      </c>
      <c r="D70" s="1486" t="s">
        <v>981</v>
      </c>
      <c r="E70" s="1486" t="s">
        <v>980</v>
      </c>
      <c r="F70" s="1486" t="s">
        <v>562</v>
      </c>
      <c r="G70" s="1486" t="s">
        <v>263</v>
      </c>
      <c r="H70" s="1486" t="s">
        <v>2198</v>
      </c>
      <c r="I70" s="1486" t="s">
        <v>1103</v>
      </c>
      <c r="J70" s="1486" t="s">
        <v>2189</v>
      </c>
      <c r="K70" s="1490" t="s">
        <v>268</v>
      </c>
      <c r="L70" s="1486" t="s">
        <v>562</v>
      </c>
      <c r="M70" s="1486"/>
    </row>
    <row r="71">
      <c r="A71" s="1486" t="s">
        <v>2262</v>
      </c>
      <c r="B71" s="1486" t="s">
        <v>2197</v>
      </c>
      <c r="C71" s="1486" t="s">
        <v>2173</v>
      </c>
      <c r="D71" s="1486" t="s">
        <v>981</v>
      </c>
      <c r="E71" s="1486" t="s">
        <v>980</v>
      </c>
      <c r="F71" s="1486" t="s">
        <v>566</v>
      </c>
      <c r="G71" s="1486" t="s">
        <v>263</v>
      </c>
      <c r="H71" s="1486" t="s">
        <v>2198</v>
      </c>
      <c r="I71" s="1486" t="s">
        <v>1110</v>
      </c>
      <c r="J71" s="1486" t="s">
        <v>2189</v>
      </c>
      <c r="K71" s="1490" t="s">
        <v>268</v>
      </c>
      <c r="L71" s="1486" t="s">
        <v>394</v>
      </c>
      <c r="M71" s="1486"/>
    </row>
    <row r="72">
      <c r="A72" s="1486" t="s">
        <v>2263</v>
      </c>
      <c r="B72" s="1486" t="s">
        <v>2197</v>
      </c>
      <c r="C72" s="1486" t="s">
        <v>2173</v>
      </c>
      <c r="D72" s="1486" t="s">
        <v>981</v>
      </c>
      <c r="E72" s="1486" t="s">
        <v>980</v>
      </c>
      <c r="F72" s="1486" t="s">
        <v>282</v>
      </c>
      <c r="G72" s="1486" t="s">
        <v>263</v>
      </c>
      <c r="H72" s="1486" t="s">
        <v>2198</v>
      </c>
      <c r="I72" s="1486" t="s">
        <v>993</v>
      </c>
      <c r="J72" s="1486" t="s">
        <v>2189</v>
      </c>
      <c r="K72" s="1490" t="s">
        <v>268</v>
      </c>
      <c r="L72" s="1486" t="s">
        <v>2264</v>
      </c>
      <c r="M72" s="1486"/>
    </row>
    <row r="73">
      <c r="A73" s="1486" t="s">
        <v>2265</v>
      </c>
      <c r="B73" s="1486" t="s">
        <v>2197</v>
      </c>
      <c r="C73" s="1486" t="s">
        <v>2173</v>
      </c>
      <c r="D73" s="1486" t="s">
        <v>981</v>
      </c>
      <c r="E73" s="1486" t="s">
        <v>980</v>
      </c>
      <c r="F73" s="1486" t="s">
        <v>591</v>
      </c>
      <c r="G73" s="1486" t="s">
        <v>263</v>
      </c>
      <c r="H73" s="1486" t="s">
        <v>2198</v>
      </c>
      <c r="I73" s="1486" t="s">
        <v>1112</v>
      </c>
      <c r="J73" s="1486" t="s">
        <v>2189</v>
      </c>
      <c r="K73" s="1490" t="s">
        <v>268</v>
      </c>
      <c r="L73" s="1486" t="s">
        <v>394</v>
      </c>
      <c r="M73" s="1486"/>
    </row>
    <row r="74">
      <c r="A74" s="1486" t="s">
        <v>2266</v>
      </c>
      <c r="B74" s="1486" t="s">
        <v>2197</v>
      </c>
      <c r="C74" s="1486" t="s">
        <v>2173</v>
      </c>
      <c r="D74" s="1486" t="s">
        <v>981</v>
      </c>
      <c r="E74" s="1486" t="s">
        <v>980</v>
      </c>
      <c r="F74" s="1486" t="s">
        <v>601</v>
      </c>
      <c r="G74" s="1486" t="s">
        <v>263</v>
      </c>
      <c r="H74" s="1486" t="s">
        <v>2198</v>
      </c>
      <c r="I74" s="1486" t="s">
        <v>1115</v>
      </c>
      <c r="J74" s="1486" t="s">
        <v>2189</v>
      </c>
      <c r="K74" s="1490" t="s">
        <v>268</v>
      </c>
      <c r="L74" s="1486" t="s">
        <v>394</v>
      </c>
      <c r="M74" s="1486"/>
    </row>
    <row r="75">
      <c r="A75" s="1486" t="s">
        <v>2267</v>
      </c>
      <c r="B75" s="1486" t="s">
        <v>2197</v>
      </c>
      <c r="C75" s="1486" t="s">
        <v>2173</v>
      </c>
      <c r="D75" s="1486" t="s">
        <v>981</v>
      </c>
      <c r="E75" s="1486" t="s">
        <v>980</v>
      </c>
      <c r="F75" s="1486" t="s">
        <v>607</v>
      </c>
      <c r="G75" s="1486" t="s">
        <v>263</v>
      </c>
      <c r="H75" s="1486" t="s">
        <v>2198</v>
      </c>
      <c r="I75" s="1486" t="s">
        <v>1117</v>
      </c>
      <c r="J75" s="1486" t="s">
        <v>2189</v>
      </c>
      <c r="K75" s="1490" t="s">
        <v>268</v>
      </c>
      <c r="L75" s="1486" t="s">
        <v>394</v>
      </c>
      <c r="M75" s="1486"/>
    </row>
    <row r="76">
      <c r="A76" s="1486" t="s">
        <v>2268</v>
      </c>
      <c r="B76" s="1486" t="s">
        <v>2197</v>
      </c>
      <c r="C76" s="1486" t="s">
        <v>2173</v>
      </c>
      <c r="D76" s="1486" t="s">
        <v>981</v>
      </c>
      <c r="E76" s="1486" t="s">
        <v>980</v>
      </c>
      <c r="F76" s="1486" t="s">
        <v>613</v>
      </c>
      <c r="G76" s="1486" t="s">
        <v>263</v>
      </c>
      <c r="H76" s="1486" t="s">
        <v>2198</v>
      </c>
      <c r="I76" s="1486" t="s">
        <v>1122</v>
      </c>
      <c r="J76" s="1486" t="s">
        <v>2189</v>
      </c>
      <c r="K76" s="1490" t="s">
        <v>268</v>
      </c>
      <c r="L76" s="1486" t="s">
        <v>684</v>
      </c>
      <c r="M76" s="1486"/>
    </row>
    <row r="77">
      <c r="A77" s="1486" t="s">
        <v>2269</v>
      </c>
      <c r="B77" s="1486" t="s">
        <v>2197</v>
      </c>
      <c r="C77" s="1486" t="s">
        <v>2173</v>
      </c>
      <c r="D77" s="1486" t="s">
        <v>981</v>
      </c>
      <c r="E77" s="1486" t="s">
        <v>980</v>
      </c>
      <c r="F77" s="1486" t="s">
        <v>618</v>
      </c>
      <c r="G77" s="1486" t="s">
        <v>263</v>
      </c>
      <c r="H77" s="1486" t="s">
        <v>2198</v>
      </c>
      <c r="I77" s="1486" t="s">
        <v>1137</v>
      </c>
      <c r="J77" s="1486" t="s">
        <v>2189</v>
      </c>
      <c r="K77" s="1490" t="s">
        <v>268</v>
      </c>
      <c r="L77" s="1486" t="s">
        <v>613</v>
      </c>
      <c r="M77" s="1486"/>
    </row>
    <row r="78">
      <c r="A78" s="1486" t="s">
        <v>2270</v>
      </c>
      <c r="B78" s="1486" t="s">
        <v>2197</v>
      </c>
      <c r="C78" s="1486" t="s">
        <v>2173</v>
      </c>
      <c r="D78" s="1486" t="s">
        <v>981</v>
      </c>
      <c r="E78" s="1486" t="s">
        <v>980</v>
      </c>
      <c r="F78" s="1486" t="s">
        <v>654</v>
      </c>
      <c r="G78" s="1486" t="s">
        <v>263</v>
      </c>
      <c r="H78" s="1486" t="s">
        <v>2198</v>
      </c>
      <c r="I78" s="1486" t="s">
        <v>1153</v>
      </c>
      <c r="J78" s="1486" t="s">
        <v>2189</v>
      </c>
      <c r="K78" s="1490" t="s">
        <v>268</v>
      </c>
      <c r="L78" s="1486" t="s">
        <v>2271</v>
      </c>
      <c r="M78" s="1486"/>
    </row>
    <row r="79">
      <c r="A79" s="1486" t="s">
        <v>2272</v>
      </c>
      <c r="B79" s="1486" t="s">
        <v>2197</v>
      </c>
      <c r="C79" s="1486" t="s">
        <v>2173</v>
      </c>
      <c r="D79" s="1486" t="s">
        <v>981</v>
      </c>
      <c r="E79" s="1486" t="s">
        <v>980</v>
      </c>
      <c r="F79" s="1486" t="s">
        <v>394</v>
      </c>
      <c r="G79" s="1486" t="s">
        <v>263</v>
      </c>
      <c r="H79" s="1486" t="s">
        <v>2198</v>
      </c>
      <c r="I79" s="1486" t="s">
        <v>395</v>
      </c>
      <c r="J79" s="1486" t="s">
        <v>2189</v>
      </c>
      <c r="K79" s="1490" t="s">
        <v>268</v>
      </c>
      <c r="L79" s="1486" t="s">
        <v>468</v>
      </c>
      <c r="M79" s="1486"/>
    </row>
    <row r="80">
      <c r="A80" s="1486" t="s">
        <v>2273</v>
      </c>
      <c r="B80" s="1486" t="s">
        <v>2197</v>
      </c>
      <c r="C80" s="1486" t="s">
        <v>2173</v>
      </c>
      <c r="D80" s="1486" t="s">
        <v>981</v>
      </c>
      <c r="E80" s="1486" t="s">
        <v>980</v>
      </c>
      <c r="F80" s="1486" t="s">
        <v>407</v>
      </c>
      <c r="G80" s="1486" t="s">
        <v>263</v>
      </c>
      <c r="H80" s="1486" t="s">
        <v>2198</v>
      </c>
      <c r="I80" s="1486" t="s">
        <v>416</v>
      </c>
      <c r="J80" s="1486" t="s">
        <v>2189</v>
      </c>
      <c r="K80" s="1490" t="s">
        <v>268</v>
      </c>
      <c r="L80" s="1486" t="s">
        <v>607</v>
      </c>
      <c r="M80" s="1486"/>
    </row>
    <row r="81">
      <c r="A81" s="1486" t="s">
        <v>2274</v>
      </c>
      <c r="B81" s="1486" t="s">
        <v>2197</v>
      </c>
      <c r="C81" s="1486" t="s">
        <v>2173</v>
      </c>
      <c r="D81" s="1486" t="s">
        <v>981</v>
      </c>
      <c r="E81" s="1486" t="s">
        <v>980</v>
      </c>
      <c r="F81" s="1486" t="s">
        <v>442</v>
      </c>
      <c r="G81" s="1486" t="s">
        <v>263</v>
      </c>
      <c r="H81" s="1486" t="s">
        <v>2198</v>
      </c>
      <c r="I81" s="1486" t="s">
        <v>443</v>
      </c>
      <c r="J81" s="1486" t="s">
        <v>2189</v>
      </c>
      <c r="K81" s="1490" t="s">
        <v>268</v>
      </c>
      <c r="L81" s="1486" t="s">
        <v>282</v>
      </c>
      <c r="M81" s="1486"/>
    </row>
    <row r="82">
      <c r="A82" s="1486" t="s">
        <v>2275</v>
      </c>
      <c r="B82" s="1486" t="s">
        <v>2197</v>
      </c>
      <c r="C82" s="1486" t="s">
        <v>2173</v>
      </c>
      <c r="D82" s="1486" t="s">
        <v>981</v>
      </c>
      <c r="E82" s="1486" t="s">
        <v>980</v>
      </c>
      <c r="F82" s="1486" t="s">
        <v>447</v>
      </c>
      <c r="G82" s="1486" t="s">
        <v>263</v>
      </c>
      <c r="H82" s="1486" t="s">
        <v>2198</v>
      </c>
      <c r="I82" s="1486" t="s">
        <v>448</v>
      </c>
      <c r="J82" s="1486" t="s">
        <v>2189</v>
      </c>
      <c r="K82" s="1490" t="s">
        <v>268</v>
      </c>
      <c r="L82" s="1486" t="s">
        <v>394</v>
      </c>
      <c r="M82" s="1486"/>
    </row>
    <row r="83">
      <c r="A83" s="1486" t="s">
        <v>2276</v>
      </c>
      <c r="B83" s="1486" t="s">
        <v>2197</v>
      </c>
      <c r="C83" s="1486" t="s">
        <v>2173</v>
      </c>
      <c r="D83" s="1486" t="s">
        <v>981</v>
      </c>
      <c r="E83" s="1486" t="s">
        <v>980</v>
      </c>
      <c r="F83" s="1486" t="s">
        <v>462</v>
      </c>
      <c r="G83" s="1486" t="s">
        <v>263</v>
      </c>
      <c r="H83" s="1486" t="s">
        <v>2198</v>
      </c>
      <c r="I83" s="1486" t="s">
        <v>463</v>
      </c>
      <c r="J83" s="1486" t="s">
        <v>2189</v>
      </c>
      <c r="K83" s="1490" t="s">
        <v>268</v>
      </c>
      <c r="L83" s="1486" t="s">
        <v>282</v>
      </c>
      <c r="M83" s="1486"/>
    </row>
    <row r="84">
      <c r="A84" s="1486" t="s">
        <v>2277</v>
      </c>
      <c r="B84" s="1486" t="s">
        <v>2197</v>
      </c>
      <c r="C84" s="1486" t="s">
        <v>2173</v>
      </c>
      <c r="D84" s="1486" t="s">
        <v>981</v>
      </c>
      <c r="E84" s="1486" t="s">
        <v>980</v>
      </c>
      <c r="F84" s="1486" t="s">
        <v>468</v>
      </c>
      <c r="G84" s="1486" t="s">
        <v>263</v>
      </c>
      <c r="H84" s="1486" t="s">
        <v>2198</v>
      </c>
      <c r="I84" s="1486" t="s">
        <v>469</v>
      </c>
      <c r="J84" s="1486" t="s">
        <v>2189</v>
      </c>
      <c r="K84" s="1490" t="s">
        <v>268</v>
      </c>
      <c r="L84" s="1486" t="s">
        <v>407</v>
      </c>
      <c r="M84" s="1486"/>
    </row>
    <row r="85">
      <c r="A85" s="1486" t="s">
        <v>2278</v>
      </c>
      <c r="B85" s="1486" t="s">
        <v>2197</v>
      </c>
      <c r="C85" s="1486" t="s">
        <v>2173</v>
      </c>
      <c r="D85" s="1486" t="s">
        <v>981</v>
      </c>
      <c r="E85" s="1486" t="s">
        <v>980</v>
      </c>
      <c r="F85" s="1486" t="s">
        <v>475</v>
      </c>
      <c r="G85" s="1486" t="s">
        <v>263</v>
      </c>
      <c r="H85" s="1486" t="s">
        <v>2198</v>
      </c>
      <c r="I85" s="1486" t="s">
        <v>476</v>
      </c>
      <c r="J85" s="1486" t="s">
        <v>2189</v>
      </c>
      <c r="K85" s="1490" t="s">
        <v>268</v>
      </c>
      <c r="L85" s="1486" t="s">
        <v>468</v>
      </c>
      <c r="M85" s="1486"/>
    </row>
    <row r="86">
      <c r="A86" s="1486" t="s">
        <v>2279</v>
      </c>
      <c r="B86" s="1486" t="s">
        <v>2197</v>
      </c>
      <c r="C86" s="1486" t="s">
        <v>2173</v>
      </c>
      <c r="D86" s="1486" t="s">
        <v>1202</v>
      </c>
      <c r="E86" s="1486" t="s">
        <v>1201</v>
      </c>
      <c r="F86" s="1486" t="s">
        <v>264</v>
      </c>
      <c r="G86" s="1486" t="s">
        <v>263</v>
      </c>
      <c r="H86" s="1486" t="s">
        <v>2198</v>
      </c>
      <c r="I86" s="1486" t="s">
        <v>265</v>
      </c>
      <c r="J86" s="1486" t="s">
        <v>2193</v>
      </c>
      <c r="K86" s="1490" t="s">
        <v>268</v>
      </c>
      <c r="L86" s="1486" t="s">
        <v>591</v>
      </c>
      <c r="M86" s="1486"/>
    </row>
    <row r="87">
      <c r="A87" s="1486" t="s">
        <v>2280</v>
      </c>
      <c r="B87" s="1486" t="s">
        <v>2197</v>
      </c>
      <c r="C87" s="1486" t="s">
        <v>2173</v>
      </c>
      <c r="D87" s="1486" t="s">
        <v>1202</v>
      </c>
      <c r="E87" s="1486" t="s">
        <v>1201</v>
      </c>
      <c r="F87" s="1486" t="s">
        <v>487</v>
      </c>
      <c r="G87" s="1486" t="s">
        <v>263</v>
      </c>
      <c r="H87" s="1486" t="s">
        <v>2198</v>
      </c>
      <c r="I87" s="1486" t="s">
        <v>1312</v>
      </c>
      <c r="J87" s="1486" t="s">
        <v>2193</v>
      </c>
      <c r="K87" s="1490" t="s">
        <v>268</v>
      </c>
      <c r="L87" s="1486" t="s">
        <v>282</v>
      </c>
      <c r="M87" s="1486"/>
    </row>
    <row r="88">
      <c r="A88" s="1486" t="s">
        <v>2281</v>
      </c>
      <c r="B88" s="1486" t="s">
        <v>2197</v>
      </c>
      <c r="C88" s="1486" t="s">
        <v>2173</v>
      </c>
      <c r="D88" s="1486" t="s">
        <v>1202</v>
      </c>
      <c r="E88" s="1486" t="s">
        <v>1201</v>
      </c>
      <c r="F88" s="1486" t="s">
        <v>493</v>
      </c>
      <c r="G88" s="1486" t="s">
        <v>263</v>
      </c>
      <c r="H88" s="1486" t="s">
        <v>2198</v>
      </c>
      <c r="I88" s="1486" t="s">
        <v>1314</v>
      </c>
      <c r="J88" s="1486" t="s">
        <v>2193</v>
      </c>
      <c r="K88" s="1490" t="s">
        <v>268</v>
      </c>
      <c r="L88" s="1486" t="s">
        <v>282</v>
      </c>
      <c r="M88" s="1486"/>
    </row>
    <row r="89">
      <c r="A89" s="1486" t="s">
        <v>2282</v>
      </c>
      <c r="B89" s="1486" t="s">
        <v>2197</v>
      </c>
      <c r="C89" s="1486" t="s">
        <v>2173</v>
      </c>
      <c r="D89" s="1486" t="s">
        <v>1202</v>
      </c>
      <c r="E89" s="1486" t="s">
        <v>1201</v>
      </c>
      <c r="F89" s="1486" t="s">
        <v>506</v>
      </c>
      <c r="G89" s="1486" t="s">
        <v>263</v>
      </c>
      <c r="H89" s="1486" t="s">
        <v>2198</v>
      </c>
      <c r="I89" s="1486" t="s">
        <v>1316</v>
      </c>
      <c r="J89" s="1486" t="s">
        <v>2193</v>
      </c>
      <c r="K89" s="1490" t="s">
        <v>268</v>
      </c>
      <c r="L89" s="1486" t="s">
        <v>468</v>
      </c>
      <c r="M89" s="1486"/>
    </row>
    <row r="90">
      <c r="A90" s="1486" t="s">
        <v>2283</v>
      </c>
      <c r="B90" s="1486" t="s">
        <v>2197</v>
      </c>
      <c r="C90" s="1486" t="s">
        <v>2173</v>
      </c>
      <c r="D90" s="1486" t="s">
        <v>1202</v>
      </c>
      <c r="E90" s="1486" t="s">
        <v>1201</v>
      </c>
      <c r="F90" s="1486" t="s">
        <v>511</v>
      </c>
      <c r="G90" s="1486" t="s">
        <v>263</v>
      </c>
      <c r="H90" s="1486" t="s">
        <v>2198</v>
      </c>
      <c r="I90" s="1486" t="s">
        <v>512</v>
      </c>
      <c r="J90" s="1486" t="s">
        <v>2193</v>
      </c>
      <c r="K90" s="1490" t="s">
        <v>268</v>
      </c>
      <c r="L90" s="1486" t="s">
        <v>282</v>
      </c>
      <c r="M90" s="1486"/>
    </row>
    <row r="91">
      <c r="A91" s="1486" t="s">
        <v>2284</v>
      </c>
      <c r="B91" s="1486" t="s">
        <v>2197</v>
      </c>
      <c r="C91" s="1486" t="s">
        <v>2173</v>
      </c>
      <c r="D91" s="1486" t="s">
        <v>1202</v>
      </c>
      <c r="E91" s="1486" t="s">
        <v>1201</v>
      </c>
      <c r="F91" s="1486" t="s">
        <v>515</v>
      </c>
      <c r="G91" s="1486" t="s">
        <v>263</v>
      </c>
      <c r="H91" s="1486" t="s">
        <v>2198</v>
      </c>
      <c r="I91" s="1486" t="s">
        <v>1324</v>
      </c>
      <c r="J91" s="1486" t="s">
        <v>2193</v>
      </c>
      <c r="K91" s="1490" t="s">
        <v>268</v>
      </c>
      <c r="L91" s="1486" t="s">
        <v>468</v>
      </c>
      <c r="M91" s="1486"/>
    </row>
    <row r="92">
      <c r="A92" s="1486" t="s">
        <v>2285</v>
      </c>
      <c r="B92" s="1486" t="s">
        <v>2197</v>
      </c>
      <c r="C92" s="1486" t="s">
        <v>2173</v>
      </c>
      <c r="D92" s="1486" t="s">
        <v>1202</v>
      </c>
      <c r="E92" s="1486" t="s">
        <v>1201</v>
      </c>
      <c r="F92" s="1486" t="s">
        <v>528</v>
      </c>
      <c r="G92" s="1486" t="s">
        <v>263</v>
      </c>
      <c r="H92" s="1486" t="s">
        <v>2198</v>
      </c>
      <c r="I92" s="1486" t="s">
        <v>529</v>
      </c>
      <c r="J92" s="1486" t="s">
        <v>2193</v>
      </c>
      <c r="K92" s="1490" t="s">
        <v>268</v>
      </c>
      <c r="L92" s="1486" t="s">
        <v>282</v>
      </c>
      <c r="M92" s="1486"/>
    </row>
    <row r="93">
      <c r="A93" s="1486" t="s">
        <v>2286</v>
      </c>
      <c r="B93" s="1486" t="s">
        <v>2197</v>
      </c>
      <c r="C93" s="1486" t="s">
        <v>2173</v>
      </c>
      <c r="D93" s="1486" t="s">
        <v>1202</v>
      </c>
      <c r="E93" s="1486" t="s">
        <v>1201</v>
      </c>
      <c r="F93" s="1486" t="s">
        <v>533</v>
      </c>
      <c r="G93" s="1486" t="s">
        <v>263</v>
      </c>
      <c r="H93" s="1486" t="s">
        <v>2198</v>
      </c>
      <c r="I93" s="1486" t="s">
        <v>541</v>
      </c>
      <c r="J93" s="1486" t="s">
        <v>2193</v>
      </c>
      <c r="K93" s="1490" t="s">
        <v>268</v>
      </c>
      <c r="L93" s="1486" t="s">
        <v>566</v>
      </c>
      <c r="M93" s="1486"/>
    </row>
    <row r="94">
      <c r="A94" s="1486" t="s">
        <v>2287</v>
      </c>
      <c r="B94" s="1486" t="s">
        <v>2197</v>
      </c>
      <c r="C94" s="1486" t="s">
        <v>2173</v>
      </c>
      <c r="D94" s="1486" t="s">
        <v>1202</v>
      </c>
      <c r="E94" s="1486" t="s">
        <v>1201</v>
      </c>
      <c r="F94" s="1486" t="s">
        <v>555</v>
      </c>
      <c r="G94" s="1486" t="s">
        <v>263</v>
      </c>
      <c r="H94" s="1486" t="s">
        <v>2198</v>
      </c>
      <c r="I94" s="1486" t="s">
        <v>867</v>
      </c>
      <c r="J94" s="1486" t="s">
        <v>2193</v>
      </c>
      <c r="K94" s="1490" t="s">
        <v>268</v>
      </c>
      <c r="L94" s="1486" t="s">
        <v>442</v>
      </c>
      <c r="M94" s="1486"/>
    </row>
    <row r="95">
      <c r="A95" s="1486" t="s">
        <v>2288</v>
      </c>
      <c r="B95" s="1486" t="s">
        <v>2197</v>
      </c>
      <c r="C95" s="1486" t="s">
        <v>2173</v>
      </c>
      <c r="D95" s="1486" t="s">
        <v>1202</v>
      </c>
      <c r="E95" s="1486" t="s">
        <v>1201</v>
      </c>
      <c r="F95" s="1486" t="s">
        <v>562</v>
      </c>
      <c r="G95" s="1486" t="s">
        <v>263</v>
      </c>
      <c r="H95" s="1486" t="s">
        <v>2198</v>
      </c>
      <c r="I95" s="1486" t="s">
        <v>563</v>
      </c>
      <c r="J95" s="1486" t="s">
        <v>2193</v>
      </c>
      <c r="K95" s="1490" t="s">
        <v>268</v>
      </c>
      <c r="L95" s="1486" t="s">
        <v>394</v>
      </c>
      <c r="M95" s="1486"/>
    </row>
    <row r="96">
      <c r="A96" s="1486" t="s">
        <v>2289</v>
      </c>
      <c r="B96" s="1486" t="s">
        <v>2197</v>
      </c>
      <c r="C96" s="1486" t="s">
        <v>2173</v>
      </c>
      <c r="D96" s="1486" t="s">
        <v>1202</v>
      </c>
      <c r="E96" s="1486" t="s">
        <v>1201</v>
      </c>
      <c r="F96" s="1486" t="s">
        <v>566</v>
      </c>
      <c r="G96" s="1486" t="s">
        <v>263</v>
      </c>
      <c r="H96" s="1486" t="s">
        <v>2198</v>
      </c>
      <c r="I96" s="1486" t="s">
        <v>575</v>
      </c>
      <c r="J96" s="1486" t="s">
        <v>2193</v>
      </c>
      <c r="K96" s="1490" t="s">
        <v>268</v>
      </c>
      <c r="L96" s="1486" t="s">
        <v>566</v>
      </c>
      <c r="M96" s="1486"/>
    </row>
    <row r="97">
      <c r="A97" s="1486" t="s">
        <v>2290</v>
      </c>
      <c r="B97" s="1486" t="s">
        <v>2197</v>
      </c>
      <c r="C97" s="1486" t="s">
        <v>2173</v>
      </c>
      <c r="D97" s="1486" t="s">
        <v>1202</v>
      </c>
      <c r="E97" s="1486" t="s">
        <v>1201</v>
      </c>
      <c r="F97" s="1486" t="s">
        <v>282</v>
      </c>
      <c r="G97" s="1486" t="s">
        <v>263</v>
      </c>
      <c r="H97" s="1486" t="s">
        <v>2198</v>
      </c>
      <c r="I97" s="1486" t="s">
        <v>993</v>
      </c>
      <c r="J97" s="1486" t="s">
        <v>2193</v>
      </c>
      <c r="K97" s="1490" t="s">
        <v>268</v>
      </c>
      <c r="L97" s="1486" t="s">
        <v>2264</v>
      </c>
      <c r="M97" s="1486"/>
    </row>
    <row r="98">
      <c r="A98" s="1486" t="s">
        <v>2291</v>
      </c>
      <c r="B98" s="1486" t="s">
        <v>2197</v>
      </c>
      <c r="C98" s="1486" t="s">
        <v>2173</v>
      </c>
      <c r="D98" s="1486" t="s">
        <v>1202</v>
      </c>
      <c r="E98" s="1486" t="s">
        <v>1201</v>
      </c>
      <c r="F98" s="1486" t="s">
        <v>591</v>
      </c>
      <c r="G98" s="1486" t="s">
        <v>263</v>
      </c>
      <c r="H98" s="1486" t="s">
        <v>2198</v>
      </c>
      <c r="I98" s="1486" t="s">
        <v>592</v>
      </c>
      <c r="J98" s="1486" t="s">
        <v>2193</v>
      </c>
      <c r="K98" s="1490" t="s">
        <v>268</v>
      </c>
      <c r="L98" s="1486" t="s">
        <v>394</v>
      </c>
      <c r="M98" s="1486"/>
    </row>
    <row r="99">
      <c r="A99" s="1486" t="s">
        <v>2292</v>
      </c>
      <c r="B99" s="1486" t="s">
        <v>2197</v>
      </c>
      <c r="C99" s="1486" t="s">
        <v>2173</v>
      </c>
      <c r="D99" s="1486" t="s">
        <v>1202</v>
      </c>
      <c r="E99" s="1486" t="s">
        <v>1201</v>
      </c>
      <c r="F99" s="1486" t="s">
        <v>601</v>
      </c>
      <c r="G99" s="1486" t="s">
        <v>263</v>
      </c>
      <c r="H99" s="1486" t="s">
        <v>2198</v>
      </c>
      <c r="I99" s="1486" t="s">
        <v>602</v>
      </c>
      <c r="J99" s="1486" t="s">
        <v>2193</v>
      </c>
      <c r="K99" s="1490" t="s">
        <v>268</v>
      </c>
      <c r="L99" s="1486" t="s">
        <v>394</v>
      </c>
      <c r="M99" s="1486"/>
    </row>
    <row r="100">
      <c r="A100" s="1486" t="s">
        <v>2293</v>
      </c>
      <c r="B100" s="1486" t="s">
        <v>2197</v>
      </c>
      <c r="C100" s="1486" t="s">
        <v>2173</v>
      </c>
      <c r="D100" s="1486" t="s">
        <v>1202</v>
      </c>
      <c r="E100" s="1486" t="s">
        <v>1201</v>
      </c>
      <c r="F100" s="1486" t="s">
        <v>607</v>
      </c>
      <c r="G100" s="1486" t="s">
        <v>263</v>
      </c>
      <c r="H100" s="1486" t="s">
        <v>2198</v>
      </c>
      <c r="I100" s="1486" t="s">
        <v>608</v>
      </c>
      <c r="J100" s="1486" t="s">
        <v>2193</v>
      </c>
      <c r="K100" s="1490" t="s">
        <v>268</v>
      </c>
      <c r="L100" s="1486" t="s">
        <v>394</v>
      </c>
      <c r="M100" s="1486"/>
    </row>
    <row r="101">
      <c r="A101" s="1486" t="s">
        <v>2294</v>
      </c>
      <c r="B101" s="1486" t="s">
        <v>2197</v>
      </c>
      <c r="C101" s="1486" t="s">
        <v>2173</v>
      </c>
      <c r="D101" s="1486" t="s">
        <v>1202</v>
      </c>
      <c r="E101" s="1486" t="s">
        <v>1201</v>
      </c>
      <c r="F101" s="1486" t="s">
        <v>613</v>
      </c>
      <c r="G101" s="1486" t="s">
        <v>263</v>
      </c>
      <c r="H101" s="1486" t="s">
        <v>2198</v>
      </c>
      <c r="I101" s="1486" t="s">
        <v>614</v>
      </c>
      <c r="J101" s="1486" t="s">
        <v>2193</v>
      </c>
      <c r="K101" s="1490" t="s">
        <v>268</v>
      </c>
      <c r="L101" s="1486" t="s">
        <v>282</v>
      </c>
      <c r="M101" s="1486"/>
    </row>
    <row r="102">
      <c r="A102" s="1486" t="s">
        <v>2295</v>
      </c>
      <c r="B102" s="1486" t="s">
        <v>2197</v>
      </c>
      <c r="C102" s="1486" t="s">
        <v>2173</v>
      </c>
      <c r="D102" s="1486" t="s">
        <v>1202</v>
      </c>
      <c r="E102" s="1486" t="s">
        <v>1201</v>
      </c>
      <c r="F102" s="1486" t="s">
        <v>618</v>
      </c>
      <c r="G102" s="1486" t="s">
        <v>263</v>
      </c>
      <c r="H102" s="1486" t="s">
        <v>2198</v>
      </c>
      <c r="I102" s="1486" t="s">
        <v>627</v>
      </c>
      <c r="J102" s="1486" t="s">
        <v>2193</v>
      </c>
      <c r="K102" s="1490" t="s">
        <v>268</v>
      </c>
      <c r="L102" s="1486" t="s">
        <v>2296</v>
      </c>
      <c r="M102" s="1486"/>
    </row>
    <row r="103">
      <c r="A103" s="1486" t="s">
        <v>2297</v>
      </c>
      <c r="B103" s="1486" t="s">
        <v>2197</v>
      </c>
      <c r="C103" s="1486" t="s">
        <v>2173</v>
      </c>
      <c r="D103" s="1486" t="s">
        <v>1202</v>
      </c>
      <c r="E103" s="1486" t="s">
        <v>1201</v>
      </c>
      <c r="F103" s="1486" t="s">
        <v>654</v>
      </c>
      <c r="G103" s="1486" t="s">
        <v>263</v>
      </c>
      <c r="H103" s="1486" t="s">
        <v>2198</v>
      </c>
      <c r="I103" s="1486" t="s">
        <v>1397</v>
      </c>
      <c r="J103" s="1486" t="s">
        <v>2193</v>
      </c>
      <c r="K103" s="1490" t="s">
        <v>268</v>
      </c>
      <c r="L103" s="1486" t="s">
        <v>2298</v>
      </c>
      <c r="M103" s="1486"/>
    </row>
    <row r="104">
      <c r="A104" s="1486" t="s">
        <v>2299</v>
      </c>
      <c r="B104" s="1486" t="s">
        <v>2197</v>
      </c>
      <c r="C104" s="1486" t="s">
        <v>2173</v>
      </c>
      <c r="D104" s="1486" t="s">
        <v>1202</v>
      </c>
      <c r="E104" s="1486" t="s">
        <v>1201</v>
      </c>
      <c r="F104" s="1486" t="s">
        <v>684</v>
      </c>
      <c r="G104" s="1486" t="s">
        <v>263</v>
      </c>
      <c r="H104" s="1486" t="s">
        <v>2198</v>
      </c>
      <c r="I104" s="1486" t="s">
        <v>1392</v>
      </c>
      <c r="J104" s="1486" t="s">
        <v>2193</v>
      </c>
      <c r="K104" s="1490" t="s">
        <v>268</v>
      </c>
      <c r="L104" s="1486" t="s">
        <v>407</v>
      </c>
      <c r="M104" s="1486"/>
    </row>
    <row r="105">
      <c r="A105" s="1486" t="s">
        <v>2300</v>
      </c>
      <c r="B105" s="1486" t="s">
        <v>2197</v>
      </c>
      <c r="C105" s="1486" t="s">
        <v>2173</v>
      </c>
      <c r="D105" s="1486" t="s">
        <v>1202</v>
      </c>
      <c r="E105" s="1486" t="s">
        <v>1201</v>
      </c>
      <c r="F105" s="1486" t="s">
        <v>394</v>
      </c>
      <c r="G105" s="1486" t="s">
        <v>263</v>
      </c>
      <c r="H105" s="1486" t="s">
        <v>2198</v>
      </c>
      <c r="I105" s="1486" t="s">
        <v>1270</v>
      </c>
      <c r="J105" s="1486" t="s">
        <v>2193</v>
      </c>
      <c r="K105" s="1490" t="s">
        <v>268</v>
      </c>
      <c r="L105" s="1486" t="s">
        <v>2301</v>
      </c>
      <c r="M105" s="1486"/>
    </row>
    <row r="106">
      <c r="A106" s="1486" t="s">
        <v>2302</v>
      </c>
      <c r="B106" s="1486" t="s">
        <v>2197</v>
      </c>
      <c r="C106" s="1486" t="s">
        <v>2173</v>
      </c>
      <c r="D106" s="1486" t="s">
        <v>1202</v>
      </c>
      <c r="E106" s="1486" t="s">
        <v>1201</v>
      </c>
      <c r="F106" s="1486" t="s">
        <v>407</v>
      </c>
      <c r="G106" s="1486" t="s">
        <v>263</v>
      </c>
      <c r="H106" s="1486" t="s">
        <v>2198</v>
      </c>
      <c r="I106" s="1486" t="s">
        <v>1284</v>
      </c>
      <c r="J106" s="1486" t="s">
        <v>2193</v>
      </c>
      <c r="K106" s="1490" t="s">
        <v>268</v>
      </c>
      <c r="L106" s="1486" t="s">
        <v>475</v>
      </c>
      <c r="M106" s="1486"/>
    </row>
    <row r="107">
      <c r="A107" s="1486" t="s">
        <v>2303</v>
      </c>
      <c r="B107" s="1486" t="s">
        <v>2197</v>
      </c>
      <c r="C107" s="1486" t="s">
        <v>2173</v>
      </c>
      <c r="D107" s="1486" t="s">
        <v>1202</v>
      </c>
      <c r="E107" s="1486" t="s">
        <v>1201</v>
      </c>
      <c r="F107" s="1486" t="s">
        <v>442</v>
      </c>
      <c r="G107" s="1486" t="s">
        <v>263</v>
      </c>
      <c r="H107" s="1486" t="s">
        <v>2198</v>
      </c>
      <c r="I107" s="1486" t="s">
        <v>1291</v>
      </c>
      <c r="J107" s="1486" t="s">
        <v>2193</v>
      </c>
      <c r="K107" s="1490" t="s">
        <v>268</v>
      </c>
      <c r="L107" s="1486" t="s">
        <v>394</v>
      </c>
      <c r="M107" s="1486"/>
    </row>
    <row r="108">
      <c r="A108" s="1486" t="s">
        <v>2304</v>
      </c>
      <c r="B108" s="1486" t="s">
        <v>2197</v>
      </c>
      <c r="C108" s="1486" t="s">
        <v>2173</v>
      </c>
      <c r="D108" s="1486" t="s">
        <v>1202</v>
      </c>
      <c r="E108" s="1486" t="s">
        <v>1201</v>
      </c>
      <c r="F108" s="1486" t="s">
        <v>447</v>
      </c>
      <c r="G108" s="1486" t="s">
        <v>263</v>
      </c>
      <c r="H108" s="1486" t="s">
        <v>2198</v>
      </c>
      <c r="I108" s="1486" t="s">
        <v>448</v>
      </c>
      <c r="J108" s="1486" t="s">
        <v>2193</v>
      </c>
      <c r="K108" s="1490" t="s">
        <v>268</v>
      </c>
      <c r="L108" s="1486" t="s">
        <v>394</v>
      </c>
      <c r="M108" s="1486"/>
    </row>
    <row r="109">
      <c r="A109" s="1486" t="s">
        <v>2305</v>
      </c>
      <c r="B109" s="1486" t="s">
        <v>2197</v>
      </c>
      <c r="C109" s="1486" t="s">
        <v>2173</v>
      </c>
      <c r="D109" s="1486" t="s">
        <v>1202</v>
      </c>
      <c r="E109" s="1486" t="s">
        <v>1201</v>
      </c>
      <c r="F109" s="1486" t="s">
        <v>462</v>
      </c>
      <c r="G109" s="1486" t="s">
        <v>263</v>
      </c>
      <c r="H109" s="1486" t="s">
        <v>2198</v>
      </c>
      <c r="I109" s="1486" t="s">
        <v>1297</v>
      </c>
      <c r="J109" s="1486" t="s">
        <v>2193</v>
      </c>
      <c r="K109" s="1490" t="s">
        <v>268</v>
      </c>
      <c r="L109" s="1486" t="s">
        <v>282</v>
      </c>
      <c r="M109" s="1486"/>
    </row>
    <row r="110">
      <c r="A110" s="1486" t="s">
        <v>2306</v>
      </c>
      <c r="B110" s="1486" t="s">
        <v>2197</v>
      </c>
      <c r="C110" s="1486" t="s">
        <v>2173</v>
      </c>
      <c r="D110" s="1486" t="s">
        <v>1202</v>
      </c>
      <c r="E110" s="1486" t="s">
        <v>1201</v>
      </c>
      <c r="F110" s="1486" t="s">
        <v>468</v>
      </c>
      <c r="G110" s="1486" t="s">
        <v>263</v>
      </c>
      <c r="H110" s="1486" t="s">
        <v>2198</v>
      </c>
      <c r="I110" s="1486" t="s">
        <v>1301</v>
      </c>
      <c r="J110" s="1486" t="s">
        <v>2193</v>
      </c>
      <c r="K110" s="1490" t="s">
        <v>268</v>
      </c>
      <c r="L110" s="1486" t="s">
        <v>493</v>
      </c>
      <c r="M110" s="1486"/>
    </row>
    <row r="111">
      <c r="A111" s="1486" t="s">
        <v>2307</v>
      </c>
      <c r="B111" s="1486" t="s">
        <v>2197</v>
      </c>
      <c r="C111" s="1486" t="s">
        <v>2173</v>
      </c>
      <c r="D111" s="1486" t="s">
        <v>1202</v>
      </c>
      <c r="E111" s="1486" t="s">
        <v>1201</v>
      </c>
      <c r="F111" s="1486" t="s">
        <v>475</v>
      </c>
      <c r="G111" s="1486" t="s">
        <v>263</v>
      </c>
      <c r="H111" s="1486" t="s">
        <v>2198</v>
      </c>
      <c r="I111" s="1486" t="s">
        <v>1311</v>
      </c>
      <c r="J111" s="1486" t="s">
        <v>2193</v>
      </c>
      <c r="K111" s="1490" t="s">
        <v>268</v>
      </c>
      <c r="L111" s="1486" t="s">
        <v>264</v>
      </c>
      <c r="M111" s="1486"/>
    </row>
    <row r="112">
      <c r="A112" s="1486" t="s">
        <v>2308</v>
      </c>
      <c r="B112" s="1486" t="s">
        <v>2309</v>
      </c>
      <c r="C112" s="1486" t="s">
        <v>2173</v>
      </c>
      <c r="D112" s="1486"/>
      <c r="E112" s="1486"/>
      <c r="F112" s="1486"/>
      <c r="G112" s="1486"/>
      <c r="H112" s="1486" t="s">
        <v>2310</v>
      </c>
      <c r="I112" s="1486" t="s">
        <v>2311</v>
      </c>
      <c r="J112" s="1486" t="s">
        <v>109</v>
      </c>
      <c r="K112" s="1488" t="s">
        <v>2312</v>
      </c>
      <c r="L112" s="1486" t="s">
        <v>264</v>
      </c>
      <c r="M112" s="1486" t="s">
        <v>2313</v>
      </c>
    </row>
    <row r="113">
      <c r="A113" s="1486" t="s">
        <v>2314</v>
      </c>
      <c r="B113" s="1486" t="s">
        <v>2315</v>
      </c>
      <c r="C113" s="1486" t="s">
        <v>2173</v>
      </c>
      <c r="D113" s="1486"/>
      <c r="E113" s="1486"/>
      <c r="F113" s="1486"/>
      <c r="G113" s="1486"/>
      <c r="H113" s="1486" t="s">
        <v>2310</v>
      </c>
      <c r="I113" s="1486" t="s">
        <v>2316</v>
      </c>
      <c r="J113" s="1486" t="s">
        <v>109</v>
      </c>
      <c r="K113" s="1490" t="s">
        <v>268</v>
      </c>
      <c r="L113" s="1486" t="s">
        <v>264</v>
      </c>
      <c r="M113" s="1486" t="s">
        <v>15</v>
      </c>
    </row>
    <row r="114">
      <c r="A114" s="1486" t="s">
        <v>2317</v>
      </c>
      <c r="B114" s="1486" t="s">
        <v>2309</v>
      </c>
      <c r="C114" s="1486" t="s">
        <v>2173</v>
      </c>
      <c r="D114" s="1486"/>
      <c r="E114" s="1486"/>
      <c r="F114" s="1486"/>
      <c r="G114" s="1486"/>
      <c r="H114" s="1486" t="s">
        <v>2310</v>
      </c>
      <c r="I114" s="1486" t="s">
        <v>2318</v>
      </c>
      <c r="J114" s="1486" t="s">
        <v>109</v>
      </c>
      <c r="K114" s="1488" t="s">
        <v>2312</v>
      </c>
      <c r="L114" s="1486" t="s">
        <v>264</v>
      </c>
      <c r="M114" s="1486" t="s">
        <v>2319</v>
      </c>
    </row>
    <row r="115">
      <c r="A115" s="1486" t="s">
        <v>2320</v>
      </c>
      <c r="B115" s="1486" t="s">
        <v>2309</v>
      </c>
      <c r="C115" s="1486" t="s">
        <v>2173</v>
      </c>
      <c r="D115" s="1486"/>
      <c r="E115" s="1486"/>
      <c r="F115" s="1486"/>
      <c r="G115" s="1486"/>
      <c r="H115" s="1486" t="s">
        <v>2310</v>
      </c>
      <c r="I115" s="1486" t="s">
        <v>2321</v>
      </c>
      <c r="J115" s="1486" t="s">
        <v>109</v>
      </c>
      <c r="K115" s="1488" t="s">
        <v>2312</v>
      </c>
      <c r="L115" s="1486" t="s">
        <v>264</v>
      </c>
      <c r="M115" s="1486" t="s">
        <v>2322</v>
      </c>
    </row>
    <row r="116">
      <c r="A116" s="1486" t="s">
        <v>2323</v>
      </c>
      <c r="B116" s="1486" t="s">
        <v>2309</v>
      </c>
      <c r="C116" s="1486" t="s">
        <v>2173</v>
      </c>
      <c r="D116" s="1486"/>
      <c r="E116" s="1486"/>
      <c r="F116" s="1486"/>
      <c r="G116" s="1486"/>
      <c r="H116" s="1486" t="s">
        <v>2310</v>
      </c>
      <c r="I116" s="1486" t="s">
        <v>2324</v>
      </c>
      <c r="J116" s="1486" t="s">
        <v>109</v>
      </c>
      <c r="K116" s="1488" t="s">
        <v>2312</v>
      </c>
      <c r="L116" s="1486" t="s">
        <v>264</v>
      </c>
      <c r="M116" s="1486" t="s">
        <v>2325</v>
      </c>
    </row>
    <row r="117">
      <c r="A117" s="1486" t="s">
        <v>2326</v>
      </c>
      <c r="B117" s="1486" t="s">
        <v>2309</v>
      </c>
      <c r="C117" s="1486" t="s">
        <v>2173</v>
      </c>
      <c r="D117" s="1486"/>
      <c r="E117" s="1486"/>
      <c r="F117" s="1486"/>
      <c r="G117" s="1486"/>
      <c r="H117" s="1486" t="s">
        <v>2310</v>
      </c>
      <c r="I117" s="1486" t="s">
        <v>2327</v>
      </c>
      <c r="J117" s="1486" t="s">
        <v>109</v>
      </c>
      <c r="K117" s="1488" t="s">
        <v>2312</v>
      </c>
      <c r="L117" s="1486" t="s">
        <v>264</v>
      </c>
      <c r="M117" s="1486" t="s">
        <v>2328</v>
      </c>
    </row>
    <row r="118">
      <c r="A118" s="1486" t="s">
        <v>2329</v>
      </c>
      <c r="B118" s="1486" t="s">
        <v>2309</v>
      </c>
      <c r="C118" s="1486" t="s">
        <v>2173</v>
      </c>
      <c r="D118" s="1486"/>
      <c r="E118" s="1486"/>
      <c r="F118" s="1486"/>
      <c r="G118" s="1486"/>
      <c r="H118" s="1486" t="s">
        <v>2310</v>
      </c>
      <c r="I118" s="1486" t="s">
        <v>2330</v>
      </c>
      <c r="J118" s="1486" t="s">
        <v>109</v>
      </c>
      <c r="K118" s="1488" t="s">
        <v>2312</v>
      </c>
      <c r="L118" s="1486" t="s">
        <v>264</v>
      </c>
      <c r="M118" s="1486" t="s">
        <v>2331</v>
      </c>
    </row>
    <row r="119">
      <c r="A119" s="1486" t="s">
        <v>2332</v>
      </c>
      <c r="B119" s="1486" t="s">
        <v>2309</v>
      </c>
      <c r="C119" s="1486" t="s">
        <v>2173</v>
      </c>
      <c r="D119" s="1486"/>
      <c r="E119" s="1486"/>
      <c r="F119" s="1486"/>
      <c r="G119" s="1486"/>
      <c r="H119" s="1486" t="s">
        <v>2310</v>
      </c>
      <c r="I119" s="1486" t="s">
        <v>2333</v>
      </c>
      <c r="J119" s="1486" t="s">
        <v>109</v>
      </c>
      <c r="K119" s="1488" t="s">
        <v>2312</v>
      </c>
      <c r="L119" s="1486" t="s">
        <v>264</v>
      </c>
      <c r="M119" s="1486" t="s">
        <v>2334</v>
      </c>
    </row>
    <row r="120">
      <c r="A120" s="1486" t="s">
        <v>2335</v>
      </c>
      <c r="B120" s="1486" t="s">
        <v>2309</v>
      </c>
      <c r="C120" s="1486" t="s">
        <v>2173</v>
      </c>
      <c r="D120" s="1486"/>
      <c r="E120" s="1486"/>
      <c r="F120" s="1486"/>
      <c r="G120" s="1486"/>
      <c r="H120" s="1486" t="s">
        <v>2310</v>
      </c>
      <c r="I120" s="1486" t="s">
        <v>2336</v>
      </c>
      <c r="J120" s="1486" t="s">
        <v>109</v>
      </c>
      <c r="K120" s="1488" t="s">
        <v>2312</v>
      </c>
      <c r="L120" s="1486" t="s">
        <v>591</v>
      </c>
      <c r="M120" s="1486" t="s">
        <v>2337</v>
      </c>
    </row>
    <row r="121">
      <c r="A121" s="1486" t="s">
        <v>2338</v>
      </c>
      <c r="B121" s="1486" t="s">
        <v>2309</v>
      </c>
      <c r="C121" s="1486" t="s">
        <v>2173</v>
      </c>
      <c r="D121" s="1486"/>
      <c r="E121" s="1486"/>
      <c r="F121" s="1486"/>
      <c r="G121" s="1486"/>
      <c r="H121" s="1486" t="s">
        <v>2310</v>
      </c>
      <c r="I121" s="1486" t="s">
        <v>2339</v>
      </c>
      <c r="J121" s="1486" t="s">
        <v>109</v>
      </c>
      <c r="K121" s="1488" t="s">
        <v>2312</v>
      </c>
      <c r="L121" s="1486" t="s">
        <v>442</v>
      </c>
      <c r="M121" s="1486" t="s">
        <v>2340</v>
      </c>
    </row>
    <row r="122">
      <c r="A122" s="1486" t="s">
        <v>2341</v>
      </c>
      <c r="B122" s="1486" t="s">
        <v>2309</v>
      </c>
      <c r="C122" s="1486" t="s">
        <v>2173</v>
      </c>
      <c r="D122" s="1486"/>
      <c r="E122" s="1486"/>
      <c r="F122" s="1486"/>
      <c r="G122" s="1486"/>
      <c r="H122" s="1486" t="s">
        <v>2310</v>
      </c>
      <c r="I122" s="1486" t="s">
        <v>2342</v>
      </c>
      <c r="J122" s="1486" t="s">
        <v>109</v>
      </c>
      <c r="K122" s="1488" t="s">
        <v>2312</v>
      </c>
      <c r="L122" s="1486" t="s">
        <v>394</v>
      </c>
      <c r="M122" s="1486" t="s">
        <v>2343</v>
      </c>
    </row>
    <row r="123">
      <c r="A123" s="1486" t="s">
        <v>2344</v>
      </c>
      <c r="B123" s="1486" t="s">
        <v>2309</v>
      </c>
      <c r="C123" s="1486" t="s">
        <v>2173</v>
      </c>
      <c r="D123" s="1486"/>
      <c r="E123" s="1486"/>
      <c r="F123" s="1486"/>
      <c r="G123" s="1486"/>
      <c r="H123" s="1486" t="s">
        <v>2310</v>
      </c>
      <c r="I123" s="1486" t="s">
        <v>2345</v>
      </c>
      <c r="J123" s="1486" t="s">
        <v>109</v>
      </c>
      <c r="K123" s="1488" t="s">
        <v>2312</v>
      </c>
      <c r="L123" s="1486" t="s">
        <v>506</v>
      </c>
      <c r="M123" s="1486" t="s">
        <v>2346</v>
      </c>
    </row>
    <row r="124">
      <c r="A124" s="1486" t="s">
        <v>2347</v>
      </c>
      <c r="B124" s="1486" t="s">
        <v>2309</v>
      </c>
      <c r="C124" s="1486" t="s">
        <v>2173</v>
      </c>
      <c r="D124" s="1486"/>
      <c r="E124" s="1486"/>
      <c r="F124" s="1486"/>
      <c r="G124" s="1486"/>
      <c r="H124" s="1486" t="s">
        <v>2310</v>
      </c>
      <c r="I124" s="1486" t="s">
        <v>2348</v>
      </c>
      <c r="J124" s="1486" t="s">
        <v>109</v>
      </c>
      <c r="K124" s="1488" t="s">
        <v>2312</v>
      </c>
      <c r="L124" s="1486" t="s">
        <v>264</v>
      </c>
      <c r="M124" s="1486" t="s">
        <v>2349</v>
      </c>
    </row>
    <row r="125">
      <c r="A125" s="1486" t="s">
        <v>2350</v>
      </c>
      <c r="B125" s="1486" t="s">
        <v>2309</v>
      </c>
      <c r="C125" s="1486" t="s">
        <v>2173</v>
      </c>
      <c r="D125" s="1486"/>
      <c r="E125" s="1486"/>
      <c r="F125" s="1486"/>
      <c r="G125" s="1486"/>
      <c r="H125" s="1486" t="s">
        <v>2310</v>
      </c>
      <c r="I125" s="1486" t="s">
        <v>2351</v>
      </c>
      <c r="J125" s="1486" t="s">
        <v>109</v>
      </c>
      <c r="K125" s="1488" t="s">
        <v>2312</v>
      </c>
      <c r="L125" s="1486" t="s">
        <v>264</v>
      </c>
      <c r="M125" s="1486" t="s">
        <v>2352</v>
      </c>
    </row>
    <row r="126">
      <c r="A126" s="1486" t="s">
        <v>2353</v>
      </c>
      <c r="B126" s="1486" t="s">
        <v>2354</v>
      </c>
      <c r="C126" s="1486" t="s">
        <v>2173</v>
      </c>
      <c r="D126" s="1486"/>
      <c r="E126" s="1486"/>
      <c r="F126" s="1486"/>
      <c r="G126" s="1486"/>
      <c r="H126" s="1486" t="s">
        <v>2310</v>
      </c>
      <c r="I126" s="1486" t="s">
        <v>2355</v>
      </c>
      <c r="J126" s="1486" t="s">
        <v>109</v>
      </c>
      <c r="K126" s="1490" t="s">
        <v>268</v>
      </c>
      <c r="L126" s="1486" t="s">
        <v>591</v>
      </c>
      <c r="M126" s="1486" t="s">
        <v>120</v>
      </c>
    </row>
    <row r="127">
      <c r="A127" s="1486" t="s">
        <v>2356</v>
      </c>
      <c r="B127" s="1486" t="s">
        <v>2309</v>
      </c>
      <c r="C127" s="1486" t="s">
        <v>2173</v>
      </c>
      <c r="D127" s="1486"/>
      <c r="E127" s="1486"/>
      <c r="F127" s="1486"/>
      <c r="G127" s="1486"/>
      <c r="H127" s="1486" t="s">
        <v>2310</v>
      </c>
      <c r="I127" s="1486" t="s">
        <v>2357</v>
      </c>
      <c r="J127" s="1486" t="s">
        <v>109</v>
      </c>
      <c r="K127" s="1488" t="s">
        <v>2312</v>
      </c>
      <c r="L127" s="1486" t="s">
        <v>282</v>
      </c>
      <c r="M127" s="1486" t="s">
        <v>2358</v>
      </c>
    </row>
    <row r="128">
      <c r="A128" s="1486" t="s">
        <v>2359</v>
      </c>
      <c r="B128" s="1486" t="s">
        <v>2360</v>
      </c>
      <c r="C128" s="1486" t="s">
        <v>2173</v>
      </c>
      <c r="D128" s="1486"/>
      <c r="E128" s="1486"/>
      <c r="F128" s="1486"/>
      <c r="G128" s="1486"/>
      <c r="H128" s="1486" t="s">
        <v>2361</v>
      </c>
      <c r="I128" s="1486" t="s">
        <v>2362</v>
      </c>
      <c r="J128" s="1486" t="s">
        <v>109</v>
      </c>
      <c r="K128" s="1490" t="s">
        <v>268</v>
      </c>
      <c r="L128" s="1486" t="s">
        <v>442</v>
      </c>
      <c r="M128" s="1486" t="s">
        <v>2363</v>
      </c>
    </row>
    <row r="129">
      <c r="A129" s="1486" t="s">
        <v>2364</v>
      </c>
      <c r="B129" s="1486" t="s">
        <v>2360</v>
      </c>
      <c r="C129" s="1486" t="s">
        <v>2173</v>
      </c>
      <c r="D129" s="1486"/>
      <c r="E129" s="1486"/>
      <c r="F129" s="1486"/>
      <c r="G129" s="1486"/>
      <c r="H129" s="1486" t="s">
        <v>2361</v>
      </c>
      <c r="I129" s="1486" t="s">
        <v>2365</v>
      </c>
      <c r="J129" s="1486" t="s">
        <v>109</v>
      </c>
      <c r="K129" s="1490" t="s">
        <v>268</v>
      </c>
      <c r="L129" s="1486" t="s">
        <v>442</v>
      </c>
      <c r="M129" s="1486" t="s">
        <v>2366</v>
      </c>
    </row>
    <row r="130">
      <c r="A130" s="1486" t="s">
        <v>2367</v>
      </c>
      <c r="B130" s="1486" t="s">
        <v>2368</v>
      </c>
      <c r="C130" s="1486" t="s">
        <v>2173</v>
      </c>
      <c r="D130" s="1486"/>
      <c r="E130" s="1486"/>
      <c r="F130" s="1486"/>
      <c r="G130" s="1486"/>
      <c r="H130" s="1486" t="s">
        <v>2361</v>
      </c>
      <c r="I130" s="1486" t="s">
        <v>2369</v>
      </c>
      <c r="J130" s="1486" t="s">
        <v>109</v>
      </c>
      <c r="K130" s="1490" t="s">
        <v>268</v>
      </c>
      <c r="L130" s="1486" t="s">
        <v>264</v>
      </c>
      <c r="M130" s="1486" t="s">
        <v>2370</v>
      </c>
    </row>
    <row r="131">
      <c r="A131" s="1486" t="s">
        <v>2371</v>
      </c>
      <c r="B131" s="1486" t="s">
        <v>2368</v>
      </c>
      <c r="C131" s="1486" t="s">
        <v>2173</v>
      </c>
      <c r="D131" s="1486"/>
      <c r="E131" s="1486"/>
      <c r="F131" s="1486"/>
      <c r="G131" s="1486"/>
      <c r="H131" s="1486" t="s">
        <v>2361</v>
      </c>
      <c r="I131" s="1486" t="s">
        <v>2372</v>
      </c>
      <c r="J131" s="1486" t="s">
        <v>109</v>
      </c>
      <c r="K131" s="1490" t="s">
        <v>268</v>
      </c>
      <c r="L131" s="1486" t="s">
        <v>264</v>
      </c>
      <c r="M131" s="1486" t="s">
        <v>2373</v>
      </c>
    </row>
    <row r="132">
      <c r="A132" s="1486" t="s">
        <v>2374</v>
      </c>
      <c r="B132" s="1486" t="s">
        <v>2375</v>
      </c>
      <c r="C132" s="1486" t="s">
        <v>2173</v>
      </c>
      <c r="D132" s="1486"/>
      <c r="E132" s="1486"/>
      <c r="F132" s="1486"/>
      <c r="G132" s="1486"/>
      <c r="H132" s="1486" t="s">
        <v>2361</v>
      </c>
      <c r="I132" s="1486" t="s">
        <v>2376</v>
      </c>
      <c r="J132" s="1486" t="s">
        <v>109</v>
      </c>
      <c r="K132" s="1490" t="s">
        <v>268</v>
      </c>
      <c r="L132" s="1486" t="s">
        <v>264</v>
      </c>
      <c r="M132" s="1486" t="s">
        <v>2377</v>
      </c>
    </row>
    <row r="133">
      <c r="A133" s="1486" t="s">
        <v>2378</v>
      </c>
      <c r="B133" s="1486" t="s">
        <v>2375</v>
      </c>
      <c r="C133" s="1486" t="s">
        <v>2173</v>
      </c>
      <c r="D133" s="1486"/>
      <c r="E133" s="1486"/>
      <c r="F133" s="1486"/>
      <c r="G133" s="1486"/>
      <c r="H133" s="1486" t="s">
        <v>2361</v>
      </c>
      <c r="I133" s="1486" t="s">
        <v>2379</v>
      </c>
      <c r="J133" s="1486" t="s">
        <v>109</v>
      </c>
      <c r="K133" s="1490" t="s">
        <v>268</v>
      </c>
      <c r="L133" s="1486" t="s">
        <v>442</v>
      </c>
      <c r="M133" s="1486" t="s">
        <v>2380</v>
      </c>
    </row>
    <row r="134">
      <c r="A134" s="1486" t="s">
        <v>2381</v>
      </c>
      <c r="B134" s="1486" t="s">
        <v>2375</v>
      </c>
      <c r="C134" s="1486" t="s">
        <v>2173</v>
      </c>
      <c r="D134" s="1486"/>
      <c r="E134" s="1486"/>
      <c r="F134" s="1486"/>
      <c r="G134" s="1486"/>
      <c r="H134" s="1486" t="s">
        <v>2361</v>
      </c>
      <c r="I134" s="1486" t="s">
        <v>2382</v>
      </c>
      <c r="J134" s="1486" t="s">
        <v>109</v>
      </c>
      <c r="K134" s="1490" t="s">
        <v>268</v>
      </c>
      <c r="L134" s="1486" t="s">
        <v>264</v>
      </c>
      <c r="M134" s="1486" t="s">
        <v>2383</v>
      </c>
    </row>
    <row r="135">
      <c r="A135" s="1486" t="s">
        <v>2384</v>
      </c>
      <c r="B135" s="1486" t="s">
        <v>2375</v>
      </c>
      <c r="C135" s="1486" t="s">
        <v>2173</v>
      </c>
      <c r="D135" s="1486"/>
      <c r="E135" s="1486"/>
      <c r="F135" s="1486"/>
      <c r="G135" s="1486"/>
      <c r="H135" s="1486" t="s">
        <v>2361</v>
      </c>
      <c r="I135" s="1486" t="s">
        <v>2385</v>
      </c>
      <c r="J135" s="1486" t="s">
        <v>109</v>
      </c>
      <c r="K135" s="1490" t="s">
        <v>268</v>
      </c>
      <c r="L135" s="1486" t="s">
        <v>394</v>
      </c>
      <c r="M135" s="1486" t="s">
        <v>2386</v>
      </c>
    </row>
    <row r="136">
      <c r="A136" s="1486" t="s">
        <v>2384</v>
      </c>
      <c r="B136" s="1486" t="s">
        <v>2375</v>
      </c>
      <c r="C136" s="1486" t="s">
        <v>2173</v>
      </c>
      <c r="D136" s="1486"/>
      <c r="E136" s="1486"/>
      <c r="F136" s="1486"/>
      <c r="G136" s="1486"/>
      <c r="H136" s="1486" t="s">
        <v>2361</v>
      </c>
      <c r="I136" s="1486" t="s">
        <v>2387</v>
      </c>
      <c r="J136" s="1486" t="s">
        <v>109</v>
      </c>
      <c r="K136" s="1490" t="s">
        <v>268</v>
      </c>
      <c r="L136" s="1486" t="s">
        <v>394</v>
      </c>
      <c r="M136" s="1486" t="s">
        <v>2388</v>
      </c>
    </row>
    <row r="137">
      <c r="A137" s="1486" t="s">
        <v>2384</v>
      </c>
      <c r="B137" s="1486" t="s">
        <v>2375</v>
      </c>
      <c r="C137" s="1486" t="s">
        <v>2173</v>
      </c>
      <c r="D137" s="1486"/>
      <c r="E137" s="1486"/>
      <c r="F137" s="1486"/>
      <c r="G137" s="1486"/>
      <c r="H137" s="1486" t="s">
        <v>2361</v>
      </c>
      <c r="I137" s="1486" t="s">
        <v>2389</v>
      </c>
      <c r="J137" s="1486" t="s">
        <v>109</v>
      </c>
      <c r="K137" s="1490" t="s">
        <v>268</v>
      </c>
      <c r="L137" s="1486" t="s">
        <v>282</v>
      </c>
      <c r="M137" s="1486" t="s">
        <v>2390</v>
      </c>
    </row>
    <row r="138">
      <c r="A138" s="1486" t="s">
        <v>2384</v>
      </c>
      <c r="B138" s="1486" t="s">
        <v>2375</v>
      </c>
      <c r="C138" s="1486" t="s">
        <v>2173</v>
      </c>
      <c r="D138" s="1486"/>
      <c r="E138" s="1486"/>
      <c r="F138" s="1486"/>
      <c r="G138" s="1486"/>
      <c r="H138" s="1486" t="s">
        <v>2361</v>
      </c>
      <c r="I138" s="1486" t="s">
        <v>2391</v>
      </c>
      <c r="J138" s="1486" t="s">
        <v>109</v>
      </c>
      <c r="K138" s="1490" t="s">
        <v>268</v>
      </c>
      <c r="L138" s="1486" t="s">
        <v>394</v>
      </c>
      <c r="M138" s="1486" t="s">
        <v>2392</v>
      </c>
    </row>
    <row r="139">
      <c r="A139" s="1486" t="s">
        <v>2384</v>
      </c>
      <c r="B139" s="1486" t="s">
        <v>2375</v>
      </c>
      <c r="C139" s="1486" t="s">
        <v>2173</v>
      </c>
      <c r="D139" s="1486"/>
      <c r="E139" s="1486"/>
      <c r="F139" s="1486"/>
      <c r="G139" s="1486"/>
      <c r="H139" s="1486" t="s">
        <v>2361</v>
      </c>
      <c r="I139" s="1486" t="s">
        <v>2393</v>
      </c>
      <c r="J139" s="1486" t="s">
        <v>109</v>
      </c>
      <c r="K139" s="1490" t="s">
        <v>268</v>
      </c>
      <c r="L139" s="1486" t="s">
        <v>282</v>
      </c>
      <c r="M139" s="1486" t="s">
        <v>2394</v>
      </c>
    </row>
    <row r="140">
      <c r="A140" s="1486" t="s">
        <v>2384</v>
      </c>
      <c r="B140" s="1486" t="s">
        <v>2375</v>
      </c>
      <c r="C140" s="1486" t="s">
        <v>2173</v>
      </c>
      <c r="D140" s="1486"/>
      <c r="E140" s="1486"/>
      <c r="F140" s="1486"/>
      <c r="G140" s="1486"/>
      <c r="H140" s="1486" t="s">
        <v>2361</v>
      </c>
      <c r="I140" s="1486" t="s">
        <v>2395</v>
      </c>
      <c r="J140" s="1486" t="s">
        <v>109</v>
      </c>
      <c r="K140" s="1490" t="s">
        <v>268</v>
      </c>
      <c r="L140" s="1486" t="s">
        <v>394</v>
      </c>
      <c r="M140" s="1486" t="s">
        <v>2396</v>
      </c>
    </row>
    <row r="141">
      <c r="A141" s="1486" t="s">
        <v>2384</v>
      </c>
      <c r="B141" s="1486" t="s">
        <v>2375</v>
      </c>
      <c r="C141" s="1486" t="s">
        <v>2173</v>
      </c>
      <c r="D141" s="1486"/>
      <c r="E141" s="1486"/>
      <c r="F141" s="1486"/>
      <c r="G141" s="1486"/>
      <c r="H141" s="1486" t="s">
        <v>2361</v>
      </c>
      <c r="I141" s="1486" t="s">
        <v>2397</v>
      </c>
      <c r="J141" s="1486" t="s">
        <v>109</v>
      </c>
      <c r="K141" s="1490" t="s">
        <v>268</v>
      </c>
      <c r="L141" s="1486" t="s">
        <v>282</v>
      </c>
      <c r="M141" s="1486" t="s">
        <v>2398</v>
      </c>
    </row>
    <row r="142">
      <c r="A142" s="1486" t="s">
        <v>2384</v>
      </c>
      <c r="B142" s="1486" t="s">
        <v>2375</v>
      </c>
      <c r="C142" s="1486" t="s">
        <v>2173</v>
      </c>
      <c r="D142" s="1486"/>
      <c r="E142" s="1486"/>
      <c r="F142" s="1486"/>
      <c r="G142" s="1486"/>
      <c r="H142" s="1486" t="s">
        <v>2361</v>
      </c>
      <c r="I142" s="1486" t="s">
        <v>2399</v>
      </c>
      <c r="J142" s="1486" t="s">
        <v>109</v>
      </c>
      <c r="K142" s="1490" t="s">
        <v>268</v>
      </c>
      <c r="L142" s="1486" t="s">
        <v>282</v>
      </c>
      <c r="M142" s="1486" t="s">
        <v>2400</v>
      </c>
    </row>
    <row r="143">
      <c r="A143" s="1486" t="s">
        <v>2384</v>
      </c>
      <c r="B143" s="1486" t="s">
        <v>2375</v>
      </c>
      <c r="C143" s="1486" t="s">
        <v>2173</v>
      </c>
      <c r="D143" s="1486"/>
      <c r="E143" s="1486"/>
      <c r="F143" s="1486"/>
      <c r="G143" s="1486"/>
      <c r="H143" s="1486" t="s">
        <v>2361</v>
      </c>
      <c r="I143" s="1486" t="s">
        <v>2401</v>
      </c>
      <c r="J143" s="1486" t="s">
        <v>109</v>
      </c>
      <c r="K143" s="1490" t="s">
        <v>268</v>
      </c>
      <c r="L143" s="1486" t="s">
        <v>282</v>
      </c>
      <c r="M143" s="1486" t="s">
        <v>2402</v>
      </c>
    </row>
    <row r="144">
      <c r="A144" s="1486" t="s">
        <v>2384</v>
      </c>
      <c r="B144" s="1486" t="s">
        <v>2375</v>
      </c>
      <c r="C144" s="1486" t="s">
        <v>2173</v>
      </c>
      <c r="D144" s="1486"/>
      <c r="E144" s="1486"/>
      <c r="F144" s="1486"/>
      <c r="G144" s="1486"/>
      <c r="H144" s="1486" t="s">
        <v>2361</v>
      </c>
      <c r="I144" s="1486" t="s">
        <v>2403</v>
      </c>
      <c r="J144" s="1486" t="s">
        <v>109</v>
      </c>
      <c r="K144" s="1490" t="s">
        <v>268</v>
      </c>
      <c r="L144" s="1486" t="s">
        <v>282</v>
      </c>
      <c r="M144" s="1486" t="s">
        <v>2404</v>
      </c>
    </row>
    <row r="145">
      <c r="A145" s="1486" t="s">
        <v>2384</v>
      </c>
      <c r="B145" s="1486" t="s">
        <v>2375</v>
      </c>
      <c r="C145" s="1486" t="s">
        <v>2173</v>
      </c>
      <c r="D145" s="1486"/>
      <c r="E145" s="1486"/>
      <c r="F145" s="1486"/>
      <c r="G145" s="1486"/>
      <c r="H145" s="1486" t="s">
        <v>2361</v>
      </c>
      <c r="I145" s="1486" t="s">
        <v>2405</v>
      </c>
      <c r="J145" s="1486" t="s">
        <v>109</v>
      </c>
      <c r="K145" s="1490" t="s">
        <v>268</v>
      </c>
      <c r="L145" s="1486" t="s">
        <v>282</v>
      </c>
      <c r="M145" s="1486" t="s">
        <v>2406</v>
      </c>
    </row>
    <row r="146">
      <c r="A146" s="1486" t="s">
        <v>2384</v>
      </c>
      <c r="B146" s="1486" t="s">
        <v>2375</v>
      </c>
      <c r="C146" s="1486" t="s">
        <v>2173</v>
      </c>
      <c r="D146" s="1486"/>
      <c r="E146" s="1486"/>
      <c r="F146" s="1486"/>
      <c r="G146" s="1486"/>
      <c r="H146" s="1486" t="s">
        <v>2361</v>
      </c>
      <c r="I146" s="1486" t="s">
        <v>2407</v>
      </c>
      <c r="J146" s="1486" t="s">
        <v>109</v>
      </c>
      <c r="K146" s="1490" t="s">
        <v>268</v>
      </c>
      <c r="L146" s="1486" t="s">
        <v>394</v>
      </c>
      <c r="M146" s="1486" t="s">
        <v>2408</v>
      </c>
    </row>
    <row r="147">
      <c r="A147" s="1486" t="s">
        <v>2384</v>
      </c>
      <c r="B147" s="1486" t="s">
        <v>2375</v>
      </c>
      <c r="C147" s="1486" t="s">
        <v>2173</v>
      </c>
      <c r="D147" s="1486"/>
      <c r="E147" s="1486"/>
      <c r="F147" s="1486"/>
      <c r="G147" s="1486"/>
      <c r="H147" s="1486" t="s">
        <v>2361</v>
      </c>
      <c r="I147" s="1486" t="s">
        <v>2409</v>
      </c>
      <c r="J147" s="1486" t="s">
        <v>109</v>
      </c>
      <c r="K147" s="1490" t="s">
        <v>268</v>
      </c>
      <c r="L147" s="1486" t="s">
        <v>394</v>
      </c>
      <c r="M147" s="1486" t="s">
        <v>2410</v>
      </c>
    </row>
    <row r="148">
      <c r="A148" s="1486" t="s">
        <v>2384</v>
      </c>
      <c r="B148" s="1486" t="s">
        <v>2375</v>
      </c>
      <c r="C148" s="1486" t="s">
        <v>2173</v>
      </c>
      <c r="D148" s="1486"/>
      <c r="E148" s="1486"/>
      <c r="F148" s="1486"/>
      <c r="G148" s="1486"/>
      <c r="H148" s="1486" t="s">
        <v>2361</v>
      </c>
      <c r="I148" s="1486" t="s">
        <v>2411</v>
      </c>
      <c r="J148" s="1486" t="s">
        <v>109</v>
      </c>
      <c r="K148" s="1490" t="s">
        <v>268</v>
      </c>
      <c r="L148" s="1486" t="s">
        <v>282</v>
      </c>
      <c r="M148" s="1486" t="s">
        <v>2412</v>
      </c>
    </row>
    <row r="149">
      <c r="A149" s="1486" t="s">
        <v>2384</v>
      </c>
      <c r="B149" s="1486" t="s">
        <v>2375</v>
      </c>
      <c r="C149" s="1486" t="s">
        <v>2173</v>
      </c>
      <c r="D149" s="1486"/>
      <c r="E149" s="1486"/>
      <c r="F149" s="1486"/>
      <c r="G149" s="1486"/>
      <c r="H149" s="1486" t="s">
        <v>2361</v>
      </c>
      <c r="I149" s="1486" t="s">
        <v>2413</v>
      </c>
      <c r="J149" s="1486" t="s">
        <v>109</v>
      </c>
      <c r="K149" s="1490" t="s">
        <v>268</v>
      </c>
      <c r="L149" s="1486" t="s">
        <v>394</v>
      </c>
      <c r="M149" s="1486" t="s">
        <v>2414</v>
      </c>
    </row>
    <row r="150">
      <c r="A150" s="1486" t="s">
        <v>2384</v>
      </c>
      <c r="B150" s="1486" t="s">
        <v>2375</v>
      </c>
      <c r="C150" s="1486" t="s">
        <v>2173</v>
      </c>
      <c r="D150" s="1486"/>
      <c r="E150" s="1486"/>
      <c r="F150" s="1486"/>
      <c r="G150" s="1486"/>
      <c r="H150" s="1486" t="s">
        <v>2361</v>
      </c>
      <c r="I150" s="1486" t="s">
        <v>2415</v>
      </c>
      <c r="J150" s="1486" t="s">
        <v>109</v>
      </c>
      <c r="K150" s="1490" t="s">
        <v>268</v>
      </c>
      <c r="L150" s="1486" t="s">
        <v>394</v>
      </c>
      <c r="M150" s="1486" t="s">
        <v>2416</v>
      </c>
    </row>
    <row r="151">
      <c r="A151" s="1486" t="s">
        <v>2384</v>
      </c>
      <c r="B151" s="1486" t="s">
        <v>2375</v>
      </c>
      <c r="C151" s="1486" t="s">
        <v>2173</v>
      </c>
      <c r="D151" s="1486"/>
      <c r="E151" s="1486"/>
      <c r="F151" s="1486"/>
      <c r="G151" s="1486"/>
      <c r="H151" s="1486" t="s">
        <v>2361</v>
      </c>
      <c r="I151" s="1486" t="s">
        <v>2417</v>
      </c>
      <c r="J151" s="1486" t="s">
        <v>109</v>
      </c>
      <c r="K151" s="1490" t="s">
        <v>268</v>
      </c>
      <c r="L151" s="1486" t="s">
        <v>282</v>
      </c>
      <c r="M151" s="1486" t="s">
        <v>2418</v>
      </c>
    </row>
    <row r="152">
      <c r="A152" s="1486" t="s">
        <v>2384</v>
      </c>
      <c r="B152" s="1486" t="s">
        <v>2375</v>
      </c>
      <c r="C152" s="1486" t="s">
        <v>2173</v>
      </c>
      <c r="D152" s="1486"/>
      <c r="E152" s="1486"/>
      <c r="F152" s="1486"/>
      <c r="G152" s="1486"/>
      <c r="H152" s="1486" t="s">
        <v>2361</v>
      </c>
      <c r="I152" s="1486" t="s">
        <v>2419</v>
      </c>
      <c r="J152" s="1486" t="s">
        <v>109</v>
      </c>
      <c r="K152" s="1490" t="s">
        <v>268</v>
      </c>
      <c r="L152" s="1486" t="s">
        <v>394</v>
      </c>
      <c r="M152" s="1486" t="s">
        <v>2420</v>
      </c>
    </row>
    <row r="153">
      <c r="A153" s="1486" t="s">
        <v>2384</v>
      </c>
      <c r="B153" s="1486" t="s">
        <v>2375</v>
      </c>
      <c r="C153" s="1486" t="s">
        <v>2173</v>
      </c>
      <c r="D153" s="1486"/>
      <c r="E153" s="1486"/>
      <c r="F153" s="1486"/>
      <c r="G153" s="1486"/>
      <c r="H153" s="1486" t="s">
        <v>2361</v>
      </c>
      <c r="I153" s="1486" t="s">
        <v>2421</v>
      </c>
      <c r="J153" s="1486" t="s">
        <v>109</v>
      </c>
      <c r="K153" s="1490" t="s">
        <v>268</v>
      </c>
      <c r="L153" s="1486" t="s">
        <v>282</v>
      </c>
      <c r="M153" s="1486" t="s">
        <v>2422</v>
      </c>
    </row>
    <row r="154">
      <c r="A154" s="1486" t="s">
        <v>2384</v>
      </c>
      <c r="B154" s="1486" t="s">
        <v>2375</v>
      </c>
      <c r="C154" s="1486" t="s">
        <v>2173</v>
      </c>
      <c r="D154" s="1486"/>
      <c r="E154" s="1486"/>
      <c r="F154" s="1486"/>
      <c r="G154" s="1486"/>
      <c r="H154" s="1486" t="s">
        <v>2361</v>
      </c>
      <c r="I154" s="1486" t="s">
        <v>2423</v>
      </c>
      <c r="J154" s="1486" t="s">
        <v>109</v>
      </c>
      <c r="K154" s="1490" t="s">
        <v>268</v>
      </c>
      <c r="L154" s="1486" t="s">
        <v>282</v>
      </c>
      <c r="M154" s="1486" t="s">
        <v>2424</v>
      </c>
    </row>
    <row r="155">
      <c r="A155" s="1486" t="s">
        <v>2384</v>
      </c>
      <c r="B155" s="1486" t="s">
        <v>2375</v>
      </c>
      <c r="C155" s="1486" t="s">
        <v>2173</v>
      </c>
      <c r="D155" s="1486"/>
      <c r="E155" s="1486"/>
      <c r="F155" s="1486"/>
      <c r="G155" s="1486"/>
      <c r="H155" s="1486" t="s">
        <v>2361</v>
      </c>
      <c r="I155" s="1486" t="s">
        <v>2425</v>
      </c>
      <c r="J155" s="1486" t="s">
        <v>109</v>
      </c>
      <c r="K155" s="1490" t="s">
        <v>268</v>
      </c>
      <c r="L155" s="1486" t="s">
        <v>282</v>
      </c>
      <c r="M155" s="1486" t="s">
        <v>2426</v>
      </c>
    </row>
    <row r="156">
      <c r="A156" s="1486" t="s">
        <v>2384</v>
      </c>
      <c r="B156" s="1486" t="s">
        <v>2375</v>
      </c>
      <c r="C156" s="1486" t="s">
        <v>2173</v>
      </c>
      <c r="D156" s="1486"/>
      <c r="E156" s="1486"/>
      <c r="F156" s="1486"/>
      <c r="G156" s="1486"/>
      <c r="H156" s="1486" t="s">
        <v>2361</v>
      </c>
      <c r="I156" s="1486" t="s">
        <v>2427</v>
      </c>
      <c r="J156" s="1486" t="s">
        <v>109</v>
      </c>
      <c r="K156" s="1490" t="s">
        <v>268</v>
      </c>
      <c r="L156" s="1486" t="s">
        <v>282</v>
      </c>
      <c r="M156" s="1486" t="s">
        <v>2428</v>
      </c>
    </row>
    <row r="157">
      <c r="A157" s="1486" t="s">
        <v>2384</v>
      </c>
      <c r="B157" s="1486" t="s">
        <v>2375</v>
      </c>
      <c r="C157" s="1486" t="s">
        <v>2173</v>
      </c>
      <c r="D157" s="1486"/>
      <c r="E157" s="1486"/>
      <c r="F157" s="1486"/>
      <c r="G157" s="1486"/>
      <c r="H157" s="1486" t="s">
        <v>2361</v>
      </c>
      <c r="I157" s="1486" t="s">
        <v>2429</v>
      </c>
      <c r="J157" s="1486" t="s">
        <v>109</v>
      </c>
      <c r="K157" s="1490" t="s">
        <v>268</v>
      </c>
      <c r="L157" s="1486" t="s">
        <v>394</v>
      </c>
      <c r="M157" s="1486" t="s">
        <v>2430</v>
      </c>
    </row>
    <row r="158">
      <c r="A158" s="1486" t="s">
        <v>2384</v>
      </c>
      <c r="B158" s="1486" t="s">
        <v>2375</v>
      </c>
      <c r="C158" s="1486" t="s">
        <v>2173</v>
      </c>
      <c r="D158" s="1486"/>
      <c r="E158" s="1486"/>
      <c r="F158" s="1486"/>
      <c r="G158" s="1486"/>
      <c r="H158" s="1486" t="s">
        <v>2361</v>
      </c>
      <c r="I158" s="1486" t="s">
        <v>2431</v>
      </c>
      <c r="J158" s="1486" t="s">
        <v>109</v>
      </c>
      <c r="K158" s="1490" t="s">
        <v>268</v>
      </c>
      <c r="L158" s="1486" t="s">
        <v>394</v>
      </c>
      <c r="M158" s="1486" t="s">
        <v>2432</v>
      </c>
    </row>
    <row r="159">
      <c r="A159" s="1486" t="s">
        <v>2384</v>
      </c>
      <c r="B159" s="1486" t="s">
        <v>2375</v>
      </c>
      <c r="C159" s="1486" t="s">
        <v>2173</v>
      </c>
      <c r="D159" s="1486"/>
      <c r="E159" s="1486"/>
      <c r="F159" s="1486"/>
      <c r="G159" s="1486"/>
      <c r="H159" s="1486" t="s">
        <v>2361</v>
      </c>
      <c r="I159" s="1486" t="s">
        <v>2433</v>
      </c>
      <c r="J159" s="1486" t="s">
        <v>109</v>
      </c>
      <c r="K159" s="1490" t="s">
        <v>268</v>
      </c>
      <c r="L159" s="1486" t="s">
        <v>394</v>
      </c>
      <c r="M159" s="1486" t="s">
        <v>2434</v>
      </c>
    </row>
    <row r="160">
      <c r="A160" s="1486" t="s">
        <v>2384</v>
      </c>
      <c r="B160" s="1486" t="s">
        <v>2375</v>
      </c>
      <c r="C160" s="1486" t="s">
        <v>2173</v>
      </c>
      <c r="D160" s="1486"/>
      <c r="E160" s="1486"/>
      <c r="F160" s="1486"/>
      <c r="G160" s="1486"/>
      <c r="H160" s="1486" t="s">
        <v>2361</v>
      </c>
      <c r="I160" s="1486" t="s">
        <v>2435</v>
      </c>
      <c r="J160" s="1486" t="s">
        <v>109</v>
      </c>
      <c r="K160" s="1490" t="s">
        <v>268</v>
      </c>
      <c r="L160" s="1486" t="s">
        <v>282</v>
      </c>
      <c r="M160" s="1486" t="s">
        <v>2436</v>
      </c>
    </row>
    <row r="161">
      <c r="A161" s="1486" t="s">
        <v>2437</v>
      </c>
      <c r="B161" s="1486" t="s">
        <v>2368</v>
      </c>
      <c r="C161" s="1486" t="s">
        <v>2173</v>
      </c>
      <c r="D161" s="1486"/>
      <c r="E161" s="1486"/>
      <c r="F161" s="1486"/>
      <c r="G161" s="1486"/>
      <c r="H161" s="1486" t="s">
        <v>2361</v>
      </c>
      <c r="I161" s="1486" t="s">
        <v>2438</v>
      </c>
      <c r="J161" s="1486" t="s">
        <v>109</v>
      </c>
      <c r="K161" s="1490" t="s">
        <v>268</v>
      </c>
      <c r="L161" s="1486" t="s">
        <v>264</v>
      </c>
      <c r="M161" s="1486" t="s">
        <v>2439</v>
      </c>
    </row>
    <row r="162">
      <c r="A162" s="1486" t="s">
        <v>2440</v>
      </c>
      <c r="B162" s="1486" t="s">
        <v>2368</v>
      </c>
      <c r="C162" s="1486" t="s">
        <v>2173</v>
      </c>
      <c r="D162" s="1486"/>
      <c r="E162" s="1486"/>
      <c r="F162" s="1486"/>
      <c r="G162" s="1486"/>
      <c r="H162" s="1486" t="s">
        <v>2361</v>
      </c>
      <c r="I162" s="1486" t="s">
        <v>2441</v>
      </c>
      <c r="J162" s="1486" t="s">
        <v>109</v>
      </c>
      <c r="K162" s="1490" t="s">
        <v>268</v>
      </c>
      <c r="L162" s="1486" t="s">
        <v>264</v>
      </c>
      <c r="M162" s="1486" t="s">
        <v>2442</v>
      </c>
    </row>
    <row r="163">
      <c r="A163" s="1486" t="s">
        <v>2443</v>
      </c>
      <c r="B163" s="1486" t="s">
        <v>2368</v>
      </c>
      <c r="C163" s="1486" t="s">
        <v>2173</v>
      </c>
      <c r="D163" s="1486"/>
      <c r="E163" s="1486"/>
      <c r="F163" s="1486"/>
      <c r="G163" s="1486"/>
      <c r="H163" s="1486" t="s">
        <v>2361</v>
      </c>
      <c r="I163" s="1486" t="s">
        <v>2444</v>
      </c>
      <c r="J163" s="1486" t="s">
        <v>109</v>
      </c>
      <c r="K163" s="1490" t="s">
        <v>268</v>
      </c>
      <c r="L163" s="1486" t="s">
        <v>264</v>
      </c>
      <c r="M163" s="1486" t="s">
        <v>2445</v>
      </c>
    </row>
    <row r="164">
      <c r="A164" s="1486" t="s">
        <v>2446</v>
      </c>
      <c r="B164" s="1486" t="s">
        <v>2368</v>
      </c>
      <c r="C164" s="1486" t="s">
        <v>2173</v>
      </c>
      <c r="D164" s="1486"/>
      <c r="E164" s="1486"/>
      <c r="F164" s="1486"/>
      <c r="G164" s="1486"/>
      <c r="H164" s="1486" t="s">
        <v>2361</v>
      </c>
      <c r="I164" s="1486" t="s">
        <v>2447</v>
      </c>
      <c r="J164" s="1486" t="s">
        <v>109</v>
      </c>
      <c r="K164" s="1490" t="s">
        <v>268</v>
      </c>
      <c r="L164" s="1486" t="s">
        <v>264</v>
      </c>
      <c r="M164" s="1486" t="s">
        <v>2448</v>
      </c>
    </row>
    <row r="165">
      <c r="A165" s="1486" t="s">
        <v>2449</v>
      </c>
      <c r="B165" s="1486" t="s">
        <v>2368</v>
      </c>
      <c r="C165" s="1486" t="s">
        <v>2173</v>
      </c>
      <c r="D165" s="1486"/>
      <c r="E165" s="1486"/>
      <c r="F165" s="1486"/>
      <c r="G165" s="1486"/>
      <c r="H165" s="1486" t="s">
        <v>2361</v>
      </c>
      <c r="I165" s="1486" t="s">
        <v>2450</v>
      </c>
      <c r="J165" s="1486" t="s">
        <v>109</v>
      </c>
      <c r="K165" s="1490" t="s">
        <v>268</v>
      </c>
      <c r="L165" s="1486" t="s">
        <v>2451</v>
      </c>
      <c r="M165" s="1486" t="s">
        <v>2452</v>
      </c>
    </row>
    <row r="166">
      <c r="A166" s="1486" t="s">
        <v>2453</v>
      </c>
      <c r="B166" s="1486" t="s">
        <v>2368</v>
      </c>
      <c r="C166" s="1486" t="s">
        <v>2173</v>
      </c>
      <c r="D166" s="1486"/>
      <c r="E166" s="1486"/>
      <c r="F166" s="1486"/>
      <c r="G166" s="1486"/>
      <c r="H166" s="1486" t="s">
        <v>2361</v>
      </c>
      <c r="I166" s="1486" t="s">
        <v>2454</v>
      </c>
      <c r="J166" s="1486" t="s">
        <v>109</v>
      </c>
      <c r="K166" s="1490" t="s">
        <v>268</v>
      </c>
      <c r="L166" s="1486" t="s">
        <v>407</v>
      </c>
      <c r="M166" s="1486" t="s">
        <v>2455</v>
      </c>
    </row>
    <row r="167">
      <c r="A167" s="1486" t="s">
        <v>2456</v>
      </c>
      <c r="B167" s="1486" t="s">
        <v>2368</v>
      </c>
      <c r="C167" s="1486" t="s">
        <v>2173</v>
      </c>
      <c r="D167" s="1486"/>
      <c r="E167" s="1486"/>
      <c r="F167" s="1486"/>
      <c r="G167" s="1486"/>
      <c r="H167" s="1486" t="s">
        <v>2361</v>
      </c>
      <c r="I167" s="1486" t="s">
        <v>2457</v>
      </c>
      <c r="J167" s="1486" t="s">
        <v>109</v>
      </c>
      <c r="K167" s="1490" t="s">
        <v>268</v>
      </c>
      <c r="L167" s="1486" t="s">
        <v>264</v>
      </c>
      <c r="M167" s="1486" t="s">
        <v>2458</v>
      </c>
    </row>
    <row r="168">
      <c r="A168" s="1486" t="s">
        <v>2459</v>
      </c>
      <c r="B168" s="1486" t="s">
        <v>2368</v>
      </c>
      <c r="C168" s="1486" t="s">
        <v>2173</v>
      </c>
      <c r="D168" s="1486"/>
      <c r="E168" s="1486"/>
      <c r="F168" s="1486"/>
      <c r="G168" s="1486"/>
      <c r="H168" s="1486" t="s">
        <v>2361</v>
      </c>
      <c r="I168" s="1486" t="s">
        <v>2457</v>
      </c>
      <c r="J168" s="1486" t="s">
        <v>109</v>
      </c>
      <c r="K168" s="1490" t="s">
        <v>268</v>
      </c>
      <c r="L168" s="1486" t="s">
        <v>264</v>
      </c>
      <c r="M168" s="1486" t="s">
        <v>2460</v>
      </c>
    </row>
    <row r="169">
      <c r="A169" s="1486" t="s">
        <v>2461</v>
      </c>
      <c r="B169" s="1486" t="s">
        <v>2368</v>
      </c>
      <c r="C169" s="1486" t="s">
        <v>2173</v>
      </c>
      <c r="D169" s="1486"/>
      <c r="E169" s="1486"/>
      <c r="F169" s="1486"/>
      <c r="G169" s="1486"/>
      <c r="H169" s="1486" t="s">
        <v>2361</v>
      </c>
      <c r="I169" s="1486" t="s">
        <v>2457</v>
      </c>
      <c r="J169" s="1486" t="s">
        <v>109</v>
      </c>
      <c r="K169" s="1490" t="s">
        <v>268</v>
      </c>
      <c r="L169" s="1486" t="s">
        <v>264</v>
      </c>
      <c r="M169" s="1486" t="s">
        <v>2462</v>
      </c>
    </row>
    <row r="170">
      <c r="A170" s="1486" t="s">
        <v>2463</v>
      </c>
      <c r="B170" s="1486" t="s">
        <v>2368</v>
      </c>
      <c r="C170" s="1486" t="s">
        <v>2173</v>
      </c>
      <c r="D170" s="1486"/>
      <c r="E170" s="1486"/>
      <c r="F170" s="1486"/>
      <c r="G170" s="1486"/>
      <c r="H170" s="1486" t="s">
        <v>2361</v>
      </c>
      <c r="I170" s="1486" t="s">
        <v>2457</v>
      </c>
      <c r="J170" s="1486" t="s">
        <v>109</v>
      </c>
      <c r="K170" s="1490" t="s">
        <v>268</v>
      </c>
      <c r="L170" s="1486" t="s">
        <v>264</v>
      </c>
      <c r="M170" s="1486" t="s">
        <v>2464</v>
      </c>
    </row>
    <row r="171">
      <c r="A171" s="1486" t="s">
        <v>2465</v>
      </c>
      <c r="B171" s="1486" t="s">
        <v>2368</v>
      </c>
      <c r="C171" s="1486" t="s">
        <v>2173</v>
      </c>
      <c r="D171" s="1486"/>
      <c r="E171" s="1486"/>
      <c r="F171" s="1486"/>
      <c r="G171" s="1486"/>
      <c r="H171" s="1486" t="s">
        <v>2361</v>
      </c>
      <c r="I171" s="1486" t="s">
        <v>2466</v>
      </c>
      <c r="J171" s="1486" t="s">
        <v>109</v>
      </c>
      <c r="K171" s="1490" t="s">
        <v>268</v>
      </c>
      <c r="L171" s="1486" t="s">
        <v>447</v>
      </c>
      <c r="M171" s="1486" t="s">
        <v>2467</v>
      </c>
    </row>
    <row r="172">
      <c r="A172" s="1486" t="s">
        <v>2468</v>
      </c>
      <c r="B172" s="1486" t="s">
        <v>2368</v>
      </c>
      <c r="C172" s="1486" t="s">
        <v>2173</v>
      </c>
      <c r="D172" s="1486"/>
      <c r="E172" s="1486"/>
      <c r="F172" s="1486"/>
      <c r="G172" s="1486"/>
      <c r="H172" s="1486" t="s">
        <v>2361</v>
      </c>
      <c r="I172" s="1486" t="s">
        <v>2469</v>
      </c>
      <c r="J172" s="1486" t="s">
        <v>109</v>
      </c>
      <c r="K172" s="1490" t="s">
        <v>268</v>
      </c>
      <c r="L172" s="1486" t="s">
        <v>394</v>
      </c>
      <c r="M172" s="1486" t="s">
        <v>2470</v>
      </c>
    </row>
    <row r="173">
      <c r="A173" s="1486" t="s">
        <v>2471</v>
      </c>
      <c r="B173" s="1486" t="s">
        <v>2360</v>
      </c>
      <c r="C173" s="1486" t="s">
        <v>2173</v>
      </c>
      <c r="D173" s="1486"/>
      <c r="E173" s="1486"/>
      <c r="F173" s="1486"/>
      <c r="G173" s="1486"/>
      <c r="H173" s="1486" t="s">
        <v>2361</v>
      </c>
      <c r="I173" s="1486" t="s">
        <v>2472</v>
      </c>
      <c r="J173" s="1486" t="s">
        <v>109</v>
      </c>
      <c r="K173" s="1490" t="s">
        <v>268</v>
      </c>
      <c r="L173" s="1486" t="s">
        <v>447</v>
      </c>
      <c r="M173" s="1486" t="s">
        <v>2473</v>
      </c>
    </row>
    <row r="174">
      <c r="A174" s="1486" t="s">
        <v>2474</v>
      </c>
      <c r="B174" s="1486" t="s">
        <v>2360</v>
      </c>
      <c r="C174" s="1486" t="s">
        <v>2173</v>
      </c>
      <c r="D174" s="1486"/>
      <c r="E174" s="1486"/>
      <c r="F174" s="1486"/>
      <c r="G174" s="1486"/>
      <c r="H174" s="1486" t="s">
        <v>2361</v>
      </c>
      <c r="I174" s="1486" t="s">
        <v>2475</v>
      </c>
      <c r="J174" s="1486" t="s">
        <v>109</v>
      </c>
      <c r="K174" s="1490" t="s">
        <v>268</v>
      </c>
      <c r="L174" s="1486" t="s">
        <v>282</v>
      </c>
      <c r="M174" s="1486" t="s">
        <v>2476</v>
      </c>
    </row>
    <row r="175">
      <c r="A175" s="1486" t="s">
        <v>2477</v>
      </c>
      <c r="B175" s="1486" t="s">
        <v>2375</v>
      </c>
      <c r="C175" s="1486" t="s">
        <v>2173</v>
      </c>
      <c r="D175" s="1486"/>
      <c r="E175" s="1486"/>
      <c r="F175" s="1486"/>
      <c r="G175" s="1486"/>
      <c r="H175" s="1486" t="s">
        <v>2361</v>
      </c>
      <c r="I175" s="1486" t="s">
        <v>2478</v>
      </c>
      <c r="J175" s="1486" t="s">
        <v>109</v>
      </c>
      <c r="K175" s="1490" t="s">
        <v>268</v>
      </c>
      <c r="L175" s="1486" t="s">
        <v>447</v>
      </c>
      <c r="M175" s="1486" t="s">
        <v>120</v>
      </c>
    </row>
    <row r="176">
      <c r="A176" s="1486" t="s">
        <v>2479</v>
      </c>
      <c r="B176" s="1486" t="s">
        <v>2480</v>
      </c>
      <c r="C176" s="1486" t="s">
        <v>2173</v>
      </c>
      <c r="D176" s="1486"/>
      <c r="E176" s="1486"/>
      <c r="F176" s="1486"/>
      <c r="G176" s="1486"/>
      <c r="H176" s="1486" t="s">
        <v>2361</v>
      </c>
      <c r="I176" s="1486" t="s">
        <v>2481</v>
      </c>
      <c r="J176" s="1487" t="s">
        <v>2482</v>
      </c>
      <c r="K176" s="1490" t="s">
        <v>268</v>
      </c>
      <c r="L176" s="1486" t="s">
        <v>264</v>
      </c>
      <c r="M176" s="1486" t="s">
        <v>2483</v>
      </c>
    </row>
    <row r="177">
      <c r="A177" s="1486" t="s">
        <v>2484</v>
      </c>
      <c r="B177" s="1486" t="s">
        <v>2480</v>
      </c>
      <c r="C177" s="1486" t="s">
        <v>2173</v>
      </c>
      <c r="D177" s="1486"/>
      <c r="E177" s="1486"/>
      <c r="F177" s="1486"/>
      <c r="G177" s="1486"/>
      <c r="H177" s="1486" t="s">
        <v>2361</v>
      </c>
      <c r="I177" s="1486" t="s">
        <v>2481</v>
      </c>
      <c r="J177" s="1487" t="s">
        <v>2482</v>
      </c>
      <c r="K177" s="1490" t="s">
        <v>268</v>
      </c>
      <c r="L177" s="1486" t="s">
        <v>264</v>
      </c>
      <c r="M177" s="1486" t="s">
        <v>2485</v>
      </c>
    </row>
    <row r="178">
      <c r="A178" s="1486" t="s">
        <v>2486</v>
      </c>
      <c r="B178" s="1486" t="s">
        <v>2480</v>
      </c>
      <c r="C178" s="1486" t="s">
        <v>2173</v>
      </c>
      <c r="D178" s="1486"/>
      <c r="E178" s="1486"/>
      <c r="F178" s="1486"/>
      <c r="G178" s="1486"/>
      <c r="H178" s="1486" t="s">
        <v>2361</v>
      </c>
      <c r="I178" s="1486" t="s">
        <v>2481</v>
      </c>
      <c r="J178" s="1487" t="s">
        <v>2482</v>
      </c>
      <c r="K178" s="1488" t="s">
        <v>2312</v>
      </c>
      <c r="L178" s="1486" t="s">
        <v>264</v>
      </c>
      <c r="M178" s="1486" t="s">
        <v>2487</v>
      </c>
    </row>
    <row r="179">
      <c r="A179" s="1486" t="s">
        <v>2488</v>
      </c>
      <c r="B179" s="1486" t="s">
        <v>2480</v>
      </c>
      <c r="C179" s="1486" t="s">
        <v>2173</v>
      </c>
      <c r="D179" s="1486"/>
      <c r="E179" s="1486"/>
      <c r="F179" s="1486"/>
      <c r="G179" s="1486"/>
      <c r="H179" s="1486" t="s">
        <v>2361</v>
      </c>
      <c r="I179" s="1486" t="s">
        <v>2481</v>
      </c>
      <c r="J179" s="1487" t="s">
        <v>2482</v>
      </c>
      <c r="K179" s="1490" t="s">
        <v>268</v>
      </c>
      <c r="L179" s="1486" t="s">
        <v>264</v>
      </c>
      <c r="M179" s="1486" t="s">
        <v>2489</v>
      </c>
    </row>
    <row r="180">
      <c r="A180" s="1486" t="s">
        <v>2490</v>
      </c>
      <c r="B180" s="1486" t="s">
        <v>2480</v>
      </c>
      <c r="C180" s="1486" t="s">
        <v>2173</v>
      </c>
      <c r="D180" s="1486"/>
      <c r="E180" s="1486"/>
      <c r="F180" s="1486"/>
      <c r="G180" s="1486"/>
      <c r="H180" s="1486" t="s">
        <v>2361</v>
      </c>
      <c r="I180" s="1486" t="s">
        <v>2481</v>
      </c>
      <c r="J180" s="1487" t="s">
        <v>2482</v>
      </c>
      <c r="K180" s="1488" t="s">
        <v>2312</v>
      </c>
      <c r="L180" s="1486" t="s">
        <v>264</v>
      </c>
      <c r="M180" s="1486" t="s">
        <v>2491</v>
      </c>
    </row>
    <row r="181">
      <c r="A181" s="1486" t="s">
        <v>2492</v>
      </c>
      <c r="B181" s="1486" t="s">
        <v>2480</v>
      </c>
      <c r="C181" s="1486" t="s">
        <v>2173</v>
      </c>
      <c r="D181" s="1486"/>
      <c r="E181" s="1486"/>
      <c r="F181" s="1486"/>
      <c r="G181" s="1486"/>
      <c r="H181" s="1486" t="s">
        <v>2361</v>
      </c>
      <c r="I181" s="1486" t="s">
        <v>2481</v>
      </c>
      <c r="J181" s="1487" t="s">
        <v>2482</v>
      </c>
      <c r="K181" s="1488" t="s">
        <v>2312</v>
      </c>
      <c r="L181" s="1486" t="s">
        <v>264</v>
      </c>
      <c r="M181" s="1486" t="s">
        <v>2493</v>
      </c>
    </row>
    <row r="182">
      <c r="A182" s="1486" t="s">
        <v>2494</v>
      </c>
      <c r="B182" s="1486" t="s">
        <v>2480</v>
      </c>
      <c r="C182" s="1486" t="s">
        <v>2173</v>
      </c>
      <c r="D182" s="1486"/>
      <c r="E182" s="1486"/>
      <c r="F182" s="1486"/>
      <c r="G182" s="1486"/>
      <c r="H182" s="1486" t="s">
        <v>2361</v>
      </c>
      <c r="I182" s="1486" t="s">
        <v>2481</v>
      </c>
      <c r="J182" s="1487" t="s">
        <v>2482</v>
      </c>
      <c r="K182" s="1490" t="s">
        <v>268</v>
      </c>
      <c r="L182" s="1486" t="s">
        <v>264</v>
      </c>
      <c r="M182" s="1486" t="s">
        <v>2495</v>
      </c>
    </row>
    <row r="183">
      <c r="A183" s="1486" t="s">
        <v>2496</v>
      </c>
      <c r="B183" s="1486" t="s">
        <v>2480</v>
      </c>
      <c r="C183" s="1486" t="s">
        <v>2173</v>
      </c>
      <c r="D183" s="1486"/>
      <c r="E183" s="1486"/>
      <c r="F183" s="1486"/>
      <c r="G183" s="1486"/>
      <c r="H183" s="1486" t="s">
        <v>2361</v>
      </c>
      <c r="I183" s="1486" t="s">
        <v>2481</v>
      </c>
      <c r="J183" s="1487" t="s">
        <v>2482</v>
      </c>
      <c r="K183" s="1490" t="s">
        <v>268</v>
      </c>
      <c r="L183" s="1486" t="s">
        <v>264</v>
      </c>
      <c r="M183" s="1486" t="s">
        <v>2497</v>
      </c>
    </row>
    <row r="184">
      <c r="A184" s="1486" t="s">
        <v>2498</v>
      </c>
      <c r="B184" s="1486" t="s">
        <v>2480</v>
      </c>
      <c r="C184" s="1486" t="s">
        <v>2173</v>
      </c>
      <c r="D184" s="1486"/>
      <c r="E184" s="1486"/>
      <c r="F184" s="1486"/>
      <c r="G184" s="1486"/>
      <c r="H184" s="1486" t="s">
        <v>2361</v>
      </c>
      <c r="I184" s="1486" t="s">
        <v>2481</v>
      </c>
      <c r="J184" s="1487" t="s">
        <v>2482</v>
      </c>
      <c r="K184" s="1490" t="s">
        <v>268</v>
      </c>
      <c r="L184" s="1486" t="s">
        <v>264</v>
      </c>
      <c r="M184" s="1486" t="s">
        <v>2499</v>
      </c>
    </row>
    <row r="185">
      <c r="A185" s="1486" t="s">
        <v>2500</v>
      </c>
      <c r="B185" s="1486" t="s">
        <v>2480</v>
      </c>
      <c r="C185" s="1486" t="s">
        <v>2173</v>
      </c>
      <c r="D185" s="1486"/>
      <c r="E185" s="1486"/>
      <c r="F185" s="1486"/>
      <c r="G185" s="1486"/>
      <c r="H185" s="1486" t="s">
        <v>2361</v>
      </c>
      <c r="I185" s="1486" t="s">
        <v>2481</v>
      </c>
      <c r="J185" s="1487" t="s">
        <v>2482</v>
      </c>
      <c r="K185" s="1488" t="s">
        <v>2312</v>
      </c>
      <c r="L185" s="1486" t="s">
        <v>264</v>
      </c>
      <c r="M185" s="1486" t="s">
        <v>2501</v>
      </c>
    </row>
    <row r="186">
      <c r="A186" s="1486" t="s">
        <v>2502</v>
      </c>
      <c r="B186" s="1486" t="s">
        <v>2480</v>
      </c>
      <c r="C186" s="1486" t="s">
        <v>2173</v>
      </c>
      <c r="D186" s="1486"/>
      <c r="E186" s="1486"/>
      <c r="F186" s="1486"/>
      <c r="G186" s="1486"/>
      <c r="H186" s="1486" t="s">
        <v>2198</v>
      </c>
      <c r="I186" s="1486" t="s">
        <v>2481</v>
      </c>
      <c r="J186" s="1487" t="s">
        <v>2482</v>
      </c>
      <c r="K186" s="1490" t="s">
        <v>268</v>
      </c>
      <c r="L186" s="1486" t="s">
        <v>264</v>
      </c>
      <c r="M186" s="1486" t="s">
        <v>2503</v>
      </c>
    </row>
    <row r="187">
      <c r="A187" s="1486" t="s">
        <v>2504</v>
      </c>
      <c r="B187" s="1486" t="s">
        <v>2480</v>
      </c>
      <c r="C187" s="1486" t="s">
        <v>2173</v>
      </c>
      <c r="D187" s="1486"/>
      <c r="E187" s="1486"/>
      <c r="F187" s="1486"/>
      <c r="G187" s="1486"/>
      <c r="H187" s="1486" t="s">
        <v>2361</v>
      </c>
      <c r="I187" s="1486" t="s">
        <v>2481</v>
      </c>
      <c r="J187" s="1487" t="s">
        <v>2482</v>
      </c>
      <c r="K187" s="1490" t="s">
        <v>268</v>
      </c>
      <c r="L187" s="1486" t="s">
        <v>264</v>
      </c>
      <c r="M187" s="1486" t="s">
        <v>2505</v>
      </c>
    </row>
    <row r="188">
      <c r="A188" s="1486" t="s">
        <v>2506</v>
      </c>
      <c r="B188" s="1486" t="s">
        <v>2480</v>
      </c>
      <c r="C188" s="1486" t="s">
        <v>2173</v>
      </c>
      <c r="D188" s="1486"/>
      <c r="E188" s="1486"/>
      <c r="F188" s="1486"/>
      <c r="G188" s="1486"/>
      <c r="H188" s="1486" t="s">
        <v>2361</v>
      </c>
      <c r="I188" s="1486" t="s">
        <v>2481</v>
      </c>
      <c r="J188" s="1487" t="s">
        <v>2482</v>
      </c>
      <c r="K188" s="1490" t="s">
        <v>268</v>
      </c>
      <c r="L188" s="1486" t="s">
        <v>264</v>
      </c>
      <c r="M188" s="1486" t="s">
        <v>2507</v>
      </c>
    </row>
    <row r="189">
      <c r="A189" s="1486" t="s">
        <v>2508</v>
      </c>
      <c r="B189" s="1486" t="s">
        <v>2480</v>
      </c>
      <c r="C189" s="1486" t="s">
        <v>2173</v>
      </c>
      <c r="D189" s="1486"/>
      <c r="E189" s="1486"/>
      <c r="F189" s="1486"/>
      <c r="G189" s="1486"/>
      <c r="H189" s="1486" t="s">
        <v>2310</v>
      </c>
      <c r="I189" s="1486" t="s">
        <v>2481</v>
      </c>
      <c r="J189" s="1487" t="s">
        <v>2482</v>
      </c>
      <c r="K189" s="1490" t="s">
        <v>268</v>
      </c>
      <c r="L189" s="1486" t="s">
        <v>264</v>
      </c>
      <c r="M189" s="1486" t="s">
        <v>2509</v>
      </c>
    </row>
    <row r="190">
      <c r="A190" s="1486" t="s">
        <v>2510</v>
      </c>
      <c r="B190" s="1486" t="s">
        <v>2480</v>
      </c>
      <c r="C190" s="1486" t="s">
        <v>2173</v>
      </c>
      <c r="D190" s="1486"/>
      <c r="E190" s="1486"/>
      <c r="F190" s="1486"/>
      <c r="G190" s="1486"/>
      <c r="H190" s="1486" t="s">
        <v>2511</v>
      </c>
      <c r="I190" s="1486" t="s">
        <v>2481</v>
      </c>
      <c r="J190" s="1487" t="s">
        <v>2482</v>
      </c>
      <c r="K190" s="1490" t="s">
        <v>268</v>
      </c>
      <c r="L190" s="1486" t="s">
        <v>264</v>
      </c>
      <c r="M190" s="1486" t="s">
        <v>2512</v>
      </c>
    </row>
  </sheetData>
</worksheet>
</file>

<file path=xl/worksheets/sheet10.xml><?xml version="1.0" encoding="utf-8"?>
<worksheet xmlns="http://schemas.openxmlformats.org/spreadsheetml/2006/main" xmlns:r="http://schemas.openxmlformats.org/officeDocument/2006/relationships">
  <dimension ref="A1:H45"/>
  <sheetViews>
    <sheetView showGridLines="0" workbookViewId="0"/>
  </sheetViews>
  <sheetFormatPr defaultColWidth="8.375" defaultRowHeight="15"/>
  <cols>
    <col min="1" max="4" width="16.875" customWidth="1"/>
    <col min="5" max="5" width="59.375" customWidth="1"/>
    <col min="6" max="8" width="16.875" customWidth="1"/>
  </cols>
  <sheetData>
    <row r="1">
      <c r="A1" s="1489" t="s">
        <v>0</v>
      </c>
      <c r="B1" s="1486"/>
      <c r="C1" s="1486"/>
      <c r="D1" s="1486"/>
      <c r="E1" s="1486"/>
      <c r="F1" s="1486"/>
      <c r="G1" s="1486"/>
      <c r="H1" s="1486"/>
    </row>
    <row r="2">
      <c r="A2" s="1486" t="s">
        <v>2513</v>
      </c>
      <c r="B2" s="1486"/>
      <c r="C2" s="1486"/>
      <c r="D2" s="1486"/>
      <c r="E2" s="1486"/>
      <c r="F2" s="1486"/>
      <c r="G2" s="1486"/>
      <c r="H2" s="1486"/>
    </row>
    <row r="3">
      <c r="A3" s="1488" t="s">
        <v>2514</v>
      </c>
      <c r="B3" s="1488"/>
      <c r="C3" s="1488"/>
      <c r="D3" s="1488"/>
      <c r="E3" s="1488"/>
      <c r="F3" s="1488"/>
      <c r="G3" s="1488"/>
      <c r="H3" s="1488"/>
    </row>
    <row r="4">
      <c r="A4" s="1486"/>
      <c r="B4" s="1486"/>
      <c r="C4" s="1486"/>
      <c r="D4" s="1486"/>
      <c r="E4" s="1486"/>
      <c r="F4" s="1486"/>
      <c r="G4" s="1486"/>
      <c r="H4" s="1486"/>
    </row>
    <row r="5">
      <c r="A5" s="1486"/>
      <c r="B5" s="1486"/>
      <c r="C5" s="1486"/>
      <c r="D5" s="1486"/>
      <c r="E5" s="1486"/>
      <c r="F5" s="1486"/>
      <c r="G5" s="1486"/>
      <c r="H5" s="1486"/>
    </row>
    <row r="6">
      <c r="A6" s="1486"/>
      <c r="B6" s="1486"/>
      <c r="C6" s="1486"/>
      <c r="D6" s="1486"/>
      <c r="E6" s="1486"/>
      <c r="F6" s="1486"/>
      <c r="G6" s="1486"/>
      <c r="H6" s="1486"/>
    </row>
    <row r="7">
      <c r="A7" s="1486"/>
      <c r="B7" s="1486"/>
      <c r="C7" s="1486"/>
      <c r="D7" s="1486"/>
      <c r="E7" s="1486"/>
      <c r="F7" s="1486"/>
      <c r="G7" s="1486"/>
      <c r="H7" s="1486"/>
    </row>
    <row r="8">
      <c r="A8" s="1486"/>
      <c r="B8" s="1486"/>
      <c r="C8" s="1486"/>
      <c r="D8" s="1486"/>
      <c r="E8" s="1486"/>
      <c r="F8" s="1486"/>
      <c r="G8" s="1486"/>
      <c r="H8" s="1486"/>
    </row>
    <row r="9">
      <c r="A9" s="1486"/>
      <c r="B9" s="1486"/>
      <c r="C9" s="1486"/>
      <c r="D9" s="1486"/>
      <c r="E9" s="1486"/>
      <c r="F9" s="1486"/>
      <c r="G9" s="1486"/>
      <c r="H9" s="1486"/>
    </row>
    <row r="10">
      <c r="A10" s="1486"/>
      <c r="B10" s="1486"/>
      <c r="C10" s="1486"/>
      <c r="D10" s="1486"/>
      <c r="E10" s="1486"/>
      <c r="F10" s="1486"/>
      <c r="G10" s="1486"/>
      <c r="H10" s="1486"/>
    </row>
    <row r="11">
      <c r="A11" s="1486"/>
      <c r="B11" s="1486"/>
      <c r="C11" s="1486"/>
      <c r="D11" s="1486"/>
      <c r="E11" s="1486"/>
      <c r="F11" s="1486"/>
      <c r="G11" s="1486"/>
      <c r="H11" s="1486"/>
    </row>
    <row r="12">
      <c r="A12" s="1486"/>
      <c r="B12" s="1486"/>
      <c r="C12" s="1486"/>
      <c r="D12" s="1486"/>
      <c r="E12" s="1486"/>
      <c r="F12" s="1486"/>
      <c r="G12" s="1486"/>
      <c r="H12" s="1486"/>
    </row>
    <row r="13">
      <c r="A13" s="1486"/>
      <c r="B13" s="1486"/>
      <c r="C13" s="1486"/>
      <c r="D13" s="1486"/>
      <c r="E13" s="1486"/>
      <c r="F13" s="1486"/>
      <c r="G13" s="1486"/>
      <c r="H13" s="1486"/>
    </row>
    <row r="14">
      <c r="A14" s="1486"/>
      <c r="B14" s="1486"/>
      <c r="C14" s="1486"/>
      <c r="D14" s="1486"/>
      <c r="E14" s="1486"/>
      <c r="F14" s="1486"/>
      <c r="G14" s="1486"/>
      <c r="H14" s="1486"/>
    </row>
    <row r="15">
      <c r="A15" s="1486"/>
      <c r="B15" s="1486"/>
      <c r="C15" s="1486"/>
      <c r="D15" s="1486"/>
      <c r="E15" s="1486"/>
      <c r="F15" s="1486"/>
      <c r="G15" s="1486"/>
      <c r="H15" s="1486"/>
    </row>
    <row r="16">
      <c r="A16" s="1486"/>
      <c r="B16" s="1486"/>
      <c r="C16" s="1486"/>
      <c r="D16" s="1486"/>
      <c r="E16" s="1486"/>
      <c r="F16" s="1486"/>
      <c r="G16" s="1486"/>
      <c r="H16" s="1486"/>
    </row>
    <row r="17">
      <c r="A17" s="1486"/>
      <c r="B17" s="1486"/>
      <c r="C17" s="1486"/>
      <c r="D17" s="1486"/>
      <c r="E17" s="1486"/>
      <c r="F17" s="1486"/>
      <c r="G17" s="1486"/>
      <c r="H17" s="1486"/>
    </row>
    <row r="18">
      <c r="A18" s="1486"/>
      <c r="B18" s="1487"/>
      <c r="C18" s="1486"/>
      <c r="D18" s="1486"/>
      <c r="E18" s="1486"/>
      <c r="F18" s="1486"/>
      <c r="G18" s="1486"/>
      <c r="H18" s="1486"/>
    </row>
    <row r="19">
      <c r="A19" s="1486"/>
      <c r="B19" s="1487"/>
      <c r="C19" s="1486"/>
      <c r="D19" s="1486"/>
      <c r="E19" s="1486"/>
      <c r="F19" s="1486"/>
      <c r="G19" s="1486"/>
      <c r="H19" s="1486"/>
    </row>
    <row r="20">
      <c r="A20" s="1486"/>
      <c r="B20" s="1487"/>
      <c r="C20" s="1486"/>
      <c r="D20" s="1486"/>
      <c r="E20" s="1486"/>
      <c r="F20" s="1486"/>
      <c r="G20" s="1486"/>
      <c r="H20" s="1486"/>
    </row>
    <row r="21">
      <c r="A21" s="1486"/>
      <c r="B21" s="1487"/>
      <c r="C21" s="1486"/>
      <c r="D21" s="1486"/>
      <c r="E21" s="1486"/>
      <c r="F21" s="1486"/>
      <c r="G21" s="1486"/>
      <c r="H21" s="1486"/>
    </row>
    <row r="22">
      <c r="A22" s="1486"/>
      <c r="B22" s="1487"/>
      <c r="C22" s="1486"/>
      <c r="D22" s="1486"/>
      <c r="E22" s="1486"/>
      <c r="F22" s="1486"/>
      <c r="G22" s="1486"/>
      <c r="H22" s="1486"/>
    </row>
    <row r="23">
      <c r="A23" s="1486"/>
      <c r="B23" s="1487"/>
      <c r="C23" s="1486"/>
      <c r="D23" s="1486"/>
      <c r="E23" s="1486"/>
      <c r="F23" s="1486"/>
      <c r="G23" s="1486"/>
      <c r="H23" s="1486"/>
    </row>
    <row r="24">
      <c r="A24" s="1486"/>
      <c r="B24" s="1487"/>
      <c r="C24" s="1486"/>
      <c r="D24" s="1486"/>
      <c r="E24" s="1486"/>
      <c r="F24" s="1486"/>
      <c r="G24" s="1486"/>
      <c r="H24" s="1486"/>
    </row>
    <row r="25">
      <c r="A25" s="1486"/>
      <c r="B25" s="1487"/>
      <c r="C25" s="1486"/>
      <c r="D25" s="1486"/>
      <c r="E25" s="1486"/>
      <c r="F25" s="1486"/>
      <c r="G25" s="1486"/>
      <c r="H25" s="1486"/>
    </row>
    <row r="26">
      <c r="A26" s="1486"/>
      <c r="B26" s="1487"/>
      <c r="C26" s="1486"/>
      <c r="D26" s="1486"/>
      <c r="E26" s="1486"/>
      <c r="F26" s="1486"/>
      <c r="G26" s="1486"/>
      <c r="H26" s="1486"/>
    </row>
    <row r="27">
      <c r="A27" s="1486"/>
      <c r="B27" s="1487"/>
      <c r="C27" s="1486"/>
      <c r="D27" s="1486"/>
      <c r="E27" s="1486"/>
      <c r="F27" s="1486"/>
      <c r="G27" s="1486"/>
      <c r="H27" s="1486"/>
    </row>
    <row r="28">
      <c r="A28" s="1486"/>
      <c r="B28" s="1487"/>
      <c r="C28" s="1486"/>
      <c r="D28" s="1486"/>
      <c r="E28" s="1486"/>
      <c r="F28" s="1486"/>
      <c r="G28" s="1486"/>
      <c r="H28" s="1486"/>
    </row>
    <row r="29">
      <c r="A29" s="1486"/>
      <c r="B29" s="1487"/>
      <c r="C29" s="1486"/>
      <c r="D29" s="1486"/>
      <c r="E29" s="1486"/>
      <c r="F29" s="1486"/>
      <c r="G29" s="1486"/>
      <c r="H29" s="1486"/>
    </row>
    <row r="30">
      <c r="A30" s="1486"/>
      <c r="B30" s="1487"/>
      <c r="C30" s="1486"/>
      <c r="D30" s="1486"/>
      <c r="E30" s="1486"/>
      <c r="F30" s="1486"/>
      <c r="G30" s="1486"/>
      <c r="H30" s="1486"/>
    </row>
    <row r="31">
      <c r="A31" s="1486"/>
      <c r="B31" s="1487"/>
      <c r="C31" s="1486"/>
      <c r="D31" s="1486"/>
      <c r="E31" s="1486"/>
      <c r="F31" s="1486"/>
      <c r="G31" s="1486"/>
      <c r="H31" s="1486"/>
    </row>
    <row r="32">
      <c r="A32" s="1486"/>
      <c r="B32" s="1487"/>
      <c r="C32" s="1486"/>
      <c r="D32" s="1486"/>
      <c r="E32" s="1486"/>
      <c r="F32" s="1486"/>
      <c r="G32" s="1486"/>
      <c r="H32" s="1486"/>
    </row>
    <row r="33">
      <c r="A33" s="1486"/>
      <c r="B33" s="1486"/>
      <c r="C33" s="1486"/>
      <c r="D33" s="1486"/>
      <c r="E33" s="1486"/>
      <c r="F33" s="1486"/>
      <c r="G33" s="1486"/>
      <c r="H33" s="1486"/>
    </row>
    <row r="34">
      <c r="A34" s="1486"/>
      <c r="B34" s="1486"/>
      <c r="C34" s="1486"/>
      <c r="D34" s="1486"/>
      <c r="E34" s="1486"/>
      <c r="F34" s="1486"/>
      <c r="G34" s="1486"/>
      <c r="H34" s="1486"/>
    </row>
    <row r="35">
      <c r="A35" s="1486"/>
      <c r="B35" s="1486"/>
      <c r="C35" s="1486"/>
      <c r="D35" s="1486"/>
      <c r="E35" s="1486"/>
      <c r="F35" s="1486"/>
      <c r="G35" s="1486"/>
      <c r="H35" s="1486"/>
    </row>
    <row r="36">
      <c r="A36" s="1486"/>
      <c r="B36" s="1486"/>
      <c r="C36" s="1486"/>
      <c r="D36" s="1486"/>
      <c r="E36" s="1486"/>
      <c r="F36" s="1486"/>
      <c r="G36" s="1486"/>
      <c r="H36" s="1486"/>
    </row>
    <row r="37">
      <c r="A37" s="1486"/>
      <c r="B37" s="1486"/>
      <c r="C37" s="1486"/>
      <c r="D37" s="1486"/>
      <c r="E37" s="1486"/>
      <c r="F37" s="1486"/>
      <c r="G37" s="1486"/>
      <c r="H37" s="1486"/>
    </row>
    <row r="38">
      <c r="A38" s="1486"/>
      <c r="B38" s="1486"/>
      <c r="C38" s="1486"/>
      <c r="D38" s="1486"/>
      <c r="E38" s="1486"/>
      <c r="F38" s="1486"/>
      <c r="G38" s="1486"/>
      <c r="H38" s="1486"/>
    </row>
    <row r="39">
      <c r="A39" s="1486"/>
      <c r="B39" s="1486"/>
      <c r="C39" s="1486"/>
      <c r="D39" s="1486"/>
      <c r="E39" s="1486"/>
      <c r="F39" s="1486"/>
      <c r="G39" s="1486"/>
      <c r="H39" s="1486"/>
    </row>
    <row r="40">
      <c r="A40" s="1486"/>
      <c r="B40" s="1486"/>
      <c r="C40" s="1486"/>
      <c r="D40" s="1486"/>
      <c r="E40" s="1486"/>
      <c r="F40" s="1486"/>
      <c r="G40" s="1486"/>
      <c r="H40" s="1486"/>
    </row>
    <row r="41">
      <c r="A41" s="1486"/>
      <c r="B41" s="1486"/>
      <c r="C41" s="1486"/>
      <c r="D41" s="1486"/>
      <c r="E41" s="1486"/>
      <c r="F41" s="1486"/>
      <c r="G41" s="1486"/>
      <c r="H41" s="1486"/>
    </row>
    <row r="42">
      <c r="A42" s="1486"/>
      <c r="B42" s="1486"/>
      <c r="C42" s="1486"/>
      <c r="D42" s="1486"/>
      <c r="E42" s="1486"/>
      <c r="F42" s="1486"/>
      <c r="G42" s="1486"/>
      <c r="H42" s="1486"/>
    </row>
    <row r="43">
      <c r="A43" s="1486"/>
      <c r="B43" s="1486"/>
      <c r="C43" s="1486"/>
      <c r="D43" s="1486"/>
      <c r="E43" s="1486"/>
      <c r="F43" s="1486"/>
      <c r="G43" s="1486"/>
      <c r="H43" s="1486"/>
    </row>
    <row r="44">
      <c r="A44" s="1486"/>
      <c r="B44" s="1486"/>
      <c r="C44" s="1486"/>
      <c r="D44" s="1486"/>
      <c r="E44" s="1486"/>
      <c r="F44" s="1486"/>
      <c r="G44" s="1486"/>
      <c r="H44" s="1486"/>
    </row>
    <row r="45">
      <c r="A45" s="1486"/>
      <c r="B45" s="1486"/>
      <c r="C45" s="1486"/>
      <c r="D45" s="1486"/>
      <c r="E45" s="1486"/>
      <c r="F45" s="1486"/>
      <c r="G45" s="1486"/>
      <c r="H45" s="1486"/>
    </row>
  </sheetData>
</worksheet>
</file>

<file path=xl/worksheets/sheet11.xml><?xml version="1.0" encoding="utf-8"?>
<worksheet xmlns="http://schemas.openxmlformats.org/spreadsheetml/2006/main" xmlns:r="http://schemas.openxmlformats.org/officeDocument/2006/relationships">
  <dimension ref="A1:Q33"/>
  <sheetViews>
    <sheetView showGridLines="0" workbookViewId="0"/>
  </sheetViews>
  <sheetFormatPr defaultColWidth="8.375" defaultRowHeight="15"/>
  <cols>
    <col min="1" max="1" width="23.125" customWidth="1"/>
    <col min="2" max="2" width="64.375" customWidth="1"/>
    <col min="3" max="3" width="18.125" customWidth="1"/>
    <col min="4" max="4" width="10.625" customWidth="1"/>
    <col min="5" max="5" width="14.375" customWidth="1"/>
    <col min="6" max="6" width="19.375" customWidth="1"/>
    <col min="7" max="7" width="64.375" customWidth="1"/>
    <col min="8" max="17" width="15.625" customWidth="1"/>
  </cols>
  <sheetData>
    <row r="1">
      <c r="A1" s="1493" t="s">
        <v>0</v>
      </c>
      <c r="B1" s="1493"/>
      <c r="C1" s="1493"/>
      <c r="D1" s="1493"/>
      <c r="E1" s="1493"/>
      <c r="F1" s="1493"/>
      <c r="G1" s="1493"/>
      <c r="H1" s="1493"/>
      <c r="I1" s="1493"/>
      <c r="J1" s="1493"/>
      <c r="K1" s="1493"/>
      <c r="L1" s="1493"/>
      <c r="M1" s="1498"/>
      <c r="N1" s="1498"/>
      <c r="O1" s="1498"/>
      <c r="P1" s="1498"/>
      <c r="Q1" s="1498"/>
    </row>
    <row r="2">
      <c r="A2" s="1492" t="s">
        <v>2515</v>
      </c>
      <c r="B2" s="1492"/>
      <c r="C2" s="1492"/>
      <c r="D2" s="1492"/>
      <c r="E2" s="1492"/>
      <c r="F2" s="1492"/>
      <c r="G2" s="1492"/>
      <c r="H2" s="1492"/>
      <c r="I2" s="1492"/>
      <c r="J2" s="1492"/>
      <c r="K2" s="1492"/>
      <c r="L2" s="1492"/>
      <c r="M2" s="1492"/>
      <c r="N2" s="1492"/>
      <c r="O2" s="1492"/>
      <c r="P2" s="1492"/>
      <c r="Q2" s="1492"/>
    </row>
    <row r="3">
      <c r="A3" s="1492" t="s">
        <v>2516</v>
      </c>
      <c r="B3" s="1492"/>
      <c r="C3" s="1492"/>
      <c r="D3" s="1492"/>
      <c r="E3" s="1492"/>
      <c r="F3" s="1492"/>
      <c r="G3" s="1492"/>
      <c r="H3" s="1492"/>
      <c r="I3" s="1492"/>
      <c r="J3" s="1492"/>
      <c r="K3" s="1492"/>
      <c r="L3" s="1492"/>
      <c r="M3" s="1492"/>
      <c r="N3" s="1492"/>
      <c r="O3" s="1492"/>
      <c r="P3" s="1492"/>
      <c r="Q3" s="1492"/>
    </row>
    <row r="4">
      <c r="A4" s="1502" t="s">
        <v>2517</v>
      </c>
      <c r="B4" s="1502" t="s">
        <v>2518</v>
      </c>
      <c r="C4" s="1503" t="str">
        <f>IF(COUNTIF($C$6:$C$33,"FAIL")=0,"PASS","FAIL")</f>
        <v>PASS</v>
      </c>
      <c r="D4" s="1492"/>
      <c r="E4" s="1492"/>
      <c r="F4" s="1492"/>
      <c r="G4" s="1492" t="s">
        <v>2519</v>
      </c>
      <c r="H4" s="1492"/>
      <c r="I4" s="1492"/>
      <c r="J4" s="1492"/>
      <c r="K4" s="1492"/>
      <c r="L4" s="1492"/>
      <c r="M4" s="1492"/>
      <c r="N4" s="1492"/>
      <c r="O4" s="1492"/>
      <c r="P4" s="1492"/>
      <c r="Q4" s="1492"/>
    </row>
    <row r="5">
      <c r="A5" s="1493" t="s">
        <v>2520</v>
      </c>
      <c r="B5" s="1493" t="s">
        <v>2521</v>
      </c>
      <c r="C5" s="1493" t="s">
        <v>2168</v>
      </c>
      <c r="D5" s="1493" t="s">
        <v>2522</v>
      </c>
      <c r="E5" s="1493" t="s">
        <v>2523</v>
      </c>
      <c r="F5" s="1493" t="s">
        <v>2524</v>
      </c>
      <c r="G5" s="1493" t="s">
        <v>2170</v>
      </c>
      <c r="H5" s="1493" t="s">
        <v>4</v>
      </c>
      <c r="I5" s="1493" t="s">
        <v>5</v>
      </c>
      <c r="J5" s="1493" t="s">
        <v>6</v>
      </c>
      <c r="K5" s="1493" t="s">
        <v>7</v>
      </c>
      <c r="L5" s="1493" t="s">
        <v>8</v>
      </c>
      <c r="M5" s="1500" t="s">
        <v>9</v>
      </c>
      <c r="N5" s="1500" t="s">
        <v>10</v>
      </c>
      <c r="O5" s="1500" t="s">
        <v>11</v>
      </c>
      <c r="P5" s="1500" t="s">
        <v>12</v>
      </c>
      <c r="Q5" s="1500" t="s">
        <v>13</v>
      </c>
    </row>
    <row r="6">
      <c r="A6" s="1492"/>
      <c r="B6" s="1492"/>
      <c r="C6" s="1492"/>
      <c r="D6" s="1492"/>
      <c r="E6" s="1492"/>
      <c r="F6" s="1492"/>
      <c r="G6" s="1492"/>
      <c r="H6" s="1492"/>
      <c r="I6" s="1492"/>
      <c r="J6" s="1492"/>
      <c r="K6" s="1492"/>
      <c r="L6" s="1492"/>
      <c r="M6" s="1492"/>
      <c r="N6" s="1492"/>
      <c r="O6" s="1492"/>
      <c r="P6" s="1492"/>
      <c r="Q6" s="1492"/>
    </row>
    <row r="7">
      <c r="A7" s="1493" t="s">
        <v>2525</v>
      </c>
      <c r="B7" s="1493"/>
      <c r="C7" s="1493"/>
      <c r="D7" s="1493"/>
      <c r="E7" s="1493"/>
      <c r="F7" s="1493"/>
      <c r="G7" s="1493"/>
      <c r="H7" s="1493"/>
      <c r="I7" s="1493"/>
      <c r="J7" s="1493"/>
      <c r="K7" s="1493"/>
      <c r="L7" s="1493"/>
      <c r="M7" s="1498"/>
      <c r="N7" s="1498"/>
      <c r="O7" s="1498"/>
      <c r="P7" s="1498"/>
      <c r="Q7" s="1498"/>
    </row>
    <row r="8">
      <c r="A8" s="1491" t="s">
        <v>2526</v>
      </c>
      <c r="B8" s="1491" t="s">
        <v>2527</v>
      </c>
      <c r="C8" s="1501" t="str">
        <f>IF(SUMPRODUCT((ABS(H8:Q8)&gt;1000)*1)=0,"PASS","FAIL")</f>
        <v>PASS</v>
      </c>
      <c r="D8" s="1491" t="s">
        <v>2528</v>
      </c>
      <c r="E8" s="1491" t="s">
        <v>2529</v>
      </c>
      <c r="F8" s="1491">
        <v>0</v>
      </c>
      <c r="G8" s="1491" t="s">
        <v>2530</v>
      </c>
      <c r="H8" s="1496">
        <f>ModeloFinanciero!B48-ModeloFinanciero!B71</f>
        <v>0</v>
      </c>
      <c r="I8" s="1496">
        <f>ModeloFinanciero!C48-ModeloFinanciero!C71</f>
        <v>0</v>
      </c>
      <c r="J8" s="1496">
        <f>ModeloFinanciero!D48-ModeloFinanciero!D71</f>
        <v>0</v>
      </c>
      <c r="K8" s="1496">
        <f>ModeloFinanciero!E48-ModeloFinanciero!E71</f>
        <v>0</v>
      </c>
      <c r="L8" s="1496">
        <f>ModeloFinanciero!F48-ModeloFinanciero!F71</f>
        <v>0</v>
      </c>
      <c r="M8" s="1497">
        <f>ModeloFinanciero!G48-ModeloFinanciero!G71</f>
        <v>0</v>
      </c>
      <c r="N8" s="1496">
        <f>ModeloFinanciero!H48-ModeloFinanciero!H71</f>
        <v>0</v>
      </c>
      <c r="O8" s="1496">
        <f>ModeloFinanciero!I48-ModeloFinanciero!I71</f>
        <v>0</v>
      </c>
      <c r="P8" s="1496">
        <f>ModeloFinanciero!J48-ModeloFinanciero!J71</f>
        <v>0</v>
      </c>
      <c r="Q8" s="1496">
        <f>ModeloFinanciero!K48-ModeloFinanciero!K71</f>
        <v>0</v>
      </c>
    </row>
    <row r="9">
      <c r="A9" s="1491" t="s">
        <v>2531</v>
      </c>
      <c r="B9" s="1491" t="s">
        <v>2532</v>
      </c>
      <c r="C9" s="1501" t="str">
        <f>IF(SUMPRODUCT((ABS(H9:Q9)&gt;1000)*1)=0,"PASS","FAIL")</f>
        <v>PASS</v>
      </c>
      <c r="D9" s="1491" t="s">
        <v>2528</v>
      </c>
      <c r="E9" s="1491" t="s">
        <v>2529</v>
      </c>
      <c r="F9" s="1491">
        <v>0</v>
      </c>
      <c r="G9" s="1491" t="s">
        <v>2533</v>
      </c>
      <c r="H9" s="1496">
        <f>ModeloFinanciero!B110-ModeloFinanciero!B29</f>
        <v>0</v>
      </c>
      <c r="I9" s="1496">
        <f>ModeloFinanciero!C110-ModeloFinanciero!C29</f>
        <v>0</v>
      </c>
      <c r="J9" s="1496">
        <f>ModeloFinanciero!D110-ModeloFinanciero!D29</f>
        <v>0</v>
      </c>
      <c r="K9" s="1496">
        <f>ModeloFinanciero!E110-ModeloFinanciero!E29</f>
        <v>0</v>
      </c>
      <c r="L9" s="1496">
        <f>ModeloFinanciero!F110-ModeloFinanciero!F29</f>
        <v>0</v>
      </c>
      <c r="M9" s="1499"/>
      <c r="N9" s="1495"/>
      <c r="O9" s="1495"/>
      <c r="P9" s="1495"/>
      <c r="Q9" s="1495"/>
    </row>
    <row r="10">
      <c r="A10" s="1491" t="s">
        <v>2534</v>
      </c>
      <c r="B10" s="1491" t="s">
        <v>2535</v>
      </c>
      <c r="C10" s="1501" t="str">
        <f>IF(SUMPRODUCT((ABS(H10:Q10)&gt;1000)*1)=0,"PASS","FAIL")</f>
        <v>PASS</v>
      </c>
      <c r="D10" s="1491" t="s">
        <v>2528</v>
      </c>
      <c r="E10" s="1491" t="s">
        <v>2529</v>
      </c>
      <c r="F10" s="1491">
        <v>0</v>
      </c>
      <c r="G10" s="1491" t="s">
        <v>2536</v>
      </c>
      <c r="H10" s="1496">
        <f>ModeloFinanciero!B92+ModeloFinanciero!B98+ModeloFinanciero!B107-ModeloFinanciero!B108</f>
        <v>0</v>
      </c>
      <c r="I10" s="1496">
        <f>ModeloFinanciero!C92+ModeloFinanciero!C98+ModeloFinanciero!C107-ModeloFinanciero!C108</f>
        <v>0</v>
      </c>
      <c r="J10" s="1496">
        <f>ModeloFinanciero!D92+ModeloFinanciero!D98+ModeloFinanciero!D107-ModeloFinanciero!D108</f>
        <v>0</v>
      </c>
      <c r="K10" s="1496">
        <f>ModeloFinanciero!E92+ModeloFinanciero!E98+ModeloFinanciero!E107-ModeloFinanciero!E108</f>
        <v>0</v>
      </c>
      <c r="L10" s="1496">
        <f>ModeloFinanciero!F92+ModeloFinanciero!F98+ModeloFinanciero!F107-ModeloFinanciero!F108</f>
        <v>0</v>
      </c>
      <c r="M10" s="1497">
        <f>ModeloFinanciero!G92+ModeloFinanciero!G98+ModeloFinanciero!G107-ModeloFinanciero!G108</f>
        <v>0</v>
      </c>
      <c r="N10" s="1496">
        <f>ModeloFinanciero!H92+ModeloFinanciero!H98+ModeloFinanciero!H107-ModeloFinanciero!H108</f>
        <v>0</v>
      </c>
      <c r="O10" s="1496">
        <f>ModeloFinanciero!I92+ModeloFinanciero!I98+ModeloFinanciero!I107-ModeloFinanciero!I108</f>
        <v>0</v>
      </c>
      <c r="P10" s="1496">
        <f>ModeloFinanciero!J92+ModeloFinanciero!J98+ModeloFinanciero!J107-ModeloFinanciero!J108</f>
        <v>0</v>
      </c>
      <c r="Q10" s="1496">
        <f>ModeloFinanciero!K92+ModeloFinanciero!K98+ModeloFinanciero!K107-ModeloFinanciero!K108</f>
        <v>0</v>
      </c>
    </row>
    <row r="11">
      <c r="A11" s="1491" t="s">
        <v>2537</v>
      </c>
      <c r="B11" s="1491" t="s">
        <v>2538</v>
      </c>
      <c r="C11" s="1501" t="s">
        <v>2312</v>
      </c>
      <c r="D11" s="1491" t="s">
        <v>2528</v>
      </c>
      <c r="E11" s="1491" t="s">
        <v>2529</v>
      </c>
      <c r="F11" s="1491">
        <v>0</v>
      </c>
      <c r="G11" s="1491" t="s">
        <v>2539</v>
      </c>
      <c r="H11" s="1495">
        <f>0</f>
        <v>0</v>
      </c>
      <c r="I11" s="1495">
        <f>0</f>
        <v>0</v>
      </c>
      <c r="J11" s="1495">
        <f>0</f>
        <v>0</v>
      </c>
      <c r="K11" s="1495">
        <f>0</f>
        <v>0</v>
      </c>
      <c r="L11" s="1495">
        <f>0</f>
        <v>0</v>
      </c>
      <c r="M11" s="1499">
        <f>0</f>
        <v>0</v>
      </c>
      <c r="N11" s="1495">
        <f>0</f>
        <v>0</v>
      </c>
      <c r="O11" s="1495">
        <f>0</f>
        <v>0</v>
      </c>
      <c r="P11" s="1495">
        <f>0</f>
        <v>0</v>
      </c>
      <c r="Q11" s="1495">
        <f>0</f>
        <v>0</v>
      </c>
    </row>
    <row r="12">
      <c r="A12" s="1491" t="s">
        <v>2540</v>
      </c>
      <c r="B12" s="1491" t="s">
        <v>2541</v>
      </c>
      <c r="C12" s="1501" t="str">
        <f>IF(SUMPRODUCT((ABS(H12:Q12)&gt;1000)*1)=0,"PASS","FAIL")</f>
        <v>PASS</v>
      </c>
      <c r="D12" s="1491" t="s">
        <v>2528</v>
      </c>
      <c r="E12" s="1491" t="s">
        <v>2529</v>
      </c>
      <c r="F12" s="1491">
        <v>0</v>
      </c>
      <c r="G12" s="1491" t="s">
        <v>2542</v>
      </c>
      <c r="H12" s="1496">
        <f>ModeloFinanciero!B25-(ModeloFinanciero!B23+ModeloFinanciero!B24)</f>
        <v>0</v>
      </c>
      <c r="I12" s="1496">
        <f>ModeloFinanciero!C25-(ModeloFinanciero!C23+ModeloFinanciero!C24)</f>
        <v>0</v>
      </c>
      <c r="J12" s="1496">
        <f>ModeloFinanciero!D25-(ModeloFinanciero!D23+ModeloFinanciero!D24)</f>
        <v>0</v>
      </c>
      <c r="K12" s="1496">
        <f>ModeloFinanciero!E25-(ModeloFinanciero!E23+ModeloFinanciero!E24)</f>
        <v>0</v>
      </c>
      <c r="L12" s="1496">
        <f>ModeloFinanciero!F25-(ModeloFinanciero!F23+ModeloFinanciero!F24)</f>
        <v>0</v>
      </c>
      <c r="M12" s="1497">
        <f>ModeloFinanciero!G25-(ModeloFinanciero!G23+ModeloFinanciero!G24)</f>
        <v>0</v>
      </c>
      <c r="N12" s="1496">
        <f>ModeloFinanciero!H25-(ModeloFinanciero!H23+ModeloFinanciero!H24)</f>
        <v>0</v>
      </c>
      <c r="O12" s="1496">
        <f>ModeloFinanciero!I25-(ModeloFinanciero!I23+ModeloFinanciero!I24)</f>
        <v>0</v>
      </c>
      <c r="P12" s="1496">
        <f>ModeloFinanciero!J25-(ModeloFinanciero!J23+ModeloFinanciero!J24)</f>
        <v>0</v>
      </c>
      <c r="Q12" s="1496">
        <f>ModeloFinanciero!K25-(ModeloFinanciero!K23+ModeloFinanciero!K24)</f>
        <v>0</v>
      </c>
    </row>
    <row r="13">
      <c r="A13" s="1491" t="s">
        <v>2543</v>
      </c>
      <c r="B13" s="1491" t="s">
        <v>2544</v>
      </c>
      <c r="C13" s="1501" t="str">
        <f>IF(SUMPRODUCT((ABS(H13:Q13)&gt;1000)*1)=0,"PASS","FAIL")</f>
        <v>PASS</v>
      </c>
      <c r="D13" s="1491" t="s">
        <v>2528</v>
      </c>
      <c r="E13" s="1491" t="s">
        <v>2529</v>
      </c>
      <c r="F13" s="1491">
        <v>0</v>
      </c>
      <c r="G13" s="1491" t="s">
        <v>2545</v>
      </c>
      <c r="H13" s="1495"/>
      <c r="I13" s="1496">
        <f>ModeloFinanciero!C69-ModeloFinanciero!B69-(ModeloFinanciero!C25)</f>
        <v>0</v>
      </c>
      <c r="J13" s="1496">
        <f>ModeloFinanciero!D69-ModeloFinanciero!C69-(ModeloFinanciero!D25)</f>
        <v>0</v>
      </c>
      <c r="K13" s="1496">
        <f>ModeloFinanciero!E69-ModeloFinanciero!D69-(ModeloFinanciero!E25)</f>
        <v>0</v>
      </c>
      <c r="L13" s="1496">
        <f>ModeloFinanciero!F69-ModeloFinanciero!E69-(ModeloFinanciero!F25)</f>
        <v>0</v>
      </c>
      <c r="M13" s="1499"/>
      <c r="N13" s="1495"/>
      <c r="O13" s="1495"/>
      <c r="P13" s="1495"/>
      <c r="Q13" s="1495"/>
    </row>
    <row r="14">
      <c r="A14" s="1491" t="s">
        <v>2546</v>
      </c>
      <c r="B14" s="1491" t="s">
        <v>2538</v>
      </c>
      <c r="C14" s="1501" t="str">
        <f>IF(SUMPRODUCT((ABS(H14:Q14)&gt;1000)*1)=0,"PASS","FAIL")</f>
        <v>PASS</v>
      </c>
      <c r="D14" s="1491" t="s">
        <v>2528</v>
      </c>
      <c r="E14" s="1491" t="s">
        <v>2529</v>
      </c>
      <c r="F14" s="1491">
        <v>0</v>
      </c>
      <c r="G14" s="1491" t="s">
        <v>2545</v>
      </c>
      <c r="H14" s="1496">
        <f>SUM(ModeloFinanciero!B65,ModeloFinanciero!B66,ModeloFinanciero!B67,ModeloFinanciero!B68,ModeloFinanciero!B69)-ModeloFinanciero!B70</f>
        <v>0</v>
      </c>
      <c r="I14" s="1496">
        <f>SUM(ModeloFinanciero!C65,ModeloFinanciero!C66,ModeloFinanciero!C67,ModeloFinanciero!C68,ModeloFinanciero!C69)-ModeloFinanciero!C70</f>
        <v>0</v>
      </c>
      <c r="J14" s="1496">
        <f>SUM(ModeloFinanciero!D65,ModeloFinanciero!D66,ModeloFinanciero!D67,ModeloFinanciero!D68,ModeloFinanciero!D69)-ModeloFinanciero!D70</f>
        <v>0</v>
      </c>
      <c r="K14" s="1496">
        <f>SUM(ModeloFinanciero!E65,ModeloFinanciero!E66,ModeloFinanciero!E67,ModeloFinanciero!E68,ModeloFinanciero!E69)-ModeloFinanciero!E70</f>
        <v>0</v>
      </c>
      <c r="L14" s="1496">
        <f>SUM(ModeloFinanciero!F65,ModeloFinanciero!F66,ModeloFinanciero!F67,ModeloFinanciero!F68,ModeloFinanciero!F69)-ModeloFinanciero!F70</f>
        <v>0</v>
      </c>
      <c r="M14" s="1497">
        <f>SUM(ModeloFinanciero!G65,ModeloFinanciero!G66,ModeloFinanciero!G67,ModeloFinanciero!G68,ModeloFinanciero!G69)-ModeloFinanciero!G70</f>
        <v>0</v>
      </c>
      <c r="N14" s="1496">
        <f>SUM(ModeloFinanciero!H65,ModeloFinanciero!H66,ModeloFinanciero!H67,ModeloFinanciero!H68,ModeloFinanciero!H69)-ModeloFinanciero!H70</f>
        <v>0</v>
      </c>
      <c r="O14" s="1496">
        <f>SUM(ModeloFinanciero!I65,ModeloFinanciero!I66,ModeloFinanciero!I67,ModeloFinanciero!I68,ModeloFinanciero!I69)-ModeloFinanciero!I70</f>
        <v>0</v>
      </c>
      <c r="P14" s="1496">
        <f>SUM(ModeloFinanciero!J65,ModeloFinanciero!J66,ModeloFinanciero!J67,ModeloFinanciero!J68,ModeloFinanciero!J69)-ModeloFinanciero!J70</f>
        <v>0</v>
      </c>
      <c r="Q14" s="1496">
        <f>SUM(ModeloFinanciero!K65,ModeloFinanciero!K66,ModeloFinanciero!K67,ModeloFinanciero!K68,ModeloFinanciero!K69)-ModeloFinanciero!K70</f>
        <v>0</v>
      </c>
    </row>
    <row r="15">
      <c r="A15" s="1491" t="s">
        <v>2547</v>
      </c>
      <c r="B15" s="1491" t="s">
        <v>2538</v>
      </c>
      <c r="C15" s="1501" t="str">
        <f>IF(SUMPRODUCT((ABS(H15:Q15)&gt;1000)*1)=0,"PASS","FAIL")</f>
        <v>PASS</v>
      </c>
      <c r="D15" s="1491" t="s">
        <v>2528</v>
      </c>
      <c r="E15" s="1491" t="s">
        <v>2529</v>
      </c>
      <c r="F15" s="1491">
        <v>0</v>
      </c>
      <c r="G15" s="1491" t="s">
        <v>2545</v>
      </c>
      <c r="H15" s="1496">
        <f>SUM(ModeloFinanciero!B36,ModeloFinanciero!B47)-ModeloFinanciero!B48</f>
        <v>0</v>
      </c>
      <c r="I15" s="1496">
        <f>SUM(ModeloFinanciero!C36,ModeloFinanciero!C47)-ModeloFinanciero!C48</f>
        <v>0</v>
      </c>
      <c r="J15" s="1496">
        <f>SUM(ModeloFinanciero!D36,ModeloFinanciero!D47)-ModeloFinanciero!D48</f>
        <v>0</v>
      </c>
      <c r="K15" s="1496">
        <f>SUM(ModeloFinanciero!E36,ModeloFinanciero!E47)-ModeloFinanciero!E48</f>
        <v>0</v>
      </c>
      <c r="L15" s="1496">
        <f>SUM(ModeloFinanciero!F36,ModeloFinanciero!F47)-ModeloFinanciero!F48</f>
        <v>0</v>
      </c>
      <c r="M15" s="1497">
        <f>SUM(ModeloFinanciero!G36,ModeloFinanciero!G47)-ModeloFinanciero!G48</f>
        <v>0</v>
      </c>
      <c r="N15" s="1496">
        <f>SUM(ModeloFinanciero!H36,ModeloFinanciero!H47)-ModeloFinanciero!H48</f>
        <v>0</v>
      </c>
      <c r="O15" s="1496">
        <f>SUM(ModeloFinanciero!I36,ModeloFinanciero!I47)-ModeloFinanciero!I48</f>
        <v>0</v>
      </c>
      <c r="P15" s="1496">
        <f>SUM(ModeloFinanciero!J36,ModeloFinanciero!J47)-ModeloFinanciero!J48</f>
        <v>0</v>
      </c>
      <c r="Q15" s="1496">
        <f>SUM(ModeloFinanciero!K36,ModeloFinanciero!K47)-ModeloFinanciero!K48</f>
        <v>0</v>
      </c>
    </row>
    <row r="16">
      <c r="A16" s="1491" t="s">
        <v>2548</v>
      </c>
      <c r="B16" s="1491" t="s">
        <v>2538</v>
      </c>
      <c r="C16" s="1501" t="str">
        <f>IF(SUMPRODUCT((ABS(H16:Q16)&gt;1000)*1)=0,"PASS","FAIL")</f>
        <v>PASS</v>
      </c>
      <c r="D16" s="1491" t="s">
        <v>2528</v>
      </c>
      <c r="E16" s="1491" t="s">
        <v>2529</v>
      </c>
      <c r="F16" s="1491">
        <v>0</v>
      </c>
      <c r="G16" s="1491" t="s">
        <v>2545</v>
      </c>
      <c r="H16" s="1496">
        <f>ModeloFinanciero!B64+ModeloFinanciero!B70-ModeloFinanciero!B71</f>
        <v>0</v>
      </c>
      <c r="I16" s="1496">
        <f>ModeloFinanciero!C64+ModeloFinanciero!C70-ModeloFinanciero!C71</f>
        <v>0</v>
      </c>
      <c r="J16" s="1496">
        <f>ModeloFinanciero!D64+ModeloFinanciero!D70-ModeloFinanciero!D71</f>
        <v>0</v>
      </c>
      <c r="K16" s="1496">
        <f>ModeloFinanciero!E64+ModeloFinanciero!E70-ModeloFinanciero!E71</f>
        <v>0</v>
      </c>
      <c r="L16" s="1496">
        <f>ModeloFinanciero!F64+ModeloFinanciero!F70-ModeloFinanciero!F71</f>
        <v>0</v>
      </c>
      <c r="M16" s="1497">
        <f>ModeloFinanciero!G64+ModeloFinanciero!G70-ModeloFinanciero!G71</f>
        <v>0</v>
      </c>
      <c r="N16" s="1496">
        <f>ModeloFinanciero!H64+ModeloFinanciero!H70-ModeloFinanciero!H71</f>
        <v>0</v>
      </c>
      <c r="O16" s="1496">
        <f>ModeloFinanciero!I64+ModeloFinanciero!I70-ModeloFinanciero!I71</f>
        <v>0</v>
      </c>
      <c r="P16" s="1496">
        <f>ModeloFinanciero!J64+ModeloFinanciero!J70-ModeloFinanciero!J71</f>
        <v>0</v>
      </c>
      <c r="Q16" s="1496">
        <f>ModeloFinanciero!K64+ModeloFinanciero!K70-ModeloFinanciero!K71</f>
        <v>0</v>
      </c>
    </row>
    <row r="17">
      <c r="A17" s="1491" t="s">
        <v>2549</v>
      </c>
      <c r="B17" s="1491" t="s">
        <v>2550</v>
      </c>
      <c r="C17" s="1501" t="str">
        <f>IF(SUMPRODUCT((ABS(H17:Q17)&gt;100000)*1)=0,"PASS","FAIL")</f>
        <v>PASS</v>
      </c>
      <c r="D17" s="1491" t="s">
        <v>2528</v>
      </c>
      <c r="E17" s="1491" t="s">
        <v>2551</v>
      </c>
      <c r="F17" s="1491">
        <v>0</v>
      </c>
      <c r="G17" s="1491" t="s">
        <v>2552</v>
      </c>
      <c r="H17" s="1496">
        <f>ModeloFinanciero!B48-EEFF!B48</f>
        <v>0</v>
      </c>
      <c r="I17" s="1496">
        <f>ModeloFinanciero!C48-EEFF!C48</f>
        <v>0</v>
      </c>
      <c r="J17" s="1496">
        <f>ModeloFinanciero!D48-EEFF!D48</f>
        <v>0</v>
      </c>
      <c r="K17" s="1496">
        <f>ModeloFinanciero!E48-EEFF!E48</f>
        <v>0</v>
      </c>
      <c r="L17" s="1496">
        <f>ModeloFinanciero!F48-EEFF!F48</f>
        <v>0</v>
      </c>
      <c r="M17" s="1499"/>
      <c r="N17" s="1495"/>
      <c r="O17" s="1495"/>
      <c r="P17" s="1495"/>
      <c r="Q17" s="1495"/>
    </row>
    <row r="18">
      <c r="A18" s="1491" t="s">
        <v>2553</v>
      </c>
      <c r="B18" s="1491" t="s">
        <v>2554</v>
      </c>
      <c r="C18" s="1501" t="str">
        <f>IF(SUMPRODUCT((ABS(H18:Q18)&gt;0)*1)=0,"PASS","FAIL")</f>
        <v>PASS</v>
      </c>
      <c r="D18" s="1491" t="s">
        <v>2528</v>
      </c>
      <c r="E18" s="1491" t="s">
        <v>2555</v>
      </c>
      <c r="F18" s="1491" t="s">
        <v>2555</v>
      </c>
      <c r="G18" s="1491" t="s">
        <v>2556</v>
      </c>
      <c r="H18" s="1495">
        <f>0</f>
        <v>0</v>
      </c>
      <c r="I18" s="1495">
        <f>0</f>
        <v>0</v>
      </c>
      <c r="J18" s="1495">
        <f>0</f>
        <v>0</v>
      </c>
      <c r="K18" s="1495">
        <f>0</f>
        <v>0</v>
      </c>
      <c r="L18" s="1495">
        <f>0</f>
        <v>0</v>
      </c>
      <c r="M18" s="1499">
        <f>0</f>
        <v>0</v>
      </c>
      <c r="N18" s="1495">
        <f>0</f>
        <v>0</v>
      </c>
      <c r="O18" s="1495">
        <f>0</f>
        <v>0</v>
      </c>
      <c r="P18" s="1495">
        <f>0</f>
        <v>0</v>
      </c>
      <c r="Q18" s="1495">
        <f>0</f>
        <v>0</v>
      </c>
    </row>
    <row r="19">
      <c r="A19" s="1491" t="s">
        <v>2557</v>
      </c>
      <c r="B19" s="1491" t="s">
        <v>2558</v>
      </c>
      <c r="C19" s="1501" t="str">
        <f>IF(SUMPRODUCT((ABS(H19:Q19)&gt;0)*1)=0,"PASS","FAIL")</f>
        <v>PASS</v>
      </c>
      <c r="D19" s="1491" t="s">
        <v>2528</v>
      </c>
      <c r="E19" s="1491" t="s">
        <v>2555</v>
      </c>
      <c r="F19" s="1491" t="s">
        <v>2555</v>
      </c>
      <c r="G19" s="1491" t="s">
        <v>2559</v>
      </c>
      <c r="H19" s="1495">
        <f>COUNTIF($C$6:$C$18,"FAIL")+COUNTIF($C$20:$C$33,"FAIL")</f>
        <v>0</v>
      </c>
      <c r="I19" s="1495">
        <f>COUNTIF($C$6:$C$18,"FAIL")+COUNTIF($C$20:$C$33,"FAIL")</f>
        <v>0</v>
      </c>
      <c r="J19" s="1495">
        <f>COUNTIF($C$6:$C$18,"FAIL")+COUNTIF($C$20:$C$33,"FAIL")</f>
        <v>0</v>
      </c>
      <c r="K19" s="1495">
        <f>COUNTIF($C$6:$C$18,"FAIL")+COUNTIF($C$20:$C$33,"FAIL")</f>
        <v>0</v>
      </c>
      <c r="L19" s="1495">
        <f>COUNTIF($C$6:$C$18,"FAIL")+COUNTIF($C$20:$C$33,"FAIL")</f>
        <v>0</v>
      </c>
      <c r="M19" s="1499">
        <f>COUNTIF($C$6:$C$18,"FAIL")+COUNTIF($C$20:$C$33,"FAIL")</f>
        <v>0</v>
      </c>
      <c r="N19" s="1495">
        <f>COUNTIF($C$6:$C$18,"FAIL")+COUNTIF($C$20:$C$33,"FAIL")</f>
        <v>0</v>
      </c>
      <c r="O19" s="1495">
        <f>COUNTIF($C$6:$C$18,"FAIL")+COUNTIF($C$20:$C$33,"FAIL")</f>
        <v>0</v>
      </c>
      <c r="P19" s="1495">
        <f>COUNTIF($C$6:$C$18,"FAIL")+COUNTIF($C$20:$C$33,"FAIL")</f>
        <v>0</v>
      </c>
      <c r="Q19" s="1495">
        <f>COUNTIF($C$6:$C$18,"FAIL")+COUNTIF($C$20:$C$33,"FAIL")</f>
        <v>0</v>
      </c>
    </row>
    <row r="20">
      <c r="A20" s="1492"/>
      <c r="B20" s="1492"/>
      <c r="C20" s="1492"/>
      <c r="D20" s="1492"/>
      <c r="E20" s="1492"/>
      <c r="F20" s="1492"/>
      <c r="G20" s="1492"/>
      <c r="H20" s="1492"/>
      <c r="I20" s="1492"/>
      <c r="J20" s="1492"/>
      <c r="K20" s="1492"/>
      <c r="L20" s="1492"/>
      <c r="M20" s="1492"/>
      <c r="N20" s="1492"/>
      <c r="O20" s="1492"/>
      <c r="P20" s="1492"/>
      <c r="Q20" s="1492"/>
    </row>
    <row r="21">
      <c r="A21" s="1493" t="s">
        <v>2560</v>
      </c>
      <c r="B21" s="1493"/>
      <c r="C21" s="1493"/>
      <c r="D21" s="1493"/>
      <c r="E21" s="1493"/>
      <c r="F21" s="1493"/>
      <c r="G21" s="1493"/>
      <c r="H21" s="1493"/>
      <c r="I21" s="1493"/>
      <c r="J21" s="1493"/>
      <c r="K21" s="1493"/>
      <c r="L21" s="1493"/>
      <c r="M21" s="1498"/>
      <c r="N21" s="1498"/>
      <c r="O21" s="1498"/>
      <c r="P21" s="1498"/>
      <c r="Q21" s="1498"/>
    </row>
    <row r="22">
      <c r="A22" s="1491" t="s">
        <v>2561</v>
      </c>
      <c r="B22" s="1491" t="s">
        <v>2562</v>
      </c>
      <c r="C22" s="1501" t="s">
        <v>2312</v>
      </c>
      <c r="D22" s="1491" t="s">
        <v>2528</v>
      </c>
      <c r="E22" s="1491" t="s">
        <v>2529</v>
      </c>
      <c r="F22" s="1491">
        <v>0</v>
      </c>
      <c r="G22" s="1491" t="s">
        <v>2563</v>
      </c>
      <c r="H22" s="1495">
        <f>0</f>
        <v>0</v>
      </c>
      <c r="I22" s="1495">
        <f>0</f>
        <v>0</v>
      </c>
      <c r="J22" s="1495">
        <f>0</f>
        <v>0</v>
      </c>
      <c r="K22" s="1495">
        <f>0</f>
        <v>0</v>
      </c>
      <c r="L22" s="1495">
        <f>0</f>
        <v>0</v>
      </c>
      <c r="M22" s="1499">
        <f>0</f>
        <v>0</v>
      </c>
      <c r="N22" s="1495">
        <f>0</f>
        <v>0</v>
      </c>
      <c r="O22" s="1495">
        <f>0</f>
        <v>0</v>
      </c>
      <c r="P22" s="1495">
        <f>0</f>
        <v>0</v>
      </c>
      <c r="Q22" s="1495">
        <f>0</f>
        <v>0</v>
      </c>
    </row>
    <row r="23">
      <c r="A23" s="1491" t="s">
        <v>2564</v>
      </c>
      <c r="B23" s="1491" t="s">
        <v>2565</v>
      </c>
      <c r="C23" s="1501" t="s">
        <v>2312</v>
      </c>
      <c r="D23" s="1491" t="s">
        <v>2528</v>
      </c>
      <c r="E23" s="1491" t="s">
        <v>2529</v>
      </c>
      <c r="F23" s="1491">
        <v>0</v>
      </c>
      <c r="G23" s="1491" t="s">
        <v>2566</v>
      </c>
      <c r="H23" s="1495">
        <f>0</f>
        <v>0</v>
      </c>
      <c r="I23" s="1495">
        <f>0</f>
        <v>0</v>
      </c>
      <c r="J23" s="1495">
        <f>0</f>
        <v>0</v>
      </c>
      <c r="K23" s="1495">
        <f>0</f>
        <v>0</v>
      </c>
      <c r="L23" s="1495">
        <f>0</f>
        <v>0</v>
      </c>
      <c r="M23" s="1499">
        <f>0</f>
        <v>0</v>
      </c>
      <c r="N23" s="1495">
        <f>0</f>
        <v>0</v>
      </c>
      <c r="O23" s="1495">
        <f>0</f>
        <v>0</v>
      </c>
      <c r="P23" s="1495">
        <f>0</f>
        <v>0</v>
      </c>
      <c r="Q23" s="1495">
        <f>0</f>
        <v>0</v>
      </c>
    </row>
    <row r="24">
      <c r="A24" s="1491" t="s">
        <v>2567</v>
      </c>
      <c r="B24" s="1491" t="s">
        <v>2568</v>
      </c>
      <c r="C24" s="1501" t="s">
        <v>2312</v>
      </c>
      <c r="D24" s="1491" t="s">
        <v>2528</v>
      </c>
      <c r="E24" s="1491" t="s">
        <v>2529</v>
      </c>
      <c r="F24" s="1491">
        <v>0</v>
      </c>
      <c r="G24" s="1491" t="s">
        <v>2569</v>
      </c>
      <c r="H24" s="1495">
        <f>0</f>
        <v>0</v>
      </c>
      <c r="I24" s="1495">
        <f>0</f>
        <v>0</v>
      </c>
      <c r="J24" s="1495">
        <f>0</f>
        <v>0</v>
      </c>
      <c r="K24" s="1495">
        <f>0</f>
        <v>0</v>
      </c>
      <c r="L24" s="1495">
        <f>0</f>
        <v>0</v>
      </c>
      <c r="M24" s="1499">
        <f>0</f>
        <v>0</v>
      </c>
      <c r="N24" s="1495">
        <f>0</f>
        <v>0</v>
      </c>
      <c r="O24" s="1495">
        <f>0</f>
        <v>0</v>
      </c>
      <c r="P24" s="1495">
        <f>0</f>
        <v>0</v>
      </c>
      <c r="Q24" s="1495">
        <f>0</f>
        <v>0</v>
      </c>
    </row>
    <row r="25">
      <c r="A25" s="1492"/>
      <c r="B25" s="1492"/>
      <c r="C25" s="1492"/>
      <c r="D25" s="1492"/>
      <c r="E25" s="1492"/>
      <c r="F25" s="1492"/>
      <c r="G25" s="1492"/>
      <c r="H25" s="1492"/>
      <c r="I25" s="1492"/>
      <c r="J25" s="1492"/>
      <c r="K25" s="1492"/>
      <c r="L25" s="1492"/>
      <c r="M25" s="1492"/>
      <c r="N25" s="1492"/>
      <c r="O25" s="1492"/>
      <c r="P25" s="1492"/>
      <c r="Q25" s="1492"/>
    </row>
    <row r="26">
      <c r="A26" s="1493" t="s">
        <v>2570</v>
      </c>
      <c r="B26" s="1493"/>
      <c r="C26" s="1493"/>
      <c r="D26" s="1493"/>
      <c r="E26" s="1493"/>
      <c r="F26" s="1493"/>
      <c r="G26" s="1493"/>
      <c r="H26" s="1493"/>
      <c r="I26" s="1493"/>
      <c r="J26" s="1493"/>
      <c r="K26" s="1493"/>
      <c r="L26" s="1493"/>
      <c r="M26" s="1498"/>
      <c r="N26" s="1498"/>
      <c r="O26" s="1498"/>
      <c r="P26" s="1498"/>
      <c r="Q26" s="1498"/>
    </row>
    <row r="27">
      <c r="A27" s="1491" t="s">
        <v>2571</v>
      </c>
      <c r="B27" s="1491" t="s">
        <v>2572</v>
      </c>
      <c r="C27" s="1501" t="str">
        <f>IF(SUMPRODUCT((ABS(H27:Q27)&gt;1000)*1)=0,"PASS","FAIL")</f>
        <v>PASS</v>
      </c>
      <c r="D27" s="1491" t="s">
        <v>2528</v>
      </c>
      <c r="E27" s="1491" t="s">
        <v>2529</v>
      </c>
      <c r="F27" s="1491">
        <v>0</v>
      </c>
      <c r="G27" s="1491" t="s">
        <v>2545</v>
      </c>
      <c r="H27" s="1495"/>
      <c r="I27" s="1495"/>
      <c r="J27" s="1495"/>
      <c r="K27" s="1495"/>
      <c r="L27" s="1495"/>
      <c r="M27" s="1497">
        <f>Supuestos!G39-ModeloFinanciero!G7</f>
        <v>0</v>
      </c>
      <c r="N27" s="1496">
        <f>Supuestos!H39-ModeloFinanciero!H7</f>
        <v>0</v>
      </c>
      <c r="O27" s="1496">
        <f>Supuestos!I39-ModeloFinanciero!I7</f>
        <v>0</v>
      </c>
      <c r="P27" s="1496">
        <f>Supuestos!J39-ModeloFinanciero!J7</f>
        <v>0</v>
      </c>
      <c r="Q27" s="1496">
        <f>Supuestos!K39-ModeloFinanciero!K7</f>
        <v>0</v>
      </c>
    </row>
    <row r="28">
      <c r="A28" s="1491" t="s">
        <v>2573</v>
      </c>
      <c r="B28" s="1491" t="s">
        <v>2574</v>
      </c>
      <c r="C28" s="1501" t="str">
        <f>IF(SUMPRODUCT((ABS(H28:Q28)&gt;0)*1)=0,"PASS","FAIL")</f>
        <v>PASS</v>
      </c>
      <c r="D28" s="1491" t="s">
        <v>2528</v>
      </c>
      <c r="E28" s="1491" t="s">
        <v>2575</v>
      </c>
      <c r="F28" s="1491">
        <v>0</v>
      </c>
      <c r="G28" s="1491" t="s">
        <v>2576</v>
      </c>
      <c r="H28" s="1495"/>
      <c r="I28" s="1495"/>
      <c r="J28" s="1495"/>
      <c r="K28" s="1495"/>
      <c r="L28" s="1495"/>
      <c r="M28" s="1497">
        <f>Supuestos!G22-Supuestos!G32-Supuestos!G33</f>
        <v>0</v>
      </c>
      <c r="N28" s="1496">
        <f>Supuestos!H22-Supuestos!H32-Supuestos!H33</f>
        <v>0</v>
      </c>
      <c r="O28" s="1496">
        <f>Supuestos!I22-Supuestos!I32-Supuestos!I33</f>
        <v>0</v>
      </c>
      <c r="P28" s="1496">
        <f>Supuestos!J22-Supuestos!J32-Supuestos!J33</f>
        <v>0</v>
      </c>
      <c r="Q28" s="1496">
        <f>Supuestos!K22-Supuestos!K32-Supuestos!K33</f>
        <v>0</v>
      </c>
    </row>
    <row r="29">
      <c r="A29" s="1491" t="s">
        <v>2577</v>
      </c>
      <c r="B29" s="1491" t="s">
        <v>2578</v>
      </c>
      <c r="C29" s="1501" t="str">
        <f>IF(SUMPRODUCT((ABS(H29:Q29)&gt;0)*1)=0,"PASS","FAIL")</f>
        <v>PASS</v>
      </c>
      <c r="D29" s="1491" t="s">
        <v>2528</v>
      </c>
      <c r="E29" s="1491" t="s">
        <v>2555</v>
      </c>
      <c r="F29" s="1491" t="s">
        <v>2555</v>
      </c>
      <c r="G29" s="1491" t="s">
        <v>2579</v>
      </c>
      <c r="H29" s="1496">
        <f>IF(ISNUMBER(Generation_PPA!B36),IF(Generation_PPA!B36&gt;Generation_PPA!B35*8.76,1,0),0)+IF(ISNUMBER(Generation_PPA!B40),IF(Generation_PPA!B40&gt;Generation_PPA!B39*8.76,1,0),0)+IF(ISNUMBER(Generation_PPA!B43),IF(Generation_PPA!B43&gt;Generation_PPA!B42*8.76,1,0),0)+IF(ISNUMBER(Generation_PPA!B46),IF(Generation_PPA!B46&gt;Generation_PPA!B45*8.76,1,0),0)+IF(ISNUMBER(Generation_PPA!B50),IF(Generation_PPA!B50&gt;Generation_PPA!B49*8.76,1,0),0)</f>
        <v>0</v>
      </c>
      <c r="I29" s="1496">
        <f>IF(ISNUMBER(Generation_PPA!C36),IF(Generation_PPA!C36&gt;Generation_PPA!C35*8.76,1,0),0)+IF(ISNUMBER(Generation_PPA!C40),IF(Generation_PPA!C40&gt;Generation_PPA!C39*8.76,1,0),0)+IF(ISNUMBER(Generation_PPA!C43),IF(Generation_PPA!C43&gt;Generation_PPA!C42*8.76,1,0),0)+IF(ISNUMBER(Generation_PPA!C46),IF(Generation_PPA!C46&gt;Generation_PPA!C45*8.76,1,0),0)+IF(ISNUMBER(Generation_PPA!C50),IF(Generation_PPA!C50&gt;Generation_PPA!C49*8.76,1,0),0)</f>
        <v>0</v>
      </c>
      <c r="J29" s="1496">
        <f>IF(ISNUMBER(Generation_PPA!D36),IF(Generation_PPA!D36&gt;Generation_PPA!D35*8.76,1,0),0)+IF(ISNUMBER(Generation_PPA!D40),IF(Generation_PPA!D40&gt;Generation_PPA!D39*8.76,1,0),0)+IF(ISNUMBER(Generation_PPA!D43),IF(Generation_PPA!D43&gt;Generation_PPA!D42*8.76,1,0),0)+IF(ISNUMBER(Generation_PPA!D46),IF(Generation_PPA!D46&gt;Generation_PPA!D45*8.76,1,0),0)+IF(ISNUMBER(Generation_PPA!D50),IF(Generation_PPA!D50&gt;Generation_PPA!D49*8.76,1,0),0)</f>
        <v>0</v>
      </c>
      <c r="K29" s="1496">
        <f>IF(ISNUMBER(Generation_PPA!E36),IF(Generation_PPA!E36&gt;Generation_PPA!E35*8.76,1,0),0)+IF(ISNUMBER(Generation_PPA!E40),IF(Generation_PPA!E40&gt;Generation_PPA!E39*8.76,1,0),0)+IF(ISNUMBER(Generation_PPA!E43),IF(Generation_PPA!E43&gt;Generation_PPA!E42*8.76,1,0),0)+IF(ISNUMBER(Generation_PPA!E46),IF(Generation_PPA!E46&gt;Generation_PPA!E45*8.76,1,0),0)+IF(ISNUMBER(Generation_PPA!E50),IF(Generation_PPA!E50&gt;Generation_PPA!E49*8.76,1,0),0)</f>
        <v>0</v>
      </c>
      <c r="L29" s="1496">
        <f>IF(ISNUMBER(Generation_PPA!F36),IF(Generation_PPA!F36&gt;Generation_PPA!F35*8.76,1,0),0)+IF(ISNUMBER(Generation_PPA!F40),IF(Generation_PPA!F40&gt;Generation_PPA!F39*8.76,1,0),0)+IF(ISNUMBER(Generation_PPA!F43),IF(Generation_PPA!F43&gt;Generation_PPA!F42*8.76,1,0),0)+IF(ISNUMBER(Generation_PPA!F46),IF(Generation_PPA!F46&gt;Generation_PPA!F45*8.76,1,0),0)+IF(ISNUMBER(Generation_PPA!F50),IF(Generation_PPA!F50&gt;Generation_PPA!F49*8.76,1,0),0)</f>
        <v>0</v>
      </c>
      <c r="M29" s="1499"/>
      <c r="N29" s="1495"/>
      <c r="O29" s="1495"/>
      <c r="P29" s="1495"/>
      <c r="Q29" s="1495"/>
    </row>
    <row r="30">
      <c r="A30" s="1491" t="s">
        <v>2580</v>
      </c>
      <c r="B30" s="1491" t="s">
        <v>2581</v>
      </c>
      <c r="C30" s="1501" t="str">
        <f>IF(SUMPRODUCT((ABS(H30:Q30)&gt;1)*1)=0,"PASS","FAIL")</f>
        <v>PASS</v>
      </c>
      <c r="D30" s="1491" t="s">
        <v>2528</v>
      </c>
      <c r="E30" s="1491" t="s">
        <v>2582</v>
      </c>
      <c r="F30" s="1491">
        <v>0</v>
      </c>
      <c r="G30" s="1491" t="s">
        <v>2583</v>
      </c>
      <c r="H30" s="1495"/>
      <c r="I30" s="1495"/>
      <c r="J30" s="1495"/>
      <c r="K30" s="1495"/>
      <c r="L30" s="1495"/>
      <c r="M30" s="1497">
        <f>MAX(0,0.25*(Debt_Schedule!G9+Debt_Schedule!G15)-Debt_Schedule!G37)</f>
        <v>0</v>
      </c>
      <c r="N30" s="1496">
        <f>MAX(0,0.25*(Debt_Schedule!H9+Debt_Schedule!H15)-Debt_Schedule!H37)</f>
        <v>0</v>
      </c>
      <c r="O30" s="1496">
        <f>MAX(0,0.25*(Debt_Schedule!I9+Debt_Schedule!I15)-Debt_Schedule!I37)</f>
        <v>0</v>
      </c>
      <c r="P30" s="1496">
        <f>MAX(0,0.25*(Debt_Schedule!J9+Debt_Schedule!J15)-Debt_Schedule!J37)</f>
        <v>0</v>
      </c>
      <c r="Q30" s="1496">
        <f>MAX(0,0.25*(Debt_Schedule!K9+Debt_Schedule!K15)-Debt_Schedule!K37)</f>
        <v>0</v>
      </c>
    </row>
    <row r="31">
      <c r="A31" s="1491" t="s">
        <v>2584</v>
      </c>
      <c r="B31" s="1491" t="s">
        <v>2585</v>
      </c>
      <c r="C31" s="1494" t="str">
        <f>IF(SUMPRODUCT((Debt_Schedule!G23:K23&lt;Debt_Schedule!G24:K24)*1)=0,"PASS","WARN: DSCR&lt;"&amp;Debt_Schedule!G24&amp;"x "&amp;_xlfn.TEXTJOIN("/",TRUE,IF(Debt_Schedule!G23&lt;Debt_Schedule!G24,"FY26",""),IF(Debt_Schedule!H23&lt;Debt_Schedule!H24,"FY27",""),IF(Debt_Schedule!I23&lt;Debt_Schedule!I24,"FY28",""),IF(Debt_Schedule!J23&lt;Debt_Schedule!J24,"FY29",""),IF(Debt_Schedule!K23&lt;Debt_Schedule!K24,"FY30","")))</f>
        <v>WARN: DSCR&lt;1.25x FY27/FY28/FY30</v>
      </c>
      <c r="D31" s="1491" t="s">
        <v>2586</v>
      </c>
      <c r="E31" s="1491" t="s">
        <v>2587</v>
      </c>
      <c r="F31" s="1491" t="s">
        <v>2588</v>
      </c>
      <c r="G31" s="1491" t="s">
        <v>2589</v>
      </c>
      <c r="H31" s="1495"/>
      <c r="I31" s="1495"/>
      <c r="J31" s="1495"/>
      <c r="K31" s="1495"/>
      <c r="L31" s="1495"/>
      <c r="M31" s="1497">
        <f>Debt_Schedule!G23-Debt_Schedule!G24</f>
        <v>0.160066650186788</v>
      </c>
      <c r="N31" s="1496">
        <f>Debt_Schedule!H23-Debt_Schedule!H24</f>
        <v>-0.4228953151406548</v>
      </c>
      <c r="O31" s="1496">
        <f>Debt_Schedule!I23-Debt_Schedule!I24</f>
        <v>-0.032106156404092756</v>
      </c>
      <c r="P31" s="1496">
        <f>Debt_Schedule!J23-Debt_Schedule!J24</f>
        <v>0.003277258433336705</v>
      </c>
      <c r="Q31" s="1496">
        <f>Debt_Schedule!K23-Debt_Schedule!K24</f>
        <v>-0.46740843602224125</v>
      </c>
    </row>
    <row r="32">
      <c r="A32" s="1491" t="s">
        <v>2590</v>
      </c>
      <c r="B32" s="1491" t="s">
        <v>2591</v>
      </c>
      <c r="C32" s="1501" t="str">
        <f>IF(SUMPRODUCT((ABS(H32:Q32)&gt;0)*1)=0,"PASS","FAIL")</f>
        <v>PASS</v>
      </c>
      <c r="D32" s="1491" t="s">
        <v>2528</v>
      </c>
      <c r="E32" s="1491" t="s">
        <v>2555</v>
      </c>
      <c r="F32" s="1491" t="s">
        <v>2555</v>
      </c>
      <c r="G32" s="1491" t="s">
        <v>2592</v>
      </c>
      <c r="H32" s="1495"/>
      <c r="I32" s="1495"/>
      <c r="J32" s="1495"/>
      <c r="K32" s="1495"/>
      <c r="L32" s="1496">
        <f>Debt_Schedule!F11-131250000</f>
        <v>0</v>
      </c>
      <c r="M32" s="1499"/>
      <c r="N32" s="1495"/>
      <c r="O32" s="1495"/>
      <c r="P32" s="1495"/>
      <c r="Q32" s="1495"/>
    </row>
    <row r="33">
      <c r="A33" s="1491" t="s">
        <v>2593</v>
      </c>
      <c r="B33" s="1491" t="s">
        <v>2594</v>
      </c>
      <c r="C33" s="1501" t="str">
        <f>IF(SUMPRODUCT((ABS(H33:Q33)&gt;1000)*1)=0,"PASS","FAIL")</f>
        <v>PASS</v>
      </c>
      <c r="D33" s="1491" t="s">
        <v>2528</v>
      </c>
      <c r="E33" s="1491" t="s">
        <v>2529</v>
      </c>
      <c r="F33" s="1491">
        <v>0</v>
      </c>
      <c r="G33" s="1491" t="s">
        <v>2595</v>
      </c>
      <c r="H33" s="1496">
        <f>(ModeloFinanciero!B19+ModeloFinanciero!B12-ModeloFinanciero!B11)-(EEFF!B19+EEFF!B12-EEFF!B11)</f>
        <v>0</v>
      </c>
      <c r="I33" s="1496">
        <f>(ModeloFinanciero!C19+ModeloFinanciero!C12-ModeloFinanciero!C11)-(EEFF!C19+EEFF!C12-EEFF!C11)</f>
        <v>0</v>
      </c>
      <c r="J33" s="1496">
        <f>(ModeloFinanciero!D19+ModeloFinanciero!D12-ModeloFinanciero!D11)-(EEFF!D19+EEFF!D12-EEFF!D11)</f>
        <v>0</v>
      </c>
      <c r="K33" s="1496">
        <f>(ModeloFinanciero!E19+ModeloFinanciero!E12-ModeloFinanciero!E11)-(EEFF!E19+EEFF!E12-EEFF!E11)</f>
        <v>0</v>
      </c>
      <c r="L33" s="1496">
        <f>(ModeloFinanciero!F19+ModeloFinanciero!F12-ModeloFinanciero!F11)-(EEFF!F19+EEFF!F12-EEFF!F11)</f>
        <v>0</v>
      </c>
      <c r="M33" s="1499"/>
      <c r="N33" s="1495"/>
      <c r="O33" s="1495"/>
      <c r="P33" s="1495"/>
      <c r="Q33" s="1495"/>
    </row>
  </sheetData>
</worksheet>
</file>

<file path=xl/worksheets/sheet12.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1506" t="s">
        <v>2596</v>
      </c>
      <c r="B1" s="1506" t="s">
        <v>2597</v>
      </c>
      <c r="C1" s="1506" t="s">
        <v>2598</v>
      </c>
      <c r="D1" s="1506" t="s">
        <v>2599</v>
      </c>
      <c r="E1" s="1506" t="s">
        <v>2600</v>
      </c>
      <c r="F1" s="1506" t="s">
        <v>2601</v>
      </c>
    </row>
    <row r="2">
      <c r="A2" s="1505">
        <v>1</v>
      </c>
      <c r="B2" s="1504">
        <v>46324.35933479166</v>
      </c>
      <c r="C2" s="1505" t="s">
        <v>2602</v>
      </c>
      <c r="D2" s="1505" t="s">
        <v>2603</v>
      </c>
      <c r="E2" s="1505" t="s">
        <v>2604</v>
      </c>
      <c r="F2" s="1505" t="s">
        <v>2605</v>
      </c>
    </row>
  </sheetData>
</worksheet>
</file>