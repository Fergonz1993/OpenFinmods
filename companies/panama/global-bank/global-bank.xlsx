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EEFF" sheetId="1" r:id="rId1"/>
    <sheet name="Supuestos" sheetId="2" r:id="rId5"/>
    <sheet name="Notas_EEFF" sheetId="3" r:id="rId6"/>
    <sheet name="ModeloFinanciero" sheetId="4" r:id="rId7"/>
    <sheet name="Loan_Book" sheetId="5" r:id="rId8"/>
    <sheet name="Deposits_Funding" sheetId="6" r:id="rId9"/>
    <sheet name="NIM_Build" sheetId="7" r:id="rId10"/>
    <sheet name="Credit_Quality" sheetId="8" r:id="rId11"/>
    <sheet name="Capital_Adequacy" sheetId="9" r:id="rId12"/>
    <sheet name="Liquidity" sheetId="10" r:id="rId13"/>
    <sheet name="_CHECKS" sheetId="11" r:id="rId14"/>
    <sheet name="Source_Register" sheetId="12" r:id="rId15"/>
    <sheet name="_CHANGELOG" sheetId="13" r:id="rId16"/>
    <sheet name="MDA" sheetId="14" r:id="rId17"/>
    <sheet name="Claude Code Log" sheetId="15" r:id="rId18"/>
  </sheets>
  <calcPr calcId="0"/>
</workbook>
</file>

<file path=xl/sharedStrings.xml><?xml version="1.0" encoding="utf-8"?>
<sst xmlns="http://schemas.openxmlformats.org/spreadsheetml/2006/main" count="17287" uniqueCount="2175">
  <si>
    <t>Global Bank Corporation y Subsidiarias</t>
  </si>
  <si>
    <t>Estados Financieros Auditados FY21-FY25</t>
  </si>
  <si>
    <t>en B/. sin escala</t>
  </si>
  <si>
    <t>Años</t>
  </si>
  <si>
    <t>FY21A</t>
  </si>
  <si>
    <t>FY22A</t>
  </si>
  <si>
    <t>FY23A</t>
  </si>
  <si>
    <t>FY24A</t>
  </si>
  <si>
    <t>FY25A</t>
  </si>
  <si>
    <t>FY26E</t>
  </si>
  <si>
    <t>FY27E</t>
  </si>
  <si>
    <t>FY28E</t>
  </si>
  <si>
    <t>FY29E</t>
  </si>
  <si>
    <t>FY30E</t>
  </si>
  <si>
    <t>Estado consolidado de ganancia o pérdida</t>
  </si>
  <si>
    <t>Ingresos por intereses</t>
  </si>
  <si>
    <t>Gasto por intereses</t>
  </si>
  <si>
    <t>Ingresos neto por intereses</t>
  </si>
  <si>
    <t>Comisiones ganadas</t>
  </si>
  <si>
    <t>Gastos por comisiones</t>
  </si>
  <si>
    <t>Ingresos neto por comisiones</t>
  </si>
  <si>
    <t>Ingresos neto por intereses y comisiones, antes de provisión</t>
  </si>
  <si>
    <t>Provisión para préstamos incobrables</t>
  </si>
  <si>
    <t>Reversión de provisión riesgo país</t>
  </si>
  <si>
    <t>Reversión de provisión para inversiones</t>
  </si>
  <si>
    <t>Total de provisiones</t>
  </si>
  <si>
    <t>Ingresos neto por intereses y comisiones, después de provisión</t>
  </si>
  <si>
    <t>Otros ingresos</t>
  </si>
  <si>
    <t>Salarios y otras remuneraciones</t>
  </si>
  <si>
    <t>Honorarios profesionales</t>
  </si>
  <si>
    <t>Depreciación y amortización</t>
  </si>
  <si>
    <t>Publicidad y propaganda</t>
  </si>
  <si>
    <t>Mantenimiento y reparaciones</t>
  </si>
  <si>
    <t>Alquileres</t>
  </si>
  <si>
    <t>Impuestos varios</t>
  </si>
  <si>
    <t>Otros gastos</t>
  </si>
  <si>
    <t>Total de otros gastos</t>
  </si>
  <si>
    <t>Ganancia antes del impuesto sobre la renta</t>
  </si>
  <si>
    <t>Impuesto sobre la renta - Corriente</t>
  </si>
  <si>
    <t>Impuesto sobre la renta - Diferido</t>
  </si>
  <si>
    <t>Impuesto sobre la renta</t>
  </si>
  <si>
    <t>Ganancia del año</t>
  </si>
  <si>
    <t>Estado consolidado de situación financiera</t>
  </si>
  <si>
    <t>Efectivo y depósitos en banco</t>
  </si>
  <si>
    <t>Valores comprados bajo acuerdos de reventa</t>
  </si>
  <si>
    <t>Inversiones en valores, neto</t>
  </si>
  <si>
    <t>Préstamos, neto</t>
  </si>
  <si>
    <t>Propiedades, mobiliario, equipo y mejoras</t>
  </si>
  <si>
    <t>Activos por derechos de uso</t>
  </si>
  <si>
    <t>Activos varios</t>
  </si>
  <si>
    <t>Total de activos</t>
  </si>
  <si>
    <t>Depósitos de clientes</t>
  </si>
  <si>
    <t>Depósitos de bancos</t>
  </si>
  <si>
    <t>Intereses acumulados por pagar</t>
  </si>
  <si>
    <t>Total de depósitos</t>
  </si>
  <si>
    <t>Valores vendidos bajo acuerdos de recompra</t>
  </si>
  <si>
    <t>Obligaciones con instituciones financieras</t>
  </si>
  <si>
    <t>Valores comerciales negociables (VCNs)</t>
  </si>
  <si>
    <t>Bonos corporativos</t>
  </si>
  <si>
    <t>Bonos subordinados</t>
  </si>
  <si>
    <t>Bonos perpetuos</t>
  </si>
  <si>
    <t>Total de financiamientos</t>
  </si>
  <si>
    <t>Pasivos por arrendamientos</t>
  </si>
  <si>
    <t>Pasivos varios</t>
  </si>
  <si>
    <t>Total de pasivos</t>
  </si>
  <si>
    <t>Acciones comunes</t>
  </si>
  <si>
    <t>Capital pagado en exceso</t>
  </si>
  <si>
    <t>Reservas de capital</t>
  </si>
  <si>
    <t>Reservas regulatorias</t>
  </si>
  <si>
    <t>Reserva de valor razonable</t>
  </si>
  <si>
    <t>Cambios netos en instrumentos de cobertura</t>
  </si>
  <si>
    <t>Utilidades no distribuidas</t>
  </si>
  <si>
    <t>Total de patrimonio del accionista</t>
  </si>
  <si>
    <t>Total de pasivos y patrimonio</t>
  </si>
  <si>
    <t>Estado consolidado de flujos de efectivo</t>
  </si>
  <si>
    <t>Pérdida (ganancia) en venta de propiedad, mobiliario y equipo</t>
  </si>
  <si>
    <t>Descartes de activo fijo</t>
  </si>
  <si>
    <t>Ganancia en venta de valores al valor razonable con cambios en ORI, neto</t>
  </si>
  <si>
    <t>Pérdida (ganancia) en instrumentos al valor razonable con cambios en resultados, neto</t>
  </si>
  <si>
    <t>Provisión para pérdidas en préstamos</t>
  </si>
  <si>
    <t>Reversión de provisión para inversiones, neto</t>
  </si>
  <si>
    <t>Gastos de intereses</t>
  </si>
  <si>
    <t>Plan de acciones restringidas</t>
  </si>
  <si>
    <t>Flujo antes de cambios en activos y pasivos operativos</t>
  </si>
  <si>
    <t>Cambio en depósitos mayores a 90 días y restringidos</t>
  </si>
  <si>
    <t>Cambio en valores comprados bajo acuerdos de reventa</t>
  </si>
  <si>
    <t>Cambio en préstamos</t>
  </si>
  <si>
    <t>Cambio en activos varios</t>
  </si>
  <si>
    <t>Cambio en depósitos de clientes</t>
  </si>
  <si>
    <t>Cambio en depósitos de bancos</t>
  </si>
  <si>
    <t>Cambio en pasivos varios</t>
  </si>
  <si>
    <t>Efectivo generado por (utilizado en) operaciones</t>
  </si>
  <si>
    <t>Impuesto sobre la renta pagado</t>
  </si>
  <si>
    <t>Intereses recibidos</t>
  </si>
  <si>
    <t>Intereses pagados</t>
  </si>
  <si>
    <t>Flujos neto de efectivo generado por las actividades de operación</t>
  </si>
  <si>
    <t>Compra de valores con cambios en otros resultados integrales</t>
  </si>
  <si>
    <t>Ventas, redenciones y amortizaciones de valores con cambios en otros resultados integrales</t>
  </si>
  <si>
    <t>Compra de inversiones con cambios en resultados</t>
  </si>
  <si>
    <t>Ventas y redenciones de inversiones con cambios en resultados</t>
  </si>
  <si>
    <t>Compra de inversiones a costo amortizado</t>
  </si>
  <si>
    <t>Redenciones y amortizaciones de inversiones a costo amortizado</t>
  </si>
  <si>
    <t>Compra de propiedades, mobiliario y equipo</t>
  </si>
  <si>
    <t>Procedente de las ventas de propiedad, mobiliario y equipo</t>
  </si>
  <si>
    <t>Flujos neto de efectivo (utilizado en) generado por las actividades de inversión</t>
  </si>
  <si>
    <t>Pagos efectuados por operaciones de acuerdos de recompra</t>
  </si>
  <si>
    <t>Producto de valores vendidos bajo acuerdos de recompra</t>
  </si>
  <si>
    <t>Obligaciones recibidas con instituciones financieras</t>
  </si>
  <si>
    <t>Obligaciones pagadas con instituciones financieras</t>
  </si>
  <si>
    <t>Producto de la emisión de valores comerciales negociables</t>
  </si>
  <si>
    <t>Pagos por redención de valores comerciales negociables</t>
  </si>
  <si>
    <t>Producto de la emisión de bonos</t>
  </si>
  <si>
    <t>Redenciones y recompra de bonos</t>
  </si>
  <si>
    <t>Dividendos pagados acciones comunes</t>
  </si>
  <si>
    <t>Aparte de capital</t>
  </si>
  <si>
    <t>Pago de arrendamiento</t>
  </si>
  <si>
    <t>Impuesto complementario</t>
  </si>
  <si>
    <t>Flujos neto de efectivo utilizado en las actividades de financiación</t>
  </si>
  <si>
    <t>Aumento neto en efectivo y equivalentes de efectivo</t>
  </si>
  <si>
    <t>Efectivo y equivalentes de efectivo al inicio del año</t>
  </si>
  <si>
    <t>Efectivo y equivalentes de efectivo al final del año</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</si>
  <si>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</si>
  <si>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</si>
  <si>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</si>
  <si>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</si>
  <si>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</si>
  <si>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</si>
  <si>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</si>
  <si>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</si>
  <si>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</si>
  <si>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</si>
  <si>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</si>
  <si>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</si>
  <si>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INGRESO POR INTERESES — CRECIMIENTO (% YoY)</t>
  </si>
  <si>
    <t xml:space="preserve">  Ingresos por intereses — driver activo</t>
  </si>
  <si>
    <t>%</t>
  </si>
  <si>
    <t>driver_tree:interest_income_growth</t>
  </si>
  <si>
    <t xml:space="preserve">    Bear</t>
  </si>
  <si>
    <t>Escenario driver citado; NOT_DISCLOSED si no hay fuente explícita.</t>
  </si>
  <si>
    <t xml:space="preserve">    Base</t>
  </si>
  <si>
    <t xml:space="preserve">    Bull</t>
  </si>
  <si>
    <t xml:space="preserve">  Ingresos por intereses (hist, ref EEFF)</t>
  </si>
  <si>
    <t>EEFF:Ingresos por intereses@row7</t>
  </si>
  <si>
    <t>Mirror histórico desde fuente citada.</t>
  </si>
  <si>
    <t xml:space="preserve">  Ingresos por intereses YoY histórico (ref EEFF)</t>
  </si>
  <si>
    <t>Fórmula viva: año actual / año previo - 1.</t>
  </si>
  <si>
    <t>B. GASTO POR INTERESES (% de ingreso x int.)</t>
  </si>
  <si>
    <t xml:space="preserve">  Gasto por intereses — driver activo</t>
  </si>
  <si>
    <t>driver_tree:interest_expense_ratio</t>
  </si>
  <si>
    <t xml:space="preserve">  Gasto por intereses ÷ ingresos (hist, ref EEFF)</t>
  </si>
  <si>
    <t>EEFF:Gasto por intereses@row8; EEFF:Ingresos por intereses@row7</t>
  </si>
  <si>
    <t>C. CARTERA DE PRÉSTAMOS (crecimiento % YoY)</t>
  </si>
  <si>
    <t xml:space="preserve">  Préstamos, neto (hist, ref EEFF)</t>
  </si>
  <si>
    <t>EEFF:Préstamos, neto@row40</t>
  </si>
  <si>
    <t xml:space="preserve">  Préstamos, neto YoY histórico (ref EEFF)</t>
  </si>
  <si>
    <t xml:space="preserve">  Crecimiento de préstamos netos (% YoY) — driver activo</t>
  </si>
  <si>
    <t>driver_tree:loan_growth; macro_assumptions:gdp_growth_nominal=0.04</t>
  </si>
  <si>
    <t>Floor firmado: si base &gt; PIB, bear = PIB; si base &lt;= PIB, bear = 0%; sin tasa negativa.</t>
  </si>
  <si>
    <t>Base = max(promedio histórico, 0%) para volumen de intermediación/cartera.</t>
  </si>
  <si>
    <t>Bull = base + spread declarado; sin tasa negativa.</t>
  </si>
  <si>
    <t>D. DEPÓSITOS DE CLIENTES (crecimiento % YoY)</t>
  </si>
  <si>
    <t xml:space="preserve">  Depósitos de clientes (hist, ref EEFF)</t>
  </si>
  <si>
    <t>EEFF:Depósitos de clientes@row45</t>
  </si>
  <si>
    <t xml:space="preserve">  Depósitos de clientes YoY histórico (ref EEFF)</t>
  </si>
  <si>
    <t xml:space="preserve">  Crecimiento de depósitos de clientes (% YoY) — driver activo</t>
  </si>
  <si>
    <t>driver_tree:deposit_growth; macro_assumptions:gdp_growth_nominal=0.04</t>
  </si>
  <si>
    <t>E. PROVISIÓN CREDITICIA (tasa sobre préstamos)</t>
  </si>
  <si>
    <t xml:space="preserve">  Provisión para préstamos incobrables (hist, ref EEFF)</t>
  </si>
  <si>
    <t>EEFF:Provisión para préstamos incobrables@row14</t>
  </si>
  <si>
    <t xml:space="preserve">  Provisión / préstamos netos (hist, ref EEFF)</t>
  </si>
  <si>
    <t>EEFF:Provisión para préstamos incobrables@row14; EEFF:Préstamos, neto@row40</t>
  </si>
  <si>
    <t xml:space="preserve">  Tasa de provisión sobre préstamos BOP — driver activo</t>
  </si>
  <si>
    <t>driver_tree:credit_provision_rate</t>
  </si>
  <si>
    <t>F. COMISIONES GANADAS (crecimiento % YoY)</t>
  </si>
  <si>
    <t xml:space="preserve">  Crecimiento de comisiones ganadas (% YoY) — driver activo</t>
  </si>
  <si>
    <t>driver_tree:fee_growth</t>
  </si>
  <si>
    <t xml:space="preserve">  Comisiones ganadas (hist, ref EEFF)</t>
  </si>
  <si>
    <t>EEFF:Comisiones ganadas@row10</t>
  </si>
  <si>
    <t xml:space="preserve">  Comisiones ganadas YoY histórico (ref EEFF)</t>
  </si>
  <si>
    <t>G. OTROS INGRESOS (crecimiento % YoY)</t>
  </si>
  <si>
    <t xml:space="preserve">  Crecimiento de otros ingresos (% YoY) — driver activo</t>
  </si>
  <si>
    <t>driver_tree:other_income_growth</t>
  </si>
  <si>
    <t xml:space="preserve">  Otros ingresos (hist, ref EEFF)</t>
  </si>
  <si>
    <t>EEFF:Otros ingresos@row19</t>
  </si>
  <si>
    <t xml:space="preserve">  Otros ingresos YoY histórico (ref EEFF)</t>
  </si>
  <si>
    <t>H. GASTOS OPERATIVOS (crecimiento % YoY)</t>
  </si>
  <si>
    <t xml:space="preserve">  Crecimiento de gastos operativos (% YoY) — driver activo</t>
  </si>
  <si>
    <t>driver_tree:operating_expense_growth</t>
  </si>
  <si>
    <t xml:space="preserve">  Total de otros gastos (hist, ref EEFF)</t>
  </si>
  <si>
    <t>EEFF:Total de otros gastos@row28</t>
  </si>
  <si>
    <t xml:space="preserve">  Total de otros gastos YoY histórico (ref EEFF)</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</si>
  <si>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</si>
  <si>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</si>
  <si>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</si>
  <si>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</si>
  <si>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</si>
  <si>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</si>
  <si>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</si>
  <si>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</si>
  <si>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</si>
  <si>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</si>
  <si>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</si>
  <si>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</si>
  <si>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</si>
  <si>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</si>
  <si>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</si>
  <si>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</si>
  <si>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</si>
  <si>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</si>
  <si>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</si>
  <si>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</si>
  <si>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</si>
  <si>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</si>
  <si>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2021</t>
  </si>
  <si>
    <t>INA_GLOBAN_2021_0.pdf</t>
  </si>
  <si>
    <t>page-104</t>
  </si>
  <si>
    <t>markdown.md</t>
  </si>
  <si>
    <t>3</t>
  </si>
  <si>
    <t>3. Base de preparación</t>
  </si>
  <si>
    <t>Políticas contables</t>
  </si>
  <si>
    <t>### 3.1 Estado de cumplimiento</t>
  </si>
  <si>
    <t>OK</t>
  </si>
  <si>
    <t>Los estados financieros consolidados han sido preparados de conformidad con las Normas Internacionales de Información Financiera (NIIF's), emitidas por IASB.</t>
  </si>
  <si>
    <t>- 15 -</t>
  </si>
  <si>
    <t>page-105</t>
  </si>
  <si>
    <t>## 3.2 Base de preparación</t>
  </si>
  <si>
    <t>Los estados financieros consolidados han sido preparados bajo la base del costo histórico, excepto por las inversiones al valor razonable con cambios en resultados; las inversiones al valor razonable con cambios en otros resultados integrales, los activos o pasivos con coberturas de valor razonable y los instrumentos derivados los cuales se presentan a su valor razonable.</t>
  </si>
  <si>
    <t>El costo histórico generalmente se basa en el valor razonable de la contraprestación entregada a cambio de bienes y servicios.</t>
  </si>
  <si>
    <t>Valor razonable es el precio que se recibiría por vender un activo o pagar para transferir un pasivo en una transacción ordenada entre participantes del mercado en la fecha de valoración, independientemente de si ese precio es observable directamente o estimado utilizando otra técnica de valoración directa. Al estimar el valor razonable de un activo o un pasivo, se tiene en cuenta las características del activo o pasivo si los participantes del mercado toman en cuenta esas características a la hora de fijar el precio del activo o pasivo a la fecha de medición. El valor razonable a efectos de valoración y/o revelación en los estados financieros consolidados se determina de la forma previamente dicha, a excepción de las transacciones de pagos basados en acciones que se encuentran dentro del alcance de la NIIF 2, las operaciones de leasing que están dentro del alcance de la NIIF 16, y mediciones que tienen algunas similitudes con valor razonable, pero que no son valor razonable, tales como el valor neto realizable de la NIC 2 o el valor en uso de la NIC 36.</t>
  </si>
  <si>
    <t>Los estados financieros consolidados han sido preparados por la Administración asumiendo que el Banco continuará operando como un negocio en marcha. El impacto COVID-19 sobre las operaciones del Banco se describen en la Nota 34 de los estados financieros consolidados.</t>
  </si>
  <si>
    <t>## 3.3 Base de consolidación</t>
  </si>
  <si>
    <t>Los estados financieros consolidados incluyen los del Banco y sus subsidiarias en las que tiene control. El control se obtiene cuando se cumplen todos los criterios a continuación:</t>
  </si>
  <si>
    <t>- Tiene poder sobre la inversión; - Está expuesto, o tiene los derechos, a los rendimientos variables derivados de su participación con dicha entidad, y - Tiene la capacidad de afectar tales rendimientos a través de su poder sobre la entidad en la que invierte.</t>
  </si>
  <si>
    <t>El Banco reevalúa si controla una entidad si los hechos y circunstancias indican que hay cambios en uno o más de los tres elementos de control que se listaron anteriormente.</t>
  </si>
  <si>
    <t>Cuando el Banco tiene menos de la mayoría de los derechos de votos de una participada, tiene poder sobre la participada cuando los votos son suficientes para otorgarle la capacidad práctica de dirigir las actividades relevantes de la participada de forma unilateral. El Banco considera todos los hechos y circunstancias pertinentes para evaluar si los derechos de votos en una participada son suficientes para otorgarle poder, incluyendo:</t>
  </si>
  <si>
    <t>- El tamaño de la participación del Banco del derecho a voto en relación con el tamaño y la dispersión de la tenencia de los tenedores de voto; - Derecho a votos potenciales mantenidos por el Banco, otros tenedores de votos u otras partes; - Derechos derivados de otros acuerdos contractuales; y - Algunos factores o circunstancias que indiquen que el Banco tiene, o no tenga, la actual capacidad para dirigir las actividades relevantes en el momento que las decisiones necesiten ser tomadas, incluyendo los patrones de voto en la reunión previa de junta de accionistas.</t>
  </si>
  <si>
    <t>Las subsidiarias son consolidadas desde la fecha en que el Banco obtiene control hasta el momento en que el control termina. Los resultados de las subsidiarias adquiridas o dispuestas durante el período son incluidos en el estado consolidado de ganancia o pérdida desde la fecha efectiva de adquisición o desde la fecha efectiva de la disposición, según sea apropiado.</t>
  </si>
  <si>
    <t>- 16 -</t>
  </si>
  <si>
    <t>page-106</t>
  </si>
  <si>
    <t>En caso de ser necesario, los ajustes son realizados a los estados financieros consolidados de las subsidiarias para adaptar sus políticas contables del Banco.</t>
  </si>
  <si>
    <t>Todos los saldos y transacciones entre el Banco y sus subsidiarias fueron eliminados en la consolidación.</t>
  </si>
  <si>
    <t>## Cambios en la participación del Banco sobre subsidiarias existentes</t>
  </si>
  <si>
    <t>Los cambios en la participación del Banco sobre subsidiarias existentes que no resulten en pérdida de control del Banco sobre las subsidiarias son contabilizados como transacciones de patrimonio.</t>
  </si>
  <si>
    <t>Cuando el Banco pierde control de una subsidiaria, una utilidad o pérdida es reconocida en ganancia o pérdida, la cual es calculada como la diferencia entre (i) el conjunto del valor razonable de la contraprestación recibida y el valor razonable de algún interés retenido y (ii) el valor en libros previo de los activos (incluyendo plusvalía, si aplicara), y pasivos de la subsidiaria y alguna participación no controladora. Todos los importes previamente reconocidos en otro resultado integral con relación a esa subsidiaria son contabilizados como si el Banco hubiese directamente dispuesto de los activos o pasivos relacionados de la subsidiaria (ejemplo, reclasificados a ganancia o pérdida o consideraciones a alguna otra categoría de patrimonio como sea permitido o especificado por las NIIF). El valor razonable de una inversión retenida en una subsidiaria precedente a la fecha cuando el control es perdido es considerado al valor razonable en su reconocimiento inicial para una contabilización subsecuente bajo la NIC 39, cuando sea aplicable, el costo al inicio de la transacción de una inversión en una asociada o un negocio conjunto.</t>
  </si>
  <si>
    <t>## 3.4 Transacciones en moneda extranjera</t>
  </si>
  <si>
    <t>Los activos y pasivos mantenidos en moneda extranjera son convertidos a la tasa de cambio vigente a la fecha del estado consolidado de situación financiera, con excepción de aquellas transacciones con tasas de cambio fijas contractualmente acordadas. Las transacciones en moneda extranjera son registradas a las tasas de cambio vigentes en las fechas de las transacciones. La ganancia o pérdida por conversión de moneda extranjera son reflejadas en las cuentas de otros ingresos u otros gastos en el estado consolidado de ganancia o pérdida.</t>
  </si>
  <si>
    <t>Los activos y pasivos no monetarios denominados en monedas extranjeras que son valorizados al valor razonable son reconvertidos a la moneda funcional a la tasa de cambio a la fecha en que se determinó el valor razonable. Las diferencias en moneda extranjera que surgen durante la reconversión son reconocidas en ganancia o pérdida, excepto en el caso de diferencias que surjan en la reconversión de instrumentos de capital disponibles para la venta, un pasivo financiero designado como cobertura de la inversión neta en una operación en el extranjero, o coberturas de flujos de efectivo calificadas, las que son reconocidas directamente en el estado consolidado de ganancia o pérdida.</t>
  </si>
  <si>
    <t>## Moneda funcional y de presentación</t>
  </si>
  <si>
    <t>Los registros se llevan en balboas y los estados financieros consolidados están expresados en esta moneda. El balboa, es la unidad monetaria de la República de Panamá, está a la par y es de libre cambio con el dólar de los Estados Unidos de América. La República de Panamá no emite papel moneda y en su lugar utiliza el dólar norteamericano como moneda de uso legal.</t>
  </si>
  <si>
    <t>## 3.5 Información por segmentos</t>
  </si>
  <si>
    <t>Un segmento de negocio es un componente del Banco, cuyos resultados operativos son revisados regularmente por la Gerencia del Banco, para la toma de decisiones acerca de los recursos que serán asignados al segmento y evaluar así su desempeño, y para el cual se tiene disponible información financiera para este propósito.</t>
  </si>
  <si>
    <t>- 17 -</t>
  </si>
  <si>
    <t>page-107</t>
  </si>
  <si>
    <t>## 3.6 Activos financieros</t>
  </si>
  <si>
    <t>Los instrumentos de deuda que se mantienen dentro de un modelo comercial cuyo objetivo es recolectar los flujos de efectivo contractuales, y que tienen flujos de efectivo contractuales que son únicamente pagos de principal e intereses sobre el monto principal pendiente (SPPI, por sus siglas en inglés), se miden posteriormente al costo amortizado; los instrumentos de deuda que se mantienen dentro de un modelo comercial cuyo objetivo es tanto el de recolectar los flujos de efectivo contractuales como el de vender los instrumentos de deuda, y que tienen flujos de efectivo contractuales que son SPPI, se miden posteriormente a valor razonable con cambios en otros resultados integrales (VROCI, por sus siglas en inglés); todos los demás instrumentos de deuda (por ejemplo, los instrumentos de deuda administrados sobre una base de valor razonable, o mantenidos para la venta) y las inversiones de capital se miden posteriormente en FVTPL.</t>
  </si>
  <si>
    <t>Sin embargo, se puede hacer la siguiente elección o designación irrevocable en el reconocimiento inicial de un activo financiero sobre una base de activo por activo:</t>
  </si>
  <si>
    <t>- Se puede elegir irrevocablemente presentar los cambios posteriores en el valor razonable de una inversión de capital que no se mantiene para negociar, ni una contraprestación contingente reconocida por una adquirente en una combinación de negocios a la cual se aplica la NIIF 3 – “Combinaciones de negocios”, en otros resultados integrales; y - Se puede designar irrevocablemente un instrumento de deuda que cumpla con el costo amortizado o con los criterios de VROCI medidos a FVTPL si al hacerlo elimina o reduce significativamente causando una asimetría contable.</t>
  </si>
  <si>
    <t>## 3.6.1 Clasificación</t>
  </si>
  <si>
    <t>El Banco clasifica sus activos financieros de acuerdo a su medición posterior a costo amortizado, a valor razonable con cambios en otros resultados integrales o a valor razonable con cambios en ganancias y pérdidas, sobre la base del modelo de negocio del Banco para la gestión de los activos financieros y las características de flujo de efectivo contractuales de los activos financieros.</t>
  </si>
  <si>
    <t>El Banco clasifica todos los pasivos financieros de acuerdo a su medición posterior a costo amortizado, excepto para aquellos pasivos medidos a con cambios en ganancias y pérdidas, como resultado de la contabilidad de cobertura, así como pasivos medidos a valor razonable correspondiente a los derivados no designados.</t>
  </si>
  <si>
    <t>## 3.6.2 Evaluación del modelo de negocio</t>
  </si>
  <si>
    <t>El Banco realiza una evaluación del objetivo del modelo de negocio en el que el activo financiero se mantiene a nivel de cartera, ya que refleja la forma en que se administra el negocio y se proporciona información a la administración. La información considera lo siguiente:</t>
  </si>
  <si>
    <t>- Las políticas y objetivos del Banco para la cartera y el funcionamiento de dichas políticas en la práctica. En particular, si la estrategia de la administración se centra en obtener ingresos por intereses contractuales, mantener un perfil de tasa de interés particular, adecuar la duración de los activos financieros a la duración de los pasivos que financian esos activos o realizar flujos de efectivo a través de la venta de los activos; - Cómo se evalúa el desempeño de la cartera y se informa a la administración del Banco; - El riesgo que afecta al rendimiento del modelo de negocio y cómo se gestionan dichos riesgos; - La frecuencia, el volumen y el momento de las ventas en años anteriores, la razón de tales ventas y sus expectativas sobre la futura actividad de ventas. Sin embargo, la información sobre la actividad de ventas no se considera aisladamente, sino como parte de una evaluación general de cómo se logra el objetivo declarado del Banco para la gestión de los activos financieros y cómo se realizan los flujos de efectivo.</t>
  </si>
  <si>
    <t>Una evaluación de los modelos de negocios para administrar los activos financieros es fundamental para la clasificación de un activo financiero. El Banco determina el modelo de negocio a un nivel que refleja cómo los grupos de activos financieros se administran juntos para lograr un objetivo empresarial particular. El modelo de negocio no depende de las intenciones de la Administración para un instrumento individual, por lo tanto, la evaluación del modelo de negocios se realiza a un nivel más alto de agregación en lugar de hacerlo instrumento por instrumento.</t>
  </si>
  <si>
    <t>- 18 -</t>
  </si>
  <si>
    <t>page-108</t>
  </si>
  <si>
    <t>En el reconocimiento inicial de un activo financiero, se determina si los activos financieros recientemente reconocidos son parte de un modelo de negocio existente o si reflejan el comienzo de un nuevo modelo de negocio. El Banco vuelve a evaluar su modelo de negocio en cada período de informe para determinar si los modelos de negocios han cambiado desde el período anterior. Para el período de informe actual y anterior, el Banco no ha identificado un cambio en su modelo de negocio.</t>
  </si>
  <si>
    <t>## 3.6.3 Evaluación sobre los flujos de efectivo contractuales si son únicamente pagos de capital e intereses</t>
  </si>
  <si>
    <t>A efectos de esta evaluación, se entiende por "principal" el valor razonable del activo financiero en el momento del reconocimiento inicial. El "interés" es definido como la contraprestación por el valor del dinero en el tiempo y por el riesgo de crédito asociado al capital pendiente durante un período de tiempo determinado y por otros riesgos y costos básicos de préstamo, así como el margen de utilidad.</t>
  </si>
  <si>
    <t>Los flujos de efectivo contractuales que son SPPI, son consistentes con un acuerdo de préstamo básico. Los términos contractuales que introducen exposición a riesgos o volatilidad en los flujos de efectivo contractuales que no están relacionados con un acuerdo de préstamo básico, como la exposición a cambios en precios de acciones o precios de productos básicos, no dan lugar a flujos de efectivo contractuales que son SPPI. Un activo financiero originado o adquirido puede ser acuerdo estándar de crédito indistintamente si es un préstamo en su forma legal.</t>
  </si>
  <si>
    <t>Al evaluar si los flujos de efectivo contractuales son únicamente pagos de principal e intereses, el Banco considera los términos contractuales del instrumento. Esto incluye evaluar si el activo financiero contiene un término contractual que podría cambiar el momento o el monto de los flujos de efectivo contractuales de manera que no cumpla con esta condición. Al realizar la evaluación, el Banco considera lo siguiente:</t>
  </si>
  <si>
    <t>- Eventos contingentes que cambiarían la cantidad y el calendario de los flujos de efectivo; - Características de apalancamiento; - Prepago y términos de extensión; - Términos que limitan la reclamación del Banco a los flujos de efectivo de activos especificados (por ejemplo, acuerdos con activos sin recurso); y características que modifican la consideración del valor del dinero en el tiempo (por ejemplo, reajuste periódico de las tasas de interés).</t>
  </si>
  <si>
    <t>## 3.6.4 Activos financieros a valor razonable con cambios en otros resultados integrales (VROCI)</t>
  </si>
  <si>
    <t>Estos valores se componen de instrumentos de deuda no clasificados como valores a FVTPL o valores a costo amortizado y están sujetos a los mismos criterios de aprobación que el resto de la cartera de crédito. Estos valores se contabilizan al valor razonable si se cumplen las dos condiciones siguientes:</t>
  </si>
  <si>
    <t>- El activo financiero se mantiene de acuerdo con un modelo de negocio cuyo objetivo se logra mediante el cobro de flujos de efectivo contractuales y la venta de activos financieros; y, - Las condiciones contractuales de los activos financieros dan lugar en fechas especificadas a los flujos de efectivo que son únicamente pagos de principal e intereses sobre el principal pendiente.</t>
  </si>
  <si>
    <t>Las ganancias y pérdidas no realizadas se reportan como incrementos netos o disminuciones en otros resultados integrales ("OCI") en el estado consolidado de cambios en el patrimonio hasta que se realicen. La ganancia o pérdida realizadas por la venta de valores que se incluyen en la ganancia neta en la venta de valores se determinan usando el método de identificación específico.</t>
  </si>
  <si>
    <t>Para un instrumento de patrimonio designado como medido a VROCI, la ganancia o pérdida acumulada previamente reconocida en otros resultados integrales no se reclasifica posteriormente a ganancia o pérdida, pero puede ser transferida dentro del patrimonio.</t>
  </si>
  <si>
    <t>- 19 -</t>
  </si>
  <si>
    <t>page-109</t>
  </si>
  <si>
    <t>## 3.6.5 Activos financieros a costo amortizado</t>
  </si>
  <si>
    <t>Los activos financieros a costo amortizado representan valores y préstamos cuyo objetivo es mantenerlos con el fin de obtener los flujos de efectivo contractuales durante la vida del instrumento. Estos títulos y préstamos se valoran a costo amortizado si aplican las dos condiciones siguientes:</t>
  </si>
  <si>
    <t>- El activo financiero se mantiene dentro del modelo de negocio cuyo objetivo es mantener los activos financieros para obtener los flujos de efectivo contractuales, y - Las condiciones contractuales del activo financiero dan lugar, en las fechas especificadas, a flujos de efectivo que son únicamente pagos del principal e intereses sobre el importe del principal pendiente.</t>
  </si>
  <si>
    <t>## 3.6.6 Activos y pasivos financieros a valor razonable con cambios en resultados (FVTPL)</t>
  </si>
  <si>
    <t>Activos y pasivos financieros a valor razonable con cambios en resultados incluyen a) activos y pasivos con flujos de efectivo contractuales que no son SPPI; y/o b) activos y pasivos designados en FVTPL utilizando la opción de valor razonable; y cuentas por cobrar (ganancias no realizadas) y cuentas por pagar (pérdidas no realizadas) relacionadas con instrumentos financieros derivados que no son designados como cobertura o que no califican para la contabilidad de cobertura.</t>
  </si>
  <si>
    <t>Las ganancias y pérdidas no realizadas y realizadas en activos y pasivos para negociar son registradas en el estado consolidado de ganancia o pérdida como ganancia (pérdida) de instrumentos financieros a valor razonable con cambios en resultados.</t>
  </si>
  <si>
    <t>## 3.6.7 Reclasificación</t>
  </si>
  <si>
    <t>Si el modelo de negocios, bajo el cual el Banco mantiene los activos financieros cambia, los activos financieros afectados se reclasifican. Los requisitos de clasificación y medición relacionados con la nueva categoría se aplican prospectivamente desde el primer día del primer período de presentación de informes luego del cambio en el modelo de negocios que resulta en la reclasificación de los activos financieros del Banco.</t>
  </si>
  <si>
    <t>Los cambios en los flujos de efectivo contractuales se consideran bajo la política contable de modificación y baja en cuentas de los activos y pasivos financieros que se describe a continuación.</t>
  </si>
  <si>
    <t>## 3.6.8 Baja de activos</t>
  </si>
  <si>
    <t>Un activo financiero (o, en su caso una parte de un activo financiero o una parte de un grupo de activos financieros similares) se dan de baja cuando:</t>
  </si>
  <si>
    <t>- Los derechos a recibir flujos de efectivo del activo han vencido. - El Banco ha transferido sus derechos a recibir los flujos de efectivo del activo y, o bien ha transferido sustancialmente todos los riesgos y beneficios del activo, o ni ha transferido ni retenido sustancialmente los riesgos y beneficios del activo, pero se ha transferido el control del activo. - El Banco se reserva el derecho a recibir los flujos de efectivo del activo, pero ha asumido una obligación de pagar los flujos de efectivo recibido en su totalidad y sin demora material a un tercero en virtud de un acuerdo de "pass-through". - Cuando el Banco ha transferido sus derechos a recibir flujos de efectivo de un activo o ha entrado en un acuerdo de traspaso, y ni se ha transferido ni retenido sustancialmente todos los riesgos y beneficios del activo, ni transferido el control del activo, el activo se reconoce en la medida que continúa la participación del Banco en el activo. En ese caso, el Banco también reconoce un pasivo asociado. El activo transferido y el pasivo asociado se miden sobre una base que refleje los derechos y obligaciones contractuales que el Banco ha retenido.</t>
  </si>
  <si>
    <t>La continua participación que tome la forma de una garantía sobre el activo transferido se mide por el menor entre el valor en libros original del activo y el importe máximo de la consideración de que el Banco podría ser obligado a pagar.</t>
  </si>
  <si>
    <t>- 20 -</t>
  </si>
  <si>
    <t>page-110</t>
  </si>
  <si>
    <t>El Banco realiza operaciones mediante las cuales transfiere activos reconocidos en su estado consolidado de situación financiera, pero retiene todos o sustancialmente todos los riesgos y beneficios del activo transferido o parte de ellos. En tales casos, los activos transferidos no son dados de baja. Ejemplos de estas transacciones son préstamos de valores y transacciones de venta y recompra.</t>
  </si>
  <si>
    <t>## 3.6.9 Deterioro de los activos financieros</t>
  </si>
  <si>
    <t>La medición de la provisión para pérdidas crediticias esperadas para los activos financieros medidos a costo amortizado y a valor razonable con cambios en otras utilidades integrales requieren el uso de modelos complejos y suposiciones significativas sobre las condiciones económicas futuras y el comportamiento crediticio. También se requiere varios juicios significativos al aplicar los requerimientos contables para medir las pérdidas esperadas, tales como:</t>
  </si>
  <si>
    <t>- Determinar los criterios para un aumento significativo en el riesgo de crédito. - Elección de modelos apropiados y suposiciones para la medición de la pérdida esperada. - Incorporar los escenarios futuros de las condiciones macroeconómicas para cada tipo de producto/mercado y la pérdida esperada asociada y; - Establecer grupos de activos financieros similares con el fin de medir la pérdida esperada.</t>
  </si>
  <si>
    <t>Los juicios críticos se describen en la Nota 5.</t>
  </si>
  <si>
    <t>El Banco reconoce provisión por ECLs en los siguientes instrumentos financieros que no sean medidos a FVTPL:</t>
  </si>
  <si>
    <t>- Préstamos al costo amortizado; - Valores de deuda de inversión; - Cuentas por cobrar de arrendamientos; - Compromisos de préstamo emitidos; y - Contratos de garantía financieras emitidos.</t>
  </si>
  <si>
    <t>No se reconoce pérdida por deterioro en las inversiones de patrimonio.</t>
  </si>
  <si>
    <t>Con excepción de los activos financieros activos financieros que son adquiridos deteriorados, las ECL está requerido sean medidas mediante una provisión por pérdida a una cantidad igual a:</t>
  </si>
  <si>
    <t>- ECL durante el tiempo de vida que resulten de los eventos de incumplimiento en el instrumento financiero que sean posibles dentro de 12 meses después de la fecha de presentación de reporte, (referidas como Etapa 1); o - ECL durante el tiempo de vida, ECL durante el tiempo de vida que resulten de todos los posibles eventos de incumplimiento durante la vida del instrumento financiero, (referidas como Etapa 2 y Etapa 3).</t>
  </si>
  <si>
    <t>La provisión por pérdida por todas las ECL durante el tiempo de vida es requerida para un instrumento financiero si el riesgo de crédito en ese instrumento financiero se ha incrementado de manera importante desde el reconocimiento inicial. Para todos los otros instrumentos financieros, las ECL son medidas a una cantidad igual a las ECL de 12 meses.</t>
  </si>
  <si>
    <t>Éstas son medidas como el valor presente de la diferencia entre los flujos de efectivo según el contrato y los flujos de efectivo que el Banco espere recibir que surjan de la ponderación de múltiples escenarios económicos futuros, descontado a la EIR del activo.</t>
  </si>
  <si>
    <t>- Para los compromisos de préstamo suscritos, las ECL son la diferencia entre el valor presente de la diferencia entre los flujos de efectivo contractuales que sean debidos a el Banco si el tenedor del compromiso toma el préstamo y los flujos de efectivo que el Banco espera recibir si el préstamo es tomado; y</t>
  </si>
  <si>
    <t>- 21 -</t>
  </si>
  <si>
    <t>page-111</t>
  </si>
  <si>
    <t>- Para los contratos de garantías financieras, las ECL son la diferencia entre los pagos esperados para reembolsar al tomador del instrumento de deuda garantizado menos cualesquiera cantidades que el Banco espere recibir del tenedor, el deudor o cualquier otra parte.</t>
  </si>
  <si>
    <t>El Banco mide las ECL sobre una base individual, o sobre una base colectiva para los portafolios de préstamos que comparan similares características de riesgo económico (tipo de instrumento, grupo de calificación crediticia y fecha de originación). La medición de la provisión por pérdida se basa en el valor presente de los flujos de efectivo esperados del activo, usando la EIR original del activo, independiente de si es medido sobre una base individual o una base colectiva.</t>
  </si>
  <si>
    <t>## 3.6.9.1 Activos financieros deteriorados</t>
  </si>
  <si>
    <t>Un activo financiero es de ‘crédito-deteriorado’ cuando haya ocurrido uno o más eventos que tenga un efecto perjudicial en los flujos de efectivo estimados futuros del activo financiero. Los activos financieros con crédito-deteriorado son referidos como activos de la Etapa 3. La evidencia de deterioro del crédito incluye datos observables acerca de los siguientes eventos:</t>
  </si>
  <si>
    <t>- Dificultad financiera importante del prestatario o emisor; - Una violación del contrato tal como un incumplimiento o evento de vencimiento; - El prestador del prestatario, por razones económicas o contractuales relacionadas con la dificultad financiera del prestatario, le ha otorgado al prestatario una concesión que el prestador de otra manera no consideraría; - La desaparición de un mercado activo para un valor a causa de dificultades financieras; o - La compra de un activo financiero con un gran descuento que refleje las pérdidas de crédito incurridas.</t>
  </si>
  <si>
    <t>Puede no ser posible identificar un evento discreto único, en lugar de ello, el efecto combinado de varios eventos puede haber causado que activos financieros se vuelvan con crédito-deteriorado. El Banco valora si los instrumentos de deuda que sean activos financieros medidos a costo amortizado o a VROCI son de crédito-deteriorado en cada fecha de presentación de reporte. Para valorar si instrumentos de deuda soberana y corporativa tienen crédito-deteriorado, el Banco considera factores tales como rendimientos del bono, calificaciones del crédito y la capacidad del prestatario para obtener fondos.</t>
  </si>
  <si>
    <t>Un préstamo es considerado con crédito-deteriorado cuando una concesión es otorgada al prestatario debido a un deterioro en la condición financiera del prestatario, a menos que haya evidencia de que como resultado del otorgamiento de la concesión el riesgo de no recibir los flujos de efectivo contractuales ha sido reducido de manera importante y no hay otros indicadores. Para los activos financieros donde están contempladas concesiones, pero no han sido otorgadas el activo se considera con crédito-deteriorado cuando haya evidencia observable de deterioro del crédito, incluyendo satisfacer la definición de incumplimiento. La definición de incumplimiento (vea adelante) incluye la improbabilidad de indicadores de pago e interrupción del respaldo si las cantidades tienen 90 o más días de vencidas.</t>
  </si>
  <si>
    <t>## 3.6.9.2 Definición de incumplimiento</t>
  </si>
  <si>
    <t>El Banco considera que un activo financiero está en estado de incumplimiento cuando presenta cualquiera de las siguientes características:</t>
  </si>
  <si>
    <t>- El deudor está vencido por más de 90 días en cualquiera de sus obligaciones con el Banco, ya sea en el principal del préstamo o interés; o cuando el saldo principal con un solo pago al vencimiento se encuentra pendiente de pago por más de 30 días; - Deterioro en la situación financiera del cliente, o la existencia de otros factores para estimar la posibilidad de que el saldo principal y los intereses de los préstamos de clientes no se recuperen por completo. Los clientes clasificados en categoría de riesgo altos por el modelo de score de comportamiento y de rating crediticio cumplen este criterio.</t>
  </si>
  <si>
    <t>- 22 -</t>
  </si>
  <si>
    <t>page-112</t>
  </si>
  <si>
    <t>- Sin embargo, existe una presunción refutable de que el riesgo de crédito de estos préstamos vencidos se ha incrementado significativamente desde el reconocimiento inicial si el Banco tiene información razonable y sustentable que está disponible sin costo o esfuerzo desproporcionado, que demuestran que el riesgo de crédito no ha aumentado significativamente desde su reconocimiento inicial a pesar de que los pagos contractuales tienen más de 30 o 90 días de mora.</t>
  </si>
  <si>
    <t>Al evaluar si un prestatario está en incumplimiento, el Banco considera indicadores cualitativos y cuantitativos basados en datos desarrollados internamente y obtenidos de fuentes externas. Insumos en la evaluación de si un instrumento financiero está en incumplimiento y su importancia puede variar con el tiempo para reflejar cambios en las circunstancias.</t>
  </si>
  <si>
    <t>## 3.6.9.3 Aumento significativo de riesgo de crédito</t>
  </si>
  <si>
    <t>Con el fin de determinar si se ha producido un aumento significativo en el riesgo de crédito del instrumento financiero, la evaluación se basa en información cuantitativa y la información cualitativa. El Banco considera los siguientes factores, aunque no exhaustiva, en la medición del aumento significativo en el riesgo de crédito:</t>
  </si>
  <si>
    <t>- Activos con altura de mora de más de 30 días. - Activos reestructurados por riesgos, en donde el cliente está experimentando dificultades financieras, otras distintas a problemas de liquidez que se consideren temporales, y hasta que se demuestre que ha mejorado su riesgo crediticio. - Clientes con incremento significativo en el riesgo medido por el score de comportamiento para la cartera de consumo y el rating crediticio para la cartera corporativa, según se detalla más abajo, producido por:</t>
  </si>
  <si>
    <t>- Un cambio significativo real o esperado en los resultados operativos del prestatario; - Un cambio adverso significativo esperado o real en el entorno de regulación, económico o tecnológico del prestatario; - Cambios significativos en el valor de la garantía colateral que apoya a la obligación; - Cambios significativos, tales como reducciones en el apoyo financiero de una entidad controladora u otra filial o un cambio significativo real o esperado en la calidad crediticia, entre otros factores incorporados en el modelo de pérdida esperada de crédito del Banco; - Cambios adversos existentes o previstos en el negocio, condiciones financieras o económicas.</t>
  </si>
  <si>
    <t>- Cambios significativos en los indicadores del mercado externo de riesgo crediticio para un instrumento financiero concreto o instrumentos financieros similares con la misma vida esperada; - Un cambio significativo real o esperado en la calificación crediticia externa del instrumento financiero.</t>
  </si>
  <si>
    <t>En la determinación de si existe un aumento significativo de riesgo aplica los siguientes modelos:</t>
  </si>
  <si>
    <t>- Para la cartera de consumo, se mide el riesgo a través de un modelo de scoring de comportamiento en el cual se alinean variables de comportamiento de riesgo de crédito históricas sobre cada producto en base a ponderación por cada variable hasta obtener un puntaje del riesgo de crédito. - Con respecto a la cartera corporativa y otros créditos, el Banco mantiene un sistema de indicadores internos de calidad crediticia. Estos indicadores se asignan en función de varios factores que incluyen: la rentabilidad, calidad de activos, los flujos de liquidez y efectivo, capitalización y endeudamiento, entorno económico y posicionamiento, marco regulatorio y/o de la industria, los escenarios de sensibilidad y la calidad de la gestión y los accionistas del prestatario.</t>
  </si>
  <si>
    <t>- 23 -</t>
  </si>
  <si>
    <t>page-113</t>
  </si>
  <si>
    <t>En cada fecha de reporte, a través de la evaluación del rating crediticio el Banco evalúa si existe un aumento significativo en el riesgo de crédito basado en el cambio en el riesgo de impago que ocurre durante la vida esperada del instrumento de crédito. Con el fin de realizar la evaluación de si se ha producido un deterioro significativo de crédito, el Banco considera información razonable y sustentable que está disponible sin costo o esfuerzo desproporcionado:</t>
  </si>
  <si>
    <t>- El riesgo de incumplimiento que ocurre en el instrumento financiero en la fecha de presentación de informes, y - El riesgo de incumplimiento que ocurre en el instrumento financiero en la fecha de su reconocimiento inicial.</t>
  </si>
  <si>
    <t>El Banco incorpora información sobre el entorno económico futuro, en su evaluación de si el riesgo de crédito de un instrumento ha incrementado significativamente desde su reconocimiento inicial mediante su modelo de forward looking, complementados con otros análisis de la Administración, el cual toma en consideración la proyección de variables macroeconómicas que tratan de predecir la tasa de desempleo y la tasa de créditos vencidos, lo cual es la base para los ajustes de las pérdidas esperadas.</t>
  </si>
  <si>
    <t>Para los compromisos de crédito, el Banco considera cambios en el riesgo de impago que ocurre en el préstamo "potencial" al que se refiere el compromiso de crédito, y para los contratos de garantía financiera, se tienen en cuenta los cambios en el riesgo de que el deudor específico incumpla.</t>
  </si>
  <si>
    <t>## 3.6.9.4 Préstamos modificados o renegociados</t>
  </si>
  <si>
    <t>Un préstamo modificado o renegociado es un préstamo cuyo prestatario está experimentando dificultades financieras, otras distintas a problemas que se consideran de liquidez temporales, y la renegociación constituye una concesión al prestatario. Una concesión puede incluir la modificación de términos tales como una extensión del plazo de vencimiento, la reducción en la tasa de interés establecida, la reprogramación de los flujos de efectivo futuros, y la reducción de la cantidad nominal del préstamo o la reducción de los intereses devengados, entre otros.</t>
  </si>
  <si>
    <t>Cuando un activo financiero es modificado, el Banco verifica si esta modificación resulta en una baja en cuentas. De acuerdo con las políticas del Banco la modificación resulta en una baja en cuentas cuando da origen a términos significativamente diferentes. Para determinar si los términos modificados son significativamente diferentes a los términos contractuales originales, el Banco considera lo siguiente:</t>
  </si>
  <si>
    <t>- Factores cualitativos, tales como flujos de efectivo contractuales después de la modificación ya no son SPPI, cambio de moneda o cambio de contraparte, la extensión del cambio en tasa de interés, vencimiento, acuerdos de pago. Si ellos no identifican de manera clara una modificación importante, entonces; - Una valoración cuantitativa es realizada para comparar el valor presente de los flujos de efectivo contractuales restantes según los términos originales con los flujos de efectivo contractuales según los términos revisados, ambas cantidades descontadas al interés efectivo original.</t>
  </si>
  <si>
    <t>Cuando los términos contractuales de un activo financiero son modificados y la modificación no resulta de una baja en cuentas, el Banco determina si el riesgo de crédito del activo financiero se ha incrementado de manera importante desde el reconocimiento inicial, haciéndolo mediante la comparación:</t>
  </si>
  <si>
    <t>- El estimado de probabilidad de incumplimiento durante el tiempo de vida restante, basado en datos en el reconocimiento inicial y los términos contractuales originales; con - La probabilidad de incumplimiento del tiempo de vida restante a la fecha de presentación de reporte, basado en los términos modificados.</t>
  </si>
  <si>
    <t>En la modificación o renegociación de los flujos de efectivo contractuales del préstamo, el Banco deberá:</t>
  </si>
  <si>
    <t>- Continuar con el tratamiento actual para el préstamo existente que ha sido modificado. - Reconocer una ganancia o pérdida en la modificación calculando el importe en libros bruto del activo financiero como el valor actual de los flujos de efectivo contractuales renegociados o modificados, descontados a la tasa de interés efectiva original del préstamo.</t>
  </si>
  <si>
    <t>- 24 -</t>
  </si>
  <si>
    <t>page-114</t>
  </si>
  <si>
    <t>- Evaluar si se ha producido un aumento significativo en el riesgo de crédito del instrumento financiero, comparando el riesgo de incumplimiento que se produce en la fecha de presentación (en base a los términos contractuales modificados) y el riesgo de impago que ocurre en el reconocimiento inicial (basada en los términos contractuales originales, sin modificar). El préstamo que se modifica no se considera automáticamente que tiene un riesgo menor de crédito. La evaluación debe considerar el riesgo de crédito a través de la vida esperada del activo basado en la información histórica y con visión prospectiva, incluyendo información sobre las circunstancias que llevaron a la modificación. La evidencia, de que los criterios para el reconocimiento de las pérdidas de crédito esperadas por el período de vida del instrumento ya no se cumplen, pueden incluir un historial a la fecha y el pago puntual en años subsiguientes.</t>
  </si>
  <si>
    <t>Un período mínimo de observación será necesario antes de que un activo financiero pueda calificar para volver a una medición de pérdida de crédito esperada de 12 meses.</t>
  </si>
  <si>
    <t>- Hacer las revelaciones cuantitativas y cualitativas apropiadas requeridas para préstamos renegociados o modificados para reflejar la naturaleza y efecto de tales modificaciones (incluyendo el efecto sobre la medición de las pérdidas crediticias esperadas) y cómo el Banco monitorea estos préstamos que han sido modificados.</t>
  </si>
  <si>
    <t>## 3.6.9.5 Castigo</t>
  </si>
  <si>
    <t>Los préstamos son cargados a pérdidas cuando se determina que los mismos son incobrables por un período no mayor a un año. Esta determinación se toma después de considerar una serie de factores como: la incapacidad de pago del deudor; cuando la garantía es insuficiente o no está debidamente constituida; o se establece que se agotaron todos los recursos para la recuperación del crédito en la gestión de cobros realizada.</t>
  </si>
  <si>
    <t>## 3.6.9.6 Presentación de la provisión por ECL en el estado consolidado de situación financiera</t>
  </si>
  <si>
    <t>La provisión por pérdidas por ECL es presentada en el estado consolidado de situación financiera tal y como sigue:</t>
  </si>
  <si>
    <t>- Para los activos financieros medidos a costo amortizado: como una deducción del valor en libros bruto de los activos; - Para los instrumentos de deuda medidos a FVTOCI: ninguna provisión por pérdida es reconocida en el estado consolidado de situación financiera dado que el valor en libros es a valor razonable. Sin embargo, la provisión por pérdida se incluye como parte de la cantidad de la revaluación en la reserva por revaluación de inversiones; - Para los compromisos de préstamo y los contratos de garantía financiera: como una provisión; y - Cuando un instrumento financiero incluye un componente tanto de suscripción como un componente de no-suscripción, el Banco no puede identificar las ECL en el componente compromiso de préstamo por separado del componente de suscripción: el Banco presenta una provisión combinada por pérdida para ambos componentes. La cantidad combinada es presentada como una deducción del valor en libros bruto del componente suscripción.</t>
  </si>
  <si>
    <t>## 3.6.9.7 Préstamos a costo amortizado</t>
  </si>
  <si>
    <t>El Banco reconoce una reserva para pérdidas crediticias esperadas para un préstamo que se mide al costo amortizado en cada fecha de presentación de informes por un importe igual a las pérdidas de crédito de toda la vida esperada si el riesgo de crédito de ese préstamo se ha incrementado significativamente desde su reconocimiento inicial. Si en la fecha de presentación, el riesgo de crédito de ese préstamo no ha aumentado significativamente desde el reconocimiento inicial, el Banco medirá la asignación de pérdida para ese préstamo en una cantidad igual a 12 meses las pérdidas crediticias esperadas.</t>
  </si>
  <si>
    <t>- 25 -</t>
  </si>
  <si>
    <t>page-115</t>
  </si>
  <si>
    <t>La política de préstamos del Banco se aplica a todas las clases de préstamos.</t>
  </si>
  <si>
    <t>La reserva para pérdidas crediticias se constituye para cubrir las pérdidas derivadas del proceso de otorgamiento de crédito, inherente a la cartera de préstamos y compromisos de crédito y contratos de garantías financieras, utilizando el método de reserva para pérdidas crediticias esperadas. Los aumentos a la reserva para pérdidas crediticias esperadas son efectuados con cargo a utilidades. Las pérdidas crediticias esperadas son deducidas de la reserva, y las recuperaciones posteriores son adicionadas. La reserva también es reducida por reversiones de la reserva con crédito a resultados. La reserva atribuible a los préstamos a costo amortizado se presenta como una deducción a los préstamos y la reserva para pérdidas crediticias esperadas para compromisos de crédito y contratos de garantías financieras, tales como cartas de crédito y garantías, se presenta como un pasivo.</t>
  </si>
  <si>
    <t>El Banco mide las pérdidas esperadas de crédito en una manera que refleje: a) un importe de probabilidad ponderada no sesgado que se determina mediante la evaluación de un rango de resultados posibles; b) el valor del dinero en el tiempo; y c) información razonable y sustentable que está disponible sin costo o esfuerzo desproporcionado en la fecha de la presentación sobre sucesos pasados, condiciones actuales y el pronóstico de las condiciones económicas futuras.</t>
  </si>
  <si>
    <t>El modelo de pérdidas de crédito esperadas refleja el patrón general de deterioro o mejora en la calidad crediticia de los préstamos. La cantidad de pérdidas de crédito esperada reconocido como una reserva o provisión depende del grado de deterioro del crédito desde el reconocimiento inicial. Hay dos criterios de valoración:</t>
  </si>
  <si>
    <t>- 12 meses de pérdidas de crédito esperadas (Etapa 1), que se aplica a todos los préstamos (de reconocimiento inicial), siempre y cuando no haya un deterioro significativo en la calidad del crédito, y - Pérdidas de crédito esperadas durante el tiempo de vida (Etapas 2 y 3), que se aplica cuando se ha producido un aumento significativo en el riesgo de crédito de forma individual o colectiva. En estas Etapas 2 y 3 se reconocen los ingresos por intereses. En la Etapa 2 (como en la Etapa 1), hay una disociación total entre el reconocimiento de interés y el deterioro y los ingresos por intereses se calculan sobre el importe bruto en libros. En la Etapa 3, cuando un préstamo posteriormente se convierte en crédito deteriorado (donde se ha producido un evento de crédito), los ingresos por intereses se calculan sobre el costo amortizado (el importe en libros bruto después de deducir la reserva por deterioro). En años posteriores, si la calidad crediticia de los activos financieros mejora y la mejora puede ser objetivamente relacionada con la ocurrencia de un evento (como una mejora en la calificación crediticia del prestatario), entonces el Banco debe, una vez más realizar el cálculo de los ingresos por intereses.</t>
  </si>
  <si>
    <t>La provisión para pérdidas crediticias esperadas incluye un componente activo específico y un componente basado en una fórmula. El componente activo específico, o de la asignación específica, se refiere a la provisión para pérdidas en créditos considerados deteriorados y evaluados individualmente, caso por caso. Una provisión específica es establecida cuando los flujos de caja descontados (o valor razonable observable de garantía) del crédito es menor que el valor en libros de ese crédito. El componente basado en la fórmula (base imponible del colectivo), cubre la cartera crediticia normal del Banco y se establece con base en un proceso que estima la pérdida probable inherente en la cartera, con base en el análisis estadístico y juicio cualitativo de la gestión. Este análisis debe tener en cuenta la información completa que incorpora no sólo datos de mora, pero otra información crediticia relevante, como información macroeconómica prospectiva.</t>
  </si>
  <si>
    <t>El Banco determina la pérdida esperada utilizando dos metodologías para determinar si existe evidencia objetiva del deterioro:</t>
  </si>
  <si>
    <t>- Préstamos individualmente evaluados - Las pérdidas esperadas en préstamos individualmente evaluados son determinados por una evaluación de las exposiciones caso por caso. Este procedimiento se aplica a todos los préstamos que sean o no individualmente significativos. Si se determina que no existe evidencia objetiva de deterioro para un préstamo individual, este se incluye en un grupo de préstamos con características similares y se evalúa colectivamente para determinar si existe deterioro.</t>
  </si>
  <si>
    <t>- 26 -</t>
  </si>
  <si>
    <t>page-116</t>
  </si>
  <si>
    <t>La pérdida por deterioro es calculada comparando el valor actual de los flujos futuros esperados, descontados a la tasa efectiva original del préstamo, con su valor en libro actual y el monto de cualquier pérdida se carga como una provisión para pérdidas en el estado consolidado de ganancias y pérdidas. El valor en libros de los préstamos deteriorados se rebaja mediante el uso de una cuenta de reserva.</t>
  </si>
  <si>
    <t>- Préstamos colectivamente evaluados - Para los propósitos de una evaluación colectiva de deterioro, los préstamos se agrupan de acuerdo a características similares de riesgo de crédito. Esas características son relevantes para la estimación de los flujos futuros de efectivo para los grupos de tales activos, siendo indicativas de la capacidad de pagos de los deudores de las cantidades adeudadas según los términos contractuales de los activos que son evaluados.</t>
  </si>
  <si>
    <t>Los flujos de efectivos futuros en un grupo de préstamos que se evalúan colectivamente para determinar si existe un deterioro, se estiman de acuerdo a los flujos de efectivo contractuales de los activos en el grupo, la experiencia de pérdida histórica para los activos con características de riesgo de crédito similares al grupo y en opiniones experimentadas de la administración sobre si la economía actual y las condiciones del crédito puedan cambiar el nivel real de las pérdidas inherentes históricas sugeridas.</t>
  </si>
  <si>
    <t>## 3.7 Pasivos financieros e instrumentos de patrimonio emitidos</t>
  </si>
  <si>
    <t>### Depósitos de clientes</t>
  </si>
  <si>
    <t>Estos instrumentos son el resultado de los recursos que el Banco recibe y estos son medidos inicialmente al valor razonable, neto de los costos de transacción. Subsecuentemente se miden al costo amortizado, utilizando el método de tasa de interés efectiva.</t>
  </si>
  <si>
    <t>### Clasificación como deuda o patrimonio</t>
  </si>
  <si>
    <t>Los instrumentos de deuda o patrimonio se clasifican como pasivos financieros o como patrimonio de acuerdo con el fundamento al arreglo contractual.</t>
  </si>
  <si>
    <t>Los bonos perpetuos con pago de interés mandatorio son clasificados como pasivos financieros.</t>
  </si>
  <si>
    <t>### Instrumentos de patrimonio</t>
  </si>
  <si>
    <t>Un instrumento de patrimonio es cualquier contrato que evidencie un interés residual en los activos de una entidad después de deducir todos sus pasivos. Los instrumentos de patrimonio emitidos se registran por el importe recibido, netos de los costos directos de emisión.</t>
  </si>
  <si>
    <t>Las acciones preferidas para las que no se tiene un vencimiento contractual y para las que la distribución a los tenedores de las acciones es a discreción del Banco ("El Emisor") son clasificadas como un instrumento de patrimonio.</t>
  </si>
  <si>
    <t>### Pasivos de contratos de garantías financieras</t>
  </si>
  <si>
    <t>Se consideran garantías financieras, los contratos por los que una entidad se obliga a pagar cantidades concretas por cuenta de un tercero en el supuesto de no hacerlo éste, independientemente de la forma en que esté instrumentada la obligación: fianza, aval financiero o técnico, crédito documentado irrevocablemente emitido o confirmado por la entidad, seguro y derivado de crédito.</t>
  </si>
  <si>
    <t>Las garantías financieras, cualquiera que sea su titular, instrumentación u otra circunstancia, se analizan periódicamente con objeto de determinar el riesgo de crédito al que están expuestas y, en su caso, estimar las necesidades de constituir provisión para las mismas, las cuales se determinan por la aplicación de criterios similares a los establecidos para cuantificar las pérdidas por deterioro experimentadas en los instrumentos de deuda valorados a su costo amortizado según se detalla en la nota de deterioro de activos financieros.</t>
  </si>
  <si>
    <t>- 27 -</t>
  </si>
  <si>
    <t>page-117</t>
  </si>
  <si>
    <t>Las garantías financieras son inicialmente reconocidas en los estados financieros consolidados al valor razonable a la fecha en que la garantía fue emitida. Subsecuente al reconocimiento inicial, el pasivo bancario bajo dichas garantías es medido al mayor entre el reconocimiento inicial, menos la amortización calculada para reconocer en el estado consolidado de ganancia o pérdida, el ingreso por honorarios devengados sobre la base de línea recta sobre la vida de la garantía y el mejor estimado del desembolso requerido para cancelar cualquier obligación financiera que surja en la fecha del estado consolidado de situación financiera. Estos estimados son determinados con base a la experiencia de transacciones similares y la historia de pérdidas pasadas, complementado por el juicio de la Administración.</t>
  </si>
  <si>
    <t>Las obligaciones son reconocidas inicialmente al valor razonable neto de los costos de transacción incurridos. Posteriormente, las obligaciones son reconocidas a su costo amortizado; cualquier diferencia entre el producto neto de los costos de transacción y el valor de redención es reconocida en el estado consolidado de ganancia o pérdida durante el período de la obligación, utilizando el método de interés efectivo. Aquellas obligaciones cuyos riesgos de tasas de interés están cubiertos por un derivado, se presentan al valor razonable.</t>
  </si>
  <si>
    <t>## Valores vendidos bajo acuerdos de recompra</t>
  </si>
  <si>
    <t>Los valores vendidos bajo acuerdos de recompra generalmente se contabilizan como transacciones de financiamiento recibido con garantías, y se registran al monto en que los valores fueron vendidos más los intereses acumulados.</t>
  </si>
  <si>
    <t>El Banco evalúa el valor de mercado de los valores vendidos y libera garantías a las contrapartes cuando fuere apropiado.</t>
  </si>
  <si>
    <t>## Otros pasivos financieros</t>
  </si>
  <si>
    <t>Otros pasivos financieros, incluyendo deudas, son inicialmente medidos al valor razonable, neto de los costos de la transacción y son subsecuentemente medidos al costo amortizado usando el método de interés efectivo, con gastos de interés reconocidos sobre la base de tasa efectiva. Aquellos cuyos riesgos de mercado tengan cobertura de valor razonable, la ganancia o pérdida atribuibles al riesgo cubierto ajustarán el importe en libros del instrumento cubierto y se reconocerá en el estado consolidado de ganancia o pérdida.</t>
  </si>
  <si>
    <t>## Baja en cuentas de pasivos financieros</t>
  </si>
  <si>
    <t>Se da de baja los pasivos financieros cuando, y solamente cuando, las obligaciones se liquidan, cancelan o expiran.</t>
  </si>
  <si>
    <t>Los dividendos sobre las acciones comunes son reconocidos en el patrimonio en el período en el cual han sido aprobados por la Junta Directiva.</t>
  </si>
  <si>
    <t>## 3.8 Compensación de instrumentos financieros</t>
  </si>
  <si>
    <t>Los activos y pasivos financieros son objeto de compensación, es decir, de presentación en el estado consolidado de situación financiera por su importe neto, sólo cuando las entidades dependientes tienen tanto el derecho, exigible legalmente, de compensar los importes reconocidos en los citados instrumentos, como la intención de liquidar la cantidad neta, o de realizar el activo y proceder al pago del pasivo de la forma simultánea.</t>
  </si>
  <si>
    <t>- 28 -</t>
  </si>
  <si>
    <t>page-118</t>
  </si>
  <si>
    <t>## 3.9 Ingreso y gasto por intereses</t>
  </si>
  <si>
    <t>El ingreso y el gasto por intereses son reconocidos en el estado consolidado de ganancia o pérdida bajo el método de interés efectivo para todos los instrumentos financieros que generan intereses. El método de tasa de interés efectiva es el método utilizado para calcular el costo amortizado de un activo o pasivo financiero y de distribuir el ingreso o gasto por intereses sobre un período de tiempo. La tasa de interés efectiva es la tasa que exactamente descuenta los flujos de efectivo estimados a través de la vida estimada de un instrumento financiero, o cuando sea apropiado en un período más corto, a su valor neto en libros. Al calcular la tasa de interés efectiva, se estiman los flujos de efectivo considerando los términos contractuales del instrumento financiero; sin embargo, no considera las pérdidas futuras por créditos.</t>
  </si>
  <si>
    <t>## 3.10 Ingreso por comisiones</t>
  </si>
  <si>
    <t>Generalmente, las comisiones sobre préstamos a corto plazo, cartas de crédito y otros servicios bancarios, se reconocen como ingreso al momento de su cobro por ser transacciones de corta duración. El ingreso reconocido al momento de su cobro no es significativamente diferente del reconocido bajo el método de acumulación o de devengado. Las comisiones sobre préstamos y otras transacciones a mediano y largo plazo, neto de algunos costos directos de otorgar los mismos, son diferidas y amortizadas durante la vigencia de las mismas.</t>
  </si>
  <si>
    <t>## 3.11 Valores comprados bajo acuerdos de reventa</t>
  </si>
  <si>
    <t>Los valores comprados bajo acuerdos de reventa son transacciones de financiamiento a corto plazo con garantía de valores, en las cuales el Banco toma posesión de los valores a un descuento del valor de mercado y acuerda revenderlos al deudor en una fecha futuro y a un precio determinado. La diferencia entre el valor de recompra y el precio de venta futuro se reconoce como un ingreso bajo el método de tasa de interés efectiva.</t>
  </si>
  <si>
    <t>Los valores recibidos como colateral no son reconocidos en el estado consolidado de situación financiera a menos que se dé un incumplimiento por parte de la contraparte del contrato, que le dé derecho a el Banco apropiarse de los valores.</t>
  </si>
  <si>
    <t>Los precios de mercado de los valores subyacentes son monitoreados y en caso de que exista un desmejoramiento material y no transitorio en el valor de un título específico, el Banco podría obtener más garantías cuando sea apropiado.</t>
  </si>
  <si>
    <t>## 3.12 Arrendamientos financieros por cobrar</t>
  </si>
  <si>
    <t>Los arrendamientos financieros por cobrar consisten principalmente en el arrendamiento de equipo rodante, maquinaria y equipo, cuyos contratos tienen un período de vencimiento entre treinta y seis (36) a sesenta (60) meses.</t>
  </si>
  <si>
    <t>Los contratos de arrendamiento por cobrar se registran bajo el método financiero, los cuales se clasifican como parte de la cartera de préstamos, la inversión neta del Banco en el arrendamiento. La diferencia entre el arrendamiento financiero por cobrar y la inversión neta del Banco en el arrendamiento se registra como intereses no devengados y se amortiza en la cuenta de ingresos durante el período del contrato de arrendamiento, bajo el método de interés.</t>
  </si>
  <si>
    <t>## 3.13 Arrendamientos operativos</t>
  </si>
  <si>
    <t>El Banco evalúa si un contrato es o contiene un arrendamiento, al inicio del contrato. El Banco reconoce un activo por derecho de uso y un pasivo de arrendamiento correspondiente con respecto a todos los acuerdos de arrendamiento en los que es el arrendatario, excepto para arrendamientos a corto plazo (definidos como arrendamientos con un plazo de arrendamiento de 12 meses o menos) y arrendamientos de bajo valor activos (como tabletas y computadoras personales, pequeños artículos de mobiliario de oficina y teléfonos). Para estos arrendamientos, el Banco reconoce los pagos de arrendamiento como un gasto operativo de forma lineal durante el plazo del arrendamiento a menos que otra base sistemática sea más representativa del patrón de tiempo en el que el beneficio económico de los bienes arrendados se consume.</t>
  </si>
  <si>
    <t>- 29 -</t>
  </si>
  <si>
    <t>page-119</t>
  </si>
  <si>
    <t>El pasivo por arrendamiento se mide inicialmente al valor presente de los pagos por arrendamiento adeudados a la fecha de inicio, descontada utilizando la tasa implícita en el arrendamiento. Si esta tasa no se puede determinar fácilmente, el arrendatario utiliza su tasa de interés incremental.</t>
  </si>
  <si>
    <t>Los pagos de arrendamiento incluidos en la medición del pasivo de arrendamiento comprenden:</t>
  </si>
  <si>
    <t>- Pagos de arrendamiento fijos (incluidos los pagos fijos en sustancia), menos cualquier incentivo de arrendamiento por cobrar; - Pagos de arrendamiento variables que dependen de un índice o tasa, inicialmente medidos utilizando el índice o tasa en la fecha de inicio; - El monto que el arrendatario espera pagar bajo garantías de valor residual; - El precio de ejercicio de las opciones de compra, si el arrendatario está razonablemente seguro de ejercer las opciones; y - Pagos de multas por rescindir el arrendamiento, si el plazo del arrendamiento refleja el ejercicio de una opción para rescindir el alquiler.</t>
  </si>
  <si>
    <t>El pasivo por arrendamiento se mide posteriormente aumentando el importe en libros para reflejar los intereses sobre el pasivo por arrendamiento (utilizando el método de interés efectivo) y reduciendo el importe en libros para reflejar los pagos de arrendamientos hechos.</t>
  </si>
  <si>
    <t>El Banco vuelve a medir el pasivo por arrendamiento (y realiza un ajuste correspondiente al activo por derecho de uso relacionado) cuando:</t>
  </si>
  <si>
    <t>- El plazo del arrendamiento ha cambiado o hay un evento significativo o un cambio en las circunstancias que resulta en un cambio en la evaluación del ejercicio de una opción de compra, en cuyo caso el pasivo por arrendamiento se mide nuevamente descontando el pago de arrendamiento revisado utilizando una tasa de descuento revisada. - Los pagos de arrendamiento cambian debido a cambios en un índice o tasa o un cambio en el pago esperado bajo un valor residual garantizado, en cuyo caso el pasivo por arrendamiento se mide nuevamente descontando el pago del arrendamiento revisado utilizando una tasa de descuento sin cambios (a menos que el cambio en los pagos de arrendamiento se deba a un cambio en una variable flotante tasa de interés, en cuyo caso se utiliza una tasa de descuento revisada). - Se modifica un contrato de arrendamiento y la modificación del arrendamiento no se contabiliza como un arrendamiento separado, en cuyo caso el pasivo por arrendamiento se vuelve a medir en función del plazo de arrendamiento del arrendamiento modificado descontando los pagos del arrendamiento revisado utilizando una tasa de descuento revisada en la fecha de vigencia de la modificación.</t>
  </si>
  <si>
    <t>El Banco no realizó dichos ajustes durante los períodos presentados.</t>
  </si>
  <si>
    <t>Los activos por derecho de uso comprenden la medición inicial del pasivo por arrendamiento correspondiente, pagos por arrendamiento hecho en o antes del día de inicio, menos los incentivos de arrendamiento recibidos y los costos directos iniciales. Ellos son posteriormente medidos al costo menos la depreciación acumulada y las pérdidas por deterioro.</t>
  </si>
  <si>
    <t>Siempre que el Banco incurra en una obligación por los costos de desmantelar y eliminar un activo arrendado, restaure el sitio en el que se ubica o restaura el activo subyacente a la condición requerida por los términos y condiciones del arrendamiento, una provisión se reconoce y mide según la NIC 37. En la medida en que los costos se relacionen con un derecho de uso activo, los costos se incluyen en el activo de derecho de uso relacionado, a menos que se incurra en esos costos para producir inventarios.</t>
  </si>
  <si>
    <t>- 30 -</t>
  </si>
  <si>
    <t>page-120</t>
  </si>
  <si>
    <t>Los activos por derecho de uso se deprecian durante el período más corto del plazo de arrendamiento y la vida útil del activo subyacente. Si un arrendamiento transfiere la propiedad del activo subyacente o el costo del activo por derecho de uso refleja que el Banco espera ejercer una opción de compra, el activo por derecho de uso relacionado se deprecia a lo largo de la vida útil del activo subyacente. La depreciación comienza en la fecha de inicio del arrendamiento. El activo por derecho de uso es presentado como una línea separada en el estado consolidado de situación financiera.</t>
  </si>
  <si>
    <t>Las rentas variables que no dependen de un índice o tasa no se incluyen en la medición del pasivo por arrendamiento y el activo por derecho de uso. Los pagos relacionados se reconocen como un gasto en el período en el que ocurre el evento o condición que desencadena esos pagos y se incluyen en la línea "Otros gastos" en el estado consolidado de ganancia o pérdida.</t>
  </si>
  <si>
    <t>## 3.14 Propiedades, mobiliario, equipo y mejoras</t>
  </si>
  <si>
    <t>Las propiedades, mobiliario, equipos y mejoras se presentan al costo de adquisición, neto de la depreciación y amortización acumulada. Las mejoras significativas son capitalizadas, mientras que las reparaciones y mantenimientos menores que no extienden la vida útil o mejoran el activo son cargadas directamente a gastos cuando se incurren.</t>
  </si>
  <si>
    <t>La depreciación y amortización se cargan a las operaciones corrientes y se calculan por el método de línea recta en base a la vida útil estimada de los activos:</t>
  </si>
  <si>
    <t>tbl-69.html</t>
  </si>
  <si>
    <t>[tbl-69.html](tbl-69.html)</t>
  </si>
  <si>
    <t>Los activos que están sujetos a amortización se revisan para el deterioro siempre y cuando los cambios según las circunstancias indiquen que el valor en libros no es recuperable. El valor en libros de los activos se reduce inmediatamente al monto recuperable, que es el mayor entre el activo al valor razonable menos el costo de venderlo y el valor en uso.</t>
  </si>
  <si>
    <t>Una partida de propiedades, mobiliario, equipos y mejoras se da de baja a su eventual enajenación o cuando no se esperan beneficios económicos futuros que surjan del uso continuado del activo. Cualquier ganancia o pérdida resultante de la enajenación o retiro de una partida de propiedades, mobiliario, equipos y mejoras se determina como la diferencia entre los ingresos de las ventas y el valor en libros del activo, y se reconoce en el estado consolidado de ganancia o pérdida.</t>
  </si>
  <si>
    <t>## 3.15 Propiedades de inversión</t>
  </si>
  <si>
    <t>Las propiedades de inversión, son propiedades mantenida para ganar alquileres y/o para la apreciación del capital (incluida la propiedad en construcción para tales fines), se mide inicialmente al costo, incluidos los costos de transacción. Después del reconocimiento inicial, las propiedades de inversión se miden al costo menos la depreciación y deterioro, en caso de ser aplicable. Las propiedades de inversión en proceso de construcción se miden al costo menos deterioro en caso de ser aplicable.</t>
  </si>
  <si>
    <t>Una propiedad de inversión se da de baja al momento de la enajenación o cuando la propiedad de inversión está permanentemente retirada del uso y no se esperan beneficios económicos futuros de la baja. Cualquier ganancia o pérdida que surja de la baja de la propiedad (calculada como la diferencia entre el producto neto de la enajenación y el valor en libros del activo) se incluye en la ganancia o pérdida en el período en que la propiedad es dada de baja.</t>
  </si>
  <si>
    <t>## 3.16 Bienes adjudicados para la venta</t>
  </si>
  <si>
    <t>Los bienes adjudicados para la venta se presentan al valor más bajo entre el valor en libros de los préstamos no cancelados o su valor razonable de mercado menos los costos de venta.</t>
  </si>
  <si>
    <t>- 31 -</t>
  </si>
  <si>
    <t>page-121</t>
  </si>
  <si>
    <t>## 3.17 Plusvalía y activos intangibles</t>
  </si>
  <si>
    <t>Al momento de una adquisición de una porción significativa del patrimonio de otra sociedad o de un activo o negocio, la plusvalía representa el costo de adquisición sobre el valor razonable de los activos netos adquiridos. La plusvalía es reconocida como un activo en el estado consolidado de situación financiera y se le hace una prueba de deterioro anualmente.</t>
  </si>
  <si>
    <t>Para propósitos de probar el deterioro, la plusvalía es asignada a cada una de las unidades generadoras de efectivo del Banco que se espera se beneficien de las sinergias de la combinación. El Banco somete a prueba de deterioro la Unidad Generadora de Efectivo ("UGE" o "Unidad") a las que fue designada la plusvalía y los activos intangibles con vida útil indefinida en forma anual y cada vez que exista un indicio de que el activo pueda estar deteriorado, de acuerdo a lo definido en NIC 36. Si el monto recuperable de UGE es menor que el valor en libros de la unidad, la pérdida por deterioro es asignada, en primer lugar, a disminuir el valor en libros de cualquier plusvalía asignado a la unidad y luego a los otros activos de la unidad prorrateados sobre la base del valor en libros de cada activo en la unidad. Las pérdidas por deterioro reconocidas en la plusvalía no son reversadas en períodos posteriores.</t>
  </si>
  <si>
    <t>Los otros activos intangibles adquiridos por el Banco, se reconocen al costo menos la amortización acumulada y la pérdida por deterioro y se amortizan hasta 20 años bajo el método de línea recta durante la vida útil estimada. Los activos intangibles son sujetos a evaluación o cambios en las circunstancias que indiquen que el valor en libros puede no ser recuperable.</t>
  </si>
  <si>
    <t>## 3.18 Deterioro del valor de activos no financieros diferentes de la plusvalía</t>
  </si>
  <si>
    <t>En la fecha de cada estado consolidado de situación financiera, el Banco revisa los importes en libros de sus activos no financieros para determinar si existen indicios de que dichos activos hayan sufrido una pérdida por deterioro de su valor. Si existe cualquier indicio, el importe recuperable del activo se calcula con el objeto de determinar el alcance de la pérdida por deterioro de su valor (si la hubiera). En caso de que el activo no genere flujos de efectivo por sí mismo que sean independientes de otros activos, el Banco calcula el importe recuperable de la unidad generadora de efectivo a la que pertenece el activo. Un activo intangible con una vida útil indefinida es sometido a una prueba de deterioro de valor una vez al año.</t>
  </si>
  <si>
    <t>El importe recuperable es el valor superior entre el valor razonable menos el costo de venta y el valor de uso. Al evaluar el valor de uso, los flujos de efectivo futuros estimados se descuentan a su valor actual utilizando un tipo de descuento antes de impuestos que refleja las valoraciones actuales del mercado con respecto al valor temporal del dinero en el tiempo y los riesgos específicos del activo para el que no se han ajustado los flujos futuros de efectivo estimados.</t>
  </si>
  <si>
    <t>Si se estima que el importe recuperable de un activo (o una unidad generadora de efectivo) es inferior a su importe en libros, el importe en libros del activo (unidad generadora de efectivo) se reduce a su importe recuperable. Inmediatamente se reconoce una pérdida por deterioro de valor como gasto.</t>
  </si>
  <si>
    <t>Cuando una pérdida por deterioro de valor revierte posteriormente, el importe en libros del activo (unidad generadora de efectivo) se incrementa a la estimación revisada de su importe recuperable, de tal modo que el importe en libros incrementado no supere el importe en libros que se habría determinado de no haberse reconocido ninguna pérdida por deterioro de valor para el activo (unidad generadora de efectivo) en ejercicios anteriores. Inmediatamente se reconoce una reversión de una pérdida por deterioro de valor como ingreso.</t>
  </si>
  <si>
    <t>Al 30 de junio de 2021, la Administración no ha identificado deterioro de los activos no financieros.</t>
  </si>
  <si>
    <t>- 32 -</t>
  </si>
  <si>
    <t>page-122</t>
  </si>
  <si>
    <t>## 3.19 Beneficios a empleados</t>
  </si>
  <si>
    <t>### Prestaciones laborales</t>
  </si>
  <si>
    <t>La legislación laboral panameña, requiere que los empleadores constituyan un fondo de cesantía para garantizar el pago a los trabajadores de la prima de antigüedad y la indemnización a que pudiesen tener derecho en el supuesto de que la relación laboral concluya por despido injustificado o renuncia. Para el establecimiento del fondo se debe cotizar trimestralmente la porción relativa a la prima de antigüedad del trabajador en base al 1.92% de los salarios pagados en la República de Panamá y el 5% de la cuota parte mensual de la indemnización. Las cotizaciones trimestrales deben ser depositadas en un fideicomiso. Dichos fondos están incluidos en las cifras de otros activos dentro del estado consolidado de situación financiera.</t>
  </si>
  <si>
    <t>Los beneficios de jubilación son reconocidos como gastos por el monto que el Banco se ha comprometido en el plan de jubilación suscrito.</t>
  </si>
  <si>
    <t>El plan de jubilación No.1 fue aprobado el 13 de diciembre de 2013. El plan inició a partir del 1 de marzo de 2014 para los ejecutivos del Banco, con mínimo un año de ocupar cargos ejecutivos. La participación del ejecutivo en el plan es de manera voluntaria. Las contribuciones del Banco son equivalentes entre 1% y 3% del salario mensual de los ejecutivos participantes basado en su respectivo aporte.</t>
  </si>
  <si>
    <t>Estos fondos son manejados a través de una administradora de fondo externa, según lo establece la Ley No.1 del 5 de enero de 1984 reformado por el Decreto Ejecutivo No. 16 del 3 de octubre de 1984 y No.53 del 30 de diciembre de 1985.</t>
  </si>
  <si>
    <t>## 3.20 Pagos basados en acciones</t>
  </si>
  <si>
    <t>La Junta Directiva de G.B. Group, empresa tendedora del 100% de las acciones de Global Bank Corporation y Subsidiarias, aprobó un programa de opciones de compra de acciones de G.B. Group a favor de los ejecutivos claves de cualquiera subsidiaria de G.B. Group.</t>
  </si>
  <si>
    <t>El valor razonable de las opciones otorgadas se mide por el valor razonable de los instrumentos de patrimonio en la fecha del otorgamiento, si puede ser estimado confiablemente. En caso contrario, los instrumentos de patrimonio son medidos por su valor intrínseco y posteriormente, en cada fecha en la que se presente información y en la fecha de la liquidación definitiva, reconociendo los cambios de dicho valor intrínseco en el resultado del ejercicio.</t>
  </si>
  <si>
    <t>En una concesión de opciones sobre acciones, el acuerdo de pago basado en acciones se liquidará finalmente cuando se ejerzan las opciones, se pierdan (por ejemplo, por producirse la baja en el empleo) o expiren (por ejemplo, al término de la vigencia de la opción).</t>
  </si>
  <si>
    <t>## 3.21 Impuesto sobre la renta</t>
  </si>
  <si>
    <t>El impuesto sobre la renta del período comprende tanto el impuesto corriente como el impuesto diferido. El impuesto sobre la renta es reconocido en los resultados del período. El impuesto sobre la renta corriente se refiere al impuesto estimado por pagar sobre los ingresos gravables del período, utilizando la tasa vigente a la fecha del estado consolidado de situación financiera.</t>
  </si>
  <si>
    <t>El impuesto diferido es reconocido sobre diferencias entre el valor en libros de los activos y los pasivos en los estados financieros consolidados y las bases de impuesto correspondiente utilizadas en el cálculo de la renta gravable. Los pasivos por impuesto diferido son generalmente reconocidos para todas las diferencias temporales imponibles y los activos por impuesto diferido son reconocidos para todas las diferencias temporales deducibles en la medida de que sea probable que utilidades gravables estarán disponibles contra las cuales las diferencias temporales deducibles puedan ser utilizadas. El valor en libros de los activos por impuesto diferido es revisado a cada fecha del estado consolidado de situación financiera y reducido en la medida de que ya no sea probable que suficiente renta gravable esté disponible para permitir que toda o parte del activo sea recuperable.</t>
  </si>
  <si>
    <t>- 33 -</t>
  </si>
  <si>
    <t>page-123</t>
  </si>
  <si>
    <t>Los activos y pasivos por impuesto diferido son calculados a la tasa de impuesto que se espera apliquen al período en el cual el pasivo se liquide o el activo se realice, en base a la tasa impositiva (y leyes fiscales) que esté vigente o substantivamente vigente a la fecha del estado consolidado de situación financiera. El cálculo de los activos y pasivos por impuesto diferido muestra consecuencias imponibles que se deducen de la manera en la cual el Banco espera, en la fecha de reporte, recuperar o liquidar el valor en libros de sus activos y pasivos.</t>
  </si>
  <si>
    <t>## Impuesto complementario</t>
  </si>
  <si>
    <t>El impuesto complementario corresponde a una porción del impuesto sobre dividendos pagado por anticipado por cuenta de los accionistas, el cual se deduce cuando los dividendos son pagados a los accionistas.</t>
  </si>
  <si>
    <t>## 3.22 Operaciones de seguros</t>
  </si>
  <si>
    <t>Las primas no devengadas y la participación de los reaseguradores en las primas no devengadas, se calculan utilizando el método de prorrata mensual.</t>
  </si>
  <si>
    <t>Los siniestros pendientes de liquidar estimados se componen de todos los reclamos incurridos, pero no desembolsados a la fecha del estado consolidado de situación financiera, estén reportados o no y los gastos relacionados internos y externos de manejo de reclamos.</t>
  </si>
  <si>
    <t>Los honorarios pagados a corredores y los impuestos pagados sobre primas se difieren en el estado consolidado de situación financiera como costos de adquisición diferidos de acuerdo a su relación con las primas no devengadas netas de la participación de los reaseguradores.</t>
  </si>
  <si>
    <t>Las primas recibidas de colectivo de vida por períodos mayores a un año son diferidas como pasivo en el estado consolidado de situación financiera de acuerdo a sus fechas de vencimientos. La porción correspondiente al período corriente se lleva a ingresos como primas emitidas en las fechas de aniversario y el resto de las primas, relacionadas con los años de vigencia futuros, se mantienen en el estado consolidado de situación financiera como pasivo diferido.</t>
  </si>
  <si>
    <t>## 3.23 Operaciones de fideicomisos</t>
  </si>
  <si>
    <t>Los activos mantenidos en fideicomisos o en función de fiduciario no se consideran parte del Banco, por consiguiente, tales activos y sus correspondientes ingresos no están incluidos en los presentes estados financieros consolidados. El ingreso por comisión, generado en el manejo de los fideicomisos es registrado según el método de devengado en el estado consolidado de ganancia o pérdida.</t>
  </si>
  <si>
    <t>## 3.24 Derivados de cobertura</t>
  </si>
  <si>
    <t>El Banco registra sus instrumentos financieros derivados en el estado consolidado de situación financiera a su valor razonable en la fecha en que el contrato del derivado inicia, y revaluados posteriormente a su valor razonable en cada fecha de reporte, utilizando la clasificación de cobertura de valor razonable o de flujos de efectivo cuando se utiliza contabilidad de cobertura, o como instrumentos para negociar cuando el derivado no califica para contabilidad de cobertura. El valor razonable se presenta en el estado consolidado de situación financiera dentro de otros activos u otros pasivos, según corresponda.</t>
  </si>
  <si>
    <t>Al inicio de la relación de cobertura, el Banco documenta la relación entre el instrumento de cobertura y la partida cubierta, junto con sus objetivos de gestión de riesgos y su estrategia para llevar a cabo diversas transacciones de cobertura. Además, al inicio de la cobertura y de forma continua, el Banco documenta si el instrumento de cobertura es efectivo para compensar los cambios en los valores razonables o los flujos de efectivo de la partida cubierta atribuible al riesgo cubierto, que es cuando las relaciones de cobertura cumplen con todos de los siguientes requisitos de efectividad de cobertura:</t>
  </si>
  <si>
    <t>- Hay una relación económica entre el instrumento de cobertura y la partida cubierta; - El efecto del riesgo de crédito no domina al valor de los cambios que resultan de la relación económica; y</t>
  </si>
  <si>
    <t>- 34 -</t>
  </si>
  <si>
    <t>page-124</t>
  </si>
  <si>
    <t>- El índice de cobertura de la relación de cobertura es el mismo que el que resulta de la cantidad de la partida cubierta que el Banco cubre realmente y la cantidad del instrumento de cobertura que la Entidad realmente utiliza para cubrir esa cantidad de la partida cubierta.</t>
  </si>
  <si>
    <t>El método de reconocer la ganancia o pérdida resultante, depende de si el derivado ha sido designado y califica como un instrumento de cobertura, y si es así, la naturaleza del instrumento está cubierto. El Banco determinan ciertos derivados como:</t>
  </si>
  <si>
    <t>- Coberturas de valor razonable de activos o pasivos o compromisos firmes reconocidos (cobertura de valor razonable).</t>
  </si>
  <si>
    <t>## Cobertura de valor razonable</t>
  </si>
  <si>
    <t>Los instrumentos derivados bajo el método de valor razonable son coberturas de la exposición a los cambios en el valor razonable de: (a) una porción o la totalidad de un activo o pasivo financiero reconocido en el estado consolidado de situación financiera, (b) un compromiso adquirido o una transacción muy probable de concretarse. Cambios en la valuación de coberturas bajo el método de valor razonable se registran en el estado consolidado de ganancia o pérdida.</t>
  </si>
  <si>
    <t>Si el activo o pasivo cubierto se lleva a costo amortizado, se deberá ajustar su valor en libros para reflejar los cambios en su valor razonable como resultado de movimientos en las tasas de interés y la tasa de cambio de moneda extranjera. Estos activos y pasivos cubiertos se volverán a llevar a costo amortizado tan pronto se termine la relación de cobertura utilizando la tasa de rendimiento efectivo ajustada para el cálculo de la amortización. Si el activo cubierto que se lleva a costo amortizado sufre un deterioro permanente, la pérdida se calculará en base a la diferencia entre el valor en libros, después del ajuste por cambios en el valor razonable del activo cubierto, como resultado del riesgo cubierto y el valor presente de los flujos estimados descontados en base al rendimiento efectivo ajustado.</t>
  </si>
  <si>
    <t>Los instrumentos derivados que no estén ligados a una estrategia de cobertura se clasifican como activos o pasivos a valor razonable y se registrarán en el estado consolidado de situación financiera a su valor razonable. Los cambios en la valuación de estos instrumentos derivados se contabilizan en el estado consolidado de ganancia o pérdida.</t>
  </si>
  <si>
    <t>El Banco, descontinúa la contabilidad de cobertura cuando se determina que el instrumento derivado ya no es altamente efectivo en el compensar los cambios en el valor razonable o los flujos de efectivo del instrumento cubierto; el derivado expira, se vende, termina o se ejecuta; el activo o pasivo cubierto expira, se vende, termina o se ejecuta; el derivado no se designa como un instrumento de cobertura, porque es improbable que una transacción proyectada ocurra, o la Administración determina que la designación del derivado como un instrumento de cobertura ya no es apropiada.</t>
  </si>
  <si>
    <t>## Coberturas de flujo de efectivo</t>
  </si>
  <si>
    <t>La parte efectiva de los cambios en el valor razonable de los derivados y otros instrumentos de cobertura calificados que se designan y califican como coberturas de flujos de efectivo se reconocen en otros resultados integrales y se acumulan en el rubro de la reserva de cobertura de flujos de efectivo, limitada al cambio acumulado en el valor razonable del elemento cubierto desde el inicio de la cobertura. La ganancia o pérdida relacionada con la porción inefectiva se reconoce inmediatamente en resultados, y se incluye en el ítem de la línea "otras ganancias y pérdidas".</t>
  </si>
  <si>
    <t>- 35 -</t>
  </si>
  <si>
    <t>page-125</t>
  </si>
  <si>
    <t>Las cantidades previamente reconocidas en otros resultados integrales y acumuladas en el patrimonio se reclasifican a utilidad o pérdida en los períodos en que la partida cubierta afecta la utilidad o pérdida, en la misma línea que la partida cubierta reconocida. Sin embargo, cuando la transacción prevista cubierta da como resultado el reconocimiento de un activo no financiero o un pasivo no financiero, las ganancias y pérdidas previamente reconocidas en otro resultado integral y acumuladas en el patrimonio se eliminan del patrimonio y se incluyen en la medición inicial del costo del activo no financiero o pasivo no financiero. Esta transferencia no afecta otros ingresos integrales. Además, si el Banco espera que parte o la totalidad de la pérdida acumulada en la reserva de cobertura de flujo de efectivo no se recuperará en el futuro, esa cantidad se reclasificará inmediatamente a resultados.</t>
  </si>
  <si>
    <t>El Banco interrumpe la contabilidad de coberturas solo cuando la relación de cobertura (o una parte de la misma) deja de cumplir los criterios de calificación (después del re-balanceo, si corresponde). Esto incluye los casos en que el instrumento de cobertura vence o se vende, se cancela o se ejerce. La suspensión se contabiliza prospectivamente. Cualquier ganancia o pérdida reconocida en otro resultado integral y acumulada en la reserva de cobertura de flujo de efectivo en ese momento permanece en el patrimonio y se reclasifica a utilidad o pérdida cuando se produce la transacción prevista. Cuando ya no se espera que ocurra una transacción de pronóstico, la ganancia o pérdida acumulada en la reserva de cobertura de flujo de efectivo se reclasifica inmediatamente a utilidad o pérdida.</t>
  </si>
  <si>
    <t>En la Nota 13 se presenta el valor razonable de los instrumentos derivados utilizados para propósitos de cobertura.</t>
  </si>
  <si>
    <t>## 3.25 Equivalentes de efectivo</t>
  </si>
  <si>
    <t>Para propósitos del estado consolidado de flujos de efectivo, el Banco considera como efectivo y equivalentes de efectivo, el efectivo, los depósitos a la vista y a plazo en bancos no restringidos y/o con vencimientos originales de 90 días o menos.</t>
  </si>
  <si>
    <t>## 3.26 Reclasificación</t>
  </si>
  <si>
    <t>Ciertos montos en los estados financieros consolidados de 2020 fueron reclasificados para adecuarlos con la presentación de los estados financieros consolidados de 2021. Estas reclasificaciones y correcciones no modifican el total de activos, pasivos, patrimonio, ni utilidades de los años respectivos.</t>
  </si>
  <si>
    <t>4</t>
  </si>
  <si>
    <t>4. Administración de riesgos financieros</t>
  </si>
  <si>
    <t>Riesgo financiero</t>
  </si>
  <si>
    <t>### 4.1 Objetivos de la administración de riesgos financieros</t>
  </si>
  <si>
    <t>Las actividades del Banco están expuestas a una variedad de riesgos financieros y esas actividades incluyen el análisis, la evaluación, la aceptación, y administración de un cierto grado de riesgo o una combinación de riesgos. Tomar riesgos es básico en el negocio financiero, y los riesgos operacionales son consecuencias inevitables de estar en el negocio. El objetivo del Banco es, por consiguiente, lograr un balance apropiado entre el riesgo y el retorno y minimizar efectos adversos potenciales sobre la realización financiera del Banco. Las actividades del Banco se relacionan principalmente con el uso de instrumentos financieros y, como tal, el estado consolidado de situación financiera se compone principalmente de instrumentos financieros. Por lo que está expuesto a los siguientes riesgos en el uso de los mismos:</t>
  </si>
  <si>
    <t>- Riesgo de crédito - Riesgo de liquidez - Riesgo de mercado - Riesgo operativo</t>
  </si>
  <si>
    <t>- 36 -</t>
  </si>
  <si>
    <t>page-126</t>
  </si>
  <si>
    <t>La Junta Directiva del Banco tiene la responsabilidad de establecer y vigilar las políticas de administración de riesgos de los instrumentos financieros. Para tal efecto, ha nombrado comités que se encargan de la administración y vigilancia periódica de los riesgos a los cuales se está expuesto el Banco. Estos comités son los siguientes:</t>
  </si>
  <si>
    <t>- Comité de Auditoría, bajo la dirección de la Junta Directiva del Banco - Comité Directivo de Riesgo - Comité de Créditos - Comité de Activos y Pasivos (ALCO) - Comité de Inversiones - Comité de Cumplimiento - Comité Operativo</t>
  </si>
  <si>
    <t>Adicionalmente, el Banco está sujeta a las regulaciones de la Superintendencia del Mercado de Valores de Panamá y de la Superintendencia de Bancos de Panamá, en lo concerniente a concentraciones de riesgos, liquidez y capitalización, entre otros. La Superintendencia de Bancos de Panamá, regula las operaciones de Global Bank Corporation.</t>
  </si>
  <si>
    <t>Los principales riesgos identificados por el Banco son los riesgos de crédito, liquidez, mercado y operacional, los cuales se describen a continuación:</t>
  </si>
  <si>
    <t>## 4.2 Riesgo de crédito y contraparte</t>
  </si>
  <si>
    <t>Es el riesgo de pérdida financiera para el Banco, que ocurre si un cliente o una contraparte de un instrumento financiero, fallan en cumplir sus obligaciones contractuales, y surge principalmente de los depósitos colocados, préstamos a clientes e inversión en títulos de deuda.</t>
  </si>
  <si>
    <t>Para propósitos de gestión de riesgos, el Banco considera y consolida todos los elementos de exposición de riesgo de crédito: riesgo del deudor, riesgo país y riesgo del sector o industria. El riesgo de crédito que surge al mantener valores es manejado independientemente, pero informado como un componente de la exposición del riesgo de crédito.</t>
  </si>
  <si>
    <t>Los comités respectivos asignados por la Junta Directiva vigilan periódicamente la condición financiera de los deudores y emisores de títulos valores, que involucran un riesgo de crédito para el Banco.</t>
  </si>
  <si>
    <t>El Banco ha establecido políticas y prácticas de administración y control utilizadas para mitigar el riesgo de crédito, como se resume a continuación:</t>
  </si>
  <si>
    <t>### Formulación de políticas de crédito:</t>
  </si>
  <si>
    <t>Las políticas de crédito son emitidas o revisadas por recomendación de cualquiera de los miembros del Comité de Crédito o por los Vicepresidentes o Gerentes de las Bancas de Crédito, así como por las áreas de control, quienes deberán sugerirlo por escrito, considerando los siguientes factores:</t>
  </si>
  <si>
    <t>- Cambios en las condiciones del mercado. - Factores de riesgos. - Cambios en las leyes y regulaciones. - Cambios en las condiciones financieras y en las disponibilidades de crédito. - Otros factores que sean relevantes en el momento.</t>
  </si>
  <si>
    <t>Todo cambio de políticas o formulación de nuevas políticas deben ser aprobadas por el Comité de Crédito, el cual, a su vez, lo presenta a la Junta Directiva para su aprobación, que emite un memorando de instrucción para su divulgación e implementación posterior.</t>
  </si>
  <si>
    <t>### Establecimiento de límites de autorización:</t>
  </si>
  <si>
    <t>Los límites de aprobación de los créditos son establecidos dependiendo la representatividad de cada monto en el capital del Banco. Estos niveles de límites son presentados al Comité de Crédito, quienes a su vez someten los mismos a la aprobación de la Junta Directiva del Banco.</t>
  </si>
  <si>
    <t>- 37 -</t>
  </si>
  <si>
    <t>page-127</t>
  </si>
  <si>
    <t>## Límites de exposición:</t>
  </si>
  <si>
    <t>Para limitar la exposición, se han definido límites máximos ante un deudor individual o grupo económico, límites que han sido fijados en base a los fondos de capital del Banco.</t>
  </si>
  <si>
    <t>## Límites de concentración:</t>
  </si>
  <si>
    <t>Para limitar la concentración por actividad o industrias, se han aprobado límites de exposición basados en la distribución del capital y la orientación estratégica que se le desea dar a la cartera de crédito. De igual manera, se ha limitado su exposición en distintas geografías a través de la política de riesgo país, en la cual se han definido países en los que se desean tener exposición en base al plan estratégico; a su vez se han implementado límites de exposición de crédito y de inversión en dichos países, basados en la calificación crediticia de cada uno de ellos.</t>
  </si>
  <si>
    <t>## Límites máximos por contraparte:</t>
  </si>
  <si>
    <t>En cuanto a las exposiciones por contrapartes, se han definido límites basados en la calificación de riesgo de la contraparte, como una proporción del capital del Banco.</t>
  </si>
  <si>
    <t>## Revisión de cumplimiento con políticas:</t>
  </si>
  <si>
    <t>Cada unidad de negocios es responsable de la calidad y el desempeño de los créditos de sus portafolios, así como, por el control y el monitoreo de sus riesgos. Sin embargo, a través del departamento de riesgos, el cual es independiente a las áreas de negocios, evalúa periódicamente la condición financiera del deudor y su capacidad de pago, otorgando principal importancia a los mayores deudores individuales. En tanto que al resto de los créditos que no son individualmente significativos, se les da seguimiento a través de los rangos de morosidad que presenten sus cuotas, y a las características particulares de dichas carteras.</t>
  </si>
  <si>
    <t>## Revisión de garantías:</t>
  </si>
  <si>
    <t>El Banco mantiene colaterales de los préstamos otorgados a clientes correspondientes a hipotecas sobre las propiedades y otras garantías. Las estimaciones del valor razonable están basadas en avalúos vigentes del colateral y tomando en consideración la evaluación del respaldo y las posibilidades de realización de cada tipo de garantía. Estas garantías son actualizadas según sea el período de tiempo del crédito y en condiciones en que el crédito se encuentra deteriorado en forma individual.</t>
  </si>
  <si>
    <t>## Políticas de deterioro y provisión:</t>
  </si>
  <si>
    <t>Los sistemas internos y externos de clasificación se centralizan más en la proyección de calidad del crédito desde el inicio del préstamo y de las actividades de inversión. Por el contrario, las provisiones del deterioro son reconocidas para propósitos de reportes financieros basado en el modelo de pérdidas esperados que se fundamente en la NIIF 9. Debido a las diferentes metodologías aplicadas, el importe de las pérdidas de crédito sufridas previstas en los estados financieros consolidados es, por lo general, inferior a la cuantía determinada del modelo de pérdida estimada que es utilizada para el manejo operacional interno y propósitos de regulación bancaria.</t>
  </si>
  <si>
    <t>- 38 -</t>
  </si>
  <si>
    <t>page-128</t>
  </si>
  <si>
    <t>## Análisis de la calidad crediticia</t>
  </si>
  <si>
    <t>### 4.2.1 Tabla de la calidad crediticia de los activos financieros y provisión por deterioro</t>
  </si>
  <si>
    <t>tbl-70.html</t>
  </si>
  <si>
    <t>[tbl-70.html](tbl-70.html)</t>
  </si>
  <si>
    <t>- 39 -</t>
  </si>
  <si>
    <t>page-129</t>
  </si>
  <si>
    <t>A continuación, se presenta la antigüedad de la morosidad de la cartera de préstamos:</t>
  </si>
  <si>
    <t>tbl-71.html</t>
  </si>
  <si>
    <t>[tbl-71.html](tbl-71.html)</t>
  </si>
  <si>
    <t>## 4.2.2 Análisis de los instrumentos financieros y sus respectivas provisiones en las etapas de la NIIF 9</t>
  </si>
  <si>
    <t>De acuerdo al análisis de la exposición del Banco ante el riesgo de crédito por clase de activo financiero, la clasificación interna y la "etapa" sin tener en cuenta los efectos de cualesquiera colaterales u otros mejoramientos del crédito, se proporcionan en las tablas siguientes. A menos que sea señalado de manera específica, para los activos financieros, las cantidades en la tabla representan el valor en libros bruto.</t>
  </si>
  <si>
    <t>- 40 -</t>
  </si>
  <si>
    <t>page-130</t>
  </si>
  <si>
    <t>## 4.2.2.1 Cartera de préstamo</t>
  </si>
  <si>
    <t>4.2.2.1.1 Análisis de la calidad crediticia de los préstamos por etapa:</t>
  </si>
  <si>
    <t>tbl-72.html</t>
  </si>
  <si>
    <t>[tbl-72.html](tbl-72.html)</t>
  </si>
  <si>
    <t>tbl-73.html</t>
  </si>
  <si>
    <t>[tbl-73.html](tbl-73.html)</t>
  </si>
  <si>
    <t>- 41 -</t>
  </si>
  <si>
    <t>page-131</t>
  </si>
  <si>
    <t>## 4.2.2.1.2 Movimiento de la reserva para pérdidas crediticias esperadas en préstamos por etapas</t>
  </si>
  <si>
    <t>La reserva para pérdidas crediticias esperadas relacionadas a los préstamos a costo amortizado se detalla a continuación:</t>
  </si>
  <si>
    <t>tbl-74.html</t>
  </si>
  <si>
    <t>[tbl-74.html](tbl-74.html) [tbl-75.html](tbl-75.html)</t>
  </si>
  <si>
    <t>## Incorporación de información con visión prospectiva</t>
  </si>
  <si>
    <t>El Banco usa la información prospectiva que esté disponible sin costo o esfuerzo indebido en su valoración del incremento significativo del riesgo de crédito, así como también en su medición de las provisiones por pérdidas esperadas. El Departamento de Riesgo del Banco utiliza información externa e interna para generar un escenario de 'caso base' del pronóstico futuro de variables económicas relevantes junto con un rango representativo de otros posibles escenarios proyectados. La información externa usada incluye datos económicos y pronósticos publicados por agencias gubernamentales y autoridades monetarias. Estas proyecciones de corto y mediano plazo son la base fundamental del modelo forward looking.</t>
  </si>
  <si>
    <t>page-132</t>
  </si>
  <si>
    <t>El Banco aplica probabilidades a los escenarios pronosticados identificados. El escenario de caso base es el resultado individual más probable. El Banco ha identificado y documentado el análisis de riesgo de crédito y de las pérdidas esperadas y, usando el análisis estadístico de datos históricos, ha estimado las relaciones entre las variables macroeconómicas y el riesgo de crédito y las pérdidas de crédito.</t>
  </si>
  <si>
    <t>La siguiente tabla enumera los supuestos macroeconómicos utilizados, bajo los escenarios base, optimista y pesimista. En adición, se incluye una sensibilidad del diferencial entre la provisión para pérdidas esperadas seleccionada en base a la ponderación de los diferentes escenarios y la provisión de la pérdida esperada de cada escenario.</t>
  </si>
  <si>
    <t>tbl-76.html</t>
  </si>
  <si>
    <t>[tbl-76.html](tbl-76.html)</t>
  </si>
  <si>
    <t>Las relaciones que se predicen entre los indicadores clave y las tasas de incumplimiento y las tasas de pérdida han sido desarrolladas con base en el análisis de datos históricos de más de 10 años.</t>
  </si>
  <si>
    <t>Los efectos conocidos por la Administración y que pueden estimarse razonablemente se han reconocido en los estados financieros consolidados al 30 de junio de 2021. Los principales supuestos antes descritos, pueden cambiar a medida que las condiciones económicas y del mercado cambien. (Véase Nota 34).</t>
  </si>
  <si>
    <t>## 4.2.2.2 Cartera de inversiones</t>
  </si>
  <si>
    <t>El siguiente detalle analiza la cartera de inversiones del Banco que está expuesta al riesgo de crédito y su correspondiente evaluación basada en el grado de calificación internacional:</t>
  </si>
  <si>
    <t>tbl-77.html</t>
  </si>
  <si>
    <t>[tbl-77.html](tbl-77.html)</t>
  </si>
  <si>
    <t>- 43 -</t>
  </si>
  <si>
    <t>page-133</t>
  </si>
  <si>
    <t>Para manejar las exposiciones de riesgo financiero de la cartera de inversión, el Banco utiliza la calificación de las calificadoras externas, como a continuación se detalla:</t>
  </si>
  <si>
    <t>Grado de inversión Monitoreo estándar Monitoreo especial Default Sin calificación</t>
  </si>
  <si>
    <t>AAA, AA+, AA-, A+, A-, BBB+, BBB, BBB- BB+, BB, BB-, B+, B, B- CCC a C D</t>
  </si>
  <si>
    <t>La reserva para pérdidas crediticias esperadas relacionadas a las inversiones al valor razonable con cambios en resultados integrales se detalla a continuación:</t>
  </si>
  <si>
    <t>### 2021</t>
  </si>
  <si>
    <t>tbl-78.html</t>
  </si>
  <si>
    <t>[tbl-78.html](tbl-78.html)</t>
  </si>
  <si>
    <t>### 2020</t>
  </si>
  <si>
    <t>tbl-79.html</t>
  </si>
  <si>
    <t>[tbl-79.html](tbl-79.html)</t>
  </si>
  <si>
    <t>- 44 -</t>
  </si>
  <si>
    <t>page-134</t>
  </si>
  <si>
    <t>tbl-80.html</t>
  </si>
  <si>
    <t>[tbl-80.html](tbl-80.html)</t>
  </si>
  <si>
    <t>tbl-81.html</t>
  </si>
  <si>
    <t>[tbl-81.html](tbl-81.html)</t>
  </si>
  <si>
    <t>## 4.2.2.3 Garantías para reducir el riesgo de crédito y su efecto financiero</t>
  </si>
  <si>
    <t>El Banco mantiene garantías para reducir el riesgo de crédito y para asegurar el cobro de sus activos financieros expuestos al riesgo de crédito.</t>
  </si>
  <si>
    <t>Los principales tipos de garantías tomadas con respecto a distintos tipos de activos financieros, se presentan a continuación:</t>
  </si>
  <si>
    <t>tbl-82.html</t>
  </si>
  <si>
    <t>[tbl-82.html](tbl-82.html) [tbl-83.html](tbl-83.html)</t>
  </si>
  <si>
    <t>- 45 -</t>
  </si>
  <si>
    <t>page-135</t>
  </si>
  <si>
    <t>## Préstamos hipotecarios residenciales</t>
  </si>
  <si>
    <t>La siguiente tabla presenta el rango de relación de préstamos de la cartera hipotecaria con relación al valor de las garantías ("Loan To Value" - LTV). El LTV es calculado como un porcentaje del monto bruto del préstamo en relación al valor de la garantía. El monto bruto del préstamo, excluye cualquier pérdida por deterioro. El valor de la garantía para hipotecas, está basado en el valor original de la garantía a la fecha de desembolso.</t>
  </si>
  <si>
    <t>tbl-84.html</t>
  </si>
  <si>
    <t>[tbl-84.html](tbl-84.html)</t>
  </si>
  <si>
    <t>## Depósitos a plazo colocados en bancos</t>
  </si>
  <si>
    <t>Al 30 de junio de 2021, se mantiene depósitos a plazo en bancos por B/.292,938,297 (2020: B/.312,958,879). Los depósitos a plazo en bancos son mantenidos en instituciones financieras locales y extranjeras. Estas instituciones cuentan con calificaciones locales y/o internacionales, en su mayoría con grado de inversión internacional de al menos BBB- según Fitch Ratings o Standard and Poors, o Baa3 por Moody's.</t>
  </si>
  <si>
    <t>B/.</t>
  </si>
  <si>
    <t>- 46 -</t>
  </si>
  <si>
    <t>page-136</t>
  </si>
  <si>
    <t>## 4.2.2.4 Concentración del riesgo de crédito</t>
  </si>
  <si>
    <t>El Banco monitorea la concentración de riesgo de crédito por sector y ubicación geográfica. El análisis de la concentración de los riesgos de crédito a la fecha de los estados financieros consolidados es la siguiente:</t>
  </si>
  <si>
    <t>tbl-85.html</t>
  </si>
  <si>
    <t>[tbl-85.html](tbl-85.html)</t>
  </si>
  <si>
    <t>En la concentración por sector, el rubro de otros préstamos corresponde a facilidades crediticias a entidades bancarias, cooperativas, compañías de seguros, empresas financieras, gobierno, organismos internacionales y organizaciones no gubernamentales.</t>
  </si>
  <si>
    <t>Las concentraciones geográficas de la cartera de préstamos están basadas, en la ubicación del deudor. En cuanto a la concentración geográfica para las inversiones está basada en el domicilio del emisor de la inversión.</t>
  </si>
  <si>
    <t>- 47 -</t>
  </si>
  <si>
    <t>page-137</t>
  </si>
  <si>
    <t>## 4.3 Riesgo de liquidez o financiamiento</t>
  </si>
  <si>
    <t>El riesgo de liquidez se define como el riesgo de que el Banco se encuentre dificultades para obtener los fondos para cumplir con sus compromisos u obligaciones a tiempo.</t>
  </si>
  <si>
    <t>La Regulación Bancaria en Panamá requiere que los bancos de licencia general mantengan en todo momento un saldo mínimo de activos líquidos, según definición en el Acuerdo No. 4-2008 de la Superintendencia de Bancos de Panamá, no inferior al 30% de sus depósitos, sin embargo, producto de las estrictas políticas de liquidez para la cobertura de sus operaciones pasivas, la liquidez del Banco en base a esta norma al 30 de junio de 2021 fue 49.33% (2020: 50.27%).</t>
  </si>
  <si>
    <t>El riesgo de liquidez ocasionado por el descalce de plazos entre activos y pasivos es medido utilizando el Gap de liquidez o calce financiero. En este análisis se realizan simulaciones y escenarios de "stress" basados en las dificultades que pudieran ocasionar una falta de liquidez, tales como: retiros inesperados de fondos aportados por acreedores o clientes, deterioro de la calidad de la cartera de préstamos, volatilidad de los recursos captados, etc.</t>
  </si>
  <si>
    <t>A continuación, se detallan los índices de liquidez legal correspondientes al margen de activos líquidos sobre los depósitos recibidos de clientes del Banco a la fecha de los estados financieros consolidados, como sigue:</t>
  </si>
  <si>
    <t>tbl-86.html</t>
  </si>
  <si>
    <t>[tbl-86.html](tbl-86.html)</t>
  </si>
  <si>
    <t>- 48 -</t>
  </si>
  <si>
    <t>page-138</t>
  </si>
  <si>
    <t>El cuadro a continuación muestra los flujos de efectivo no descontados de los pasivos financieros del Banco, sobre la base de sus vencimientos remanentes con respecto a la fecha de vencimiento contractual. Los flujos esperados de estos instrumentos pueden variar significativamente producto de estos análisis:</t>
  </si>
  <si>
    <t>tbl-87.html</t>
  </si>
  <si>
    <t>[tbl-87.html](tbl-87.html)</t>
  </si>
  <si>
    <t>Para administrar el riesgo de liquidez, que surge de los pasivos financieros, el Banco mantiene activos líquidos, tales como efectivo y equivalentes de efectivo e inversiones, con grado de inversión, para los cuales existe un mercado activo. Estos activos pueden ser fácilmente vendidos para cumplir con requerimientos de liquidez. Por consiguiente, el Banco considera, que no es necesario divulgar el análisis de vencimiento relacionado a estos activos para permitir evaluar la naturaleza y el alcance del riesgo de liquidez.</t>
  </si>
  <si>
    <t>- 49 -</t>
  </si>
  <si>
    <t>page-139</t>
  </si>
  <si>
    <t>## 4.4 Riesgo de mercado</t>
  </si>
  <si>
    <t>Es el riesgo de que el valor de un activo financiero se reduzca por causa de cambios en las tasas de interés, en las tasas de cambio monetario, en los precios accionarios, y otras variables financieras, así como la reacción de los participantes de los mercados a eventos políticos y económicos, sea éste debido a las pérdidas latentes como a ganancias potenciales. El objetivo de la administración del riesgo de mercado, es el de administrar y vigilar las exposiciones de riesgo, y que las mismas se mantengan dentro de los parámetros aceptables optimizando el retorno del riesgo.</t>
  </si>
  <si>
    <t>Las políticas de administración de riesgo disponen el cumplimiento con límites por instrumento financiero y el requerimiento de que, salvo por aprobación de Junta Directiva, sustancialmente todos los activos y pasivos estén denominados en dólares de los Estados Unidos de América o en balboas.</t>
  </si>
  <si>
    <t>Como parte del riesgo de mercado, el Banco está expuesto al riesgo de capital que pueda surgir de sus instrumentos financieros disponibles para la venta.</t>
  </si>
  <si>
    <t>El Banco administra el riesgo de mercado de sus instrumentos financieros al valor razonable con cambios en OCI a través de informes periódicos al Comité de Activos y Pasivos (ALCO) y al Comité de Riesgos en los cuales se analizan los cambios en los precios de cada instrumento para así tomar medidas en cuanto a la composición del portafolio.</t>
  </si>
  <si>
    <t>Dentro de la estrategia de inversiones debidamente refrendada por la Junta Directiva, se establecen límites de exposición a riesgos individuales, lo cual se establece en base a aprobaciones por calificación de riesgo de los emisores de estos instrumentos.</t>
  </si>
  <si>
    <t>Adicionalmente, dentro del riesgo de mercado, el Banco está expuesto principalmente al riesgo de tasa de interés.</t>
  </si>
  <si>
    <t>- Riesgo de tasa de intereses de los flujos de efectivos y del valor razonable - El riesgo de tasa de interés del flujo de efectivo y el riesgo de tasa de interés de valor razonable, son los riesgos que los flujos de efectivo futuros y el valor de un instrumento financiero fluctuarán debido a cambios en las tasas de interés del mercado.</t>
  </si>
  <si>
    <t>El Comité de Activos y Pasivos (ALCO) revisa periódicamente la exposición al riesgo de tasa de interés.</t>
  </si>
  <si>
    <t>La tabla que aparece a continuación resume la exposición del Banco a los riesgos de tasa de interés. Los activos y pasivos financieros del Banco están incluidos en la tabla a su valor en libros, clasificados por categorías, lo que ocurra primero entre la nueva fijación de tasa contractual o las fechas de vencimiento.</t>
  </si>
  <si>
    <t>- 50 -</t>
  </si>
  <si>
    <t>page-140</t>
  </si>
  <si>
    <t>Notas a los estados financieros consolidados por el año terminado el 30 de junio de 2021 (En balboas)</t>
  </si>
  <si>
    <t>tbl-88.html</t>
  </si>
  <si>
    <t>[tbl-88.html](tbl-88.html)</t>
  </si>
  <si>
    <t>- 51 -</t>
  </si>
  <si>
    <t>page-141</t>
  </si>
  <si>
    <t>El Banco para evaluar los riesgos de tasa de interés y su impacto en el valor razonable de los activos y pasivos, realiza simulaciones para determinar la sensibilidad de los activos y pasivos financieros.</t>
  </si>
  <si>
    <t>El análisis en forma mensual por la Administración consiste en determinar el impacto neto sobre los instrumentos financieros sujetos a riesgo de mercado, tomando en cuenta los efectos específicos causados por los aumentos y disminuciones de 100 puntos básicos en las tasas de interés. Los resultados de estas simulaciones se presentan mensualmente en el Comité de Activos y Pasivos (ALCO) para determinar si los instrumentos financieros de la cartera se encuentran dentro de los parámetros de riesgo aceptables por la Administración.</t>
  </si>
  <si>
    <t>El análisis que efectúa el Banco para determinar el impacto en los activos y pasivos de los aumentos y disminuciones en las tasas de interés, asumiendo movimientos asimétricos en la curva de rendimientos y una posición financiera constante se presenta a continuación:</t>
  </si>
  <si>
    <t>tbl-89.html</t>
  </si>
  <si>
    <t>[tbl-89.html](tbl-89.html)</t>
  </si>
  <si>
    <t>## 4.5 Riesgo operacional</t>
  </si>
  <si>
    <t>Es el riesgo de pérdidas potenciales, directas o indirectas, relacionadas con los procesos del Banco, de personal, tecnología e infraestructuras, y de factores externos que no estén relacionados a riesgos de crédito, mercado y liquidez, tales como los que provienen de requerimientos legales y regulatorios y del comportamiento de los estándares corporativos generalmente aceptados.</t>
  </si>
  <si>
    <t>El objetivo del Banco es manejar el riesgo operacional, buscando evitar pérdidas financieras y daños en la reputación del Banco.</t>
  </si>
  <si>
    <t>- 52 -</t>
  </si>
  <si>
    <t>page-142</t>
  </si>
  <si>
    <t>El Banco ha establecido una política de gestión y administración integral de riesgos aprobada por el Comité de Riesgos, la Gerencia General y el Comité de Auditoría de la Junta Directiva del Banco. El Comité de Riesgos mide el riesgo de liquidez, riesgo de mercado, riesgo de crédito y riesgo operacional.</t>
  </si>
  <si>
    <t>La estructura de administración del riesgo operacional ha sido elaborada para proporcionar una segregación de responsabilidades entre los dueños, los ejecutores, las áreas de control y las áreas que se encargan de asegurar el cumplimiento de las políticas y procedimientos. Las unidades de negocios y servicios del Banco asumen un rol activo en la identificación, medición, control y monitoreo de los riesgos operacionales y son responsables por comprender y gerenciar estos riesgos dentro de sus actividades diarias.</t>
  </si>
  <si>
    <t>La implementación de esta estructura de administración de riesgos, ha implicado que en el Banco se adopte una metodología de evaluación de procesos de negocios basados en riesgos, la cual consiste en identificar las áreas y procesos claves en relación a los objetivos estratégicos, identificar riesgos inherentes al negocio y diagramar el ciclo del proceso para identificar riesgos y controles mitigantes. Esto es apoyado con herramientas tecnológicas que nos permiten documentar, cuantificar y monitorear los riesgos identificados en los diferentes procesos a través de matrices de riesgos. El departamento de auditoría interna a través de sus programas, realiza una labor de aseguramiento del cumplimiento de los procedimientos y controles identificados y junto al departamento de administración de riesgos monitorean la severidad de los riesgos. Esta metodología tiene como objetivo fundamental añadir el máximo valor en cada una de las actividades de la organización, disminuyendo la posibilidad de fallas y pérdidas.</t>
  </si>
  <si>
    <t>Para el establecimiento de dicha metodología, el Banco ha destinado recursos para el fortalecimiento del control interno y estructura organizacional, permitiendo una independencia entre las áreas de negocio, control de riesgos y de registro. Lo anterior incluye una debida segregación funcional operativa en el registro, conciliación y autorización transaccional, la cual está documentada a través de políticas definidas, procesos y procedimientos que incluyen estándares de control y de seguridad.</t>
  </si>
  <si>
    <t>2022</t>
  </si>
  <si>
    <t>INA_GLOBAN_2022_0.pdf</t>
  </si>
  <si>
    <t>page-150</t>
  </si>
  <si>
    <t>6</t>
  </si>
  <si>
    <t>6. Saldos y transacciones con partes relacionadas</t>
  </si>
  <si>
    <t>Partes relacionadas</t>
  </si>
  <si>
    <t>Los saldos y transacciones con partes relacionadas incluidos en los estados financieros consolidados, se resumen a continuación:</t>
  </si>
  <si>
    <t>tbl-95.html</t>
  </si>
  <si>
    <t>[tbl-95.html](tbl-95.html)</t>
  </si>
  <si>
    <t>- 64 -</t>
  </si>
  <si>
    <t>page-151</t>
  </si>
  <si>
    <t># Global Bank Corporation y Subsidiarias</t>
  </si>
  <si>
    <t>Notas a los estados financieros consolidados por el año terminado el 30 de junio de 2022 (En balboas)</t>
  </si>
  <si>
    <t>tbl-96.html</t>
  </si>
  <si>
    <t>[tbl-96.html](tbl-96.html)</t>
  </si>
  <si>
    <t>Al 30 de junio de 2022, los colaterales que garantizan los créditos a partes relacionadas sumaban B/.127,071,808 (2021: B/.114,125,430), los cuales corresponden a garantías inmuebles, muebles y títulos en valores.</t>
  </si>
  <si>
    <t>Al 30 de junio de 2022, no hay préstamos con partes relacionadas con indicios de deterioro. Al 30 de junio de 2022, los préstamos con partes relacionadas tienen fecha de vencimiento entre julio 2022 hasta abril 2052 y tasas de interés anual que oscilan entre $2.75\%$ y $7.25\%$ (2021: tienen vencimiento entre julio de 2021 hasta julio de 2051 y tasas de interés anual que oscilan entre $2.75\%$ y $8.00\%$).</t>
  </si>
  <si>
    <t>page-152</t>
  </si>
  <si>
    <t>tbl-97.html</t>
  </si>
  <si>
    <t>7</t>
  </si>
  <si>
    <t>7. Efectivo y equivalentes de efectivo</t>
  </si>
  <si>
    <t>Working capital</t>
  </si>
  <si>
    <t>[tbl-97.html](tbl-97.html)</t>
  </si>
  <si>
    <t>Al 30 de junio de 2022, existían depósitos a plazo fijo con vencimientos originales mayor a 90 días por B/.2,430,414 (2021: B/.32,599,556). Además, existen depósitos a plazo fijo restringidos por B/.4,227,529 (2021: B/.1,482,735) que garantizan obligaciones financieras.</t>
  </si>
  <si>
    <t>8</t>
  </si>
  <si>
    <t>8. Valores comprados bajo acuerdos de reventa</t>
  </si>
  <si>
    <t>Ingresos</t>
  </si>
  <si>
    <t>Al 30 de junio de 2022, los valores comprados bajo acuerdos de reventa por B/.285,200 (2021: B/.306,301) con vencimiento en mayo y junio 2023 (2021: con vencimiento en septiembre 2021, mayo 2022 y junio 2022), están garantizados por acciones y bonos de empresas que cotizan en la Bolsa de Valores de Panamá.</t>
  </si>
  <si>
    <t>9</t>
  </si>
  <si>
    <t>9. Inversiones en valores, neto</t>
  </si>
  <si>
    <t>Otros</t>
  </si>
  <si>
    <t>A continuación, el detalle de las inversiones en valores:</t>
  </si>
  <si>
    <t>tbl-98.html</t>
  </si>
  <si>
    <t>[tbl-98.html](tbl-98.html)</t>
  </si>
  <si>
    <t>- 66 -</t>
  </si>
  <si>
    <t>page-153</t>
  </si>
  <si>
    <t>## 9.1 Valores al valor razonable con cambios en otros resultados integrales</t>
  </si>
  <si>
    <t>tbl-99.html</t>
  </si>
  <si>
    <t>[tbl-99.html](tbl-99.html)</t>
  </si>
  <si>
    <t>Las tasas de interés anual que devengaban las inversiones al valor razonable con cambios en otros resultados integrales oscilaban entre 1.00% y 9.375%. (2021: 1.00% y 9.38%).</t>
  </si>
  <si>
    <t>Al 30 de junio de 2022, existen inversiones al valor razonable con cambios en otros resultados integrales por B/.109,470,267 (2021: B/.22,900,630), que garantizan obligaciones con instituciones financieras. (Véase Nota 16). En adición, al 30 de junio de 2022, existen inversiones al valor razonable con cambios en otros resultados integrales por B/.56,280,642 que garantizan acuerdos de recompra. (Véase Nota 15).</t>
  </si>
  <si>
    <t>Al 30 de junio de 2022, el Banco realizó ventas y redenciones de inversiones por B/.438,213,712 (2021: B/.1,645,314,605) y como resultado se registró una ganancia de B/.1,154,420 (2021: B/.7,527,134), que se incluye en el estado consolidado de ganancia o pérdida.</t>
  </si>
  <si>
    <t>- 67 -</t>
  </si>
  <si>
    <t>page-154</t>
  </si>
  <si>
    <t>## 9.2 Valores al valor razonable con cambios en resultados</t>
  </si>
  <si>
    <t>Los valores al valor razonable con cambios en resultados se presentan a continuación:</t>
  </si>
  <si>
    <t>tbl-100.html</t>
  </si>
  <si>
    <t>[tbl-100.html](tbl-100.html)</t>
  </si>
  <si>
    <t>No hubo ventas de valores al valor razonable con cambios en resultados durante los años terminados en 2022 y 2021.</t>
  </si>
  <si>
    <t>## 9.3 Valores a costo amortizado</t>
  </si>
  <si>
    <t>tbl-101.html</t>
  </si>
  <si>
    <t>[tbl-101.html](tbl-101.html)</t>
  </si>
  <si>
    <t>Al 30 de junio de 2022, la tasa de interés anual, que devengan los valores a costo amortizado oscila entre el 1.00% y 8.875% (2021: 2.252% y 8.875%).</t>
  </si>
  <si>
    <t>Al 30 de junio de 2022, existen valores a costo amortizado por B/.19,793,200 (2021: B/.50,755,968), que garantizan obligaciones con instituciones financieras. (Véase Nota 16). En adición, al 30 de junio de 2022, existen inversiones a costo amortizado por B/.47,176,727 que garantizan acuerdos de recompra. (Véase Nota 15).</t>
  </si>
  <si>
    <t>- 68 -</t>
  </si>
  <si>
    <t>page-155</t>
  </si>
  <si>
    <t>tbl-102.html</t>
  </si>
  <si>
    <t>10</t>
  </si>
  <si>
    <t>10. Préstamos, neto</t>
  </si>
  <si>
    <t>Deuda / bonos / préstamos / leases</t>
  </si>
  <si>
    <t>[tbl-102.html](tbl-102.html)</t>
  </si>
  <si>
    <t>Al 30 de junio de 2022, la cartera de préstamos devenga intereses dentro de un rango de tasas de 0.75% hasta 25.99% (2021: 0.75% hasta 30%).</t>
  </si>
  <si>
    <t>Al 30 de junio de 2022, existen préstamos que garantizan bonos corporativos por un total de B/.129,803,846 (2021: B/.131,118,018). (Véase Nota 18).</t>
  </si>
  <si>
    <t>- 69 -</t>
  </si>
  <si>
    <t>page-156</t>
  </si>
  <si>
    <t>La clasificación por tipo de tasa de interés de la cartera crediticia se detalla a continuación:</t>
  </si>
  <si>
    <t>tbl-103.html</t>
  </si>
  <si>
    <t>[tbl-103.html](tbl-103.html)</t>
  </si>
  <si>
    <t>## Arrendamientos financieros</t>
  </si>
  <si>
    <t>El saldo de los arrendamientos financieros neto y el perfil de vencimiento se resumen como sigue:</t>
  </si>
  <si>
    <t>tbl-104.html</t>
  </si>
  <si>
    <t>[tbl-104.html](tbl-104.html)</t>
  </si>
  <si>
    <t>## Préstamos renegociados</t>
  </si>
  <si>
    <t>Las actividades de renegociación incluyen acuerdos de pago, planes de administración externa aprobados y modificación del plan de pagos. Las políticas y las prácticas de renegociación se basan en indicadores o criterios que, a juicio de la Administración, indican que el pago muy probablemente continuará. Estas políticas se encuentran en continua revisión.</t>
  </si>
  <si>
    <t>Al 30 de junio de 2022, los préstamos renegociados que de otra forma estarían vencidos o deteriorados totalizan B/.100,364,155 (2021: B/.117,985,958).</t>
  </si>
  <si>
    <t>tbl-105.html</t>
  </si>
  <si>
    <t>[tbl-105.html](tbl-105.html)</t>
  </si>
  <si>
    <t>En adición, al 30 de junio de 2022, un total de B/.278,591,051 (2021: B/.956,852,818) de préstamos categorizados como modificados según el Acuerdo No.2-2021 fueron renegociados en sus términos, modificando su plan de pago, tasas de interés, entre otros.</t>
  </si>
  <si>
    <t>- 70 -</t>
  </si>
  <si>
    <t>page-157</t>
  </si>
  <si>
    <t>tbl-106.html</t>
  </si>
  <si>
    <t>11</t>
  </si>
  <si>
    <t>11. Propiedades, mobiliario, equipo y mejoras</t>
  </si>
  <si>
    <t>PP&amp;E / capex / depreciación</t>
  </si>
  <si>
    <t>[tbl-106.html](tbl-106.html)</t>
  </si>
  <si>
    <t>- 71 -</t>
  </si>
  <si>
    <t>page-158</t>
  </si>
  <si>
    <t>12</t>
  </si>
  <si>
    <t>12. Activos por derecho de uso y pasivos por arrendamientos</t>
  </si>
  <si>
    <t>### a) Activos por derecho de uso</t>
  </si>
  <si>
    <t>Los activos por derecho de uso se presentan a continuación:</t>
  </si>
  <si>
    <t>tbl-107.html</t>
  </si>
  <si>
    <t>[tbl-107.html](tbl-107.html)</t>
  </si>
  <si>
    <t>Montos reconocidos en el estado consolidado de ganancia o pérdida:</t>
  </si>
  <si>
    <t>tbl-108.html</t>
  </si>
  <si>
    <t>[tbl-108.html](tbl-108.html)</t>
  </si>
  <si>
    <t>### b) Pasivos por arrendamientos</t>
  </si>
  <si>
    <t>El siguiente cuadro muestra los plazos de vencimiento de los compromisos contingentes por arrendamiento operacional bajo la norma NIIF 16.</t>
  </si>
  <si>
    <t>tbl-109.html</t>
  </si>
  <si>
    <t>[tbl-109.html](tbl-109.html)</t>
  </si>
  <si>
    <t>El Banco no enfrenta un riesgo de liquidez significativo con respecto a sus pasivos por arrendamiento. Los pasivos por arrendamiento se mantienen conforme a la operación del Banco.</t>
  </si>
  <si>
    <t>- 72 -</t>
  </si>
  <si>
    <t>page-159</t>
  </si>
  <si>
    <t>tbl-110.html</t>
  </si>
  <si>
    <t>13</t>
  </si>
  <si>
    <t>13. Activos varios</t>
  </si>
  <si>
    <t>[tbl-110.html](tbl-110.html)</t>
  </si>
  <si>
    <t>El siguiente cuadro resume el saldo de la plusvalía generada por la participación adquirida en las siguientes entidades:</t>
  </si>
  <si>
    <t>tbl-111.html</t>
  </si>
  <si>
    <t>[tbl-111.html](tbl-111.html)</t>
  </si>
  <si>
    <t>## (b) Impuesto sobre la renta diferido</t>
  </si>
  <si>
    <t>El detalle del impuesto sobre la renta diferido se encuentra en la Nota 31.</t>
  </si>
  <si>
    <t>## (c) Propiedades de inversión</t>
  </si>
  <si>
    <t>Al 30 de junio de 2022, las propiedades de inversión constan de inmueble para futuro desarrollo con un valor de B/.86,861,200 (2021: B/.66,861,200) según avalúo efectuado por Avalúos Inspecciones y Construcción, evaluador independiente del Banco con experiencia y capacidad realizando estas evaluaciones. El valor razonable se basa en la metodología de mercado en donde el precio de venta por metro cuadrado del terreno es el dato de entrada más relevante. El valor razonable ha sido clasificado en el nivel 3 de la jerarquía de valuación de la NIIF 13.</t>
  </si>
  <si>
    <t>- 73 -</t>
  </si>
  <si>
    <t>page-160</t>
  </si>
  <si>
    <t>tbl-112.html</t>
  </si>
  <si>
    <t>[tbl-112.html](tbl-112.html)</t>
  </si>
  <si>
    <t>Con el fin de comprobar un deterioro en plusvalía u otros activos intangibles, se hace periódicamente una valuación de los diversos activos (contratos, carteras) o negocios adquiridos por el Banco que han generado dichas plusvalías o intangibles. El Banco utiliza principalmente el modelo de descuento de flujos futuros de los activos o negocios correspondientes o métodos alternos de valuación de negocios incluyendo múltiplos de utilidades o de patrimonio, dependiendo del caso.</t>
  </si>
  <si>
    <t>Al 30 de junio de 2022 y 2021, no se reconocieron pérdidas por deterioro en plusvalía o intangibles. La valuación que se hizo mediante el método de descuento de los flujos futuros netos generados por los activos o negocios adquiridos indica que el valor presente de estos excede el monto de plusvalía o activos intangibles en libros.</t>
  </si>
  <si>
    <t>Para llevar a cabo la valuación de los activos y negocios adquiridos se proyectaron los flujos netos esperados de los activos o negocios, por períodos de cinco años, e igualmente se define un crecimiento a perpetuidad o múltiplo de flujos al final del período de la proyección de flujos para estimar el flujo terminal. Las tasas de crecimiento en los activos o negocios fluctúan en base a la naturaleza de cada uno, mientras que la tasa de crecimiento perpetua está en 3.5%.</t>
  </si>
  <si>
    <t>- Para determinar las tasas de crecimiento de los activos o negocios se utilizó como referencia el crecimiento, desempeño, y métricas históricas reales de los activos o negocios pertinentes, sus perspectivas futuras, el crecimiento macroeconómico anticipado del país el cual se encuentra entre 4% y 5% durante los cinco años de proyección. Los segmentos o negocios en evaluación, al igual que los planes de negocios del Banco y tasas de crecimiento esperadas en general, al igual para los negocios específicos en evaluación.</t>
  </si>
  <si>
    <t>- Para calcular el valor presente de los flujos futuros y determinar el valor de los activos y negocios que están siendo evaluados se utilizó como tasa de descuento el costo de capital promedio estimado para los períodos de tiempo contemplados, cuando la unidad de negocios evaluada es el Banco; cuando se descuentan flujos de fondos activos o unidades con un perfil distinto al Banco, se utiliza el costo de capital aplicable a esa actividad en caso de diferir. El costo de capital está en función de las tasas de interés promedio a largo plazo de instrumentos AAA en dólares, de la prima por riesgo país, y de la prima de retorno para inversiones de capital aplicable. El costo de capital del Banco es de 11% aproximadamente.</t>
  </si>
  <si>
    <t>- Los principales supuestos antes descritos, pueden cambiar a medida que las condiciones económicas y del mercado cambien. El Banco estima que los cambios razonablemente posibles bajo estos supuestos no afecten el importe recuperable de las unidades de negocio o disminuya por debajo del valor del importe en libros.</t>
  </si>
  <si>
    <t>El gasto de la amortización se presenta en el estado consolidado de ganancia o pérdida en el rubro de depreciación y amortización.</t>
  </si>
  <si>
    <t>- 74 -</t>
  </si>
  <si>
    <t>page-161</t>
  </si>
  <si>
    <t>## Notas a los estados financieros consolidados por el año terminado el 30 de junio de 2022 (En balboas)</t>
  </si>
  <si>
    <t>### (e) Derivado de cobertura</t>
  </si>
  <si>
    <t>El Banco reduce su riesgo de crédito con relación a estos acuerdos al utilizar como contraparte a instituciones de gran solidez financiera. Dichos contratos se registran al valor razonable en el estado consolidado de situación financiera utilizando los métodos de valor razonable o flujos de efectivo (“fair value hedge” o “cash flow hedge”), en otros activos y otros pasivos, según corresponda.</t>
  </si>
  <si>
    <t>### Cobertura de valor razonable</t>
  </si>
  <si>
    <t>Para administrar su posición en el estado consolidado de situación financiera, el Banco ha realizado contratos de canje de tasas de interés (“interest rate swap”) sobre financiamientos con valor nominal de B/.200,000,000 al 30 de junio de 2022 y 2021, que le permiten la conversión de tasa de interés variable a tasa fija durante cada período de pago.</t>
  </si>
  <si>
    <t>A continuación, el resumen de los contratos de derivados por vencimientos y método de contabilización:</t>
  </si>
  <si>
    <t>tbl-113.html</t>
  </si>
  <si>
    <t>[tbl-113.html](tbl-113.html)</t>
  </si>
  <si>
    <t>page-162</t>
  </si>
  <si>
    <t>El valor nominal y el valor razonable estimado de los instrumentos derivados de tasas de interés al 30 de junio de 2022 y 2021 se presentan en la siguiente tabla. El valor razonable de los instrumentos financieros derivados se estima utilizando modelos de valoración con información de mercado observable.</t>
  </si>
  <si>
    <t>tbl-114.html</t>
  </si>
  <si>
    <t>[tbl-114.html](tbl-114.html)</t>
  </si>
  <si>
    <t>tbl-115.html</t>
  </si>
  <si>
    <t>14</t>
  </si>
  <si>
    <t>14. Depósitos de clientes</t>
  </si>
  <si>
    <t>[tbl-115.html](tbl-115.html)</t>
  </si>
  <si>
    <t>15</t>
  </si>
  <si>
    <t>15. Valores vendidos bajo acuerdos de recompra</t>
  </si>
  <si>
    <t>Al 30 de junio de 2022, se mantienen acuerdos de recompra por B/.93,665,393, garantizados por inversiones al valor razonable con cambios en otros resultados integrales por B/.56,280,642 y valores a costo amortizado por B/.47,176,727, a tasa de interés entre 1.00% y 4.17%, con vencimiento en agosto 2022, septiembre 2022 y junio 2023.</t>
  </si>
  <si>
    <t>- 76 -</t>
  </si>
  <si>
    <t>page-163</t>
  </si>
  <si>
    <t>Los valores vendidos bajo acuerdos de recompra a costo amortizado se detallan a continuación:</t>
  </si>
  <si>
    <t>tbl-116.html</t>
  </si>
  <si>
    <t>[tbl-116.html](tbl-116.html)</t>
  </si>
  <si>
    <t>tbl-117.html</t>
  </si>
  <si>
    <t>16</t>
  </si>
  <si>
    <t>16. Obligaciones con instituciones financieras</t>
  </si>
  <si>
    <t>[tbl-117.html](tbl-117.html)</t>
  </si>
  <si>
    <t>Al 30 de junio de 2022, existen inversiones al valor razonable con cambios en otros resultados integrales por B/.109,470,267 (2021: B/.22,900,630) y valores a costo amortizado por B/.19,793,200 (2021: B/.50,755,968) que garantizan estas obligaciones con instituciones financieras. Además, existen depósitos a plazo restringidos al 30 de junio de 2022 por B/.4,227,529 (2021: B/.1,482,735), que garantizan estas obligaciones con instituciones financieras.</t>
  </si>
  <si>
    <t>El Banco está en cumplimiento con los pagos de vencimiento de principal e intereses, así como las cláusulas contractuales con relación a sus obligaciones y colocaciones.</t>
  </si>
  <si>
    <t>Las obligaciones con instituciones financieras a costo amortizado se detallan a continuación:</t>
  </si>
  <si>
    <t>tbl-118.html</t>
  </si>
  <si>
    <t>[tbl-118.html](tbl-118.html)</t>
  </si>
  <si>
    <t>- 77 -</t>
  </si>
  <si>
    <t>page-164</t>
  </si>
  <si>
    <t>El movimiento de las obligaciones con instituciones financieras se detalla a continuación para propósito de conciliación con el estado consolidado de flujos de efectivo:</t>
  </si>
  <si>
    <t>tbl-119.html</t>
  </si>
  <si>
    <t>[tbl-119.html](tbl-119.html)</t>
  </si>
  <si>
    <t>tbl-120.html</t>
  </si>
  <si>
    <t>17</t>
  </si>
  <si>
    <t>17. Valores comerciales negociables (VCNs)</t>
  </si>
  <si>
    <t>[tbl-120.html](tbl-120.html)</t>
  </si>
  <si>
    <t>El movimiento de los valores comerciales negociables se detalla a continuación para propósito de conciliación con el estado consolidado de flujos de efectivo:</t>
  </si>
  <si>
    <t>tbl-121.html</t>
  </si>
  <si>
    <t>[tbl-121.html](tbl-121.html)</t>
  </si>
  <si>
    <t>Los valores comerciales negociables a costo amortizado se detallan a continuación:</t>
  </si>
  <si>
    <t>tbl-122.html</t>
  </si>
  <si>
    <t>[tbl-122.html](tbl-122.html)</t>
  </si>
  <si>
    <t>page-165</t>
  </si>
  <si>
    <t>tbl-123.html</t>
  </si>
  <si>
    <t>18</t>
  </si>
  <si>
    <t>18. Bonos corporativos</t>
  </si>
  <si>
    <t>[tbl-123.html](tbl-123.html)</t>
  </si>
  <si>
    <t>A continuación, se describen las garantías otorgadas por el Banco para estas emisiones:</t>
  </si>
  <si>
    <t>**Emisión de octubre del 2016** - Los bonos de esta emisión constituyeron obligaciones directas, incondicionales y no garantizadas, los cuales fueron cancelados a su vencimiento en octubre 2021. Esta emisión fue registrada en Panamá en diciembre 2017 por un monto de B/.550,000,000.</t>
  </si>
  <si>
    <t>**Emisión de agosto del 2018** - La emisión de bonos, estaba garantizada a través de un Fideicomiso de Garantía con el Agente Fiduciario a favor del cual cedían Créditos Hipotecarios con un valor total que cubría al menos el 120% del Salto Insoluto de Capital de los Bonos Emitidos y en circulación. Los intereses eran pagaderos trimestralmente y el capital de los bonos al vencimiento. La emisión de la Serie A fue cancelada en agosto 2021.</t>
  </si>
  <si>
    <t>**Emisión de abril del 2019** - Los bonos de esta emisión constituyen obligaciones directas, incondicionales y no garantizadas. El cupón se paga semestralmente a una tasa fija y cambia a tasa variable labor 3 meses más spread 3.30% en el último año de la emisión.</t>
  </si>
  <si>
    <t>Al 30 de junio de 2022, existen bonos corporativos que mantiene garantías de préstamos en fideicomiso por un total de B/.129,803,846 (2021: B/.131,118,018). (Véase Nota 10).</t>
  </si>
  <si>
    <t>Los bonos corporativos a costo amortizado se detallan a continuación:</t>
  </si>
  <si>
    <t>tbl-124.html</t>
  </si>
  <si>
    <t>[tbl-124.html](tbl-124.html)</t>
  </si>
  <si>
    <t>19</t>
  </si>
  <si>
    <t>19. Bonos subordinados</t>
  </si>
  <si>
    <t>En fecha 30 de agosto de 2021 se cancelaron todas las series emitidas y en circulación del programa de bonos subordinados.</t>
  </si>
  <si>
    <t>tbl-125.html</t>
  </si>
  <si>
    <t>[tbl-125.html](tbl-125.html)</t>
  </si>
  <si>
    <t>page-166</t>
  </si>
  <si>
    <t>Los bonos subordinados a costo amortizado se detallan a continuación:</t>
  </si>
  <si>
    <t>tbl-126.html</t>
  </si>
  <si>
    <t>[tbl-126.html](tbl-126.html)</t>
  </si>
  <si>
    <t>20</t>
  </si>
  <si>
    <t>20. Bonos perpetuos</t>
  </si>
  <si>
    <t>Los bonos perpetuos de cualquier serie podrán ser redimidos, total o parcialmente, a opción del emisor, a partir del sexto año de la fecha de emisión de la serie respectiva y no tienen garantía.</t>
  </si>
  <si>
    <t>tbl-127.html</t>
  </si>
  <si>
    <t>[tbl-127.html](tbl-127.html)</t>
  </si>
  <si>
    <t>Los bonos perpetuos a costo amortizado se detallan a continuación:</t>
  </si>
  <si>
    <t>tbl-128.html</t>
  </si>
  <si>
    <t>[tbl-128.html](tbl-128.html)</t>
  </si>
  <si>
    <t>El movimiento de los bonos corporativos, subordinados y perpetuos se detalla a continuación para propósito de conciliación con el estado consolidado de flujos de efectivo:</t>
  </si>
  <si>
    <t>tbl-129.html</t>
  </si>
  <si>
    <t>[tbl-129.html](tbl-129.html)</t>
  </si>
  <si>
    <t>- 80 -</t>
  </si>
  <si>
    <t>page-167</t>
  </si>
  <si>
    <t>tbl-130.html</t>
  </si>
  <si>
    <t>21</t>
  </si>
  <si>
    <t>21. Pasivos varios</t>
  </si>
  <si>
    <t>[tbl-130.html](tbl-130.html)</t>
  </si>
  <si>
    <t>## a) Garantías retenidas por clientes y otros</t>
  </si>
  <si>
    <t>Las garantías retenidas por pagar clientes consisten en un valor porcentual de cada factura descontada retenida hasta el momento que se haga efectivo su cobro. Si al término del contrato, la factura se convierte en incobrable, el Banco rebaja la cuenta por cobrar por el saldo del depósito en garantía de factoring de la operación relacionada.</t>
  </si>
  <si>
    <t>- 81 -</t>
  </si>
  <si>
    <t>page-168</t>
  </si>
  <si>
    <t>tbl-131.html</t>
  </si>
  <si>
    <t>22</t>
  </si>
  <si>
    <t>22. Reservas de operaciones de seguros</t>
  </si>
  <si>
    <t>Seguros (primas/siniestros/reservas)</t>
  </si>
  <si>
    <t>[tbl-131.html](tbl-131.html)</t>
  </si>
  <si>
    <t>Las reservas de operaciones de seguros han sido certificadas por un actuario independiente del Banco.</t>
  </si>
  <si>
    <t>23</t>
  </si>
  <si>
    <t>23. Acciones comunes</t>
  </si>
  <si>
    <t>Capital / patrimonio / dividendos</t>
  </si>
  <si>
    <t>Al 30 de junio de 2022, el capital autorizado de Global Bank Corporation está constituido por 2,000,000 de acciones comunes sin valor nominal, de las cuales 236,600 (2021: 236,600) acciones se encuentran emitidas y en circulación por un valor de B/.270,202,657 (2021: B/.270,202,657).</t>
  </si>
  <si>
    <t>Al 30 de junio de 2022, se pagaron dividendos sobre las acciones comunes aprobados por la Junta Directiva por un total de B/.23,664,251 (2021: B/.20,033,073).</t>
  </si>
  <si>
    <t>- 82 -</t>
  </si>
  <si>
    <t>page-169</t>
  </si>
  <si>
    <t>tbl-132.html</t>
  </si>
  <si>
    <t>24</t>
  </si>
  <si>
    <t>24. Ingresos y gastos por intereses y comisiones</t>
  </si>
  <si>
    <t>Intereses</t>
  </si>
  <si>
    <t>[tbl-132.html](tbl-132.html)</t>
  </si>
  <si>
    <t>tbl-133.html</t>
  </si>
  <si>
    <t>25</t>
  </si>
  <si>
    <t>25. Otros ingresos, neto</t>
  </si>
  <si>
    <t>[tbl-133.html](tbl-133.html)</t>
  </si>
  <si>
    <t>- 83 -</t>
  </si>
  <si>
    <t>page-170</t>
  </si>
  <si>
    <t>tbl-134.html</t>
  </si>
  <si>
    <t>26</t>
  </si>
  <si>
    <t>26. Otros gastos</t>
  </si>
  <si>
    <t>Costos / gastos</t>
  </si>
  <si>
    <t>[tbl-134.html](tbl-134.html)</t>
  </si>
  <si>
    <t>27</t>
  </si>
  <si>
    <t>27. Capital pagado en exceso</t>
  </si>
  <si>
    <t>### Plan de opción de acciones de los empleados</t>
  </si>
  <si>
    <t>Al 30 de junio de 2022, los ejecutivos claves mantuvieron opciones sobre 15,562 acciones comunes de la Casa Matriz (G.B. Group Corporation) (2021: 35,234), de las cuales 15,562 podrán ser ejercidas en el 2022 con un precio promedio de ejecución de B/.41.00 al 30 de junio de 2022 (2021: B/.41.00). El Banco reconoció B/.218,945 (2021: B/.243,733) en el estado consolidado de ganancia o pérdida en el rubro de salarios y otros gastos de personal (2021: Ingresos varios) y la entrada correspondiente en el patrimonio.</t>
  </si>
  <si>
    <t>### Plan de acciones restringidas</t>
  </si>
  <si>
    <t>En agosto de 2021, la Junta Directiva de G.B Group Corporation aprobó reservar un total de hasta 14,264 acciones comunes de su capital autorizado para que puedan ser adjudicadas bajo el Plan de Acciones Restringidas para los participantes, el cual estará vigente para el período 2022-2023.</t>
  </si>
  <si>
    <t>El número de acciones a ser conferidas será determinado anualmente por el Comité de Compensación de la Junta Directiva de G.B. Group Corporation con base en el desempeño del Banco y de los participantes.</t>
  </si>
  <si>
    <t>Las acciones que se confieren a los participantes se adjudican al precio promedio de la Bolsa de Valores de Panamá, del mes anterior a la adjudicación.</t>
  </si>
  <si>
    <t>Una vez conferidas las acciones restringidas, el participante podrá disponer de ellas de la siguiente manera: 50% a partir del primer año y 50% el segundo año.</t>
  </si>
  <si>
    <t>Por ser el plan de acciones restringidas unilateral y voluntario, el mismo puede ser descontinuado por la Junta Directiva de G.B. Group Corporation en cualquier momento.</t>
  </si>
  <si>
    <t>En el año 2022 se otorgaron 1,291 acciones bajo el plan de acciones restringidas y se registró un gasto de B/.51,534.</t>
  </si>
  <si>
    <t>- 84 -</t>
  </si>
  <si>
    <t>page-171</t>
  </si>
  <si>
    <t>28</t>
  </si>
  <si>
    <t>28. Compromisos y contingencias</t>
  </si>
  <si>
    <t>Contingencias</t>
  </si>
  <si>
    <t>El Banco mantiene instrumentos financieros fuera del estado consolidado de situación financiera con riesgo crediticio que resultan del curso normal de sus operaciones y los cuales involucran elementos de riesgo crediticio y de liquidez. Dichos instrumentos financieros incluyen cartas de crédito, avales y garantías otorgadas y promesas de pago, los cuales se describen a continuación:</t>
  </si>
  <si>
    <t>tbl-135.html</t>
  </si>
  <si>
    <t>[tbl-135.html](tbl-135.html)</t>
  </si>
  <si>
    <t>Las cartas de crédito, los avales, garantías otorgadas, las promesas de pago y líneas de crédito otorgadas no utilizadas, están expuestas a pérdidas crediticias en el evento que el cliente no cumpla con su obligación de pagar. Las políticas y procedimientos del Banco en la aprobación de compromisos de crédito, garantías financieras y promesas de pago son las mismas que se utilizan para el otorgamiento de préstamos registrados en el estado consolidado de situación financiera.</t>
  </si>
  <si>
    <t>Las garantías otorgadas tienen fechas de vencimientos predeterminadas, las cuales en su mayoría vencen sin que exista un desembolso, por lo tanto, no representan un riesgo de liquidez importante. En cuanto a las cartas de crédito, la mayoría son utilizadas; sin embargo, la mayor parte de dichas utilizaciones son a la vista y su pago es inmediato.</t>
  </si>
  <si>
    <t>Las promesas de pago es un compromiso en que el Banco se acepta realizar un pago una vez se cumplan ciertas condiciones, las cuales tienen un vencimiento promedio de seis meses y se utilizan principalmente para los desembolsos de préstamos hipotecarios del Banco. No se anticipa pérdidas como resultado de estas transacciones.</t>
  </si>
  <si>
    <t>29</t>
  </si>
  <si>
    <t>29. Administración de contratos fiduciarios y cartera de inversión</t>
  </si>
  <si>
    <t>El Banco mantenía en administración al 30 de junio de 2022 contratos fiduciarios por cuenta y riesgo de clientes que ascendían a B/.3,071,833,622 (2021: B/.2,799,433,707).</t>
  </si>
  <si>
    <t>tbl-136.html</t>
  </si>
  <si>
    <t>[tbl-136.html](tbl-136.html)</t>
  </si>
  <si>
    <t>Considerando la naturaleza de estos servicios, la Administración considera que no existe riesgo para el Banco.</t>
  </si>
  <si>
    <t>page-172</t>
  </si>
  <si>
    <t>tbl-137.html</t>
  </si>
  <si>
    <t>30</t>
  </si>
  <si>
    <t>30. Administración de fondos de pensiones y cesantías</t>
  </si>
  <si>
    <t>[tbl-137.html](tbl-137.html)</t>
  </si>
  <si>
    <t>31</t>
  </si>
  <si>
    <t>31. Impuesto sobre la renta</t>
  </si>
  <si>
    <t>Impuestos</t>
  </si>
  <si>
    <t>Las declaraciones de impuesto sobre la renta de los bancos constituidas en la República de Panamá están sujetas a revisión por las autoridades fiscales por los tres últimos años, inclusive el año terminado el 30 de junio de 2022, de acuerdo a regulaciones fiscales vigentes.</t>
  </si>
  <si>
    <t>De acuerdo a la Legislación Fiscal Panameña vigente, los bancos están exentos del pago de impuesto sobre la renta en concepto de ganancias provenientes de fuente extranjera. También están exentos del pago de impuesto sobre la renta, los intereses ganados sobre depósitos a plazo en bancos locales, los intereses ganados sobre valores del Estado Panameño e inversiones en títulos-valores emitidos a través de la Bolsa de Valores de Panamá.</t>
  </si>
  <si>
    <t>Las subsidiarias Global Capital Investment Corp., Global Bank Overseas y Banvivienda Assets no están sujetas al pago de impuesto sobre la renta en sus respectivas jurisdicciones, debido a la naturaleza de sus operaciones extranjeras. Sin embargo, el impuesto sobre la renta causado sobre operaciones que generan renta gravable en otras jurisdicciones se clasifica dentro del gasto de impuesto sobre la renta.</t>
  </si>
  <si>
    <t>A partir del 1 de enero de 2010, con la entrada en vigencia de la Ley No.8 del 15 de marzo de 2010, el Artículo No.699 del Código Fiscal indica que las personas jurídicas cuyos ingresos gravables superen un millón quinientos mil balboas (B/.1,500,000) anuales deben pagar el impuesto sobre la renta a una tasa del 25% sobre la que resulte mayor entre: (1) la renta neta gravable calculada por el método tradicional establecido en el Título I del Libro Cuarto del Código Fiscal, o (2) la renta neta gravable que resulte de aplicar al total de ingresos gravables el cuatro punto sesenta y siete por ciento (4.67%).</t>
  </si>
  <si>
    <t>El gasto de impuesto sobre la renta corriente se detalla a continuación:</t>
  </si>
  <si>
    <t>tbl-138.html</t>
  </si>
  <si>
    <t>[tbl-138.html](tbl-138.html)</t>
  </si>
  <si>
    <t>La tasa efectiva promedio del impuesto sobre la renta corriente es de 10.28% (2021: 21.96%).</t>
  </si>
  <si>
    <t>- 86 -</t>
  </si>
  <si>
    <t>page-173</t>
  </si>
  <si>
    <t>El rubro con efecto impositivo que compone el activo de impuesto diferido incluido en el estado consolidado de situación financiera, es principalmente la reserva para posibles préstamos incobrables y efecto fiscal de plusvalía, la cual se detalla a continuación:</t>
  </si>
  <si>
    <t>tbl-139.html</t>
  </si>
  <si>
    <t>[tbl-139.html](tbl-139.html)</t>
  </si>
  <si>
    <t>El activo diferido se reconoce con base a las diferencias fiscales deducibles considerando sus operaciones pasadas y las utilidades gravables proyectadas, en las cuales influyen las estimaciones de la Administración. En base a resultados actuales y proyectados, la Administración del Banco considera que habrá suficientes ingresos gravables para absorber el impuesto sobre la renta diferido detallado anteriormente.</t>
  </si>
  <si>
    <t>Una reconciliación del impuesto sobre la renta se presenta de la siguiente forma:</t>
  </si>
  <si>
    <t>tbl-140.html</t>
  </si>
  <si>
    <t>[tbl-140.html](tbl-140.html)</t>
  </si>
  <si>
    <t>El impuesto sobre la renta diferido activo se detalla a continuación:</t>
  </si>
  <si>
    <t>tbl-141.html</t>
  </si>
  <si>
    <t>[tbl-141.html](tbl-141.html)</t>
  </si>
  <si>
    <t>- 87 -</t>
  </si>
  <si>
    <t>page-174</t>
  </si>
  <si>
    <t>La conciliación del impuesto sobre la renta diferido del año anterior con el año actual es como sigue:</t>
  </si>
  <si>
    <t>tbl-142.html</t>
  </si>
  <si>
    <t>[tbl-142.html](tbl-142.html)</t>
  </si>
  <si>
    <t>Con fecha 29 de agosto de 2012, entró a regir la Ley No.52, que reforma la normativa relativa a Precios de Transferencia, régimen de precios orientado a regular con fines tributarios las transacciones que se realizan entre partes relacionadas, de manera que las contraprestaciones entre ellas sean similares a las que se realizan entre partes independientes. De acuerdo a dichas normas los contribuyentes que realicen operaciones con partes relacionadas que tengan efectos sobre los ingresos, costos o deducciones en la determinación de la base imponible, para fines del impuesto sobre la renta, del período fiscal en el que se declare o lleve a cabo la operación, deben preparar anualmente un informe de las operaciones realizadas dentro de los seis meses siguientes a la terminación del período fiscal correspondiente (Forma 930). Dichas operaciones deben someterse a un estudio a efectos de establecer que cumplen con el supuesto contemplado en la Ley.</t>
  </si>
  <si>
    <t>A la fecha de estos los estados financieros consolidados, el Banco se encuentra en proceso de contemplar dicho análisis; sin embargo, de acuerdo a la Administración no se espera que el mismo tenga un impacto importante en la estimación del impuesto sobre la renta del año.</t>
  </si>
  <si>
    <t>- 88 -</t>
  </si>
  <si>
    <t>page-175</t>
  </si>
  <si>
    <t>32</t>
  </si>
  <si>
    <t>32. Información por segmentos</t>
  </si>
  <si>
    <t>Segmentos</t>
  </si>
  <si>
    <t>La Administración ha elaborado la siguiente información de segmento en base a los negocios del Banco para su análisis financiero:</t>
  </si>
  <si>
    <t>tbl-143.html</t>
  </si>
  <si>
    <t>[tbl-143.html](tbl-143.html)</t>
  </si>
  <si>
    <t>page-176</t>
  </si>
  <si>
    <t>33</t>
  </si>
  <si>
    <t>33. Empresas subsidiarias del Banco</t>
  </si>
  <si>
    <t>A continuación, se detallan las subsidiarias del Banco, su actividad económica principal, fecha de constitución, inicio de operaciones, país de incorporación y porcentaje de posesión de dichas empresas:</t>
  </si>
  <si>
    <t>tbl-144.html</t>
  </si>
  <si>
    <t>[tbl-144.html](tbl-144.html)</t>
  </si>
  <si>
    <t>34</t>
  </si>
  <si>
    <t>34. Aspectos regulatorios y reserva de capital</t>
  </si>
  <si>
    <t>A continuación, el detalle de las reservas regulatorias:</t>
  </si>
  <si>
    <t>tbl-145.html</t>
  </si>
  <si>
    <t>[tbl-145.html](tbl-145.html)</t>
  </si>
  <si>
    <t>page-177</t>
  </si>
  <si>
    <t># Acuerdo No.4-2013</t>
  </si>
  <si>
    <t>La clasificación de la cartera de préstamos y reservas para pérdidas en préstamos en base al Acuerdo No.4-2013:</t>
  </si>
  <si>
    <t>tbl-146.html</t>
  </si>
  <si>
    <t>[tbl-146.html](tbl-146.html)</t>
  </si>
  <si>
    <t>tbl-147.html</t>
  </si>
  <si>
    <t>[tbl-147.html](tbl-147.html)</t>
  </si>
  <si>
    <t>La clasificación de la cartera de préstamos por perfil de vencimiento en base al Acuerdo No.4-2013:</t>
  </si>
  <si>
    <t>tbl-148.html</t>
  </si>
  <si>
    <t>[tbl-148.html](tbl-148.html)</t>
  </si>
  <si>
    <t>tbl-149.html</t>
  </si>
  <si>
    <t>[tbl-149.html](tbl-149.html)</t>
  </si>
  <si>
    <t>Al 30 de junio de 2022, los préstamos en estado de no acumulación de intereses representan B/.144,717,567 (2021: B/.145,274,402).</t>
  </si>
  <si>
    <t>- 91 -</t>
  </si>
  <si>
    <t>page-178</t>
  </si>
  <si>
    <t># Tratamiento contable de las diferencias entre las normas prudenciales y las NIIFs</t>
  </si>
  <si>
    <t>Como se indica en la Nota 2, el Banco adoptó las NIIF para la preparación de sus registros contables y la presentación de sus estados financieros consolidados. Según la Resolución General de Junta Directiva SBP GJD-0003-2013 se establece el tratamiento contable de las diferencias entre las normas prudenciales y las NIIFs con base en la siguiente metodología.</t>
  </si>
  <si>
    <t>- Se efectuarán y se compararán las cifras respectivas de los cálculos de la aplicación de las NIIFs y las normas prudenciales emitidas por la Superintendencia de Bancos de Panamá (SBP). - Cuando el cálculo realizado de acuerdo con las NIIFs resulte provisión mayor que la resultante de la utilización de normas prudenciales, se contabilizarán las cifras NIIFs. - Cuando, la utilización de normas prudenciales resulte en una mayor provisión, se registrará igualmente en resultados las cifras NIIFs y la diferencia se apropiará de las utilidades retenidas, la cual se trasladará a una reserva regulatoria en el patrimonio. En caso de que el Banco no cuente con utilidades retenidas suficientes, esta diferencia se presentará como una cuenta de déficit acumulado. - La reserva regulatoria mencionada en el punto anterior no se podrá reversar contra las utilidades retenidas mientras existan las diferencias entre las NIIFs y las normas prudenciales que la originaron.</t>
  </si>
  <si>
    <t>Según el Acuerdo No.4-2013, las restricciones de la provisión dinámica establecen que la cuantía no puede ser inferior a la cuantía establecida en el trimestre anterior. Al 30 de junio de 2022, la provisión dinámica fue por B/.87,863,198 (2021: B/.87,863,198).</t>
  </si>
  <si>
    <t>Mediante Resolución General de Junta Directiva SBP-GJD-0007-2020 de 16 de julio de 2020, en el Artículo No.1 se suspende temporalmente la obligación de constituir la provisión dinámica establecida en los Artículos No.36, 37 y 38 del Acuerdo No.4-2013 sobre riesgo de crédito, a fin de proveer un alivio financiero a los bancos de la plaza.</t>
  </si>
  <si>
    <t>- 92 -</t>
  </si>
  <si>
    <t>page-179</t>
  </si>
  <si>
    <t># Operaciones fuera de balance</t>
  </si>
  <si>
    <t>El Banco ha realizado la clasificación de las operaciones fuera de balance y reservas requeridas en base al Acuerdo No.4-2013 emitido por la Superintendencia de Bancos de Panamá y la misma se muestra a continuación:</t>
  </si>
  <si>
    <t>tbl-150.html</t>
  </si>
  <si>
    <t>[tbl-150.html](tbl-150.html) [tbl-151.html](tbl-151.html)</t>
  </si>
  <si>
    <t>Las cartas de crédito, garantías emitidas y promesas de pago están expuestas a pérdidas crediticias en el evento que el cliente no cumpla con su obligación de pagar. Las políticas y procedimientos del Banco en la aprobación de compromisos de crédito, garantías financieras y promesas de pago son las mismas que se utilizan para el otorgamiento de préstamos registrados en el estado consolidado de situación financiera.</t>
  </si>
  <si>
    <t>Las cartas de crédito, la mayoría son utilizadas, sin embargo, la mayor parte de dichas utilizaciones son a la vista, y su pago es inmediato.</t>
  </si>
  <si>
    <t>Las líneas de créditos por desembolsos de clientes, corresponden a préstamos garantizados pendientes de desembolsar, los cuales no se muestran en el estado consolidado de situación financiera, pero están registrados en las cuentas de orden del Banco.</t>
  </si>
  <si>
    <t>Al 30 de junio de 2022, la provisión regulatoria sobre bienes adjudicados totaliza B/.13,864,795 (2021: B/.11,750,034) en base a lo establecido en el Acuerdo No.3-2009 de la Superintendencia de Bancos de Panamá.</t>
  </si>
  <si>
    <t>- 93 -</t>
  </si>
  <si>
    <t>page-180</t>
  </si>
  <si>
    <t>## Primas y documentos por cobrar</t>
  </si>
  <si>
    <t>El Artículo No.156 de la Ley No.12 del 3 de abril de 2012 indica:</t>
  </si>
  <si>
    <t>a) Suspensión de cobertura: cuando el contratante haya efectuado el pago de la primera fracción de la prima y se atrase por más del término del período de gracia estipulado en el pago de alguna de las fracciones de primas subsiguientes, conforme al calendario de pago establecido en la póliza correspondiente, se entenderá que ha incurrido en incumplimiento de pago, lo que tiene como efecto jurídico inmediato de suspender la cobertura de la póliza hasta por sesenta días.</t>
  </si>
  <si>
    <t>b) La suspensión de cobertura se mantendrá hasta que cese el incumplimiento de pago, pudiendo rehabilitarse a partir del pago de la prima dejada de pagar durante dicho período o hasta que la póliza sea cancelada, conforme a lo que dispone el Artículo No.161.</t>
  </si>
  <si>
    <t>El Artículo No.161 de la Ley No.12 del 3 de abril de 2012 indica:</t>
  </si>
  <si>
    <t>a) Todo aviso de cancelación de la póliza deberá ser notificado mediante envío al contratante a la última dirección física, postal o electrónica que conste en el expediente de la póliza que mantiene la aseguradora. Copia del aviso de cancelación deberá ser emitida al corredor de seguros.</t>
  </si>
  <si>
    <t>b) Cualquier cambio de dirección del contratante deberá notificarlo a la aseguradora, de lo contrario se tendrá por válido el último que conste en el expediente de esta.</t>
  </si>
  <si>
    <t>c) El aviso de cancelación de la póliza por incumplimiento de pago de la prima deberá enviarse al contratante por escrito, con una anticipación de quince días hábiles. Si el aviso no es enviado, el contrato seguirá vigente y se aplicará lo que al respecto dispone el Artículo No.998 del Código de Comercio.</t>
  </si>
  <si>
    <t>En la República de Panamá, los bancos están regulados por la Superintendencia de Bancos de Panamá, a través del Decreto Ejecutivo No.52 del 30 de abril de 2008, que adopta el texto único del Decreto Ley No.9 del 26 de febrero de 1998, modificado por el Decreto Ley No.2 del 22 de febrero de 2008, así como de Resoluciones y Acuerdos emitidos por esa entidad. Entre los principales aspectos de esta Ley se incluyen los siguientes: autorización de licencias bancarias, requisitos mínimos de capital y liquidez, supervisión consolidada, procedimientos para la administración de riesgos de créditos y de mercado, para prevención de lavado de dinero, y procedimientos de intervención y liquidación bancaria, entre otros. De igual forma, los bancos estarán sujetos, por lo menos, a una inspección cada dos (2) años realizada por los auditores de la Superintendencia de Bancos de Panamá, para determinar el cumplimiento de las disposiciones del Decreto Ejecutivo No.52 del 30 de abril de 2008 y la Ley No.42 del 2 de octubre de 2000, esta última sobre la prevención de blanqueo de capitales.</t>
  </si>
  <si>
    <t>### Cumplimiento del ente regulador</t>
  </si>
  <si>
    <t>Al 30 de junio de 2022, el porcentaje del índice de liquidez reportado al ente regulador, bajo los parámetros del Acuerdo No.4-2008, fue 40.60% (2021: 49.33%) (Véase Nota 4.3).</t>
  </si>
  <si>
    <t>- 94 -</t>
  </si>
  <si>
    <t>page-181</t>
  </si>
  <si>
    <t>La Ley exige a los bancos de licencia general mantener un capital social pagado o capital asignado mínimo de diez millones de balboas (B/.10,000,000) y fondos de capital por no menos del 8% de sus activos ponderados, incluyendo operaciones fuera de balance. Al 30 de junio de 2022, se presenta fondos de capital consolidado de aproximadamente 15.11% (2021: 15.97%) sobre sus activos ponderados en base a riesgo, según Acuerdo No.1-2015, Acuerdo No.3-2016 y los nuevos acuerdos, Acuerdo No.11-2018 y Acuerdo No.2-2018. (Véase Nota 4.7).</t>
  </si>
  <si>
    <t>Como consecuencia de los efectos de la pandemia global de salud COVID-19 decretada por la Organización Mundial de la Salud (OMS) se ha puesto de manifiesto la necesidad y conveniencia de establecer medidas especiales temporales como la vigencia de los informes de avalúos utilizados para la constitución de garantías sobre bienes muebles e inmuebles mediante la Resolución General de Junta Directiva SBP-GJD-0004-2020. Adicionalmente, para los efectos del Artículo No.2 del Acuerdo No.3-2016, todos los activos de riesgo clasificados en las categorías 7 y 8, cuya ponderación es de 125% y 150% respectivamente, ponderarán temporalmente como parte de la categoría 6, cuya ponderación es de 100% mediante la Resolución General de Junta Directiva SBP-GJD-0005-2020.</t>
  </si>
  <si>
    <t>El tratamiento contable para el reconocimiento de pérdidas en préstamos, en inversiones en valores y en bienes adjudicados de prestatarios de conformidad con las normas prudenciales emitidas por la Superintendencia de Bancos de Panamá, difiere en algunos aspectos del tratamiento contable de conformidad con Normas Internacionales de Información Financiera, específicamente NIIF 9 y NIIF 5. La Superintendencia de Bancos de Panamá requiere que los bancos de licencia general apliquen estas normas prudenciales.</t>
  </si>
  <si>
    <t>## b) Ley de seguros y reaseguros</t>
  </si>
  <si>
    <t>Las operaciones de seguros y reaseguros en Panamá están reguladas por la Superintendencia de Seguros y Reaseguros de Panamá de acuerdo a la legislación establecida por la Ley de Seguros No.12 del 3 de abril de 2012 y la Ley de Reaseguros No.63 del 19 de septiembre de 1996.</t>
  </si>
  <si>
    <t>Las operaciones de puesto de bolsa en Panamá están reguladas por la Superintendencia del Mercado de Valores de Panamá de acuerdo a la legislación establecida en el Decreto Ley No.1 del 8 de julio de 1999, reformado mediante la Ley No.67 del 1 de septiembre de 2011. Las operaciones de las Casas de Valores se encuentran en proceso de adecuación al Acuerdo No.4-2011, modificado en ciertas disposiciones mediante el Acuerdo No.8-2013, establecidos por la Superintendencia del Mercado de Valores de Panamá, los cuales indican que las mismas están obligadas a cumplir con las normas de adecuación de capital y sus modalidades.</t>
  </si>
  <si>
    <t>Las operaciones de fideicomiso en Panamá están reguladas por la Superintendencia de Bancos de Panamá de acuerdo a la legislación establecida en la Ley No.1 del 5 de enero de 1984.</t>
  </si>
  <si>
    <t>## e) Ley de arrendamientos financieros</t>
  </si>
  <si>
    <t>Las operaciones de arrendamiento financiero en Panamá están reguladas por la Dirección de Empresas Financieras del Ministerio de Comercio e Industrias de acuerdo a la legislación establecida en la Ley No.7 del 10 de julio de 1990.</t>
  </si>
  <si>
    <t>- 95 -</t>
  </si>
  <si>
    <t>page-182</t>
  </si>
  <si>
    <t>La subsidiaria Global Bank Overseas, de acuerdo al regulador bancario de Montserrat, establece que toda institución financiera autorizada mantendrá un fondo de reserva y, de sus ganancias netas de cada año, transferirá a ese fondo una suma igual a no menos del 20 por ciento de dichas ganancias siempre que el monto del fondo de reserva sea inferior al 100 por ciento del capital desembolsado o, en su caso, asignado de la institución financiera. Al 30 de junio de 2022, la reserva es de B/.32,324,680 (2021: B/.32,324,680).</t>
  </si>
  <si>
    <t>A continuación las reservas de capital:</t>
  </si>
  <si>
    <t>tbl-152.html</t>
  </si>
  <si>
    <t>[tbl-152.html](tbl-152.html)</t>
  </si>
  <si>
    <t>De acuerdo a la Ley No.12 del 3 de abril de 2012, la subsidiaria Aseguradora Global, S.A. traspaso desde el pasivo hacia el patrimonio la reserva de previsión para desviaciones estadística y la reserva para riesgo catastrófico y/o contingencias.</t>
  </si>
  <si>
    <t>Dichas reservas de capital deben ser cubiertas con activos admitidos libres de gravámenes.</t>
  </si>
  <si>
    <t>Dichas reservas serán acumulativas. Su uso y restitución serán reglamentadas por la Superintendencia de Seguros y Reaseguros de Panamá cuando la tasa de siniestralidad presente resultados adversos.</t>
  </si>
  <si>
    <t>tbl-153.html</t>
  </si>
  <si>
    <t>[tbl-153.html](tbl-153.html)</t>
  </si>
  <si>
    <t>page-183</t>
  </si>
  <si>
    <t>La reserva legal de la subsidiaria Aseguradora Global, S.A. se establece de acuerdo a lo reglamentado en el Artículo No.213 de la Ley No.12 del 3 de abril de 2012, la cual establece lo siguiente:</t>
  </si>
  <si>
    <t>Las aseguradoras están obligadas a formar y mantener en el país un fondo de reserva equivalente a un 20% de las utilidades netas antes de aplicar el impuesto sobre la renta, hasta constituir un fondo de B/.2,000,000 y de allí en adelante un 10%, hasta alcanzar el 50% del capital pagado.</t>
  </si>
  <si>
    <t>El movimiento de la reserva legal se detalla a continuación:</t>
  </si>
  <si>
    <t>tbl-154.html</t>
  </si>
  <si>
    <t>[tbl-154.html](tbl-154.html)</t>
  </si>
  <si>
    <t>35</t>
  </si>
  <si>
    <t>35. Impacto COVID-19</t>
  </si>
  <si>
    <t>La pandemia del coronavirus 2019 (COVID-19) ha afectado a la economía mundial durante 2020, 2021 e inclusive 2022. Prácticamente todas las industrias enfrentaron desafíos asociados con problemas de liquidez y sectores específicos como el transporte aéreo y de carga, el entretenimiento, el comercio minorista, restaurantes, hotelería y el turismo experimentaron una disminución operativa significativa debido a las medidas de cuarentena adoptadas en los diferentes países, incluyendo Panamá. Sin embargo, durante el año 2022 estos efectos adversos han comenzado a disminuir debido a la reactivación económica que ha permitido la reanudación del desarrollo de la actividad productiva, logrando una mejora en los niveles de empleo, ingreso de los hogares, la contención de la inflación entre otros. Esta situación fue evaluada periódicamente durante los años 2021 y 2022 por la Administración para tomar todas las medidas oportunas. Los efectos sobre el desempeño y la posición financiera del Banco se incluyen en las notas adjuntas de los estados financieros consolidados, en donde el impacto más importante se encuentra en las provisiones para pérdidas esperadas según se revela en la Nota 4.2.2.1 y la Nota 36 de préstamos modificados. Asimismo, el Banco consideró el entorno económico actual, incluyendo los efectos de la pandemia de COVID-19 sobre el negocio en la preparación del estado consolidado de situación financiera, teniendo en cuenta la mejor información confiable disponible y las estim</t>
  </si>
  <si>
    <t>La Administración del Banco continuará monitoreando y modificando las estrategias operativas y financieras para mitigar los posibles riesgos que pudieran afectar su negocio en el corto, mediano y largo plazo.</t>
  </si>
  <si>
    <t>- 97 -</t>
  </si>
  <si>
    <t>page-184</t>
  </si>
  <si>
    <t>36</t>
  </si>
  <si>
    <t>36. Préstamos modificados</t>
  </si>
  <si>
    <t>## Préstamos categoría mención especial modificado</t>
  </si>
  <si>
    <t>De conformidad con lo requerido por el Artículo No.8 del Acuerdo No.6-2021 de 22 de diciembre de 2021, se presenta a continuación un detalle de la cartera de préstamos categoría mención especial modificado y sus respectivas provisiones y reservas regulatorias al 30 de junio de 2022 y 2021, clasificado según las codificaciones indicadas en la Resolución General de Junta Directiva SBP-GJD-0003-2021 y según la etapa de riesgo de la NIIF 9:</t>
  </si>
  <si>
    <t>tbl-155.html</t>
  </si>
  <si>
    <t>[tbl-155.html](tbl-155.html)</t>
  </si>
  <si>
    <t>Las cifras presentadas al 30 de junio de 2021 están desglosadas de conformidad con lo requerido por el Acuerdo No.2-2020 modificado por el Acuerdo No.9-2020:</t>
  </si>
  <si>
    <t>tbl-156.html</t>
  </si>
  <si>
    <t>[tbl-156.html](tbl-156.html)</t>
  </si>
  <si>
    <t>Al cierre del 30 de junio de 2022, los préstamos mención especial modificados ascienden a B/.444,264,526; representando 7.14% del total de la cartera de créditos a esa fecha. La composición de los préstamos mención especial modificados consiste en 75.08% de préstamos de consumo y 24.92% de préstamos corporativos.</t>
  </si>
  <si>
    <t>- 98 -</t>
  </si>
  <si>
    <t>page-185</t>
  </si>
  <si>
    <t>La reserva NIIF de los préstamos categoría mención especial modificado asciende a la suma de B/.56,588,822 o 11.89% del total de la cartera sujeta a provisiones.</t>
  </si>
  <si>
    <t>Durante el mes de junio 2022, aproximadamente 49.63% (B/.220,499,207) de la cartera modificada ha efectuado la totalidad de los pagos contractuales para ese mes. En adición, se han recibido pagos parciales de la cartera modificada. A continuación, se muestra el porcentaje de la cartera modificada con pagos parciales o completos, respecto a su plan de pago, para el mes de junio 2022.</t>
  </si>
  <si>
    <t>tbl-157.html</t>
  </si>
  <si>
    <t>[tbl-157.html](tbl-157.html)</t>
  </si>
  <si>
    <t>A partir del 31 de marzo de 2020 el Banco otorgó un período de gracia automático a los prestatarios afectados en sus actividades comerciales o personales por COVID-19, hasta el 30 de junio de 2020. A partir de esa fecha, y como resultado de un acuerdo firmado entre el Gobierno de Panamá y la Asociación Bancaria de Panamá, así como la emisión de la Ley No.156 de moratoria, extendió hasta el 31 de diciembre de 2020 los alivios financieros a quienes resultaron afectados por la COVID-19 y que así lo solicitaron. Estas medidas de alivio financiero consistieron principalmente en el otorgamiento de períodos de gracia de capital e intereses a los clientes que vieron afectados sus ingresos por la pandemia.</t>
  </si>
  <si>
    <t>La COVID-19 ha resultado en una disrupción en las actividades económicas que afectaron negativamente, y es probable que continúen afectando, el negocio del Banco. Los flujos de efectivo del Banco se han visto disminuidos como consecuencia de las moratorias antes mencionadas, como se muestra en el siguiente cuadro que detalla el porcentaje del valor de los préstamos mención especial modificado, incluyendo intereses, que al 30 de junio de 2022 y 2021 no presentan pago en sus cuotas contado a partir del último pago de la cuota registrado al momento de la modificación del crédito:</t>
  </si>
  <si>
    <t>tbl-158.html</t>
  </si>
  <si>
    <t>[tbl-158.html](tbl-158.html)</t>
  </si>
  <si>
    <t>El tiempo que ha durado la crisis (dos años), de igual forma, ha incidido negativamente en la evolución económica del país y de la actividad bancaria. Sin embargo, los planes de respuesta del Banco han sido efectivos y se continua con la gestión para superar los efectos de la pandemia en el desempeño del Banco. El Banco ha logrado identificar gran parte del impacto de la pandemia en sus clientes y contrapartes; y esta información representa un factor clave para el manejo de la crisis derivada de la misma.</t>
  </si>
  <si>
    <t>- 99 -</t>
  </si>
  <si>
    <t>page-186</t>
  </si>
  <si>
    <t>Como parte de la gestión de riesgo del Banco, se han desarrollado análisis tanto individuales como colectivos de la condición de los créditos, incluyendo la segmentación de la cartera con el objetivo de identificar la situación laboral o de apertura de actividad económica de cada cliente y definir quienes podrán cumplir con sus obligaciones bancarias, cuales tendrán dificultades en hacerlo y quienes definitivamente no podrán cumplir y de esa manera determinar si ha habido un incremento significativo de riesgo y clasificar dichos préstamos de acuerdo con la etapa de deterioro correspondiente. De esta gestión se han derivado políticas, procesos y procedimientos de evaluación continua basado en las estrategias establecidas. Adicionalmente, se ha llegado a diferentes acuerdos con los clientes según el análisis individual de su capacidad de generar flujos de efectivo necesarios para cumplir con sus obligaciones.</t>
  </si>
  <si>
    <t>En cuanto a los programas de acompañamiento de acuerdo con la situación individual de cada cliente, para ayudarlos a reanudar el pago de sus créditos, el Banco ofreció medidas de alivio financiero que incluyeron: extensión de fechas de pagos, períodos de gracia a capital, ajuste en cuotas de acuerdo con las capacidades de pago de los clientes.</t>
  </si>
  <si>
    <t>## Determinación de un incremento significativo de riesgo de préstamos modificados</t>
  </si>
  <si>
    <t>La prórroga de pagos de préstamos o los préstamos modificados establecidos por el Acuerdo No.2-2020, no se traduce automáticamente en que esos préstamos han sufrido un incremento significativo de riesgo de crédito dado a que una porción importante de estos alivios atiende eventos de liquidez temporal generados por el cierre o disminución económica causada por la pandemia.</t>
  </si>
  <si>
    <t>Como parte de la metodología de pérdidas esperadas, el Banco cuenta con mecanismos de identificación del incremento significativo de riesgo aplicables en términos generales para la cartera de crédito, basado en metodologías cuantitativas y cualitativas que incorporan, entre otros componentes, modelos de score de comportamiento para deudores de consumo y modelos de calificación interna (rating) para deudores corporativos.</t>
  </si>
  <si>
    <t>La evaluación para el reconocimiento de las pérdidas de crédito esperada por el período de vida de los préstamos modificados considera el riesgo de crédito basado en la mejor información cuantitativa y la información cualitativa disponible sobre las circunstancias actuales de los deudores y el impacto producto del COVID-19.</t>
  </si>
  <si>
    <t>A medida que transcurre el tiempo, el Banco va obteniendo más información de los deudores, los cuales complementan el análisis y la identificación del incremento de riesgo para los préstamos modificados, ya sea por segmento o de forma individual. Con el objetivo de identificar el incremento significativo en el riesgo de crédito de los préstamos modificados, el Banco considera los siguientes factores asociados a la coyuntura actual del COVID-19:</t>
  </si>
  <si>
    <t>1. Para la cartera de consumo, se determina la afectación de los clientes a través de condiciones relacionadas a la antigüedad del último pago recibido y causales tales como; terminación de contratos, contrato suspendido y disminución de ingresos. 2. Con respecto a la cartera corporativa y otros créditos, los clientes son evaluados caso por caso para determinar el impacto del COVID-19 en el giro del negocio, la actividad económica en que se desenvuelve y condiciones de vulnerabilidad que se puedan identificar en el marco de las condiciones económicas futuras.</t>
  </si>
  <si>
    <t>- 100 -</t>
  </si>
  <si>
    <t>page-187</t>
  </si>
  <si>
    <t># Garantías de préstamos modificados</t>
  </si>
  <si>
    <t>El Banco mantiene garantías para reducir el riesgo de crédito y para asegurar el cobro de sus activos financieros expuestos al riesgo de crédito. Los principales tipos de garantías tomadas con respecto a los distintos préstamos modificado se presentan a continuación:</t>
  </si>
  <si>
    <t>tbl-159.html</t>
  </si>
  <si>
    <t>[tbl-159.html](tbl-159.html) [tbl-160.html](tbl-160.html)</t>
  </si>
  <si>
    <t>El 21 de octubre de 2020, la Superintendencia de Bancos de Panamá emitió el Acuerdo No.13-2020, que modifica el Acuerdo No.2-2020 donde se establecieron medidas adicionales, excepcionales y temporales sobre el riesgo de crédito y se estableció un plazo adicional para medidas de alivio financiero.</t>
  </si>
  <si>
    <t>Las entidades bancarias tuvieron hasta el 30 de junio de 2021 para continuar evaluando los créditos de aquellos deudores cuyo flujo de caja y capacidad de pago se había visto afectada por la situación del COVID-19 y que al momento original de su modificación presentaron un atraso de hasta 90 días.</t>
  </si>
  <si>
    <t>El 11 de junio de 2021, la Superintendencia de Bancos de Panamá emitió el Acuerdo No.2-2021, por medio del cual se establecieron algunos parámetros y lineamientos que son aplicables a los créditos modificados.</t>
  </si>
  <si>
    <t>Las disposiciones del mencionado Acuerdo tuvieron como objeto establecer lineamientos y parámetros para la administración del riesgo de crédito y contraparte de aquellos créditos modificados de conformidad con las medidas inicialmente establecidas en el Acuerdo No.2-2020, el cual quedó subrogado. Con la entrada en vigor del mencionado Acuerdo No.2-2021 se derogó la Resolución General de Junta Directiva No.SBP-GJD-0010-2020 de 29 de diciembre de 2020. El Acuerdo No.2-2021 fue modificado posteriormente por el Acuerdo No.3-2021 de 10 de agosto de 2021 y el Acuerdo No.6-2021 del 22 de diciembre de 2021.</t>
  </si>
  <si>
    <t>- 101 -</t>
  </si>
  <si>
    <t>page-188</t>
  </si>
  <si>
    <t>El 22 de diciembre de 2021, la Superintendencia de Bancos de Panamá emitió el Acuerdo No.6-2021 por medio del cual se establecen los parámetros y lineamientos para la determinación de provisiones aplicables a los créditos de la categoría mención especial modificado y se dictan otras disposiciones relacionadas. Este Acuerdo derogó el Artículo No.8 del Acuerdo No.2-2021 que requería una provisión genérica del tres por ciento (3%) de la cartera de préstamos modificados y sus intereses acumulados. En su reemplazo establece que los bancos deben asegurarse de cumplir con las Normas Internacionales de Información Financiera (NIIF), así como las normas prudenciales establecidas en el Artículo No.5 del Acuerdo No.6-2021. Esto incluye aplicar consideración del incremento significativo de riesgo derivado del paso del tiempo, y que las entidades bancarias no podrán reversar las provisiones previamente constituidas (por resultados o por patrimonio) al corte de noviembre de 2021 para la totalidad de la cartera modificada a esa fecha, de conformidad a lo que establecía el Artículo No.8 del Acuerdo No.2-2021.</t>
  </si>
  <si>
    <t>Debido a que el nivel porcentual de las provisiones NIIF de Global Bank Corporation al 30 de junio de 2022 supera el nivel porcentual de las provisiones requeridas de los modelos NIIF y regulatorias no reversadas al cierre de noviembre de 2021, se está en cumplimiento de la norma prudencial mencionada, y la misma no afecta la aplicación de las NIIF en su conjunto.</t>
  </si>
  <si>
    <t>37</t>
  </si>
  <si>
    <t>37. Aprobación de los estados financieros consolidados</t>
  </si>
  <si>
    <t>Los estados financieros consolidados de Global Bank Corporation y Subsidiarias por el año finalizado el 30 de junio de 2022 fueron aprobados por la Junta Directiva para su emisión el 24 de agosto de 2022.</t>
  </si>
  <si>
    <t>- 102 -</t>
  </si>
  <si>
    <t>page-189</t>
  </si>
  <si>
    <t>tbl-161.html</t>
  </si>
  <si>
    <t>[tbl-161.html](tbl-161.html)</t>
  </si>
  <si>
    <t>page-190</t>
  </si>
  <si>
    <t>tbl-162.html</t>
  </si>
  <si>
    <t>[tbl-162.html](tbl-162.html)</t>
  </si>
  <si>
    <t>page-191</t>
  </si>
  <si>
    <t># REPÚBLICA DE PANAMÁ ## PROVINCIA DE PANAMÁ</t>
  </si>
  <si>
    <t># NOTARÍA NOVENA DEL CIRCUITO DE PANAMÁ</t>
  </si>
  <si>
    <t>## *Lcda. Tatiana Pitty Bethancourt* NOTARIA PÚBLICA NOVENA</t>
  </si>
  <si>
    <t>Edificio Comosa Ave. Samuel Lewis Local S-2, Planta Baja</t>
  </si>
  <si>
    <t>Teléfono + 507 213-1621 213-2200 213-2201 E-mail: info@notaria-novena.com</t>
  </si>
  <si>
    <t>ESCRITURA No. _______________ DE 24 DE agosto DE 2022</t>
  </si>
  <si>
    <t>2023</t>
  </si>
  <si>
    <t>INA_GLOBAN_2023_0.pdf</t>
  </si>
  <si>
    <t>tbl-92.html</t>
  </si>
  <si>
    <t>[tbl-92.html](tbl-92.html)</t>
  </si>
  <si>
    <t>page-143</t>
  </si>
  <si>
    <t>Notas a los estados financieros consolidados por el año terminado el 30 de junio de 2023 (En baiboas)</t>
  </si>
  <si>
    <t>tbl-93.html</t>
  </si>
  <si>
    <t>[tbl-93.html](tbl-93.html)</t>
  </si>
  <si>
    <t>Al 30 junio de 2023, los colaterales que garantizan los créditos a partes relacionadas sumaban B/.80,213,343 (2022: B/.127,071,808), los cuales corresponden a garantías inmuebles, muebles y títulos en valores.</t>
  </si>
  <si>
    <t>Al 30 junio de 2023, no hay préstamos con partes relacionadas con indicios de deterioro. Al 30 junio de 2023, los préstamos con partes relacionadas tienen fecha de vencimiento entre julio 2023 hasta junio 2052 y tasas de interés anual que oscilan entre $2.75\%$ y $8.00\%$ (2022: tienen vencimiento entre julio de 2022 hasta abril de 2052 y tasas de interés anual que oscilan entre $2.75\%$ y $7.25\%$).</t>
  </si>
  <si>
    <t>page-144</t>
  </si>
  <si>
    <t>tbl-94.html</t>
  </si>
  <si>
    <t>[tbl-94.html](tbl-94.html)</t>
  </si>
  <si>
    <t>Al 30 junio de 2023, existen depósitos a plazo fijo con vencimientos originales mayor a 90 días por B/.4,680,414 (2022: B/.2,430,414). Además, existen depósitos a plazo fijo restringidos por B/.3,025,795 (2022: B/.4,227,529) que garantizan obligaciones financieras.</t>
  </si>
  <si>
    <t>Al 30 junio de 2023, los valores comprados bajo acuerdos de reventa por B/.3,547,807 (2022: B/.285,200) con vencimiento en marzo 2024, mayo 2024 y junio 2024 (2022: con vencimiento en mayo y junio 2023), están garantizados por acciones y bonos de empresas que cotizan en la Bolsa de Valores de Panamá.</t>
  </si>
  <si>
    <t>page-145</t>
  </si>
  <si>
    <t>Las tasas de interés anual que devengaban las inversiones al valor razonable con cambios en otros resultados integrales oscilaban entre 2.50% y 9.375% (2022: 1.00% y 9.375%).</t>
  </si>
  <si>
    <t>Al 30 de junio de 2023, existen inversiones al valor razonable con cambios en otros resultados integrales por B/.153,404,683 (2022: B/.109,470,267), que garantizan obligaciones con instituciones financieras. (Véase Nota 16). En adición, al 30 de junio de 2023, existen inversiones al valor razonable con cambios en otros resultados integrales por B/.63,689,175 (2022: B/.56,280,642) que garantizan acuerdos de recompra. (Véase Nota 15).</t>
  </si>
  <si>
    <t>Al 30 de junio de 2023, el Banco realizó ventas y redenciones de inversiones por B/.301,697,831 (2022: B/.438,213,712) y como resultado se registró una ganancia de B/.388,602 (2022: B/.1,154,420), que se incluye en el estado consolidado de ganancia o pérdida.</t>
  </si>
  <si>
    <t>page-146</t>
  </si>
  <si>
    <t>Al 30 de junio de 2023 se realizaron ventas de inversiones a valor razonable con cambios en resultados con una pérdida de B/.6,260.</t>
  </si>
  <si>
    <t>Al 30 de junio de 2023, la tasa de interés anual, que devengan los valores a costo amortizado oscila entre el 1.00% y 9.375% (2022: 1.00% y 8.875%).</t>
  </si>
  <si>
    <t>Al 30 de junio de 2023, existen valores a costo amortizado por B/.29,208,650 (2022: B/.19,793,200), que garantizan obligaciones con instituciones financieras. (Véase Nota 16). En adición, al 30 de junio de 2023, existen inversiones a costo amortizado por B/.21,183,781 (2022: B/.47,176,727) que garantizan acuerdos de recompra. (Véase Nota 15).</t>
  </si>
  <si>
    <t>- 65 -</t>
  </si>
  <si>
    <t>page-147</t>
  </si>
  <si>
    <t>Al 30 de junio de 2023, la cartera de préstamos devenga intereses dentro de un rango de tasas de 0.25% hasta 25.99% (2022: 0.75% hasta 25.99%).</t>
  </si>
  <si>
    <t>Al 30 de junio de 2023, existen préstamos que garantizan bonos corporativos por un total de B/.125,275,182 (2022: B/.129,803,846). (Véase Nota 18).</t>
  </si>
  <si>
    <t>page-148</t>
  </si>
  <si>
    <t>## Notas a los estados financieros consolidados por el año terminado el 30 de junio de 2023 (En balboas)</t>
  </si>
  <si>
    <t>Al 30 de junio de 2023, los préstamos renegociados que de otra forma estarían vencidos o deteriorados totalizan B/.174,973,688 (2022: B/.100,364,155).</t>
  </si>
  <si>
    <t>page-149</t>
  </si>
  <si>
    <t>Notas a los estados financieros consolidados por el año terminado el 30 de junio de 2023 (En balboas)</t>
  </si>
  <si>
    <t>El detalle del impuesto sobre la renta diferido se encuentra en la Nota 30.</t>
  </si>
  <si>
    <t>Al 30 de junio de 2023, las propiedades de inversión constan de inmueble para futuro desarrollo con un valor de B/.86,861,200 (2022: B/.86,861,200) según avalúo efectuado por Avalúos Inspecciones y Construcción, evaluador independiente del Banco con experiencia y capacidad realizando estas evaluaciones. El valor razonable se basa en la metodología de mercado en donde el precio de venta por metro cuadrado del terreno es el dato de entrada más relevante. El valor razonable ha sido clasificado en el nivel 3 de la jerarquía de valuación de la NIIF 13.</t>
  </si>
  <si>
    <t>## Notas a los estados financieros consolidados por el año terminado el 30 de junio de 2023 (En baiboas)</t>
  </si>
  <si>
    <t>### (d) Activos intangibles</t>
  </si>
  <si>
    <t>Al 30 de junio de 2023 y 2022, no se reconocieron pérdidas por deterioro en plusvalía o intangibles. La valuación que se hizo mediante el método de descuento de los flujos futuros netos generados por los activos o negocios adquiridos indica que el valor presente de estos excede el monto de plusvalía o activos intangibles en libros.</t>
  </si>
  <si>
    <t>El Banco reduce su riesgo de crédito con relación a estos acuerdos al utilizar como contraparte a instituciones de gran solidez financiera. Dichos contratos se registran al valor razonable en el estado consolidado de situación financiera utilizando los métodos de valor razonable o flujos de efectivo ("fair value hedge" o "cash flow hedge"), en otros activos y otros pasivos, según corresponda.</t>
  </si>
  <si>
    <t>Para administrar su posición en el estado consolidado de situación financiera, el Banco ha realizado contratos de canje de tasas de interés ("interest rate swap") sobre financiamientos con valor nominal de B/.200,000,000 al 30 de junio de 2023 y 2022, que le permiten la conversión de tasa de interés variable a tasa fija durante cada período de pago.</t>
  </si>
  <si>
    <t>[tbl-109.html](tbl-109.html) [tbl-110.html](tbl-110.html)</t>
  </si>
  <si>
    <t>El valor nominal y el valor razonable estimado de los instrumentos derivados de tasas de interés al 30 de junio de 2023 y 2022 se presentan en la siguiente tabla. El valor razonable de los instrumentos financieros derivados se estima utilizando modelos de valoración con información de mercado observable.</t>
  </si>
  <si>
    <t>[tbl-111.html](tbl-111.html) [tbl-112.html](tbl-112.html)</t>
  </si>
  <si>
    <t>[tbl-113.html](tbl-113.html) [tbl-114.html](tbl-114.html)</t>
  </si>
  <si>
    <t>Al 30 de junio de 2023, se mantienen acuerdos de recompra por B/.70,009,751 (2022: B/.93,665,393), garantizados por inversiones al valor razonable con cambios en otros resultados integrales por B/.63,689,175 (2022: B/.56,280,642) y valores a costo amortizado por B/.21,183,781 (2022: B/.47,176,727), a tasa de interés entre 4.42% y 6.34% (2022: 1.00% y 4.17%), con vencimiento en agosto 2023 y junio 2024 (2022: con vencimiento en agosto 2022, septiembre 2022 y junio 2023).</t>
  </si>
  <si>
    <t>Al 30 de junio de 2023, existen inversiones al valor razonable con cambios en otros resultados integrales por B/.153,404,683 (2022: B/.109,470,267) y valores a costo amortizado por B/.29,208,650 (2022: B/.19,793,200) que garantizan estas obligaciones con instituciones financieras. Además, existen depósitos a plazo restringidos al 30 de junio de 2023 por B/.3,025,795 (2022: B/.4,227,529), que garantizan estas obligaciones con instituciones financieras.</t>
  </si>
  <si>
    <t>Al 30 de junio de 2023, existen bonos corporativos que mantiene garantías de préstamos en fideicomiso por un total de B/.125,275,182 (2022: B/.129,803,846). (Véase Nota 10).</t>
  </si>
  <si>
    <t>19. Bonos perpetuos</t>
  </si>
  <si>
    <t>El movimiento de los bonos corporativos y perpetuos se detalla a continuación para propósito de conciliación con el estado consolidado de flujos de efectivo:</t>
  </si>
  <si>
    <t>20. Pasivos varios</t>
  </si>
  <si>
    <t>21. Reservas de operaciones de seguros</t>
  </si>
  <si>
    <t>### Siniestros pendientes de liquidar, estimados</t>
  </si>
  <si>
    <t>22. Acciones comunes</t>
  </si>
  <si>
    <t>Al 30 de junio de 2023, el capital autorizado de Global Bank Corporation está constituido por 2,000,000 de acciones comunes sin valor nominal, de las cuales 236,600 (2022: 236,600) acciones se encuentran emitidas y en circulación por un valor de B/.270,202,657 (2022: B/.270,202,657).</t>
  </si>
  <si>
    <t>Al 30 de junio de 2023, se pagaron dividendos sobre las acciones comunes aprobados por la Junta Directiva por un total de B/.96,002,266 (2022: B/.23,664,251).</t>
  </si>
  <si>
    <t>23. Ingresos y gastos por intereses y comisiones</t>
  </si>
  <si>
    <t>24. Otros ingresos, neto</t>
  </si>
  <si>
    <t>- 79 -</t>
  </si>
  <si>
    <t>25. Otros gastos</t>
  </si>
  <si>
    <t>26. Capital pagado en exceso</t>
  </si>
  <si>
    <t>Al 30 de junio de 2023, los ejecutivos claves no mantienen planes de opciones sobre acciones comunes de la Casa Matriz (G.B. Group Corporation) (2022: 15,562). El Banco no reconoció gasto sobre este beneficio (2022: B/.218,945) en el estado consolidado de ganancia o pérdida (2022: salarios y otros gastos de personal).</t>
  </si>
  <si>
    <t>En agosto de 2022, la Junta Directiva de G.B Group Corporation aprobó reservar un total de hasta 12,351 acciones comunes de su capital autorizado para que puedan ser adjudicadas bajo el Plan de Acciones Restringidas para los participantes, el cual estará vigente para el período 2023-2024.</t>
  </si>
  <si>
    <t>En el año 2023 se otorgaron 5,864 (2022: 1,291) acciones bajo el plan de acciones restringidas y se registró un gasto de B/.470,796 (2022: B/.51,534).</t>
  </si>
  <si>
    <t>27. Compromisos y contingencias</t>
  </si>
  <si>
    <t>28. Administración de contratos fiduciarios y cartera de inversión</t>
  </si>
  <si>
    <t>El Banco mantenía en administración al 30 de junio de 2023 contratos fiduciarios por cuenta y riesgo de clientes que ascendían a B/.2,934,842,204 (2022: B/.3,071,833,622).</t>
  </si>
  <si>
    <t>29. Administración de fondos de pensiones y cesantías</t>
  </si>
  <si>
    <t>30. Impuesto sobre la renta</t>
  </si>
  <si>
    <t>Las declaraciones de impuesto sobre la renta de los bancos constituidas en la República de Panamá están sujetas a revisión por las autoridades fiscales por los tres últimos años, inclusive el año terminado el 30 de junio de 2023, de acuerdo a regulaciones fiscales vigentes.</t>
  </si>
  <si>
    <t>De acuerdo a la Legislación Fiscal Panameña vigente, los bancos están exentos del pago de impuesto sobre la renta en concepto de ganancias provenientes de fuente extranjera. También están exentos del pago de impuesto sobre la renta, los intereses ganados sobre depósitos a plazo en bancos locales, los intereses ganados sobre valores del Estado Panameño e inversiones en títulos—valores emitidos a través de la Bolsa de Valores de Panamá.</t>
  </si>
  <si>
    <t>Las subsidiarias Global Capital Investment Corp. y Global Bank Overseas no están sujetas al pago de impuesto sobre la renta en sus respectivas jurisdicciones, debido a la naturaleza de sus operaciones extranjeras. Sin embargo, el impuesto sobre la renta causado sobre operaciones que generan renta gravable en otras jurisdicciones se clasifica dentro del gasto de impuesto sobre la renta.</t>
  </si>
  <si>
    <t>La tasa efectiva promedio del impuesto sobre la renta corriente es de 7.51% (2022: 10.28%).</t>
  </si>
  <si>
    <t>El rubro con efecto impositivo que compone el activo de impuesto diferido incluido en el estado consolidado de situación financiera es principalmente la reserva para posibles préstamos incobrables y efecto fiscal de plusvalía, la cual se detalla a continuación:</t>
  </si>
  <si>
    <t>## Precio de Transferencia:</t>
  </si>
  <si>
    <t>A la fecha de estos los estados financieros consolidados, el Banco se encuentra en proceso de contemplar dicho análisis; sin embargo, de acuerdo a la Administración no se espera que el mismo tenga un impacto importante en la estimación del impuesto sobre la renta del período.</t>
  </si>
  <si>
    <t>31. Información por segmentos</t>
  </si>
  <si>
    <t>32. Empresas subsidiarias del Banco</t>
  </si>
  <si>
    <t>33. Aspectos regulatorios y reserva de capital</t>
  </si>
  <si>
    <t>Al 30 de junio de 2023, los préstamos en estado de no acumulación de intereses representan B/.151,038,705 (2022: B/.144,717,567).</t>
  </si>
  <si>
    <t>## Tratamiento contable de las diferencias entre las normas prudenciales y las NIIFs</t>
  </si>
  <si>
    <t>Según el Acuerdo No.4-2013, las restricciones de la provisión dinámica establecen que la cuantía no puede ser inferior a la cuantía establecida en el trimestre anterior. Al 30 de junio de 2023, la provisión dinámica fue por B/.87,863,198 (2022: B/.87,863,198).</t>
  </si>
  <si>
    <t>Mediante Resolución General de Junta Directiva SBP-GJD-R-2023-01125 de 6 de junio de 2023 se deroga en todas sus partes la Resolución General de Junta Directiva SBP-GJD-0007-2020 de 16 de julio de 2020 que suspendía temporalmente la obligación de constituir la provisión dinámica.</t>
  </si>
  <si>
    <t>## Operaciones fuera de balance</t>
  </si>
  <si>
    <t>[tbl-148.html](tbl-148.html) [tbl-149.html](tbl-149.html)</t>
  </si>
  <si>
    <t>Las líneas de créditos por desembolsos de clientes corresponden a préstamos garantizados pendientes de desembolsar, los cuales no se muestran en el estado consolidado de situación financiera, pero están registrados en las cuentas de orden del Banco.</t>
  </si>
  <si>
    <t>Al 30 de junio de 2023, la provisión regulatoria sobre bienes adjudicados totaliza B/.15,637,168 (2022: B/.13,864,795) en base a lo establecido en el Acuerdo No.3-2009 de la Superintendencia de Bancos de Panamá.</t>
  </si>
  <si>
    <t>- 89 -</t>
  </si>
  <si>
    <t>Al 30 de junio de 2023, el porcentaje del índice de liquidez reportado al ente regulador, bajo los parámetros del Acuerdo No.4-2008 fue 36.34% (2022: 40.60%) (Véase Nota 4.3).</t>
  </si>
  <si>
    <t>#### Adecuación de capital</t>
  </si>
  <si>
    <t>La Ley exige a los bancos de licencia general mantener un capital social pagado o capital asignado mínimo de diez millones de balboas (B/.10,000,000) y fondos de capital por no menos del 8% de sus activos ponderados, incluyendo operaciones fuera de balance. Al 30 de junio de 2023, se presenta fondos de capital consolidado de aproximadamente 13.12% (2022: 15.11%) sobre sus activos ponderados en base a riesgo, según Acuerdo No.1-2015, Acuerdo No.3-2016 y los nuevos acuerdos, Acuerdo No.11-2018 y Acuerdo No.2-2018. (Véase Nota 4.7).</t>
  </si>
  <si>
    <t>Mediante la Resolución General de Junta Directiva SBP-GJD-R-2023-01034 del 11 de abril de 2023 se deroga la Resolución General de Junta Directiva SBP-GJD-0005-2020, en donde, a consecuencia de los efectos de la pandemia global de salud COVID-19 decretada por la Organización Mundial de la Salud (OMS) se puso de manifiesto la necesidad y conveniencia de establecer medidas especiales temporales como los efectos del Artículo No.2 del Acuerdo No.3-2016, todos los activos de riesgo clasificados en las categorías 7 y 8, cuya ponderación es de 125% y 150% respectivamente, ponderaban como parte de la categoría 6, cuya ponderación es de 100%.</t>
  </si>
  <si>
    <t>- 90 -</t>
  </si>
  <si>
    <t>La subsidiaria Global Bank Overseas, de acuerdo al regulador bancario de Montserrat, establece que toda institución financiera autorizada mantendrá un fondo de reserva y, de sus ganancias netas de cada año, transferirá a ese fondo una suma igual a no menos del 20 por ciento de dichas ganancias siempre que el monto del fondo de reserva sea inferior al 100 por ciento del capital desembolsado o, en su caso, asignado de la institución financiera. Al 30 de junio de 2023, la reserva es de B/.32,324,680 (2022: B/.32,324,680).</t>
  </si>
  <si>
    <t>A continuación, las reservas de capital:</t>
  </si>
  <si>
    <t>[tbl-150.html](tbl-150.html)</t>
  </si>
  <si>
    <t>tbl-151.html</t>
  </si>
  <si>
    <t>[tbl-151.html](tbl-151.html)</t>
  </si>
  <si>
    <t>34. Préstamos modificados</t>
  </si>
  <si>
    <t>### Préstamos categoría Mención Especial Modificado</t>
  </si>
  <si>
    <t>El 1 de noviembre de 2022, la Superintendencia de Bancos emitió el Acuerdo No.12-2022 por medio del cual se establecen los parámetros y lineamientos para el restablecimiento definitivo de la cartera Mención Especial Modificado al Acuerdo No.4-2013 y deroga en todas sus partes el Acuerdo No.2-2021 del 11 de junio de 2021 y todas sus modificaciones y el Acuerdo No.6-2021 de 22 de diciembre de 2021 y todas sus modificaciones. Igualmente se deroga la Resolución General de Junta Directiva No. SBP-GJD-0003-2021 de 11 de junio de 2021 y la Resolución General de Junta Directiva No. SBP-GJD-0004-2021 de 21 de junio de 2021.</t>
  </si>
  <si>
    <t>Las principales disposiciones del Acuerdo No.12-2022 establecen que los bancos deberán eliminar toda denominación de créditos "Mención Especial Modificado" de las cuentas contables con cierre 31 de diciembre de 2022 y siguientes. No obstante, los bancos utilizarán la codificación que asigne la Superintendencia para la identificación y reporte de estos créditos.</t>
  </si>
  <si>
    <t>Global Bank Corporation efectuó el restablecimiento definitivo de la cartera Mención Especial Modificado al Acuerdo No.4-2013 durante el mes de diciembre de 2022.</t>
  </si>
  <si>
    <t>35. Préstamos Restructurados Migrados</t>
  </si>
  <si>
    <t>El Acuerdo No.12-2022 establece que los bancos migrarán la cartera de créditos modificados clasificados en la categoría “Mención Especial Modificado” a las categorías de riesgo del Acuerdo No.4-2013, de conformidad con los parámetros de clasificación de riesgo establecidos en el Artículo No.3 del Acuerdo No.12-2022, para lo cual se utilizará, en principio como referencia, los días de atraso que mantenga cada crédito, según los conceptos de crédito moroso y crédito vencido definidos en los numerales 13 y 14 del Artículo No.2 del Acuerdo No.4-2013. Con independencia de los días de atraso, si un cliente presenta otras debilidades que pudieran afectar su capacidad de pago, según se detallan en el Artículo No.18 del Acuerdo No.4-2013, el restablecimiento de los créditos modificados se deberá efectuar a la categoría de mayor riesgo correspondiente.</t>
  </si>
  <si>
    <t>La clasificación de la cartera de préstamos restructurados migrados y reservas para pérdidas en base al Acuerdo No.4-2013 es como sigue a continuación:</t>
  </si>
  <si>
    <t>Todos los créditos de la cartera “Mención Especial Modificado” reestablecidos al Acuerdo No.4-2013, mediante las disposiciones del Acuerdo No.12-2022, serán considerados como créditos reestructurados. En consecuencia, para que puedan ser reclasificados a una categoría de menor riesgo, se deberá cumplir con las condiciones del Artículo No.19 del Acuerdo No.4-2013 y el período de seis (6) meses a que se refiere dicho Artículo empezará a contar desde la fecha de migración (restablecimiento) a dicho Acuerdo.</t>
  </si>
  <si>
    <t>Para la cobertura del riesgo de crédito, los bancos constituirán las provisiones sobre la cartera de los créditos restablecidos al Acuerdo No.4-2013, asegurándose de cumplir con las Normas Internacionales de Información Financiera (NIIF) y tomando en consideración el incremento significativo de riesgo. Adicionalmente, deberán establecer las provisiones específicas que requiere el mencionado Acuerdo.</t>
  </si>
  <si>
    <t>36. Aprobación de los estados financieros consolidados</t>
  </si>
  <si>
    <t>Los estados financieros consolidados de Global Bank Corporation y Subsidiarias por el año terminado el 30 de junio de 2023 fueron aprobados por la Junta Directiva para su emisión el 31 de julio de 2023.</t>
  </si>
  <si>
    <t>[tbl-156.html](tbl-156.html) [tbl-157.html](tbl-157.html) [tbl-158.html](tbl-158.html) [tbl-159.html](tbl-159.html) [tbl-160.html](tbl-160.html) [tbl-161.html](tbl-161.html) [tbl-162.html](tbl-162.html) [tbl-163.html](tbl-163.html)</t>
  </si>
  <si>
    <t>Teléfono + 507 213-1736 213-2201 E-mail: info@notaria-novena.com</t>
  </si>
  <si>
    <t>**COPIA** ESCRITURA No. _______________ DE 31 DE julio DE 2023</t>
  </si>
  <si>
    <t>2024</t>
  </si>
  <si>
    <t>INA_GLOBAN_2024_0.pdf</t>
  </si>
  <si>
    <t>5</t>
  </si>
  <si>
    <t>5. Estimaciones de contabilidad, juicios críticos y contingencias</t>
  </si>
  <si>
    <t>El Banco efectúa estimaciones y juicios que afectan los montos reportados de los activos y pasivos dentro del siguiente año. Las estimaciones y juicios son continuamente evaluados y están basados en la experiencia histórica y otros factores, incluyendo expectativas de eventos futuros que se creen son razonables bajo las circunstancias.</t>
  </si>
  <si>
    <t>En el proceso de aplicar las políticas contables del Banco, la Administración ha hecho los siguientes juicios, que tienen el efecto más significativo sobre los importes reconocidos en los estados financieros consolidados.</t>
  </si>
  <si>
    <t>(a) Incremento significativo del riesgo de crédito: Para los activos en la Etapa 1, las pérdidas esperadas son medidas como una provisión igual a las pérdidas crediticias esperadas para 12 meses, o las pérdidas esperadas durante la vigencia para los activos de la Etapa 2 o los activos de la Etapa 3. Un activo se mueve hacia la Etapa 2 cuando su riesgo de crédito se ha incrementado de manera importante desde el reconocimiento inicial. Al valorar si el riesgo de crédito de un activo se ha incrementado de manera importante el Banco tiene en cuenta información prospectiva razonable y soportada, tanto cualitativa como cuantitativa.</t>
  </si>
  <si>
    <t>(b) Establecimiento del número y los pesos relativos de los escenarios prospectivos y determinación de la información prospectiva relevante para cada escenario: Cuando mide las ECL el Banco usa información prospectiva razonable y con soportes, que se base en supuestos para el movimiento futuro de los diferentes pronósticos económicos y cómo esos pronósticos se afectarán unos con otros. Véase Nota 4.2.2.1.2 para más detalles.</t>
  </si>
  <si>
    <t>(c) Modelos y supuestos usados: El Banco usa varios modelos y supuestos en la medición del valor razonable de activos financieros, así como también en la estimación de las pérdidas crediticias esperadas. El juicio es aplicado en la identificación del modelo más apropiado para cada tipo de activo, así como también para determinar los supuestos usados en esos modelos, incluyendo los supuestos que se relacionen con los indicadores clave del riesgo de crédito.</t>
  </si>
  <si>
    <t>(d) Reserva para pérdidas crediticias esperadas: Cuando se determina la reserva para pérdidas crediticias esperadas, se requiere juicio de la Administración para evaluar la cantidad y oportunidad de los flujos de efectivo futuros con el fin de determinar si el riesgo de crédito se ha incrementado significativamente desde el reconocimiento inicial, teniendo en cuenta las características de los préstamos y los patrones predeterminados en el pasado para instrumentos financieros similares.</t>
  </si>
  <si>
    <t>Los cambios en el riesgo de impago que se produzca en los próximos 12 meses pueden ser una aproximación razonable de los cambios en el riesgo medido en función de la vida del instrumento. El Banco utiliza los cambios en el riesgo de impago que se produzca en los próximos 12 meses para determinar si el riesgo de crédito se ha incrementado significativamente desde el reconocimiento inicial, a menos que las circunstancias indican que una evaluación del período de vida del instrumento es necesaria.</t>
  </si>
  <si>
    <t>- 56 -</t>
  </si>
  <si>
    <t>(e) Pérdidas por deterioro de préstamos a costo amortizado: El Banco revisa sus préstamos individualmente significativos en cada fecha del estado consolidado de situación financiera para evaluar si una pérdida por deterioro debe ser registrada en el estado consolidado de ganancia o pérdida. En particular, se requiere juicio de la Administración en la estimación del monto y de los flujos de efectivo futuros para determinar la pérdida por deterioro. Estas estimaciones se basan en suposiciones acerca de una serie de factores y los resultados reales pueden diferir, resultando en cambios futuros en la provisión. Préstamos que se han evaluado de forma individual (y que no se encuentran deteriorados) se evalúan junto con los demás préstamos no significativos en grupos de activos con características de riesgo similares. Esto es para determinar si es conveniente establecer reservas debido a eventos de pérdida incurridos para los cuales existe evidencia objetiva, pero cuyos efectos aún no son evidentes. La evaluación colectiva toma en cuenta los datos de la cartera de préstamos (como los niveles de morosidad, la utilización de crédito, relaciones préstamo-garantía, etc.), y los juicios sobre el efecto de la concentración de riesgos y datos económicos (incluyendo niveles de desempleo, índices de precios al consumidor, el riesgo país y el desempeño de los diferentes grupos individuales).</t>
  </si>
  <si>
    <t>(f) En la medición del deterioro de la plusvalía el Banco utiliza el valor de uso, cuyo insumo principal son las proyecciones financieras del Banco. Los presupuestos comprenden pronósticos de ingresos, costos de intereses, provisiones y gastos generales basados en las condiciones actuales y anticipadas del mercado que se han considerado y aprobado por la Junta Directiva. Si bien el Banco ha efectuado las proyecciones con la mejor evidencia a la fecha del balance y aplicando su juicio sobre los pronósticos futuros, las proyecciones son inherentemente inciertas debido a la incertidumbre en la economía. Los supuestos claves en la determinación del valor recuperable se revelan en la Nota 13.</t>
  </si>
  <si>
    <t>(g) Determinantes del valor razonable y los procesos de valoración: Se mide el valor razonable utilizando niveles de jerarquía que reflejan el significado de los datos de entradas utilizados al hacer las mediciones. Se tiene establecido un proceso y una política documentada para la determinación del valor razonable en la cual se definen las responsabilidades y segregación de funciones entre las diferentes áreas responsables que intervienen en este proceso, el cual ha sido aprobado por el Comité de Activos y Pasivos (ALCO), el Comité de Riesgos y la Junta Directiva.</t>
  </si>
  <si>
    <t>Cuando el Banco utiliza o contrata a terceros, quienes proveen el servicio de obtención de precios para determinar los valores razonables de los instrumentos, esta unidad de control evalúa y documenta la evidencia obtenida de estas terceras partes que sustenten la conclusión que dichas valuaciones cumplen con los requerimientos de las NIIF. Esta revisión incluye:</t>
  </si>
  <si>
    <t>- Verificar que el proveedor de precio haya sido aprobado por el Banco; - Obtener un entendimiento de cómo el valor razonable ha sido determinado y si el mismo refleja las transacciones actuales del mercado.</t>
  </si>
  <si>
    <t>La NIIF 13 especifica una jerarquía de las técnicas de valuación en base a si las informaciones incluidas a esas técnicas de valuación son observables o no observables. La información observable refleja datos del mercado obtenidos de fuentes independientes; la información no observable refleja los supuestos de mercado del Banco. Estos dos tipos de información han creado la siguiente jerarquía de valor razonable:</t>
  </si>
  <si>
    <t>Nivel 1: Los datos de entrada son precios cotizados (sin ajustar) en mercados activos para activos o pasivos idénticos a los que el Banco pueda acceder en la fecha de la medición.</t>
  </si>
  <si>
    <t>Nivel 2: Precios cotizados en mercados activos para instrumentos financieros similares o utilización de una técnica de valuación donde todas las variables son obtenidas de información observable del mercado para los activos o pasivos ya sea directa o indirectamente. En algunos casos, el Banco emplea información de referencia de mercados activos para instrumentos similares y en otros, emplea técnicas de flujos descontados donde todas las variables e insumos del modelo son obtenidos de información observable del mercado.</t>
  </si>
  <si>
    <t>Nivel 3: Cuando los insumos no están disponibles y se requiere determinar el valor razonable mediante un modelo de valuación, el Banco se apoya en entidades dedicadas a la valoración de instrumentos bursátiles o bien de las propias entidades administradoras del activo o pasivo que se trate. Los modelos empleados para determinar el valor razonable normalmente son a través de descuento de flujos o bien valuaciones que emplean observaciones históricas de mercado.</t>
  </si>
  <si>
    <t>- 57 -</t>
  </si>
  <si>
    <t>Valor razonable de los activos y pasivos financieros que se miden a valor razonable sobre una base recurrente al cierre del ejercicio del 30 de junio de 2024 y 2023</t>
  </si>
  <si>
    <t>Algunos de los activos y pasivos financieros del Banco se miden a su valor razonable al cierre de cada ejercicio. La siguiente tabla proporciona información sobre cómo se determinan los valores razonables de los activos y pasivos financieros (en particular, la técnica de valuación y los datos de entrada utilizados).</t>
  </si>
  <si>
    <t>El Banco considera que sus metodologías de valorización, de las inversiones clasificadas en el Nivel 3 son apropiadas, sin embargo, el uso de diferentes estimaciones, de las variables no observables, podrían dar diferentes resultados del valor razonable de dichas inversiones. Para las inversiones clasificadas en el Nivel 3, valorizadas por el Banco, las cuales una parte importante cotizan en mercados no líquido, ajustes en el margen de crédito para el caso de renta fija de (+ 100 pbs y - 100 pbs), resultaría en los siguientes impactos favorables y desfavorables en el patrimonio del Banco.</t>
  </si>
  <si>
    <t>Valor razonable de los activos y pasivos financieros del Banco que no se presentan a valor razonable en forma constante (pero se requieren revelaciones del valor razonable) al cierre del ejercicio</t>
  </si>
  <si>
    <t>El valor en libros de los principales activos y pasivos financieros que no se presentan a su valor razonable en el estado consolidado de situación financiera del Banco se resume a continuación:</t>
  </si>
  <si>
    <t>El valor razonable de los activos y pasivos financieros incluidos en el Nivel 2 y Nivel 3, mostrados arriba ha sido determinado con los modelos de precios generalmente aceptados, basados en el análisis de los flujos de caja descontados, donde el dato de entrada más significativo lo constituye la tasa de descuento que refleja el riesgo de crédito de la contraparte.</t>
  </si>
  <si>
    <t>- 60 -</t>
  </si>
  <si>
    <t>El valor razonable de los depósitos interbancarios y de clientes, es estimado utilizando la técnica de flujos de caja descontado, aplicando las tasas que son ofrecidas para depósitos con términos y vencimientos similares. El valor razonable de los depósitos a la vista es el monto por pagar a la fecha de los estados financieros consolidados.</t>
  </si>
  <si>
    <t>El movimiento de las inversiones al valor razonable con cambios en otros resultados integrales e inversiones al valor razonable con cambios en resultados en Nivel 3 es el siguiente:</t>
  </si>
  <si>
    <t>Al 30 de junio de 2024, las inversiones al valor razonable con cambios en otros resultados integrales del Nivel 3 no afectaron los resultados del Banco.</t>
  </si>
  <si>
    <t>El total de la pérdida no realizada para las inversiones al valor razonable con cambios en otros resultados integrales clasificadas como Nivel 3 al 30 de junio de 2024 es por B/.15,603,940 (2023: B/.16,465,705).</t>
  </si>
  <si>
    <t>Al 30 de junio de 2024, las reclasificaciones entre el Nivel 2 y el Nivel 3 de inversiones en bonos corporativos locales, se dieron producto de la actividad observada en el mercado de valores en el que se cotizan.</t>
  </si>
  <si>
    <t>- 61 -</t>
  </si>
  <si>
    <t>Notas a los estados financieros consolidados por el año terminado el 30 de junio de 2024 (En balboas)</t>
  </si>
  <si>
    <t>[tbl-82.html](tbl-82.html)</t>
  </si>
  <si>
    <t>Al 30 de junio de 2024, los colaterales que garantizan los créditos a partes relacionadas sumaban B/.96,234,479 (2023: B/.80,213,343), los cuales corresponden a garantías inmuebles, muebles y títulos en valores.</t>
  </si>
  <si>
    <t>Al 30 de junio de 2024, no hay préstamos con partes relacionadas con indicios de deterioro. Al 30 de junio de 2024, los préstamos con partes relacionadas tienen fecha de vencimiento entre julio 2024 hasta junio 2054 y tasas de interés anual que oscilan entre $3.50\%$ y $8.75\%$ (2023: tienen vencimiento entre julio 2023 hasta junio 2052 y tasas de interés anual que oscilan entre $2.75\%$ y $8.00\%$).</t>
  </si>
  <si>
    <t>tbl-83.html</t>
  </si>
  <si>
    <t>[tbl-83.html](tbl-83.html)</t>
  </si>
  <si>
    <t>Al 30 de junio de 2024, existen depósitos a plazo fijo con vencimientos originales mayor a 90 días por B/.15,770,414 (2023: B/.4,680,414). Además, existen depósitos a plazo fijo restringidos por B/.7,076,490 (2023: B/.3,025,795) que garantizan obligaciones financieras.</t>
  </si>
  <si>
    <t>Al 30 de junio de 2024, los valores comprados bajo acuerdos de reventa por B/.4,956,931 (2023: B/.3,547,807) con vencimiento en agosto 2024, enero 2025, marzo 2025, mayo 2025 y junio 2025 (2023: con vencimiento en marzo 2024, mayo 2024 y junio 2024), están garantizados por acciones y bonos de empresas que cotizan en la Bolsa de Valores de Panamá.</t>
  </si>
  <si>
    <t>Las tasas de interés anual que devengaban las inversiones al valor razonable con cambios en otros resultados integrales oscilaban entre 2.50% y 9.599% (2023: 2.50% y 9.375%).</t>
  </si>
  <si>
    <t>Al 30 de junio de 2024, existen inversiones al valor razonable con cambios en otros resultados integrales por B/.134,853,879 (2023: B/.153,404,683), que garantizan obligaciones con instituciones financieras. (Véase Nota 16). En adición, al 30 de junio de 2024, existen inversiones al valor razonable con cambios en otros resultados integrales por B/.61,331,722 (2023: B/.63,689,175) que garantizan acuerdos de recompra. (Véase Nota 15).</t>
  </si>
  <si>
    <t>Al 30 de junio de 2024, el Banco realizó ventas y redenciones de inversiones por B/.217,377,000 (2023: B/.301,697,831) y como resultado se registró una ganancia de B/.309,926 (2023: B/.388,602), que se incluye en el estado consolidado de ganancia o pérdida.</t>
  </si>
  <si>
    <t>Al 30 de junio de 2024, se realizaron ventas de inversiones a valor razonable con cambios en resultados con una ganancia de B/.31,674 (2023: pérdida de B/.6,260).</t>
  </si>
  <si>
    <t>Al 30 de junio de 2024, la tasa de interés anual, que devengan los valores a costo amortizado oscila entre el 1.00% y 9.375% (2023: 1.00% y 9.375%).</t>
  </si>
  <si>
    <t>Al 30 de junio de 2024, existen valores a costo amortizado por B/.105,384,604 (2023: B/.29,208,650), que garantizan obligaciones con instituciones financieras. (Véase Nota 16). En adición, al 30 de junio de 2023, existieron inversiones a costo amortizado por B/.21,183,781 que garantizaron acuerdos de recompra. (Véase Nota 15).</t>
  </si>
  <si>
    <t>Al 30 de junio de 2024, la cartera de préstamos devenga intereses dentro de un rango de tasas de 1.00% hasta 25.99% (2023: 0.25% hasta 25.99%).</t>
  </si>
  <si>
    <t>Al 30 de junio de 2023, existieron préstamos que garantizaron bonos corporativos por un total de B/.125,275,182. (Véase Nota 18).</t>
  </si>
  <si>
    <t>## Notas a los estados financieros consolidados por el año terminado el 30 de junio de 2024 (En balboas)</t>
  </si>
  <si>
    <t>tbl-90.html</t>
  </si>
  <si>
    <t>[tbl-90.html](tbl-90.html)</t>
  </si>
  <si>
    <t>Al 30 de junio de 2024, los préstamos renegociados que de otra forma estarían vencidos o deteriorados totalizan B/.178,155,007 (2023: B/.174,973,688).</t>
  </si>
  <si>
    <t>tbl-91.html</t>
  </si>
  <si>
    <t>[tbl-91.html](tbl-91.html)</t>
  </si>
  <si>
    <t>Al 30 de junio de 2024, las propiedades de inversión constan de inmueble para futuro desarrollo con un valor de B/.86,861,200 (2023: B/.86,861,200) según avalúo efectuado por Avalúos Inspecciones y Construcción, evaluador independiente del Banco con experiencia y capacidad realizando estas evaluaciones. El valor razonable se basa en la metodología de mercado en donde el precio de venta por metro cuadrado del terreno es el dato de entrada más relevante. El valor razonable ha sido clasificado en el nivel 3 de la jerarquía de valuación de la NIIF 13.</t>
  </si>
  <si>
    <t>Al 30 de junio de 2024 y 2023, no se reconocieron pérdidas por deterioro en plusvalía o intangibles. La valuación que se hizo mediante el método de descuento de los flujos futuros netos generados por los activos o negocios adquiridos indica que el valor presente de estos excede el monto de plusvalía o activos intangibles en libros.</t>
  </si>
  <si>
    <t>## Notas a los estados financieros consolidados por el año terminado el 30 de junio de 2024 (En baiboas)</t>
  </si>
  <si>
    <t>Para administrar su posición en el estado consolidado de situación financiera, el Banco ha realizado contratos de canje de tasas de interés (“interest rate swap”) sobre financiamientos con valor nominal B/.200,000,000 al 30 de junio 2023, que le permiten la conversión de tasa de interés variable a tasa fija durante cada período de pago. El 22 de marzo de 2024 llegó a su vencimiento el contrato de Interest rate swap por un monto nominal de B/.200,000,000, el cual no generó efecto en resultados.</t>
  </si>
  <si>
    <t>A continuación, el resumen del contrato de derivados por vencimientos y método de contabilización:</t>
  </si>
  <si>
    <t>El valor nominal y el valor razonable estimado de los instrumentos derivados de tasas de interés al 30 de junio de 2023 se presentan en la siguiente tabla. El valor razonable de los instrumentos financieros derivados se estima utilizando modelos de valoración con información de mercado observable.</t>
  </si>
  <si>
    <t>### Cobertura de flujos de efectivo</t>
  </si>
  <si>
    <t>Al 30 de junio de 2024, el Banco ha realizado contratos de intercambio de tasas de interés (“interest rate swap”) para cubrir financiamientos con tasa variable y un valor nominal de B/.50,000,000, amortizables. Estos instrumentos se designaron como cobertura de flujos de efectivo con el propósito de proteger los desembolsos variables relacionados con el pasivo.</t>
  </si>
  <si>
    <t>El instrumento “swap” resulta de aplicar el monto neto entre recibir interés variable y el pago de una tasa fija durante cada período de pago, los cuales iniciaron en marzo de 2024 y terminan en marzo de 2029. Los pagos del “swap” de tasa de interés y los pagos de los intereses del financiamiento, se realizan de manera semestrales.</t>
  </si>
  <si>
    <t>Al 30 de junio de 2024, el Banco reconoció en el estado consolidado de ganancia o pérdida y otros resultados integrales B/.50,586 resultante de los cambios en el valor razonable de los instrumentos financieros derivados utilizados en la cobertura de flujos de efectivo.</t>
  </si>
  <si>
    <t>Al 30 de junio de 2024, se mantienen acuerdos de recompra por B/.47,610,933 (2023: B/.70,009,751), garantizados por inversiones al valor razonable con cambios en otros resultados integrales por B/.61,331,722 (2023: B/.63,689,175) (2023: garantizados por valores de inversión a costo amortizado por B/.21,183,781), a tasa de interés entre 6.05% y 6.39% (2023: 4.42% y 6.34%), con vencimiento en agosto 2024 y junio 2025 (2023: con vencimiento en agosto 2023, septiembre 2023 y junio 2024).</t>
  </si>
  <si>
    <t>Al 30 de junio de 2024, existen inversiones al valor razonable con cambios en otros resultados integrales por B/.134,853,879 (2023: B/.153,404,683) y valores a costo amortizado por B/.105,384,604 (2023: B/.29,208,650) que garantizan estas obligaciones con instituciones financieras. Además, existen depósitos a plazo restringidos al 30 de junio de 2024 por B/.7,076,490 (2023: B/.3,025,795), que garantizan estas obligaciones con instituciones financieras.</t>
  </si>
  <si>
    <t>**Emisión de agosto del 2018** - La emisión de bonos, estaba garantizada a través de un Fideicomiso de Garantía con el Agente Fiduciario a favor del cual cedían Créditos Hipotecarios con un valor total que cubría al menos el 120% del Salto Insoluto de Capital de los Bonos Emitidos y en circulación. Los intereses eran pagaderos trimestralmente y el capital de los bonos al vencimiento. La emisión de la Serie C fue cancelada en agosto 2023.</t>
  </si>
  <si>
    <t>**Emisión de octubre del 2023** - Los bonos de esta emisión constituyen obligaciones directas, incondicionales y no garantizadas. Los bonos podrán ser redimidos a entera discreción, de forma parcial o total, en cualquier día hábil. Los términos de la redención anticipada de cada una de las series de los bonos serán determinados por el Emisor en el Suplemento Informativo de cada serie.</t>
  </si>
  <si>
    <t>Al 30 de junio de 2023, existieron bonos corporativos que mantuvieron garantías de préstamos en fideicomiso por un total de B/.125,275,182. (Véase Nota 10).</t>
  </si>
  <si>
    <t>## b) Derivado de cobertura</t>
  </si>
  <si>
    <t>Cobertura de flujos de efectivo</t>
  </si>
  <si>
    <t>Al 30 de junio de 2024, el Banco ha realizado contratos de intercambio de tasas de interés (“interest rate swap”) para cubrir financiamientos con tasa variable y un valor nominal de B/.153,000,000, amortizables. Estos instrumentos se designaron como cobertura de flujos de efectivo con el propósito de proteger los desembolsos variables relacionados con el pasivo.</t>
  </si>
  <si>
    <t>El instrumento “swap” resulta de aplicar el monto neto entre recibir interés variable y el pago de una tasa fija durante cada período de pago, los cuales iniciaron en marzo de 2024 y terminan en marzo de 2027. Los pagos del “swap” de tasa de interés y los pagos de los intereses del financiamiento, se realizan de manera trimestral.</t>
  </si>
  <si>
    <t>El valor nominal y el valor razonable estimado de los instrumentos derivados de tasas de interés al 30 de junio de 2024 se presenta en la siguiente tabla. El valor razonable de los instrumentos financieros derivados se estima utilizando modelos de valoración de un proveedor de precios y con información de mercado observable.</t>
  </si>
  <si>
    <t>Al 30 de junio de 2024, el Banco reconoció en el estado consolidado de ganancia o pérdida y otros resultados integrales B/. (119,594) resultante de los cambios en el valor razonable de los instrumentos financieros derivados utilizados en la cobertura de flujos de efectivo.</t>
  </si>
  <si>
    <t>Para las coberturas de flujos de efectivo, la porción efectiva de pérdidas o ganancias producto de cambios en el valor razonable de un instrumento derivado de cobertura, se incluye en cambio neto en instrumentos de cobertura. La porción inefectiva (indicada por el exceso de cambio acumulativo en el valor razonable del derivado sobre el monto necesario para compensar el cambio acumulativo en los flujos futuros esperados de efectivo de las transacciones de cobertura) está incluida en otros ingresos (gastos). Durante el año, la cobertura fue altamente efectiva en cubrir el riesgo de variabilidad en las tasas de interés que podrían afectar los flujos de efectivo del Banco.</t>
  </si>
  <si>
    <t>Para los instrumentos derivados de cobertura de valor razonable, las ganancias o pérdidas por cambios en el valor razonable del instrumento derivado incluyendo el riesgo de no cumplimiento como el de la partida cubierta atribuible al riesgo cubierto son incluidos en otros ingresos (gastos).</t>
  </si>
  <si>
    <t>Al 30 de junio de 2024, el capital autorizado de Global Bank Corporation está constituido por 2,000,000 de acciones comunes sin valor nominal, de las cuales 236,600 (2023: 236,600) acciones se encuentran emitidas y en circulación por un valor de B/.270,202,657 (2023: B/.270,202,657).</t>
  </si>
  <si>
    <t>Al 30 de junio de 2024, se pagaron dividendos sobre las acciones comunes aprobados por la Junta Directiva por un total de B/.35,336,599 (2023: B/.96,002,266).</t>
  </si>
  <si>
    <t>En agosto de 2023, la Junta Directiva de G.B Group Corporation aprobó reservar un total de hasta 15,561 acciones comunes de su capital autorizado para que puedan ser adjudicadas bajo el Plan de Acciones Restringidas para los participantes, el cual estará vigente para el período 2024-2023.</t>
  </si>
  <si>
    <t>En agosto de 2022, la Junta Directiva de G.B Group Corporation aprobó reservar un total de hasta 12,351 acciones comunes de su capital autorizado para que puedan ser adjudicadas bajo el Plan de Acciones Restringidas para los participantes, el cual estará vigente para el período 2024-2023.</t>
  </si>
  <si>
    <t>En el período 2024-2023 se otorgaron 14,048 (2023-2022: 5,864) acciones bajo el plan de acciones restringidas y se registró un gasto de B/.500,796 (2023-2022: B/.470,796).</t>
  </si>
  <si>
    <t>El Banco mantiene en administración al 30 de junio de 2024 contratos fiduciarios por cuenta y riesgo de clientes que ascendían a B/.2,896,704,349 (2023: B/.2,934,842,204).</t>
  </si>
  <si>
    <t>- 85 -</t>
  </si>
  <si>
    <t>Las declaraciones de impuesto sobre la renta de los bancos constituidas en la República de Panamá están sujetas a revisión por las autoridades fiscales por los tres últimos años, inclusive el año terminado el 30 de junio de 2024, de acuerdo a regulaciones fiscales vigentes.</t>
  </si>
  <si>
    <t>Al 30 de junio de 2024, la tasa efectiva promedio del impuesto sobre la renta corriente es de 8.77% (2023: 7.51%).</t>
  </si>
  <si>
    <t>Notas a los estados financieros consolidados por el año terminado el 30 de junio de 2024 (En baiboas)</t>
  </si>
  <si>
    <t>## Acuerdo No.4-2013</t>
  </si>
  <si>
    <t>### 2024</t>
  </si>
  <si>
    <t>### 2023</t>
  </si>
  <si>
    <t>Al 30 de junio de 2024, los préstamos en estado de no acumulación de intereses representan B/.137,261,861 (2023: B/.151,038,705).</t>
  </si>
  <si>
    <t>Según el Acuerdo No.4-2013, las restricciones de la provisión dinámica establecen que la cuantía no puede ser inferior a la cuantía establecida en el trimestre anterior. Al 30 de junio de 2024, la provisión dinámica fue por B/.87,863,198 (2023: B/.87,863,198).</t>
  </si>
  <si>
    <t>[tbl-139.html](tbl-139.html) [tbl-140.html](tbl-140.html)</t>
  </si>
  <si>
    <t>Al 30 de junio de 2024, la provisión regulatoria sobre bienes adjudicados totaliza B/.19,313,175 (2023: B/.15,637,168) en base a lo establecido en el Acuerdo No.3-2009 de la Superintendencia de Bancos de Panamá.</t>
  </si>
  <si>
    <t>Al 30 de junio de 2024, el porcentaje del índice de liquidez reportado al ente regulador, bajo los parámetros del Acuerdo No.4-2008 fue 36.59% (2023: 36.34%) (Véase Nota 4.3).</t>
  </si>
  <si>
    <t>La Ley exige a los bancos de licencia general mantener un capital social pagado o capital asignado mínimo de diez millones de balboas (B/.10,000,000) y fondos de capital por no menos del 8% de sus activos ponderados, incluyendo operaciones fuera de balance. Al 30 de junio de 2024, se presenta fondos de capital consolidado de aproximadamente 13.73% (2023: 13.12%) sobre sus activos ponderados en base a riesgo, según Acuerdo No.1-2015, Acuerdo No.3-2016 y los nuevos acuerdos, Acuerdo No.11-2018 y Acuerdo No.2-2018. (Véase Nota 4.7).</t>
  </si>
  <si>
    <t>La subsidiaria Global Bank Overseas, de acuerdo al regulador bancario de Montserrat, establece que toda institución financiera autorizada mantendrá un fondo de reserva y, de sus ganancias netas de cada año, transferirá a ese fondo una suma igual a no menos del 20 por ciento de dichas ganancias siempre que el monto del fondo de reserva sea inferior al 100 por ciento del capital desembolsado o, en su caso, asignado de la institución financiera. Al 30 de junio de 2024, la reserva es de B/.32,324,680 (2023: B/.32,324,680).</t>
  </si>
  <si>
    <t>34. Aprobación de los estados financieros consolidados</t>
  </si>
  <si>
    <t>Los estados financieros consolidados de Global Bank Corporation y Subsidiarias por el año terminado el 30 de junio de 2024 fueron aprobados por la Junta Directiva para su emisión el 31 de julio de 2024.</t>
  </si>
  <si>
    <t>- 96 -</t>
  </si>
  <si>
    <t>Información de consolidación sobre el estado de situación financiera al 30 de junio de 2024 (En balbros)</t>
  </si>
  <si>
    <t>Información de consolidación sobre el estado de ganancia o pérdida y utilidades no distribuidos (déficit acumulado) por el año terminado el 30 de junio de 2024 (En balbnes)</t>
  </si>
  <si>
    <t>**COPIA** ESCRITURA No. _______________ DE 31 DE julio DE 2024</t>
  </si>
  <si>
    <t>2025</t>
  </si>
  <si>
    <t>INA_GLOBAN_2025_0.pdf</t>
  </si>
  <si>
    <t>page-78</t>
  </si>
  <si>
    <t>1</t>
  </si>
  <si>
    <t>1. Información general</t>
  </si>
  <si>
    <t>Global Bank Corporation (el “Banco”) está incorporado en la República de Panamá e inició operaciones en junio de 1994 y opera bajo una licencia bancaria general emitida por la Superintendencia de Bancos de Panamá, la cual le permite efectuar indistintamente negocios de banca en Panamá o en el exterior. Su principal actividad es el negocio de banca comercial y de consumo.</t>
  </si>
  <si>
    <t>La oficina principal está localizada en Santa María Business District, Torre Global Bank, Panamá, República de Panamá.</t>
  </si>
  <si>
    <t>El Banco es una subsidiaria totalmente poseída por G.B. Group Corporation, una entidad constituida el 20 de abril de 1993 de acuerdo a las leyes de la República de Panamá.</t>
  </si>
  <si>
    <t>El Banco cuenta con una Licencia de Administrador de Inversiones otorgada por la Superintendencia del Mercado de Valores de Panamá mediante la Resolución SMV 46-17 del 1 de febrero de 2017.</t>
  </si>
  <si>
    <t>Mediante Resolución SBP-0077-2019 de la Superintendencia de Bancos de Panamá se autoriza la fusión por absorción de las entidades bancarias Global Bank Corporation, Banco Panameño de la Vivienda, S.A. y la sociedad GB, AV INC., todas pertenecientes al mismo grupo económico, de la cual, Global Bank Corporation es la sociedad sobreviviente. La fecha efectiva de la fusión fue el 1 de junio de 2019.</t>
  </si>
  <si>
    <t>Mediante Resolución SBP-0019-2021 del 10 de marzo de 2021 de la Superintendencia de Bancos de Panamá se autoriza la fusión por absorción de las entidades bancarias Global Bank Corporation y Factor Global, S.A. ambas pertenecientes al mismo grupo económico, de la cual, Global Bank Corporation es la sociedad sobreviviente. La fecha efectiva de la fusión fue el 22 de junio de 2021.</t>
  </si>
  <si>
    <t>La actividad principal de las Subsidiarias se describe en la Nota 32.</t>
  </si>
  <si>
    <t>2</t>
  </si>
  <si>
    <t>2. Adopción de las nuevas y revisadas Normas Internacionales de Información Financiera (NIIF’s)</t>
  </si>
  <si>
    <t>### 2.1 Normas Internacionales de Información Financiera nuevas y modificadas (“NIIF” o “NIC”) que son obligatorias para el año en curso</t>
  </si>
  <si>
    <t>Para el año terminado el 30 de junio de 2025, el Banco ha aplicado enmiendas a las NIIF emitidas por el Consejo de Normas Internacionales de Información Financiera (IASB por sus siglas en inglés) que son obligatorias para períodos contables que comiencen en o después del 1 de julio de 2024. Su adopción no ha tenido un impacto material en las revelaciones o en los montos reportados en estos estados financieros consolidados.</t>
  </si>
  <si>
    <t>**Modificaciones a la NIC 1 Clasificación de los Pasivos como Corrientes o No Corrientes** - El Banco ha adoptado las enmiendas a la NIC 1, publicadas en enero de 2020, por primera vez en el año en curso.</t>
  </si>
  <si>
    <t>Las modificaciones afectan únicamente la presentación de los pasivos como corrientes o no corrientes en el estado de situación financiera y no el importe o momento de reconocimiento de cualquier activo, pasivo, ingreso o gasto, o a la información revelada sobre esas partidas.</t>
  </si>
  <si>
    <t>Las enmiendas aclaran que la clasificación de los pasivos como corrientes o no corrientes está basada en los derechos que existen al final del período sobre el que se informa, especifican que la clasificación no se ve afectada por las expectativas sobre si una entidad ejercerá su derecho a diferir la liquidación de un pasivo, explican que los derechos existen si se cumplen los convenios financieros (covenants) al final del período sobre el que se informa, e introducen una definición de “liquidación” para dejar claro que la liquidación se refiere a la transferencia a la contraparte de efectivo, instrumentos de capital, otros activos o servicios.</t>
  </si>
  <si>
    <t>- 11 -</t>
  </si>
  <si>
    <t>page-79</t>
  </si>
  <si>
    <t>## Modificaciones a la NIC 1 – (Pasivos no corrientes con convenios financieros) - El Banco</t>
  </si>
  <si>
    <t>La adoptado las modificaciones a la NIC 1, publicadas en noviembre de 2022, por primera vez en el año en curso.</t>
  </si>
  <si>
    <t>Las enmiendas especifican que sólo los convenios financieros que una entidad está obligada a cumplir en o antes del final del periodo sobre el que se informa, afectan al derecho de la entidad a diferir la liquidación de un pasivo durante al menos doce meses después de la fecha sobre la que se informa (y por lo tanto deben tenerse en cuenta al evaluar la clasificación del pasivo como corriente o no corriente). Dichos convenios financieros afectan si los derechos existen al final del periodo sobre el que se informa, incluso si el cumplimiento del convenio financiero se evalúa sólo después de la fecha sobre la que se informa (por ejemplo, un convenio financiero basado en la situación financiera de la entidad en la fecha de reporte en el que se evalúa el cumplimiento con fecha posterior a la fecha de reporte).</t>
  </si>
  <si>
    <t>El IASB también especifica que el derecho a diferir la liquidación de un pasivo durante al menos doce meses después de la fecha sobre la que se informa no se ve afectado si una entidad sólo tiene que cumplir con un convenio financiero después del periodo sobre el que se informa. Sin embargo, si el derecho de la entidad a diferir la liquidación de un pasivo está sujeto a que la entidad cumpla con los convenios financieros dentro de los doce meses posteriores al periodo sobre el que se informa, la entidad revelará información que permita a los usuarios de los estados financieros comprender el riesgo de que los pasivos sean reembolsables dentro de los doce meses posteriores al periodo sobre el que se informa. Esto incluiría información sobre los convenios financieros (incluyendo la naturaleza de los convenios financieros y cuándo se requiere que la entidad los cumpla), el importe en libros de los pasivos relacionados y los hechos y circunstancias, si los hubiere, que indiquen que la entidad puede tener dificultades para cumplir con los convenios financieros.</t>
  </si>
  <si>
    <t>## Enmiendas a la NIIF 16 Arrendamientos – Pasivo por arrendamiento en una venta y arrendamiento posterior</t>
  </si>
  <si>
    <t>El Banco ha adoptado las enmiendas a la NIIF 16 por primera vez en el año en curso.</t>
  </si>
  <si>
    <t>Las enmiendas a la NIIF 16 añaden requisitos de valuación posteriores para las transacciones de venta y arrendamiento posterior que satisfacen los requisitos de la NIIF 15 Ingresos ordinarios procedentes de contratos con clientes que se contabilizarán como una venta. Las modificaciones exigen que el vendedor-arrendatario determine "pagos de arrendamiento" o "pagos de arrendamiento revisados" de manera que el vendedor-arrendatario no reconozca una ganancia o pérdida relacionada con el derecho de uso retenido por el vendedor-arrendatario, después de la fecha de inicio.</t>
  </si>
  <si>
    <t>Las enmiendas no afectan a la ganancia o pérdida reconocida por el vendedor-arrendatario en relación con la terminación parcial o total de un contrato de arrendamiento. Sin estos nuevos requisitos, un vendedor-arrendatario puede haber reconocido una ganancia sobre el derecho de uso que retiene únicamente debido a una nueva medición del pasivo por arrendamiento (por ejemplo, después de una modificación del arrendamiento o un cambio en el plazo del arrendamiento) aplicando los requisitos generales de la NIIF 16. Este podría haber sido particularmente el caso en un arrendamiento posterior que incluye pagos de arrendamiento variables que no dependen de un índice o tasa.</t>
  </si>
  <si>
    <t>Como parte de las enmiendas, el IASB modificó un Ejemplo Ilustrativo en la NIIF 16 y agregó un nuevo ejemplo para ilustrar la medición posterior de un activo por derecho de uso y pasivo por arrendamiento en una transacción de venta y arrendamiento posterior con pagos variables de arrendamiento que no dependen de un índice o tasa. Los ejemplos ilustrativos también aclaran que el pasivo que surge de una transacción de venta y arrendamiento posterior que califica como una venta aplicando la NIIF 15 es un pasivo por arrendamiento.</t>
  </si>
  <si>
    <t>Un vendedor-arrendatario aplicará las modificaciones retroactivamente de acuerdo con la NIC 8 a las transacciones de venta y arrendamiento posteriores celebradas después de la fecha de aplicación inicial, que se define como el comienzo del período anual sobre el que se informa en el que la entidad aplicó por primera vez la NIIF 16.</t>
  </si>
  <si>
    <t>## Modificaciones a la NIC 7 Estado de flujos de efectivo y a la NIIF 7 Instrumentos financieros: Información a revelar titulada Acuerdos de financiación con proveedores</t>
  </si>
  <si>
    <t>El Banco ha adoptado las modificaciones a la NIC 7 y a la NIIF 7 titulada Acuerdos de financiación con proveedores por primera vez en el año en curso.</t>
  </si>
  <si>
    <t>Las modificaciones añaden un objetivo de revelación a la NIC 7 que establece que una entidad debe revelar información sobre sus acuerdos de financiación con proveedores que permita a los usuarios de los estados financieros evaluar los efectos de esos acuerdos sobre los pasivos y los flujos de efectivo de la entidad. Además, se modifica la NIIF 7 para añadir los acuerdos de financiación con proveedores como un ejemplo dentro de los requisitos para revelar información sobre la exposición de una entidad a la concentración del riesgo de liquidez.</t>
  </si>
  <si>
    <t>page-80</t>
  </si>
  <si>
    <t>## 2.2 Normas NIIF emitidas que aún no son efectivas</t>
  </si>
  <si>
    <t>A la fecha de autorización de estos estados financieros consolidados, el Banco no ha aplicado las siguientes NIIF nuevas y revisadas que han sido emitidas, pero no son aún efectivas.</t>
  </si>
  <si>
    <t>tbl-32.html</t>
  </si>
  <si>
    <t>[tbl-32.html](tbl-32.html)</t>
  </si>
  <si>
    <t>La administración del Banco no espera que la adopción de los estándares antes mencionados tenga un impacto importante en los estados financieros consolidados del Banco en períodos futuros, excepto como se indica a continuación:</t>
  </si>
  <si>
    <t>### Enmiendas a la NIC 21 - Los Efectos de las Variaciones en los Tipos de Cambio referente a Falta de Intercambiabilidad</t>
  </si>
  <si>
    <t>Las enmiendas especifican cómo evaluar si una moneda es intercambiable y cómo determinar el tipo de cambio cuando no lo es. Además, el IASB realizó modificaciones consecuentes a la NIIF 1 para alinearse con la NIC 21 revisada y hacer referencia a ella para evaluar la intercambiabilidad.</t>
  </si>
  <si>
    <t>La administración del Banco no prevé que la aplicación de estas enmiendas puede tener un impacto en los estados financieros consolidados del Banco en períodos futuros.</t>
  </si>
  <si>
    <t>### NIIF 18 - Presentación y Revelaciones en los estados financieros</t>
  </si>
  <si>
    <t>La NIIF 18 sustituye a la NIC 1, manteniendo sin cambios muchos de los requisitos de la NIC 1 y complementándolos con nuevos requisitos. Además, algunos párrafos de la NIC 1 se han trasladado a la NIC 8 y a la NIIF 7. Adicionalmente, el IASB ha realizado modificaciones menores a la NIC 7 y a la NIC 33 Ganancias por Acción.</t>
  </si>
  <si>
    <t>La NIIF 18 introduce nuevos requisitos para:</t>
  </si>
  <si>
    <t>- Presentar categorías específicas y subtotales definidos en el estado de pérdidas y ganancias - Proporcionar información sobre las medidas de desempeño definidas por la gerencia (MPM) en las notas a los estados financieros. - Mejorar la agregación y desagregación.</t>
  </si>
  <si>
    <t>Se requiere que una entidad aplique la NIIF 18 para los ejercicios anuales sobre los que se informa que comiencen a partir del 1 de enero de 2027, permitiéndose una aplicación anticipada. Las enmiendas a la NIC 7 y a la NI 33, así como las enmiendas a la NIC 8 revisada y a la NIIF 7, entran en vigor cuando una entidad aplica la NIIF 18. La NIIF 18 requiere una aplicación retroactiva con disposiciones transitorias específicas.</t>
  </si>
  <si>
    <t>La administración del Banco prevé que la aplicación de estas modificaciones puede tener un impacto en los estados financieros consolidados del Banco en períodos futuros.</t>
  </si>
  <si>
    <t>### NIIF 19 - Subsidiarias sin responsabilidad pública: Información a revelar</t>
  </si>
  <si>
    <t>La NIIF 19 permite a una subsidiaria elegible, proporcionar información reducida al aplicar las NIIF en sus estados financieros.</t>
  </si>
  <si>
    <t>Una subsidiaria es elegible para la reducción de información a revelar si no tiene responsabilidad pública y su matriz final o cualquier matriz intermedia produce estados financieros disponibles para uso público que cumplen con las NIIF.</t>
  </si>
  <si>
    <t>La NIIF 19 es opcional para las subsidiarias que son elegibles y establece los requisitos de divulgación para las subsidiarias que eligen aplicarla.</t>
  </si>
  <si>
    <t>Una entidad solo puede aplicar la NIIF 19 si, al final del período sobre el que se informa:</t>
  </si>
  <si>
    <t>- Es una subsidiaria (esto incluye una matriz intermedia) - No tiene responsabilidad pública, y - Su matriz final o cualquier matriz intermedia produce estados financieros disponibles para uso público que cumplen con las NIIF.</t>
  </si>
  <si>
    <t>page-81</t>
  </si>
  <si>
    <t>Una subsidiaria tiene responsabilidad pública si:</t>
  </si>
  <si>
    <t>- Sus instrumentos de deuda o capital se negocian en un mercado público o está en proceso de emitir dichos instrumentos para su negociación en un mercado público (una bolsa de valores nacional o extranjera o un mercado extrabursátil, incluidos los mercados locales y regionales), o - Mantiene activos en calidad de fiduciario para un amplio grupo de personas ajenas a la empresa como uno de sus principales negocios (por ejemplo, bancos, cooperativas de crédito, entidades de seguros, corredores/agentes de valores, fondos mutuos y bancos de inversión a menudo cumplen con este segundo criterio).</t>
  </si>
  <si>
    <t>Las entidades elegibles pueden aplicar la NIIF 19 en sus estados financieros, separados o individuales. Una matriz intermedia elegible que no aplique la NIIF 19 en su estado financiero puede hacerlo en sus estados financieros separados.</t>
  </si>
  <si>
    <t>La nueva norma es efectiva para los períodos de notificación que comiencen a partir del 1 de enero de 2027 y se permite su aplicación anticipada. Si una entidad opta por aplicar la NIIF 19 para un período sobre el que se informa anterior al período sobre el que se informa en el que aplica por primera vez la NIIF 18, se le exige que aplique un conjunto modificado de requisitos de información a revelar establecidos en un apéndice de la NIIF 19. Si una entidad opta por aplicar la NIIF 19 para un período anual sobre el que se informa antes de aplicar las modificaciones a la NIC 21, no está obligada a aplicar los requisitos de información a revelar de la NIIF 19 con respecto a la Falta de Intercambiabilidad.</t>
  </si>
  <si>
    <t>La administración del Banco no prevé que la NIIF 19 se aplique a efectos de los estados financieros consolidados del Banco.</t>
  </si>
  <si>
    <t>## Clasificación y valoración de instrumentos financieros (modificaciones a las NIIF 9 y NIIF 7)</t>
  </si>
  <si>
    <t>En mayo de 2024, el IASB publicó Enmiendas a la clasificación y medición de instrumentos financieros que modificaron las NIIF 9 y NIIF 7. Los requisitos entrarán en vigor para los períodos de información anual que comiencen a partir del 1 de enero de 2026, permitiéndose su aplicación anticipada, y están relacionados con:</t>
  </si>
  <si>
    <t>- Liquidar los pasivos financieros utilizando sistemas de pagos electrónicos, y - Evaluar las características contractuales de los flujos de efectivo de los activos financieros, incluidos aquellos con características vinculadas a la sostenibilidad.</t>
  </si>
  <si>
    <t>El Banco está evaluando el impacto de las nuevas modificaciones.</t>
  </si>
  <si>
    <t>## NIIF 17 - Contratos de seguro</t>
  </si>
  <si>
    <t>Establece principios para el reconocimiento, medición, presentación e información a revelar de los contratos de seguros que están dentro del alcance de la Norma. El objetivo de la NIIF 17 es asegurar que una entidad proporcione una contabilidad consistente y basada en principios para los contratos de seguros. Esta información proporciona una base a los usuarios para evaluar el efecto que los contratos de seguro en los estados financieros.</t>
  </si>
  <si>
    <t>El Consejo de Normas Internacionales de Contabilidad estableció como fecha de vigencia el 1 de enero de 2023. La Superintendencia de Seguros y Reaseguros de Panamá, mediante Circular No.SSRP-DSES-025-2022, del 20 de julio de 2022, acordó trasladar la fecha de entrada en vigor para el 1 de enero de 2024. Mediante Circular SBP-DR-0070-2023 de fecha 23 de septiembre de 2022, la Superintendencia de Bancos de Panamá, donde el ente regulador deja a discreción de cada Grupo Bancario la decisión de adopción para efectos de sus estados financieros consolidados para períodos que inicien el 1 de enero 2023. Con fecha 12 de enero de 2024, la Superintendencia de Seguros y Reaseguros de Panamá emitió el Acuerdo No.01-2024, por el cual se establecen las disposiciones para la adopción y aplicación de las NIIF aplicables a operaciones de seguros y reaseguro y otras relacionadas y el requerimiento de capital de solvencia, margen de solvencia y liquidez mínima requerida. Bajo este Acuerdo, se mantiene el 1 de julio de 2024 como fecha de adopción, pero se especifica que los primeros estados financieros de uso público y auditados preparados adoptando la NIIF 17 serán los estados financieros al 30 de junio de 2026. De esta forma, los estados financieros al 30 de junio de 2024 y 2025 son preparados aun aplicando la NIIF 4.</t>
  </si>
  <si>
    <t>El Banco ha decidido acogerse a la extensión otorgada a nivel de sus reguladores en Panamá. Por la naturaleza de las operaciones financieras que mantiene el Banco, la adopción de esta norma no implica cambios importantes sobre la información financiera al 30 de junio de 2025.</t>
  </si>
  <si>
    <t>page-82</t>
  </si>
  <si>
    <t>## 3.1 Estado de cumplimiento</t>
  </si>
  <si>
    <t>Los estados financieros consolidados han sido preparados de conformidad con las Normas NIIF de Contabilidad, emitidas por el Consejo de Normas Internacionales de Contabilidad (IASB, por sus siglas en inglés).</t>
  </si>
  <si>
    <t>Los estados financieros consolidados han sido preparados bajo la base del costo histórico, excepto por las inversiones al valor razonable con cambios en resultados (VRCR); las inversiones al valor razonable con cambios en otros resultados integrales (VRCORI), los activos o pasivos con coberturas de flujo de efectivo y los instrumentos derivados los cuales se presentan a su valor razonable.</t>
  </si>
  <si>
    <t>Los estados financieros consolidados han sido preparados por la administración asumiendo que el Banco continuará operando como un negocio en marcha.</t>
  </si>
  <si>
    <t>En caso de ser necesario, los ajustes son realizados a los estados financieros de las subsidiarias para adaptar sus políticas contables del Banco.</t>
  </si>
  <si>
    <t>page-83</t>
  </si>
  <si>
    <t>Cuando el Banco pierde control de una subsidiaria, una utilidad o pérdida es reconocida en ganancia o pérdida, la cual es calculada como la diferencia entre (i) el conjunto del valor razonable de la contraprestación recibida y el valor razonable de algún interés retenido y (ii) el valor en libros previo de los activos (incluyendo plusvalía, si aplicara), y pasivos de la subsidiaria y alguna participación no controladora. Todos los importes previamente reconocidos en otro resultado integral con relación a esa subsidiaria son contabilizados como si el Banco hubiese directamente dispuesto de los activos o pasivos relacionados de la subsidiaria (ejemplo, reclasificados a ganancia o pérdida o consideraciones a alguna otra categoría de patrimonio como sea permitido o especificado por las NIIF). El valor razonable de una inversión retenida en una subsidiaria precedente a la fecha cuando el control es perdido es considerado al valor razonable en su reconocimiento inicial para una contabilización subsecuente bajo la NIIF 9 – Instrumentos Financieros, cuando sea aplicable, el costo al inicio de la transacción de una inversión en una asociada o un negocio conjunto.</t>
  </si>
  <si>
    <t>Los instrumentos de deuda que se mantienen dentro de un modelo comercial cuyo objetivo es recolectar los flujos de efectivo contractuales, y que tienen flujos de efectivo contractuales que son únicamente pagos de principal e intereses sobre el monto principal pendiente (SPPI, por sus siglas en inglés), se miden posteriormente al costo amortizado; los instrumentos de deuda que se mantienen dentro de un modelo comercial cuyo objetivo es tanto el de recolectar los flujos de efectivo contractuales como el de vender los instrumentos de deuda, y que tienen flujos de efectivo contractuales que son SPPI, se miden posteriormente a valor razonable con cambios en otros resultados integrales (VRCORI), por sus siglas en inglés); todos los demás instrumentos de deuda (por ejemplo, los instrumentos de deuda administrados sobre una base de valor razonable, o mantenidos para la venta) y las inversiones de capital se miden posteriormente en VRCR.</t>
  </si>
  <si>
    <t>page-84</t>
  </si>
  <si>
    <t>- Se puede elegir irrevocablemente presentar los cambios posteriores en el valor razonable de una inversión de capital que no se mantiene para negociar, ni una contraprestación contingente reconocida por una adquirente en una combinación de negocios a la cual se aplica la NIIF 3 – “Combinaciones de negocios”, en otros resultados integrales; y; - Se puede designar irrevocablemente un instrumento de deuda que cumpla con el costo amortizado o con los criterios de VRCORI medidos a VRCR si al hacerlo elimina o reduce significativamente causando una asimetría contable.</t>
  </si>
  <si>
    <t>### 3.6.1 Clasificación</t>
  </si>
  <si>
    <t>### 3.6.2 Evaluación del modelo de negocio</t>
  </si>
  <si>
    <t>Una evaluación de los modelos de negocios para administrar los activos financieros es fundamental para la clasificación de un activo financiero. El Banco determina el modelo de negocio a un nivel que refleja cómo los grupos de activos financieros se administran juntos para lograr un objetivo empresarial particular. El modelo de negocio no depende de las intenciones de la administración para un instrumento individual, por lo tanto, la evaluación del modelo de negocios se realiza a un nivel más alto de agregación en lugar de hacerlo instrumento por instrumento.</t>
  </si>
  <si>
    <t>### 3.6.3 Evaluación sobre los flujos de efectivo contractuales si son únicamente pagos de capital e intereses</t>
  </si>
  <si>
    <t>page-85</t>
  </si>
  <si>
    <t>Al evaluar si los flujos de efectivo contractuales son únicamente pagos de principal e intereses, el Banco considera los términos contractuales del instrumento. Esto incluye evaluar si el activo financiero contiene un término contractual que podría cambiar el momento o el monto de los flujos de efectivo contractuales de manera que no cumpla con esta condición.</t>
  </si>
  <si>
    <t>Al realizar la evaluación, el Banco considera lo siguiente:</t>
  </si>
  <si>
    <t>### 3.6.4 Activos financieros a valor razonable con cambios en otros resultados integrales (VRCORI)</t>
  </si>
  <si>
    <t>Estos valores se componen de instrumentos de deuda no clasificados como valores a VRCR o valores a costo amortizado y están sujetos a los mismos criterios de aprobación que el resto de la cartera de crédito. Estos valores se contabilizan al valor razonable si se cumplen las dos condiciones siguientes:</t>
  </si>
  <si>
    <t>Las ganancias y pérdidas no realizadas se reportan como incrementos netos o disminuciones en otros resultados integrales ("ORI") en el estado consolidado de cambios en el patrimonio hasta que se realicen. La ganancia o pérdida realizadas por la venta de valores que se incluyen en la ganancia neta en la venta de valores se determinan usando el método de identificación específico.</t>
  </si>
  <si>
    <t>Para un instrumento de patrimonio designado como medido a VRCORI, la ganancia o pérdida acumulada previamente reconocida en otros resultados integrales no se reclasifica posteriormente a ganancia o pérdida, pero puede ser transferida dentro del patrimonio.</t>
  </si>
  <si>
    <t>### 3.6.5 Activos financieros a costo amortizado</t>
  </si>
  <si>
    <t>### 3.6.6 Activos y pasivos financieros a valor razonable con cambios en resultados (VRCR)</t>
  </si>
  <si>
    <t>Activos y pasivos financieros a valor razonable con cambios en resultados incluyen a) activos y pasivos con flujos de efectivo contractuales que no son SPPI; y/o b) activos y pasivos designados en VRCR utilizando la opción de valor razonable; y cuentas por cobrar (ganancias no realizadas) y cuentas por pagar (pérdidas no realizadas) relacionadas con instrumentos financieros derivados que no son designados como cobertura o que no califican para la contabilidad de cobertura.</t>
  </si>
  <si>
    <t>page-86</t>
  </si>
  <si>
    <t>### 3.6.7 Reclasificación</t>
  </si>
  <si>
    <t>### 3.6.8 Baja de activos</t>
  </si>
  <si>
    <t>- Los derechos a recibir flujos de efectivo del activo han vencido. - El Banco ha transferido sus derechos a recibir los flujos de efectivo del activo y, o bien ha transferido sustancialmente todos los riesgos y beneficios del activo, o ni ha transferido ni retenido sustancialmente los riesgos y beneficios del activo, pero se ha transferido el control del activo. - El Banco se reserva el derecho a recibir los flujos de efectivo del activo, pero ha asumido una obligación de pagar los flujos de efectivo recibido en su totalidad y sin demora material a un tercero en virtud de un acuerdo de “pass-through”. - Cuando el Banco ha transferido sus derechos a recibir flujos de efectivo de un activo o ha entrado en un acuerdo de traspaso, y ni se ha transferido ni retenido sustancialmente todos los riesgos y beneficios del activo, ni transferido el control del activo, el activo se reconoce en la medida que continúa la participación del Banco en el activo. En ese caso, el Banco también reconoce un pasivo asociado. El activo transferido y el pasivo asociado se miden sobre una base que refleje los derechos y obligaciones contractuales que el Banco ha retenido.</t>
  </si>
  <si>
    <t>### 3.6.9 Deterioro de los activos financieros</t>
  </si>
  <si>
    <t>La medición de la provisión para pérdidas crediticias esperadas (“ECL” por sus siglas en inglés) para los activos financieros medidos a costo amortizado y a valor razonable con cambios en otros resultados integrales requieren el uso de modelos complejos y suposiciones significativas sobre las condiciones económicas futuras y el comportamiento crediticio. También se requiere varios juicios significativos al aplicar los requerimientos contables para medir las pérdidas esperadas, tales como:</t>
  </si>
  <si>
    <t>El Banco reconoce provisión por ECLs en los siguientes instrumentos financieros que no sean medidos a VRCR:</t>
  </si>
  <si>
    <t>page-87</t>
  </si>
  <si>
    <t>- Para los compromisos de préstamo suscritos, las ECL son la diferencia entre el valor presente de la diferencia entre los flujos de efectivo contractuales que sean debidos a el Banco si el tenedor del compromiso toma el préstamo y los flujos de efectivo que el Banco espera recibir si el préstamo es tomado; y - Para los contratos de garantías financieras, las ECL son la diferencia entre los pagos esperados para reembolsar al tomador del instrumento de deuda garantizado menos cualesquiera cantidades que el Banco espere recibir del tenedor, el deudor o cualquier otra parte.</t>
  </si>
  <si>
    <t>### 3.6.9.1 Activos financieros deteriorados</t>
  </si>
  <si>
    <t>Puede no ser posible identificar un evento discreto único, en lugar de ello, el efecto combinado de varios eventos puede haber causado que activos financieros se vuelvan con crédito-deteriorado. El Banco valora si los instrumentos de deuda que sean activos financieros medidos a costo amortizado o a VRCORI son de crédito-deteriorado en cada fecha de presentación de reporte. Para valorar si instrumentos de deuda soberana y corporativa tienen crédito-deteriorado, el Banco considera factores tales como rendimientos del bono, calificaciones del crédito y la capacidad del prestatario para obtener fondos.</t>
  </si>
  <si>
    <t>Un préstamo es considerado como crédito-deteriorado cuando una concesión es otorgada al prestatario debido a un deterioro en la condición financiera del prestatario, a menos que haya evidencia de que como resultado del otorgamiento de la concesión el riesgo de no recibir los flujos de efectivo contractuales ha sido reducido de manera importante y no hay otros indicadores. Para los activos financieros donde están contempladas concesiones, pero no han sido otorgadas el activo se considera con crédito-deteriorado cuando haya evidencia observable de deterioro del crédito, incluyendo satisfacer la definición de incumplimiento. La definición de incumplimiento (vea adelante) incluye la improbabilidad de indicadores de pago e interrupción del respaldo si las cantidades tienen 90 o más días de vencidas.</t>
  </si>
  <si>
    <t>page-88</t>
  </si>
  <si>
    <t>### 3.6.9.2 Definición de incumplimiento</t>
  </si>
  <si>
    <t>- El deudor está vencido por más de 90 días en cualquiera de sus obligaciones con el Banco, ya sea en el principal del préstamo o interés; o cuando el saldo principal con un solo pago al vencimiento se encuentra pendiente de pago por más de 30 días; - Deterioro en la situación financiera del cliente, o la existencia de otros factores para estimar la posibilidad de que el saldo principal y los intereses de los préstamos de clientes no se recuperen por completo. Los clientes clasificados en categoría de riesgo altos por el modelo de score de comportamiento y de rating crediticio cumplen este criterio. - Sin embargo, existe una presunción refutable de que el riesgo de crédito de estos préstamos vencidos se ha incrementado significativamente desde el reconocimiento inicial si el Banco tiene información razonable y sustentable que está disponible sin costo o esfuerzo desproporcionado, que demuestran que el riesgo de crédito no ha aumentado significativamente desde su reconocimiento inicial a pesar de que los pagos contractuales tienen más de 30 o 90 días de mora.</t>
  </si>
  <si>
    <t>### 3.6.9.3 Aumento significativo de riesgo de crédito</t>
  </si>
  <si>
    <t>page-89</t>
  </si>
  <si>
    <t>El Banco incorpora información sobre el entorno económico futuro, en su evaluación de si el riesgo de crédito de un instrumento ha incrementado significativamente desde su reconocimiento inicial mediante su modelo de forward looking, complementados con otros análisis de la administración, el cual toma en consideración la proyección de variables macroeconómicas que tratan de predecir la tasa de desempleo y la tasa de créditos vencidos, lo cual es la base para los ajustes de las pérdidas esperadas.</t>
  </si>
  <si>
    <t>### 3.6.9.4 Préstamos modificados o renegociados</t>
  </si>
  <si>
    <t>- Continuar con el tratamiento actual para el préstamo existente que ha sido modificado. - Reconocer una ganancia o pérdida en la modificación calculando el importe en libros bruto del activo financiero como el valor actual de los flujos de efectivo contractuales renegociados o modificados, descontados a la tasa de interés efectiva original del préstamo. - Evaluar si se ha producido un aumento significativo en el riesgo de crédito del instrumento financiero, comparando el riesgo de incumplimiento que se produce en la fecha de presentación (en base a los términos contractuales modificados) y el riesgo de impago que ocurre en el reconocimiento inicial (basada en los términos contractuales originales, sin modificar). El préstamo que se modifica no se considera automáticamente que tiene un riesgo menor de crédito. La evaluación debe considerar el riesgo de crédito a través de la vida esperada del activo basado en la información histórica y con visión prospectiva, incluyendo información sobre las circunstancias que llevaron a la modificación. La evidencia, de que los criterios para el reconocimiento de las pérdidas de crédito esperadas por el período de vida del instrumento ya no se cumplen, pueden incluir un historial a la fecha y el pago puntual en años subsiguientes.</t>
  </si>
  <si>
    <t>page-90</t>
  </si>
  <si>
    <t>- Un período mínimo de observación será necesario antes de que un activo financiero pueda calificar para volver a una medición de pérdida de crédito esperada de 12 meses. - Hacer las revelaciones cuantitativas y cualitativas apropiadas requeridas para préstamos renegociados o modificados para reflejar la naturaleza y efecto de tales modificaciones (incluyendo el efecto sobre la medición de las pérdidas crediticias esperadas) y cómo el Banco monitorea estos préstamos que han sido modificados.</t>
  </si>
  <si>
    <t>### 3.6.9.5 Castigo</t>
  </si>
  <si>
    <t>### 3.6.9.6 Presentación de la provisión por ECL en el estado consolidado de situación financiera</t>
  </si>
  <si>
    <t>- Para los activos financieros medidos a costo amortizado: como una deducción del valor en libros bruto de los activos; - Para los instrumentos de deuda medidos a VRCORI: ninguna provisión por pérdida es reconocida en el estado consolidado de situación financiera dado que el valor en libros es a valor razonable. Sin embargo, la provisión por pérdida se incluye como parte de la cantidad de la revaluación en la reserva por revaluación de inversiones; - Para los compromisos de préstamo y los contratos de garantía financiera: como una provisión; y - Cuando un instrumento financiero incluye un componente tanto de suscripción como un componente de no-suscripción, el Banco no puede identificar las ECL en el componente compromiso de préstamo por separado del componente de suscripción: el Banco presenta una provisión combinada por pérdida para ambos componentes. La cantidad combinada es presentada como una deducción del valor en libros bruto del componente suscripción.</t>
  </si>
  <si>
    <t>### 3.6.9.7 Préstamos a costo amortizado</t>
  </si>
  <si>
    <t>page-91</t>
  </si>
  <si>
    <t>- Préstamos individualmente evaluados - Las pérdidas esperadas en préstamos individualmente evaluados son determinados por una evaluación de las exposiciones caso por caso. Este procedimiento se aplica a todos los préstamos que sean individualmente significativos. Si se determina que no existe evidencia objetiva de deterioro para un préstamo individual, este se incluye en un grupo de préstamos con características similares y se evalúa colectivamente para determinar si existe deterioro.</t>
  </si>
  <si>
    <t>La pérdida por deterioro es calculada comparando el valor actual de los flujos futuros esperados, descontados a la tasa efectiva original del préstamo, con su valor en libro actual y el monto de cualquier pérdida se carga como una provisión para pérdidas en el estado consolidado de ganancia y pérdida. El valor en libros de los préstamos deteriorados se rebaja mediante el uso de una cuenta de reserva.</t>
  </si>
  <si>
    <t>page-92</t>
  </si>
  <si>
    <t># Clasificación como deuda o patrimonio</t>
  </si>
  <si>
    <t># Instrumentos de patrimonio</t>
  </si>
  <si>
    <t>Las acciones preferidas para las que no se tiene un vencimiento contractual y para las que la distribución a los tenedores de las acciones es a discreción del Banco (“El Emisor”) son clasificadas como un instrumento de patrimonio.</t>
  </si>
  <si>
    <t># Pasivos de contratos de garantías financieras</t>
  </si>
  <si>
    <t>Las garantías financieras son inicialmente reconocidas en los estados financieros consolidados al valor razonable a la fecha en que la garantía fue emitida. Subsecuente al reconocimiento inicial, el pasivo bancario bajo dichas garantías es medido al mayor entre el reconocimiento inicial, menos la amortización calculada para reconocer en el estado consolidado de ganancia o pérdida, el ingreso por honorarios devengados sobre la base de línea recta sobre la vida de la garantía y el mejor estimado del desembolso requerido para cancelar cualquier obligación financiera que surja en la fecha del estado consolidado de situación financiera. Estos estimados son determinados con base a la experiencia de transacciones similares y la historia de pérdidas pasadas, complementado por el juicio de la administración.</t>
  </si>
  <si>
    <t># Valores vendidos bajo acuerdos de recompra</t>
  </si>
  <si>
    <t># Otros pasivos financieros</t>
  </si>
  <si>
    <t>page-93</t>
  </si>
  <si>
    <t># Baja en cuentas de pasivos financieros</t>
  </si>
  <si>
    <t>### 3.8 Compensación de instrumentos financieros</t>
  </si>
  <si>
    <t>### 3.9 Ingreso y gasto por intereses</t>
  </si>
  <si>
    <t>### 3.10 Ingreso por comisiones</t>
  </si>
  <si>
    <t>### 3.11 Valores comprados bajo acuerdos de reventa</t>
  </si>
  <si>
    <t>### 3.12 Arrendamientos financieros por cobrar</t>
  </si>
  <si>
    <t>page-94</t>
  </si>
  <si>
    <t># 3.13 Arrendamientos operativos</t>
  </si>
  <si>
    <t>page-95</t>
  </si>
  <si>
    <t>Las propiedades, mobiliario, equipo y mejoras se presentan al costo de adquisición, neto de la depreciación y amortización acumulada. Las mejoras significativas son capitalizadas, mientras que las reparaciones y mantenimientos menores que no extienden la vida útil o mejoran el activo son cargadas directamente a gastos cuando se incurren.</t>
  </si>
  <si>
    <t>tbl-33.html</t>
  </si>
  <si>
    <t>[tbl-33.html](tbl-33.html)</t>
  </si>
  <si>
    <t>Una partida de propiedades, mobiliario, equipo y mejoras se da de baja a su eventual enajenación o cuando no se esperan beneficios económicos futuros que surjan del uso continuado del activo. Cualquier ganancia o pérdida resultante de la enajenación o retiro de una partida de propiedades, mobiliario, equipo y mejoras se determina como la diferencia entre los ingresos de las ventas y el valor en libros del activo, y se reconoce en el estado consolidado de ganancia o pérdida.</t>
  </si>
  <si>
    <t>Las propiedades de inversión son propiedades mantenida para ganar alquileres y/o para la apreciación del capital (incluida la propiedad en construcción para tales fines), se mide inicialmente al costo, incluidos los costos de transacción. Después del reconocimiento inicial, las propiedades de inversión se miden al costo menos la depreciación y deterioro, en caso de ser aplicable. Las propiedades de inversión en proceso de construcción se miden al costo menos deterioro en caso de ser aplicable.</t>
  </si>
  <si>
    <t>page-96</t>
  </si>
  <si>
    <t>Para propósitos de probar el deterioro, la plusvalía es asignada a cada una de las unidades generadoras de efectivo del Banco que se espera se beneficien de las sinergias de la combinación. El Banco somete a prueba de deterioro la Unidad Generadora de Efectivo (“UGE” o “Unidad”) a las que fue designada la plusvalía y los activos intangibles con vida útil indefinida en forma anual y cada vez que exista un indicio de que el activo pueda estar deteriorado, de acuerdo a lo definido en NIC 36. Si el monto recuperable de UGE es menor que el valor en libros de la unidad, la pérdida por deterioro es asignada, en primer lugar, a disminuir el valor en libros de cualquier plusvalía asignado a la unidad y luego a los otros activos de la unidad prorrateados sobre la base del valor en libros de cada activo en la unidad. Las pérdidas por deterioro reconocidas en la plusvalía no son reversadas en períodos posteriores.</t>
  </si>
  <si>
    <t>Al 30 de junio de 2025, la administración no ha identificado deterioro de los activos no financieros.</t>
  </si>
  <si>
    <t>## 3.19 Beneficios e empleados</t>
  </si>
  <si>
    <t>page-97</t>
  </si>
  <si>
    <t>El plan de jubilación No.1 fue aprobado el 13 de diciembre de 2013. El plan inició a partir del 1 de marzo de 2014 para los ejecutivos del Banco, con mínimo de un año de ocupar cargos ejecutivos. La participación del ejecutivo en el plan es de manera voluntaria. Las contribuciones del Banco son equivalentes entre 1% y 3% del salario mensual de los ejecutivos participantes basado en su respectivo aporte.</t>
  </si>
  <si>
    <t>Estos fondos son manejados a través de una administradora de fondo externa, según lo establece la Ley No.1 del 5 de enero de 1984 reformado por el Decreto Ejecutivo No.16 del 3 de octubre de 1984 y No.53 del 30 de diciembre de 1985.</t>
  </si>
  <si>
    <t>## 3.20 Plan de acciones restringidas</t>
  </si>
  <si>
    <t>La Junta Directiva de G.B. Group, empresa tendedora del 100% de las acciones de Global Bank Corporation y Subsidiarias, aprobó un plan de acciones restringidas de G.B. Group a favor de los ejecutivos claves de cualquiera subsidiaria de G.B. Group.</t>
  </si>
  <si>
    <t>El valor razonable de las acciones restringidas concedidas anualmente a los participantes es reconocido como gasto del año por el Banco.</t>
  </si>
  <si>
    <t>### Impuesto complementario</t>
  </si>
  <si>
    <t>page-98</t>
  </si>
  <si>
    <t>- Hay una relación económica entre el instrumento de cobertura y la partida cubierta; - El efecto del riesgo de crédito no domina al valor de los cambios que resultan de la relación económica; y - El índice de cobertura de la relación de cobertura es el mismo que el que resulta de la cantidad de la partida cubierta que el Banco cubre realmente y la cantidad del instrumento de cobertura que la Entidad realmente utiliza para cubrir esa cantidad de la partida cubierta.</t>
  </si>
  <si>
    <t>- Coberturas de valor razonable de activos o pasivos o compromisos firmes reconocidos (cobertura de valor razonable). - Cobertura de flujo de efectivo.</t>
  </si>
  <si>
    <t>page-99</t>
  </si>
  <si>
    <t>El Banco, descontinúa la contabilidad de cobertura cuando se determina que el instrumento derivado ya no es altamente efectivo en el compensar los cambios en el valor razonable o los flujos de efectivo del instrumento cubierto; el derivado expira, se vende, termina o se ejecuta; el activo o pasivo cubierto expira, se vende, termina o se ejecuta; el derivado no se designa como un instrumento de cobertura, porque es improbable que una transacción proyectada ocurra, o la administración determina que la designación del derivado como un instrumento de cobertura ya no es apropiada.</t>
  </si>
  <si>
    <t>La parte efectiva de los cambios en el valor razonable de los derivados y otros instrumentos de cobertura calificados que se designan y califican como coberturas de flujos de efectivo se reconocen en otros resultados integrales y se acumulan en el rubro de la reserva de cobertura de flujos de efectivo, limitada al cambio acumulado en el valor razonable del elemento cubierto desde el inicio de la cobertura. La ganancia o pérdida relacionada con la porción inefectiva se reconoce inmediatamente en ganancia o pérdida, y se incluye en el ítem de la línea "otros ingresos".</t>
  </si>
  <si>
    <t>En las Notas 13 y 20 se presenta el valor razonable de los instrumentos derivados utilizados para propósitos de cobertura.</t>
  </si>
  <si>
    <t>page-100</t>
  </si>
  <si>
    <t>## 4.1 Objetivos de la administración de riesgos financieros</t>
  </si>
  <si>
    <t>page-101</t>
  </si>
  <si>
    <t>## Establecimiento de límites de autorización:</t>
  </si>
  <si>
    <t>Los sistemas internos y externos de clasificación se centralizan más en la proyección de calidad del crédito desde el inicio del préstamo y de las actividades de inversión. Por el contrario, las provisiones del deterioro son reconocidas para propósitos de reportes financieros basado en el modelo de pérdidas crediticias esperadas que se fundamente en la NIIF 9. Debido a las diferentes metodologías aplicadas, el importe de las pérdidas de crédito sufridas previstas en los estados financieros consolidados es, por lo general, inferior a la cuantía determinada del modelo de pérdida estimada que es utilizada para el manejo operacional interno y propósitos de regulación bancaria.</t>
  </si>
  <si>
    <t>page-102</t>
  </si>
  <si>
    <t># Análisis de la calidad crediticia</t>
  </si>
  <si>
    <t>## 4.2.1 Tabla de la calidad crediticia de los activos financieros y provisión por deterioro</t>
  </si>
  <si>
    <t>tbl-34.html</t>
  </si>
  <si>
    <t>[tbl-34.html](tbl-34.html)</t>
  </si>
  <si>
    <t>page-103</t>
  </si>
  <si>
    <t>tbl-35.html</t>
  </si>
  <si>
    <t>[tbl-35.html](tbl-35.html)</t>
  </si>
  <si>
    <t>De acuerdo al análisis de la exposición del Banco ante el riesgo de crédito por clase de activo financiero, la clasificación interna y la “etapa” sin tener en cuenta los efectos de cualesquiera colaterales u otros mejoramientos del crédito, se proporcionan en las tablas siguientes. A menos que sea señalado de manera específica, para los activos financieros, las cantidades en la tabla representan el valor en libros bruto.</t>
  </si>
  <si>
    <t>### 4.2.2.1 Cartera de préstamo</t>
  </si>
  <si>
    <t>#### 4.2.2.1.1 Análisis de la calidad crediticia de los préstamos por etapa:</t>
  </si>
  <si>
    <t>tbl-36.html</t>
  </si>
  <si>
    <t>[tbl-36.html](tbl-36.html) [tbl-37.html](tbl-37.html)</t>
  </si>
  <si>
    <t># 4.2.2.1.2 Movimiento de la reserva para pérdidas crediticias esperadas en préstamos por etapas</t>
  </si>
  <si>
    <t>tbl-38.html</t>
  </si>
  <si>
    <t>[tbl-38.html](tbl-38.html) [tbl-39.html](tbl-39.html)</t>
  </si>
  <si>
    <t>Incorporación de información con visión prospectiva</t>
  </si>
  <si>
    <t>tbl-40.html</t>
  </si>
  <si>
    <t>[tbl-40.html](tbl-40.html)</t>
  </si>
  <si>
    <t>Los efectos conocidos por la administración y que pueden estimarse razonablemente se han reconocido en los estados financieros consolidados al 30 de junio de 2025 y 2024.</t>
  </si>
  <si>
    <t>tbl-41.html</t>
  </si>
  <si>
    <t>[tbl-41.html](tbl-41.html) [tbl-42.html](tbl-42.html)</t>
  </si>
  <si>
    <t>### Grado de calificación</t>
  </si>
  <si>
    <t>- Grado de inversión - Monitoreo estándar - Monitoreo especial - Default - Sin calificación</t>
  </si>
  <si>
    <t>- AAA, AA+, AA-, A+, A-, BBB+, BBB, BBB-BB+, BB, BB-, B+, B, B- - CCC a C - D</t>
  </si>
  <si>
    <t>A continuación, el análisis de las inversiones por etapa:</t>
  </si>
  <si>
    <t>tbl-43.html</t>
  </si>
  <si>
    <t>[tbl-43.html](tbl-43.html)</t>
  </si>
  <si>
    <t>La reserva para pérdidas crediticias esperadas relacionadas a las inversiones al valor razonable con cambios en otros resultados integrales se detalla a continuación:</t>
  </si>
  <si>
    <t>tbl-44.html</t>
  </si>
  <si>
    <t>[tbl-44.html](tbl-44.html)</t>
  </si>
  <si>
    <t>tbl-45.html</t>
  </si>
  <si>
    <t>[tbl-45.html](tbl-45.html)</t>
  </si>
  <si>
    <t>Los principales tipos de garantías tomadas con respecto a distintos tipos de activos financieros se presentan a continuación:</t>
  </si>
  <si>
    <t>tbl-46.html</t>
  </si>
  <si>
    <t>[tbl-46.html](tbl-46.html)</t>
  </si>
  <si>
    <t># Préstamos hipotecarios residenciales</t>
  </si>
  <si>
    <t>La siguiente tabla presenta el rango de relación de préstamos de la cartera hipotecaria con relación al valor de las garantías (“Loan To Value” - LTV). El LTV es calculado como un porcentaje del monto bruto del préstamo en relación al valor de la garantía. El monto bruto del préstamo, excluye cualquier pérdida por deterioro. El valor de la garantía para hipotecas, está basado en el valor original de la garantía a la fecha de desembolso.</t>
  </si>
  <si>
    <t>tbl-47.html</t>
  </si>
  <si>
    <t>[tbl-47.html](tbl-47.html)</t>
  </si>
  <si>
    <t># Depósitos a plazo colocados en bancos</t>
  </si>
  <si>
    <t>Al 30 de junio de 2025, se mantiene depósitos a plazo en bancos por B/.188,523,324 (2024: B/.150,084,128). Los depósitos a plazo en bancos son mantenidos en instituciones financieras locales y extranjeras. Estas instituciones cuentan con calificaciones locales y/o internacionales, en su mayoría con grado de inversión internacional de al menos BBB- según Fitch Ratings o Standard and Poors, o Baa3 por Moody’s.</t>
  </si>
  <si>
    <t>tbl-48.html</t>
  </si>
  <si>
    <t>[tbl-48.html](tbl-48.html)</t>
  </si>
  <si>
    <t>tbl-49.html</t>
  </si>
  <si>
    <t>[tbl-49.html](tbl-49.html)</t>
  </si>
  <si>
    <t>La Regulación Bancaria en Panamá requiere que los bancos de licencia general mantengan en todo momento un saldo mínimo de activos líquidos, según definición en el Acuerdo No.4-2008 de la Superintendencia de Bancos de Panamá, no inferior al 30% de sus depósitos, sin embargo, producto de las estrictas políticas de liquidez para la cobertura de sus operaciones pasivas, la liquidez del Banco en base a esta norma al 30 de junio de 2025 fue 42.33% (2024: 36.59%).</t>
  </si>
  <si>
    <t>tbl-50.html</t>
  </si>
  <si>
    <t>[tbl-50.html](tbl-50.html)</t>
  </si>
  <si>
    <t>tbl-51.html</t>
  </si>
  <si>
    <t>[tbl-51.html](tbl-51.html)</t>
  </si>
  <si>
    <t>tbl-52.html</t>
  </si>
  <si>
    <t>[tbl-52.html](tbl-52.html)</t>
  </si>
  <si>
    <t>El análisis en forma mensual por la administración consiste en determinar el impacto neto sobre los instrumentos financieros sujetos a riesgo de mercado, tomando en cuenta los efectos específicos causados por los aumentos y disminuciones de 100 puntos básicos en las tasas de interés. Los resultados de estas simulaciones se presentan mensualmente en el Comité de Activos y Pasivos (ALCO) para determinar si los instrumentos financieros de la cartera se encuentran dentro de los parámetros de riesgo aceptables por la administración.</t>
  </si>
  <si>
    <t>tbl-53.html</t>
  </si>
  <si>
    <t>[tbl-53.html](tbl-53.html)</t>
  </si>
  <si>
    <t>BALANCEO DE FONDEO (memo — compacto bancario; nunca caja-residual)</t>
  </si>
  <si>
    <t xml:space="preserve">  (memo) Fondeo pre-balanceo (pasivos sin balanceador + patrimonio)</t>
  </si>
  <si>
    <t xml:space="preserve">  (memo) Activos pre-balanceo (sin balanceador de inversiones)</t>
  </si>
  <si>
    <t xml:space="preserve">  (memo) Brecha de fondeo (+exceso → inversiones / −faltante → obligación)</t>
  </si>
  <si>
    <t>Loan_Book — cartera bruta por producto (driver del activo, R5)</t>
  </si>
  <si>
    <t>Histórico verbatim Nota 10 del INA_GLOBAN_2025_0.pdf; forecast = crecimiento de cartera de Supuestos (mix constante).</t>
  </si>
  <si>
    <t>A. CARTERA BRUTA POR PRODUCTO</t>
  </si>
  <si>
    <t xml:space="preserve">  Sector interno - Consumo</t>
  </si>
  <si>
    <t xml:space="preserve">  Sector interno - Comerciales</t>
  </si>
  <si>
    <t xml:space="preserve">  Sector interno - Agropecuario</t>
  </si>
  <si>
    <t xml:space="preserve">  Sector interno - Prendarios</t>
  </si>
  <si>
    <t xml:space="preserve">  Sector interno - Sobregiros</t>
  </si>
  <si>
    <t xml:space="preserve">  Sector interno - Hipotecarios</t>
  </si>
  <si>
    <t xml:space="preserve">  Sector interno - Industriales</t>
  </si>
  <si>
    <t xml:space="preserve">  Sector interno - Construcción</t>
  </si>
  <si>
    <t xml:space="preserve">  Sector interno - Arrendamientos financieros</t>
  </si>
  <si>
    <t xml:space="preserve">  Sector interno - Facturas descontadas</t>
  </si>
  <si>
    <t xml:space="preserve">  Sector externo - Comerciales</t>
  </si>
  <si>
    <t xml:space="preserve">  Sector externo - Agropecuarios</t>
  </si>
  <si>
    <t xml:space="preserve">  Sector externo - Industriales</t>
  </si>
  <si>
    <t xml:space="preserve">  Sector externo - Construcción</t>
  </si>
  <si>
    <t xml:space="preserve">  Sector externo - Prendarios</t>
  </si>
  <si>
    <t xml:space="preserve">  Sector externo - Sobregiro</t>
  </si>
  <si>
    <t xml:space="preserve">  Total cartera bruta</t>
  </si>
  <si>
    <t>B. TIE-OUT CONTRA MODELOFINANCIERO (check 13)</t>
  </si>
  <si>
    <t xml:space="preserve">  Cartera bruta según ModeloFinanciero (BS)</t>
  </si>
  <si>
    <t xml:space="preserve">  CHECK Δ Loan_Book − Modelo (=0 OK)</t>
  </si>
  <si>
    <t xml:space="preserve">  DRIVER_DETAIL_PENDING: yields/crecimiento por producto no divulgados — todos los productos crecen al driver agregado (mix constante).</t>
  </si>
  <si>
    <t>Deposits_Funding — depósitos por tipo + financiamientos (el pasivo del spread, R5)</t>
  </si>
  <si>
    <t>Histórico verbatim Nota 14; forecast = crecimiento de depósitos de Supuestos. Financiamientos = referencias al ModeloFinanciero (el balanceador vive allá, R2).</t>
  </si>
  <si>
    <t>A. DEPÓSITOS POR TIPO (base de la nota)</t>
  </si>
  <si>
    <t xml:space="preserve">  A la vista</t>
  </si>
  <si>
    <t xml:space="preserve">  Ahorros</t>
  </si>
  <si>
    <t xml:space="preserve">  Plazo fijo</t>
  </si>
  <si>
    <t xml:space="preserve">  Total depósitos (base nota)</t>
  </si>
  <si>
    <t>B. CONCILIACIÓN CONTRA MODELOFINANCIERO (check 14)</t>
  </si>
  <si>
    <t xml:space="preserve">  Total de depósitos según ModeloFinanciero (BS)</t>
  </si>
  <si>
    <t xml:space="preserve">  Δ conciliación (interbancarios + intereses acumulados, según filing)</t>
  </si>
  <si>
    <t>C. FINANCIAMIENTOS Y COSTO (referencias)</t>
  </si>
  <si>
    <t xml:space="preserve">  Total de financiamientos (ModeloFinanciero)</t>
  </si>
  <si>
    <t xml:space="preserve">  Costo de depósitos — driver activo (Supuestos)</t>
  </si>
  <si>
    <t xml:space="preserve">  Costo de financiamientos — driver activo (Supuestos)</t>
  </si>
  <si>
    <t>NIM_Build — spread y margen de intermediación (R5, bases BOP R4)</t>
  </si>
  <si>
    <t>Rendimiento y costo desde Supuestos; saldos y NII desde ModeloFinanciero (verde). El IS del modelo ya calcula con estas mismas bases.</t>
  </si>
  <si>
    <t>A. ACTIVO PRODUCTIVO Y RENDIMIENTO</t>
  </si>
  <si>
    <t xml:space="preserve">  Cartera bruta (BS ModeloFinanciero)</t>
  </si>
  <si>
    <t xml:space="preserve">  Rendimiento de cartera — driver activo (Supuestos)</t>
  </si>
  <si>
    <t xml:space="preserve">  Ingreso por intereses de préstamos (IS ModeloFinanciero)</t>
  </si>
  <si>
    <t>B. FONDEO Y COSTO</t>
  </si>
  <si>
    <t xml:space="preserve">  Total de depósitos (BS ModeloFinanciero)</t>
  </si>
  <si>
    <t xml:space="preserve">  Total de gastos por intereses (IS ModeloFinanciero)</t>
  </si>
  <si>
    <t>C. MARGEN (check 15)</t>
  </si>
  <si>
    <t xml:space="preserve">  Total ingresos por intereses y comisiones (IS)</t>
  </si>
  <si>
    <t xml:space="preserve">  NII calculado (ingresos − gastos)</t>
  </si>
  <si>
    <t xml:space="preserve">  NII según ModeloFinanciero</t>
  </si>
  <si>
    <t xml:space="preserve">  CHECK Δ NII (=0 OK)</t>
  </si>
  <si>
    <t xml:space="preserve">  NIM sobre cartera promedio (proxy: NII ÷ ((BOP+EOP)/2))</t>
  </si>
  <si>
    <t>Credit_Quality — ECL NIIF 9 por etapas + clasificación SBP</t>
  </si>
  <si>
    <t>Histórico verbatim Nota 4.2.1 / 4.2.2.1; la reserva total forecast rueda en el ModeloFinanciero (reserva += provisión, sin castigos divulgados).</t>
  </si>
  <si>
    <t>A. RESERVA ECL POR ETAPA (NIIF 9)</t>
  </si>
  <si>
    <t xml:space="preserve">  Etapa 1 — Etapa 1</t>
  </si>
  <si>
    <t xml:space="preserve">  Etapa 2 — Etapa 2</t>
  </si>
  <si>
    <t xml:space="preserve">  Etapa 3 — Etapa 3</t>
  </si>
  <si>
    <t xml:space="preserve">  Reserva total (Σ etapas)</t>
  </si>
  <si>
    <t xml:space="preserve">  NOT_PROJECTED: el mix por etapa no se proyecta (sin base divulgada); el total forecast referencia el roll-forward del BS.</t>
  </si>
  <si>
    <t>B. PROVISIÓN Y TASA (checks 16-17)</t>
  </si>
  <si>
    <t xml:space="preserve">  Provisión del año (IS ModeloFinanciero)</t>
  </si>
  <si>
    <t xml:space="preserve">  Tasa de provisión — driver activo (Supuestos)</t>
  </si>
  <si>
    <t xml:space="preserve">  Reserva según BS ModeloFinanciero</t>
  </si>
  <si>
    <t xml:space="preserve">  CHECK Δ reserva Credit_Quality − BS (=0 OK)</t>
  </si>
  <si>
    <t>C. CLASIFICACIÓN REGULATORIA SBP (memo)</t>
  </si>
  <si>
    <t xml:space="preserve">  BASE_DISTINTA: cifras en la base/unidad del filing (no re-escaladas); no comparables 1:1 con la reserva consolidada — no se computa cobertura cruzada.</t>
  </si>
  <si>
    <t>Capital_Adequacy — CET1/AT1/RWA y el candado del dividendo (R3/R6/R8)</t>
  </si>
  <si>
    <t>Histórico verbatim Nota 4.7 (Administración de capital) — Nota 33 (Aspectos regulatorios y reserva de capital) aporta el detalle de la reserva dinámica SBP; forecast: CET1 += utilidad retenida (Modelo × (1−payout local source-backed)); RWA ∝ cartera (proxy, flaggeado).</t>
  </si>
  <si>
    <t>A. STACK DE CAPITAL REGULATORIO</t>
  </si>
  <si>
    <t xml:space="preserve">  CET1 — capital primario ordinario</t>
  </si>
  <si>
    <t xml:space="preserve">  AT1 — capital primario adicional (bonos perpetuos)</t>
  </si>
  <si>
    <t xml:space="preserve">  Tier 1 (CET1 + AT1)</t>
  </si>
  <si>
    <t xml:space="preserve">  Capital total (sin Tier 2 divulgado)</t>
  </si>
  <si>
    <t>B. ACTIVOS PONDERADOS POR RIESGO</t>
  </si>
  <si>
    <t xml:space="preserve">  RWA total</t>
  </si>
  <si>
    <t xml:space="preserve">  RWA_PROXY_LOAN_GROWTH: RWA forecast crece al driver de cartera (mix de ponderaciones constante); componentes solo histórico.</t>
  </si>
  <si>
    <t>C. FORECAST DE CAPITAL (válvula R3)</t>
  </si>
  <si>
    <t xml:space="preserve">  Fuente payout: EEFF "Estado consolidado de flujos de efectivo" / "Dividendos pagados acciones comunes" ÷ EEFF "Estado consolidado de ganancia o pérdida" / "Ganancia del año"; promedio FY21A-FY25A.</t>
  </si>
  <si>
    <t xml:space="preserve">  Dividendos pagados (positivo para payout, ref EEFF)</t>
  </si>
  <si>
    <t xml:space="preserve">  Utilidad neta / ganancia del año (ref EEFF)</t>
  </si>
  <si>
    <t xml:space="preserve">  Payout histórico revelado (dividendos ÷ utilidad neta)</t>
  </si>
  <si>
    <t xml:space="preserve">  Payout promedio histórico revelado (92.95%; driver local W3-HF)</t>
  </si>
  <si>
    <t xml:space="preserve">  Índice de capital total (computado, = capital ÷ RWA)</t>
  </si>
  <si>
    <t xml:space="preserve">  Índice divulgado (Nota, R8 tie disclosed-vs-computed)</t>
  </si>
  <si>
    <t xml:space="preserve">  CHECK Δ computado − divulgado (≈0, redondeo bp)</t>
  </si>
  <si>
    <t xml:space="preserve">  Mínimo SBP capital total (phase-in jul-2026: 10.50%)</t>
  </si>
  <si>
    <t xml:space="preserve">  Holgura sobre el mínimo (checks 19-21)</t>
  </si>
  <si>
    <t>Liquidity — índice legal SBP e índice interno de gestión</t>
  </si>
  <si>
    <t>Histórico verbatim Nota 4.3 (Riesgo de liquidez o financiamiento). Dos métricas DISTINTAS: legal (Acuerdo 4-2008, mínimo 30%) vs interna de gestión — no conflar.</t>
  </si>
  <si>
    <t>A. ÍNDICE DE LIQUIDEZ LEGAL (SBP, Acuerdo 4-2008)</t>
  </si>
  <si>
    <t xml:space="preserve">  Índice legal reportado</t>
  </si>
  <si>
    <t xml:space="preserve">  Mínimo regulatorio</t>
  </si>
  <si>
    <t xml:space="preserve">  Holgura sobre el mínimo (check 22)</t>
  </si>
  <si>
    <t>B. ÍNDICE INTERNO DE GESTIÓN (si divulgado)</t>
  </si>
  <si>
    <t xml:space="preserve">  NOT_DISCLOSED: sin índice interno separado en este filing.</t>
  </si>
  <si>
    <t xml:space="preserve">  LIQUIDITY_FORECAST_PENDING: proyectar liquidez exige el detalle ALM de vencimientos (fase posterior); no se inventan ratios forward.</t>
  </si>
  <si>
    <t>_CHECKS panel — bank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</si>
  <si>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</si>
  <si>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</si>
  <si>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</si>
  <si>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</si>
  <si>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</si>
  <si>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</si>
  <si>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</si>
  <si>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</si>
  <si>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</si>
  <si>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</si>
  <si>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</si>
  <si>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</si>
  <si>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</si>
  <si>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</si>
  <si>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</si>
  <si>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</si>
  <si>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</si>
  <si>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</si>
  <si>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</si>
  <si>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KNOWN_RESIDUAL</t>
  </si>
  <si>
    <t>-41319109 @ FY25A</t>
  </si>
  <si>
    <t>G7a cash tie: Bank/lender cash definition gap suspected; signed as visible known residual.</t>
  </si>
  <si>
    <t>CF_ROLLFORWARD</t>
  </si>
  <si>
    <t>UNIVERSAL | expected 0; hard_tie_tolerance; historical rows may be WARN if source CF transcript is incomplete. | source applies_to: all 16 where CF is modeled</t>
  </si>
  <si>
    <t>SOURCE_GAP</t>
  </si>
  <si>
    <t>No semantic anchors resolved for CF_ROLLFORWARD.</t>
  </si>
  <si>
    <t>NI_TIE_TO_EQUITY</t>
  </si>
  <si>
    <t>UNIVERSAL | expected 0; hard_tie_tolerance. | source applies_to: all 16</t>
  </si>
  <si>
    <t>No semantic anchors resolved for NI_TIE_TO_EQUITY.</t>
  </si>
  <si>
    <t>NI_SIGN_SANITY</t>
  </si>
  <si>
    <t>UNIVERSAL | expected 0; sign convention must be stated in row description. | source applies_to: all 16</t>
  </si>
  <si>
    <t>No semantic anchors resolved for NI_SIGN_SANITY.</t>
  </si>
  <si>
    <t>RE_ROLLFORWARD</t>
  </si>
  <si>
    <t>UNIVERSAL | expected 0; hard_tie_tolerance. | source applies_to: all 16 with RE row</t>
  </si>
  <si>
    <t>-5856289 @ FY25A</t>
  </si>
  <si>
    <t>G7c retained earnings roll: Capital/regulatory/fair-value reserves suspected; signed as visible known residual.</t>
  </si>
  <si>
    <t>EQUITY_TOTAL_TIE</t>
  </si>
  <si>
    <t>Financial-issuer equity component taxonomy is visible but not signed as a hard lineitem-sum control.</t>
  </si>
  <si>
    <t>BS_LINEITEM_SUM_ASSETS</t>
  </si>
  <si>
    <t>Financial-issuer asset component taxonomy is visible but not signed as a hard lineitem-sum control.</t>
  </si>
  <si>
    <t>BS_LINEITEM_SUM_LIAB_EQUITY</t>
  </si>
  <si>
    <t>Financial-issuer liability/equity component taxonomy is visible but not signed as a hard lineitem-sum control.</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</si>
  <si>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</si>
  <si>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</si>
  <si>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</si>
  <si>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</si>
  <si>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</si>
  <si>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</si>
  <si>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</si>
  <si>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</si>
  <si>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</si>
  <si>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</si>
  <si>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</si>
  <si>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</si>
  <si>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LEASE_SCHEDULE_TIE</t>
  </si>
  <si>
    <t>ARCHETYPE/conditional | expected 0; hard_tie_tolerance. | source applies_to: IFRS-16 issuers</t>
  </si>
  <si>
    <t>No semantic anchors resolved for LEASE_SCHEDULE_TIE.</t>
  </si>
  <si>
    <t>BANK CHECKS</t>
  </si>
  <si>
    <t>BANK_NET_LOANS</t>
  </si>
  <si>
    <t>ARCHETYPE | expected 0; hard_tie_tolerance. | source applies_to: bank, non-bank-lender with loan book</t>
  </si>
  <si>
    <t>Bank schedule value is visible; row-level residual/cushion semantics need a signed hard-control policy before blocking.</t>
  </si>
  <si>
    <t>BANK_DEPOSITS</t>
  </si>
  <si>
    <t>ARCHETYPE | expected 0; hard_tie_tolerance. | source applies_to: bank</t>
  </si>
  <si>
    <t>No semantic anchors resolved for BANK_DEPOSITS.</t>
  </si>
  <si>
    <t>BANK_ALLOWANCE</t>
  </si>
  <si>
    <t>ARCHETYPE | expected 0 under observed sign convention. | source applies_to: bank, non-bank-lender</t>
  </si>
  <si>
    <t>BANK_NII_TIE</t>
  </si>
  <si>
    <t>ARCHETYPE | expected 0; hard_tie_tolerance. | source applies_to: bank, non-bank-lender where NIM build exists</t>
  </si>
  <si>
    <t>BANK_CET1_CUSHION</t>
  </si>
  <si>
    <t>ARCHETYPE | must be &gt;=0; negative is regulatory breach. | source applies_to: bank</t>
  </si>
  <si>
    <t>0 cushion</t>
  </si>
  <si>
    <t>&gt;=0</t>
  </si>
  <si>
    <t>BANK_NPL_COVERAGE</t>
  </si>
  <si>
    <t>ARCHETYPE | must be &gt;=0. | source applies_to: bank, non-bank-lender where NPL coverage is material</t>
  </si>
  <si>
    <t>Bank NPL coverage value is visible; covenant floor semantics need a signed hard-control policy before blocking.</t>
  </si>
  <si>
    <t>BANK_LIQUIDITY_SBP</t>
  </si>
  <si>
    <t>ARCHETYPE | must be &gt;=0; Banco General floor observed via Assumptions!C488. | source applies_to: Panama bank</t>
  </si>
  <si>
    <t>Source_Register — bank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</si>
  <si>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</si>
  <si>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</si>
  <si>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</si>
  <si>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</si>
  <si>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</si>
  <si>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</si>
  <si>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</si>
  <si>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</si>
  <si>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</si>
  <si>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</si>
  <si>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</si>
  <si>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</si>
  <si>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OCR_ROOT:global-bank</t>
  </si>
  <si>
    <t>OCR_ROOT</t>
  </si>
  <si>
    <t>GLOBAN</t>
  </si>
  <si>
    <t>EEFF; Notas_EEFF</t>
  </si>
  <si>
    <t>OCR of the published filings</t>
  </si>
  <si>
    <t>Annual reports (INA) of global-bank</t>
  </si>
  <si>
    <t>EEFF_FILING:ina_globan_2021_0</t>
  </si>
  <si>
    <t>EEFF_FILING</t>
  </si>
  <si>
    <t>EEFF; Notas_EEFF; MD&amp;A</t>
  </si>
  <si>
    <t>00-index.md; 01-eeff.md; 02-notas.md; 03-mda.md; 09-otros.md</t>
  </si>
  <si>
    <t>217</t>
  </si>
  <si>
    <t>markdown.md sha256=0eba5a6eb9494b03...</t>
  </si>
  <si>
    <t>EEFF_FILING:ina_globan_2022_0</t>
  </si>
  <si>
    <t>212</t>
  </si>
  <si>
    <t>markdown.md sha256=eef1ed68f583a33b...</t>
  </si>
  <si>
    <t>EEFF_FILING:ina_globan_2023_0</t>
  </si>
  <si>
    <t>197</t>
  </si>
  <si>
    <t>markdown.md sha256=b3385aff76398cd8...</t>
  </si>
  <si>
    <t>EEFF_FILING:ina_globan_2024_0</t>
  </si>
  <si>
    <t>markdown.md sha256=a3562eb85b524f74...</t>
  </si>
  <si>
    <t>EEFF_FILING:ina_globan_2025_0</t>
  </si>
  <si>
    <t>175</t>
  </si>
  <si>
    <t>markdown.md sha256=37d9c0c95385cce8...</t>
  </si>
  <si>
    <t>NOTA:INA_GLOBAN_2021_0.pdf#3</t>
  </si>
  <si>
    <t>NOTA</t>
  </si>
  <si>
    <t>markdown.md; tbl-69.html</t>
  </si>
  <si>
    <t>Notas_EEFF</t>
  </si>
  <si>
    <t>260</t>
  </si>
  <si>
    <t>NOTA:INA_GLOBAN_2021_0.pdf#4</t>
  </si>
  <si>
    <t>markdown.md; tbl-70.html; tbl-71.html; +16 more</t>
  </si>
  <si>
    <t>126</t>
  </si>
  <si>
    <t>NOTA:INA_GLOBAN_2022_0.pdf#10</t>
  </si>
  <si>
    <t>markdown.md; tbl-102.html; tbl-103.html; +2 more</t>
  </si>
  <si>
    <t>NOTA:INA_GLOBAN_2022_0.pdf#11</t>
  </si>
  <si>
    <t>markdown.md; tbl-106.html</t>
  </si>
  <si>
    <t>NOTA:INA_GLOBAN_2022_0.pdf#12</t>
  </si>
  <si>
    <t>markdown.md; tbl-107.html; tbl-108.html; +1 more</t>
  </si>
  <si>
    <t>NOTA:INA_GLOBAN_2022_0.pdf#13</t>
  </si>
  <si>
    <t>markdown.md; tbl-110.html; tbl-111.html; +3 more</t>
  </si>
  <si>
    <t>NOTA:INA_GLOBAN_2022_0.pdf#14</t>
  </si>
  <si>
    <t>NOTA:INA_GLOBAN_2022_0.pdf#15</t>
  </si>
  <si>
    <t>markdown.md; tbl-116.html</t>
  </si>
  <si>
    <t>NOTA:INA_GLOBAN_2022_0.pdf#16</t>
  </si>
  <si>
    <t>markdown.md; tbl-117.html; tbl-118.html; +1 more</t>
  </si>
  <si>
    <t>NOTA:INA_GLOBAN_2022_0.pdf#17</t>
  </si>
  <si>
    <t>markdown.md; tbl-120.html; tbl-121.html; +1 more</t>
  </si>
  <si>
    <t>NOTA:INA_GLOBAN_2022_0.pdf#18</t>
  </si>
  <si>
    <t>markdown.md; tbl-123.html; tbl-124.html</t>
  </si>
  <si>
    <t>NOTA:INA_GLOBAN_2022_0.pdf#19</t>
  </si>
  <si>
    <t>markdown.md; tbl-125.html; tbl-126.html</t>
  </si>
  <si>
    <t>NOTA:INA_GLOBAN_2022_0.pdf#20</t>
  </si>
  <si>
    <t>markdown.md; tbl-127.html; tbl-128.html; +1 more</t>
  </si>
  <si>
    <t>NOTA:INA_GLOBAN_2022_0.pdf#21</t>
  </si>
  <si>
    <t>markdown.md; tbl-130.html</t>
  </si>
  <si>
    <t>NOTA:INA_GLOBAN_2022_0.pdf#22</t>
  </si>
  <si>
    <t>markdown.md; tbl-131.html</t>
  </si>
  <si>
    <t>NOTA:INA_GLOBAN_2022_0.pdf#23</t>
  </si>
  <si>
    <t>NOTA:INA_GLOBAN_2022_0.pdf#24</t>
  </si>
  <si>
    <t>NOTA:INA_GLOBAN_2022_0.pdf#25</t>
  </si>
  <si>
    <t>markdown.md; tbl-133.html</t>
  </si>
  <si>
    <t>NOTA:INA_GLOBAN_2022_0.pdf#26</t>
  </si>
  <si>
    <t>NOTA:INA_GLOBAN_2022_0.pdf#27</t>
  </si>
  <si>
    <t>NOTA:INA_GLOBAN_2022_0.pdf#28</t>
  </si>
  <si>
    <t>markdown.md; tbl-135.html</t>
  </si>
  <si>
    <t>NOTA:INA_GLOBAN_2022_0.pdf#29</t>
  </si>
  <si>
    <t>markdown.md; tbl-136.html</t>
  </si>
  <si>
    <t>NOTA:INA_GLOBAN_2022_0.pdf#30</t>
  </si>
  <si>
    <t>NOTA:INA_GLOBAN_2022_0.pdf#31</t>
  </si>
  <si>
    <t>markdown.md; tbl-138.html; tbl-139.html; +3 more</t>
  </si>
  <si>
    <t>NOTA:INA_GLOBAN_2022_0.pdf#32</t>
  </si>
  <si>
    <t>markdown.md; tbl-143.html</t>
  </si>
  <si>
    <t>NOTA:INA_GLOBAN_2022_0.pdf#33</t>
  </si>
  <si>
    <t>markdown.md; tbl-144.html</t>
  </si>
  <si>
    <t>NOTA:INA_GLOBAN_2022_0.pdf#34</t>
  </si>
  <si>
    <t>markdown.md; tbl-145.html; tbl-146.html; +7 more</t>
  </si>
  <si>
    <t>60</t>
  </si>
  <si>
    <t>NOTA:INA_GLOBAN_2022_0.pdf#35</t>
  </si>
  <si>
    <t>NOTA:INA_GLOBAN_2022_0.pdf#36</t>
  </si>
  <si>
    <t>markdown.md; tbl-155.html; tbl-156.html; +3 more</t>
  </si>
  <si>
    <t>NOTA:INA_GLOBAN_2022_0.pdf#37</t>
  </si>
  <si>
    <t>markdown.md; tbl-161.html; tbl-162.html</t>
  </si>
  <si>
    <t>NOTA:INA_GLOBAN_2022_0.pdf#6</t>
  </si>
  <si>
    <t>markdown.md; tbl-95.html; tbl-96.html</t>
  </si>
  <si>
    <t>NOTA:INA_GLOBAN_2022_0.pdf#7</t>
  </si>
  <si>
    <t>markdown.md; tbl-97.html</t>
  </si>
  <si>
    <t>NOTA:INA_GLOBAN_2022_0.pdf#8</t>
  </si>
  <si>
    <t>NOTA:INA_GLOBAN_2022_0.pdf#9</t>
  </si>
  <si>
    <t>markdown.md; tbl-100.html; tbl-101.html; +2 more</t>
  </si>
  <si>
    <t>NOTA:INA_GLOBAN_2023_0.pdf#10</t>
  </si>
  <si>
    <t>NOTA:INA_GLOBAN_2023_0.pdf#11</t>
  </si>
  <si>
    <t>markdown.md; tbl-103.html</t>
  </si>
  <si>
    <t>NOTA:INA_GLOBAN_2023_0.pdf#12</t>
  </si>
  <si>
    <t>markdown.md; tbl-104.html; tbl-105.html</t>
  </si>
  <si>
    <t>NOTA:INA_GLOBAN_2023_0.pdf#13</t>
  </si>
  <si>
    <t>markdown.md; tbl-106.html; tbl-107.html; +3 more</t>
  </si>
  <si>
    <t>NOTA:INA_GLOBAN_2023_0.pdf#14</t>
  </si>
  <si>
    <t>NOTA:INA_GLOBAN_2023_0.pdf#15</t>
  </si>
  <si>
    <t>markdown.md; tbl-115.html</t>
  </si>
  <si>
    <t>NOTA:INA_GLOBAN_2023_0.pdf#16</t>
  </si>
  <si>
    <t>markdown.md; tbl-116.html; tbl-117.html; +1 more</t>
  </si>
  <si>
    <t>NOTA:INA_GLOBAN_2023_0.pdf#17</t>
  </si>
  <si>
    <t>markdown.md; tbl-119.html; tbl-120.html; +1 more</t>
  </si>
  <si>
    <t>NOTA:INA_GLOBAN_2023_0.pdf#18</t>
  </si>
  <si>
    <t>markdown.md; tbl-122.html; tbl-123.html</t>
  </si>
  <si>
    <t>NOTA:INA_GLOBAN_2023_0.pdf#19</t>
  </si>
  <si>
    <t>markdown.md; tbl-124.html; tbl-125.html; +1 more</t>
  </si>
  <si>
    <t>NOTA:INA_GLOBAN_2023_0.pdf#20</t>
  </si>
  <si>
    <t>markdown.md; tbl-127.html</t>
  </si>
  <si>
    <t>NOTA:INA_GLOBAN_2023_0.pdf#21</t>
  </si>
  <si>
    <t>markdown.md; tbl-128.html; tbl-129.html</t>
  </si>
  <si>
    <t>NOTA:INA_GLOBAN_2023_0.pdf#22</t>
  </si>
  <si>
    <t>NOTA:INA_GLOBAN_2023_0.pdf#23</t>
  </si>
  <si>
    <t>NOTA:INA_GLOBAN_2023_0.pdf#24</t>
  </si>
  <si>
    <t>NOTA:INA_GLOBAN_2023_0.pdf#25</t>
  </si>
  <si>
    <t>NOTA:INA_GLOBAN_2023_0.pdf#26</t>
  </si>
  <si>
    <t>NOTA:INA_GLOBAN_2023_0.pdf#27</t>
  </si>
  <si>
    <t>NOTA:INA_GLOBAN_2023_0.pdf#28</t>
  </si>
  <si>
    <t>markdown.md; tbl-134.html</t>
  </si>
  <si>
    <t>NOTA:INA_GLOBAN_2023_0.pdf#29</t>
  </si>
  <si>
    <t>NOTA:INA_GLOBAN_2023_0.pdf#30</t>
  </si>
  <si>
    <t>markdown.md; tbl-136.html; tbl-137.html; +3 more</t>
  </si>
  <si>
    <t>NOTA:INA_GLOBAN_2023_0.pdf#31</t>
  </si>
  <si>
    <t>markdown.md; tbl-141.html</t>
  </si>
  <si>
    <t>NOTA:INA_GLOBAN_2023_0.pdf#32</t>
  </si>
  <si>
    <t>markdown.md; tbl-142.html</t>
  </si>
  <si>
    <t>NOTA:INA_GLOBAN_2023_0.pdf#33</t>
  </si>
  <si>
    <t>markdown.md; tbl-143.html; tbl-144.html; +7 more</t>
  </si>
  <si>
    <t>62</t>
  </si>
  <si>
    <t>NOTA:INA_GLOBAN_2023_0.pdf#34</t>
  </si>
  <si>
    <t>NOTA:INA_GLOBAN_2023_0.pdf#35</t>
  </si>
  <si>
    <t>markdown.md; tbl-153.html; tbl-154.html</t>
  </si>
  <si>
    <t>NOTA:INA_GLOBAN_2023_0.pdf#36</t>
  </si>
  <si>
    <t>markdown.md; tbl-155.html; tbl-156.html</t>
  </si>
  <si>
    <t>NOTA:INA_GLOBAN_2023_0.pdf#6</t>
  </si>
  <si>
    <t>markdown.md; tbl-92.html; tbl-93.html</t>
  </si>
  <si>
    <t>NOTA:INA_GLOBAN_2023_0.pdf#7</t>
  </si>
  <si>
    <t>markdown.md; tbl-94.html</t>
  </si>
  <si>
    <t>NOTA:INA_GLOBAN_2023_0.pdf#8</t>
  </si>
  <si>
    <t>NOTA:INA_GLOBAN_2023_0.pdf#9</t>
  </si>
  <si>
    <t>markdown.md; tbl-95.html; tbl-96.html; +2 more</t>
  </si>
  <si>
    <t>NOTA:INA_GLOBAN_2024_0.pdf#10</t>
  </si>
  <si>
    <t>markdown.md; tbl-88.html; tbl-89.html; +2 more</t>
  </si>
  <si>
    <t>NOTA:INA_GLOBAN_2024_0.pdf#11</t>
  </si>
  <si>
    <t>NOTA:INA_GLOBAN_2024_0.pdf#12</t>
  </si>
  <si>
    <t>markdown.md; tbl-93.html; tbl-94.html; +1 more</t>
  </si>
  <si>
    <t>NOTA:INA_GLOBAN_2024_0.pdf#13</t>
  </si>
  <si>
    <t>markdown.md; tbl-100.html; tbl-101.html; +5 more</t>
  </si>
  <si>
    <t>NOTA:INA_GLOBAN_2024_0.pdf#14</t>
  </si>
  <si>
    <t>NOTA:INA_GLOBAN_2024_0.pdf#15</t>
  </si>
  <si>
    <t>markdown.md; tbl-104.html</t>
  </si>
  <si>
    <t>NOTA:INA_GLOBAN_2024_0.pdf#16</t>
  </si>
  <si>
    <t>markdown.md; tbl-105.html; tbl-106.html; +1 more</t>
  </si>
  <si>
    <t>NOTA:INA_GLOBAN_2024_0.pdf#17</t>
  </si>
  <si>
    <t>markdown.md; tbl-108.html; tbl-109.html; +1 more</t>
  </si>
  <si>
    <t>NOTA:INA_GLOBAN_2024_0.pdf#18</t>
  </si>
  <si>
    <t>markdown.md; tbl-111.html; tbl-112.html</t>
  </si>
  <si>
    <t>NOTA:INA_GLOBAN_2024_0.pdf#19</t>
  </si>
  <si>
    <t>markdown.md; tbl-113.html; tbl-114.html; +1 more</t>
  </si>
  <si>
    <t>NOTA:INA_GLOBAN_2024_0.pdf#20</t>
  </si>
  <si>
    <t>NOTA:INA_GLOBAN_2024_0.pdf#21</t>
  </si>
  <si>
    <t>markdown.md; tbl-119.html; tbl-120.html</t>
  </si>
  <si>
    <t>NOTA:INA_GLOBAN_2024_0.pdf#22</t>
  </si>
  <si>
    <t>NOTA:INA_GLOBAN_2024_0.pdf#23</t>
  </si>
  <si>
    <t>NOTA:INA_GLOBAN_2024_0.pdf#24</t>
  </si>
  <si>
    <t>NOTA:INA_GLOBAN_2024_0.pdf#25</t>
  </si>
  <si>
    <t>NOTA:INA_GLOBAN_2024_0.pdf#26</t>
  </si>
  <si>
    <t>NOTA:INA_GLOBAN_2024_0.pdf#27</t>
  </si>
  <si>
    <t>markdown.md; tbl-124.html</t>
  </si>
  <si>
    <t>NOTA:INA_GLOBAN_2024_0.pdf#28</t>
  </si>
  <si>
    <t>markdown.md; tbl-125.html</t>
  </si>
  <si>
    <t>NOTA:INA_GLOBAN_2024_0.pdf#29</t>
  </si>
  <si>
    <t>NOTA:INA_GLOBAN_2024_0.pdf#30</t>
  </si>
  <si>
    <t>markdown.md; tbl-127.html; tbl-128.html; +3 more</t>
  </si>
  <si>
    <t>NOTA:INA_GLOBAN_2024_0.pdf#31</t>
  </si>
  <si>
    <t>markdown.md; tbl-132.html</t>
  </si>
  <si>
    <t>NOTA:INA_GLOBAN_2024_0.pdf#32</t>
  </si>
  <si>
    <t>NOTA:INA_GLOBAN_2024_0.pdf#33</t>
  </si>
  <si>
    <t>markdown.md; tbl-134.html; tbl-135.html; +7 more</t>
  </si>
  <si>
    <t>61</t>
  </si>
  <si>
    <t>NOTA:INA_GLOBAN_2024_0.pdf#34</t>
  </si>
  <si>
    <t>markdown.md; tbl-144.html; tbl-145.html</t>
  </si>
  <si>
    <t>NOTA:INA_GLOBAN_2024_0.pdf#5</t>
  </si>
  <si>
    <t>markdown.md; tbl-76.html; tbl-77.html; +3 more</t>
  </si>
  <si>
    <t>NOTA:INA_GLOBAN_2024_0.pdf#6</t>
  </si>
  <si>
    <t>markdown.md; tbl-81.html; tbl-82.html</t>
  </si>
  <si>
    <t>NOTA:INA_GLOBAN_2024_0.pdf#7</t>
  </si>
  <si>
    <t>markdown.md; tbl-83.html</t>
  </si>
  <si>
    <t>NOTA:INA_GLOBAN_2024_0.pdf#8</t>
  </si>
  <si>
    <t>NOTA:INA_GLOBAN_2024_0.pdf#9</t>
  </si>
  <si>
    <t>markdown.md; tbl-84.html; tbl-85.html; +2 more</t>
  </si>
  <si>
    <t>NOTA:INA_GLOBAN_2025_0.pdf#1</t>
  </si>
  <si>
    <t>NOTA:INA_GLOBAN_2025_0.pdf#2</t>
  </si>
  <si>
    <t>markdown.md; tbl-32.html</t>
  </si>
  <si>
    <t>51</t>
  </si>
  <si>
    <t>NOTA:INA_GLOBAN_2025_0.pdf#3</t>
  </si>
  <si>
    <t>markdown.md; tbl-33.html</t>
  </si>
  <si>
    <t>237</t>
  </si>
  <si>
    <t>NOTA:INA_GLOBAN_2025_0.pdf#4</t>
  </si>
  <si>
    <t>markdown.md; tbl-34.html; tbl-35.html; +15 more</t>
  </si>
  <si>
    <t>109</t>
  </si>
  <si>
    <t>DRIVER:EEFF:Comisiones ganadas@row10</t>
  </si>
  <si>
    <t>DRIVER_EEFF</t>
  </si>
  <si>
    <t>Supuestos</t>
  </si>
  <si>
    <t>Comisiones ganadas (hist, ref EEFF)</t>
  </si>
  <si>
    <t>Comisiones ganadas@row10</t>
  </si>
  <si>
    <t>DRIVER:EEFF:Depósitos de clientes@row45</t>
  </si>
  <si>
    <t>Depósitos de clientes (hist, ref EEFF)</t>
  </si>
  <si>
    <t>Depósitos de clientes@row45</t>
  </si>
  <si>
    <t>DRIVER:EEFF:Gasto por intereses@row8; EEFF:Ingresos por intereses@row7</t>
  </si>
  <si>
    <t>Gasto por intereses ÷ ingresos (hist, ref EEFF)</t>
  </si>
  <si>
    <t>Gasto por intereses@row8; EEFF:Ingresos por intereses@row7</t>
  </si>
  <si>
    <t>DRIVER:EEFF:Ingresos por intereses@row7</t>
  </si>
  <si>
    <t>Ingresos por intereses (hist, ref EEFF)</t>
  </si>
  <si>
    <t>Ingresos por intereses@row7</t>
  </si>
  <si>
    <t>DRIVER:EEFF:Otros ingresos@row19</t>
  </si>
  <si>
    <t>Otros ingresos (hist, ref EEFF)</t>
  </si>
  <si>
    <t>Otros ingresos@row19</t>
  </si>
  <si>
    <t>DRIVER:EEFF:Provisión para préstamos incobrables@row14</t>
  </si>
  <si>
    <t>Provisión para préstamos incobrables (hist, ref EEFF)</t>
  </si>
  <si>
    <t>Provisión para préstamos incobrables@row14</t>
  </si>
  <si>
    <t>DRIVER:EEFF:Provisión para préstamos incobrables@row14; EEFF:Préstamos, neto@row40</t>
  </si>
  <si>
    <t>Provisión / préstamos netos (hist, ref EEFF)</t>
  </si>
  <si>
    <t>Provisión para préstamos incobrables@row14; EEFF:Préstamos, neto@row40</t>
  </si>
  <si>
    <t>DRIVER:EEFF:Préstamos, neto@row40</t>
  </si>
  <si>
    <t>Préstamos, neto (hist, ref EEFF)</t>
  </si>
  <si>
    <t>Préstamos, neto@row40</t>
  </si>
  <si>
    <t>DRIVER:EEFF:Total de otros gastos@row28</t>
  </si>
  <si>
    <t>Total de otros gastos (hist, ref EEFF)</t>
  </si>
  <si>
    <t>Total de otros gastos@row28</t>
  </si>
  <si>
    <t>DRIVER:driver_tree:credit_provision_rate</t>
  </si>
  <si>
    <t>DRIVER_CONTRACT</t>
  </si>
  <si>
    <t>Tasa de provisión sobre préstamos BOP — driver activo</t>
  </si>
  <si>
    <t>credit_provision_rate</t>
  </si>
  <si>
    <t>DRIVER:driver_tree:deposit_growth; macro_assumptions:gdp_growth_nominal=0.04</t>
  </si>
  <si>
    <t>Crecimiento de depósitos de clientes (% YoY) — driver activo</t>
  </si>
  <si>
    <t>deposit_growth; macro_assumptions:gdp_growth_nominal=0.04</t>
  </si>
  <si>
    <t>DRIVER:driver_tree:fee_growth</t>
  </si>
  <si>
    <t>Crecimiento de comisiones ganadas (% YoY) — driver activo</t>
  </si>
  <si>
    <t>fee_growth</t>
  </si>
  <si>
    <t>DRIVER:driver_tree:interest_expense_ratio</t>
  </si>
  <si>
    <t>Gasto por intereses — driver activo</t>
  </si>
  <si>
    <t>interest_expense_ratio</t>
  </si>
  <si>
    <t>DRIVER:driver_tree:interest_income_growth</t>
  </si>
  <si>
    <t>Ingresos por intereses — driver activo</t>
  </si>
  <si>
    <t>interest_income_growth</t>
  </si>
  <si>
    <t>DRIVER:driver_tree:loan_growth; macro_assumptions:gdp_growth_nominal=0.04</t>
  </si>
  <si>
    <t>Crecimiento de préstamos netos (% YoY) — driver activo</t>
  </si>
  <si>
    <t>loan_growth; macro_assumptions:gdp_growth_nominal=0.04</t>
  </si>
  <si>
    <t>DRIVER:driver_tree:operating_expense_growth</t>
  </si>
  <si>
    <t>Crecimiento de gastos operativos (% YoY) — driver activo</t>
  </si>
  <si>
    <t>operating_expense_growth</t>
  </si>
  <si>
    <t>DRIVER:driver_tree:other_income_growth</t>
  </si>
  <si>
    <t>Crecimiento de otros ingresos (% YoY) — driver activo</t>
  </si>
  <si>
    <t>other_income_growth</t>
  </si>
  <si>
    <t>BANK_SCHEDULE:Loan_Book</t>
  </si>
  <si>
    <t>BANK_SCHEDULE</t>
  </si>
  <si>
    <t>Loan_Book</t>
  </si>
  <si>
    <t>a working file kept by the maintainer</t>
  </si>
  <si>
    <t>Bank schedule figures derive from a working file kept by the maintainer; row-level source citation is not yet decomposed to nota granularity (D6/D7 scope).</t>
  </si>
  <si>
    <t>BANK_SCHEDULE:Deposits_Funding</t>
  </si>
  <si>
    <t>Deposits_Funding</t>
  </si>
  <si>
    <t>BANK_SCHEDULE:NIM_Build</t>
  </si>
  <si>
    <t>NIM_Build</t>
  </si>
  <si>
    <t>BANK_SCHEDULE:Credit_Quality</t>
  </si>
  <si>
    <t>Credit_Quality</t>
  </si>
  <si>
    <t>BANK_SCHEDULE:Capital_Adequacy</t>
  </si>
  <si>
    <t>Capital_Adequacy</t>
  </si>
  <si>
    <t>BANK_SCHEDULE:Liquidity</t>
  </si>
  <si>
    <t>Liquidity</t>
  </si>
  <si>
    <t>REGULATOR:SMV:global-bank</t>
  </si>
  <si>
    <t>REGULATOR</t>
  </si>
  <si>
    <t>Source_Register</t>
  </si>
  <si>
    <t>https://supervalores.gob.pa/listado-de-emisores-con-valores-registrados/</t>
  </si>
  <si>
    <t>46210</t>
  </si>
  <si>
    <t>SMV (supervalores.gob.pa) — emisor con valores registrados: Acciones preferidas, Bonos Corporativos, Bonos Subordinados (Global Bank Corporation, Inc.). Listado oficial consultado 2026-07-07.</t>
  </si>
  <si>
    <t>REGULATOR:SBP:global-bank</t>
  </si>
  <si>
    <t>https://www.superbancos.gob.pa/node/1228</t>
  </si>
  <si>
    <t>SBP (superbancos.gob.pa) — Global Bank Corporation (Licencia General); reportes estadísticos por banco (balance/estado de resultados individuales). Consultado 2026-07-07.</t>
  </si>
  <si>
    <t>_CHANGELOG — generation record for global-bank.</t>
  </si>
  <si>
    <t>Internal build history omitted from the public export. Record public changes below.</t>
  </si>
  <si>
    <t>MD&amp;A — IN-A FY2025 (Global Bank Corporation), Sección "Análisis de Resultados Financieros y Operativos" (transcripción verbatim del filing público; linaje archivo-línea en Source_Register).</t>
  </si>
  <si>
    <t>II. ANÁLISIS DE RESULTADOS FINANCIEROS Y OPERATIVOS</t>
  </si>
  <si>
    <t>Estado consolidado condensado de situación financiera al cierre de junio 2025 vs 2024:</t>
  </si>
  <si>
    <t>[tbl-2.html](tbl-2.html)</t>
  </si>
  <si>
    <t># Activos</t>
  </si>
  <si>
    <t>El nivel de activos totales llega a la cifra de US$8,503,001,576 lo que representa una disminución de US$17,281,056 (0.20%) con respecto a junio 2024. La cartera de préstamos neta incluyendo los intereses por cobrar cierra en US$6,141,543,608 lo que representa una disminución de US$174,165,959 (2.76%) con respecto a junio 2024.</t>
  </si>
  <si>
    <t>La reserva para préstamos incobrables disminuye a US$213,320,690 lo cual representa el 3.43% del total de la cartera de préstamos y el 118.91% de los préstamos vencidos.</t>
  </si>
  <si>
    <t>Con respecto al total de cartera de inversiones después de provisión incluyendo los intereses al 30 de junio de 2025 es de US$1,136,648,533 muestra un aumento de US$87,322,371 (8.32%) comparado con el cierre a junio 2024. La cartera de inversiones al valor razonable con cambios en otras utilidades integrales por US$674,051,469 muestra un aumento por US$107,604,287 (19.00%), inversiones al valor razonable con cambios en resultados por US$69,298,285, refleja una disminución por US$2,333,397 (3.26%) y la cartera de inversiones a costo amortizado por US$383,980,942, reflejando una disminución por US$18,360,593 (4.56%) comparado con cifras a junio 2024. En base a la concentración de riesgo de crédito las inversiones incluyendo los acuerdos de reventa se distribuye en US$509,834,652 (45.03%) al sector de gobierno y US$622,493,681 (54.97%) al sector corporativo.</t>
  </si>
  <si>
    <t>Al 30 de junio de 2025, los activos fijos cierran con un saldo de US$192,001,647, reflejando un aumento por US$600,616 (0.31%) con cifras comparadas a junio 2024 y representa el 2.26% del total de los activos. Los activos por derecho de uso producto por US$9,660,940 a junio 2025, disminuyen por US$1,630,649 (14.44%) comparado con junio 2024. Los activos varios reflejan un saldo de US$584,449,645 a junio 2025 con un aumento del 2.64% y 6.87% del total de los activos.</t>
  </si>
  <si>
    <t># Pasivos</t>
  </si>
  <si>
    <t>Al cierre de junio 2025 el total de depósitos captados por el Banco incluyendo los intereses acumulados es por US$5,772,809,411 que representa un aumento de US$391,162,084 (7.27%) con respecto a junio 2024. Del total de los depósitos de clientes el 54.67% representa a clientes corporativos, 45.04% a clientes personales y 0.29% corresponden a clientes interbancarios con respecto al total de los depósitos a junio 2025.</t>
  </si>
  <si>
    <t>Los depósitos a plazo fijo de clientes aumentaron por US$333,818,522 (8.98%) para un total de US$4,049,905,426 al 30 de junio de 2025. Estos responden por el 70.15% del total de depósitos. Le siguen en importancia depósitos de ahorros por US$1,147,463,446 cuyo saldo al 30 de junio de 2025 representa el 19.88% de los depósitos totales, con un aumento de US$66,151,244 (6.12%) comparados a junio 2024.</t>
  </si>
  <si>
    <t>Los depósitos a la vista totalizan US$518,103,988 al 30 de junio de 2025, reflejando un aumento de US$50,868,828 (10.89%) comparado a junio 2024. Estos depósitos representan el 8.97% de los depósitos totales.</t>
  </si>
  <si>
    <t>Los depósitos interbancarios con saldos por US$16,750,000 participan con 0.29% de los depósitos totales. El resto de las fuentes de fondos se componen de: obligaciones con instituciones financieras por US$1,232,945,418; bonos corporativos por US$374,069,381; valores vendidos bajo acuerdos de recompra por US$37,321,723 y bonos perpetuos por US$177,320,865.</t>
  </si>
  <si>
    <t>En sus depósitos totales, (sin incluir los intereses por pagar de acuerdo con la Superintendencia de Bancos de Panamá presenta sus depósitos estadísticos) el Banco registra un aumento de 7.24% año con año en comparación a la del sistema de la banca privada panameña que aumentó por 7.36%.</t>
  </si>
  <si>
    <t>En cuanto al pasivo, el Banco registró pasivos por arrendamientos por valor de US$11,539,789 disminuyen por US$1,451,924 (11.18%), comparado con junio 2024. Los pasivos varios reflejan un saldo de US$105,129,335 a junio 2025 con una disminución por US$18,215,884 que representa el 14.77% y 1.36% del total de los pasivos.</t>
  </si>
  <si>
    <t>## Patrimonio</t>
  </si>
  <si>
    <t>Al 30 de junio de 2025, el Banco refleja un patrimonio por US$768,780,430, el cual creció por US$37,404,645 (5.11%) comparado con cifras al cierre de junio 2024.</t>
  </si>
  <si>
    <t>El patrimonio presentó una relación de 9.04% contra el total de activos del Banco a junio 2025. Con respecto a junio 2024 refleja una disminución a 8.58% sobre este mismo indicador.</t>
  </si>
  <si>
    <t>## Liquidez</t>
  </si>
  <si>
    <t>Al 30 de junio de 2025 los activos líquidos totalizan US$1,195,021,881 respondiendo por el 14.05% de los activos totales. Estos se conforman por efectivo y depósitos en bancos por US$429,849,062 y Bonos de la República de Panamá por US$224,250,467 e inversiones internacionales por US$540,922,353 considerados con alta liquidez en el mercado, los cuales están subdivididos en: bonos corporativos de instituciones financieras por US$95,016,869, bonos de agencia por US$203,320,163, bonos soberanos internacionales por US$88,141,717 y en otras industrias por US$154,443,604. Los activos líquidos representan el 20.85% de los depósitos totales recibidos de clientes y bancos por US$5,732,222,860.</t>
  </si>
  <si>
    <t>Como parte de la política de administración de la liquidez se monitorea el riesgo producido por las volatilidades de nuestras fuentes de fondos, medidas que tomamos bajo una proyección diaria y mensual. En adición, hemos establecido un nivel de liquidez mínimo del 15% sobre los depósitos susceptibles a retiros.</t>
  </si>
  <si>
    <t>Al 30 de junio de 2025, el Banco mantiene US$378,742,759 en depósitos pignorados de clientes, que no pueden retirarse, por lo cual, los niveles de activos líquidos ascienden a 22.32% sobre los depósitos netos por US$5,353,480,101. Además de mantener niveles adecuados de liquidez, el Banco administra y mantiene un balance saludable entre el vencimiento de los activos y pasivos.</t>
  </si>
  <si>
    <t>Los esfuerzos del Banco para reducir el descalce entre activos y pasivos y aminorar los riesgos de liquidez incluyen la participación activa en el mercado de valores mediante la emisión de bonos corporativos. Al 30 de junio de 2025 existe una emisión de US$300,000,000 de abril 2019, tuvo una reapertura en septiembre 2019 de US$100,000,000, la cual mantiene un saldo de US$309,750,510, los cuales se encuentran colocados en el mercado de Reino Unido, Estados Unidos, Luxemburgo, España, Suiza, Irlanda, Taiwán, Dinamarca, Francia, Italia y Canadá.</t>
  </si>
  <si>
    <t>La emisión de US$200,000,000 de octubre 2023 mantiene un saldo de US$64,318,871, los mismos se encuentran colocados en el mercado local.</t>
  </si>
  <si>
    <t>Global Bank ha sido muy exitoso en la captación de depósitos de ahorro a través de su red de sucursales. La administración del Banco ve positivamente este desempeño puesto que considera los depósitos de ahorro como una fuente de recursos con un comportamiento estable a largo plazo y de bajo costo.</t>
  </si>
  <si>
    <t>También contamos con disponibilidades en líneas de crédito interbancarias y una cartera de inversiones líquidas que pueden fortalecer los niveles de activos líquidos en caso de que se presente alguna necesidad.</t>
  </si>
  <si>
    <t>Para medir y determinar los niveles de liquidez apropiados, efectuamos análisis de sensibilidad de recuperación de activos y retiros de pasivos en escenarios adversos, así como modelos de volatilidad y valor en riesgo de las fuentes de fondos, con el fin de evaluar el impacto que situaciones delicadas en el país pudiesen ocasionar a la liquidez del Banco.</t>
  </si>
  <si>
    <t>El informe de liquidez legal al 30 de junio de 2025 enviado a la Superintendencia de Bancos de Panamá, refleja una liquidez por 42.33% sobre los depósitos netos. El requisito establece una liquidez mínima de 30%, por lo cual, manteníamos activos líquidos en exceso por US$370,469,166.</t>
  </si>
  <si>
    <t>## Composición de la cartera de Préstamos</t>
  </si>
  <si>
    <t>[tbl-3.html](tbl-3.html)</t>
  </si>
  <si>
    <t>Al 30 de junio de 2025, el Banco cierra su cartera de préstamos neto por US$6,141,543,608 reflejando una disminución de US$174,165,959 que representa el 2.76% comparada con las cifras al cierre de junio 2024 por US$6,315,709,567. Los préstamos locales representan un 91.91% del total de la cartera, siendo el segmento de hipotecas residencial y el comercial los más grandes representando el 32.21% y 20.38% respectivamente y en los préstamos extranjeros el 8.09% del total de la cartera de préstamos bruto.</t>
  </si>
  <si>
    <t>El Banco se enfoca en otorgar préstamos garantizados con el fin de reducir pérdidas crediticias. Al 30 de junio de 2025, el total de las garantías representa el 142.20% sobre el total de la cartera de préstamos bruto subdividido en: 120.87% representa las garantías hipotecarias inmuebles, 8.25% representa las garantías hipotecarias muebles, 4.38% garantía sobre depósitos pignorados en el banco, 7.40% garantías en instituciones financieras y el 0.76% en otras garantías, las mismas están garantizando préstamos comerciales, hipotecas residenciales, personales, interinos de construcción, agropecuarios, autos, leasing, prendarios, industrial y factoring.</t>
  </si>
  <si>
    <t>En su cartera de préstamos neto, (sin incluir los intereses por cobrar de acuerdo con la Superintendencia de Bancos de Panamá presenta sus préstamos estadísticos) el Banco registra una disminución por 2.72% año con año en comparación a la del sistema de la banca privada panameña que aumentó por 3.45%. Por los efectos de la post pandemia en adelante con: por los efectos de las protestas en contra la Ley 492 de la CSS, ambiente de tasas altas en los mercados internacionales y local, políticas exteriores de guerra comercial regional a través de la imposición de aranceles a las importaciones y exportaciones con EEUU, que ha ocasionado.</t>
  </si>
  <si>
    <t>El comportamiento de la cartera de préstamos bruto representa el 48.05% de los préstamos corporativos sobre el total de la cartera, reflejando una disminución de US$75,088,248 (2.45%) con cifras comparadas a junio 2024, en préstamos consumo el 50.13% sobre el total de la cartera de préstamos con una disminución de US$25,614,277 (0.82%) y en otros préstamos el 1.82% reflejando una disminución de US$82,890,949 (42.31%) sobre el total de la cartera con cifras comparado al cierre de junio 2024.</t>
  </si>
  <si>
    <t>[tbl-4.html](tbl-4.html)</t>
  </si>
  <si>
    <t>La siguiente tabla muestra la composición de los préstamos en no acumulación de intereses al cierre de junio 2025 vs 2024:</t>
  </si>
  <si>
    <t>[tbl-5.html](tbl-5.html)</t>
  </si>
  <si>
    <t>La composición de los préstamos en no acumulación de intereses presentados a la Superintendencia de Bancos de Panamá representa US$130,336,807 al cierre de junio 2025, comparado con US$137,261,861 al 30 de junio de 2024 reflejando una disminución de US$6,925,054 (5.05%); los préstamos corporativos representan la mayor disminución por US$18,756,240 (27.56%) contra junio 2024. Los préstamos que reflejaron una disminución en la composición de la cartera corresponden a los préstamos comerciales por US$8,392,172 (26.98%), los préstamos de construcción por US$6,967,780 (58.42%), los préstamos agropecuarios por US$2,037,788 (9.13%) y leasing por US$1,042,717 (90.24%). Los que reflejan un aumento corresponden a los préstamos hipoteca residencial por US$2,412,935 (9.45%), las tarjetas de crédito por US$6,405,804 (26.26%), los préstamos de autos por US$1,991,170 (34.89%) y los préstamos personales por US$1,020,212 (7.69%).</t>
  </si>
  <si>
    <t>Los préstamos en estado no acumulación de intereses representa el 2.10% del total de la cartera de préstamos bruto al cierre de junio 2025 y el 2.14% a junio 2024.</t>
  </si>
  <si>
    <t>Al 30 de junio de 2025, la reserva para pérdidas en préstamos incobrables representa el 163.67% y 164.23% al cierre de junio 2024 con respecto a los préstamos no acumulación de intereses.</t>
  </si>
  <si>
    <t>El total de los préstamos en no acumulación de intereses representan el 61.10% a junio 2025 y el 60.89% a junio 2024 de la reserva de préstamos incobrables.</t>
  </si>
  <si>
    <t># Préstamos Vencidos</t>
  </si>
  <si>
    <t>[tbl-6.html](tbl-6.html)</t>
  </si>
  <si>
    <t>Al cierre de junio 2025, los préstamos vencidos fueron de US$179,404,198 con una disminución de US$14,544,816 que representa el 7.50% en comparación a junio 2024.</t>
  </si>
  <si>
    <t>Entre los segmentos más afectados podemos mencionar los préstamos comerciales con una disminución de US$10,944,696 (28.18%), los préstamos de construcción por US$6,798,281 (29.05%), los préstamos personales por US$3,874,881 (19.03%), los préstamos agropecuarios por US$2,025,007 (7.04%) y factoring por US$866,725 (52.63%).</t>
  </si>
  <si>
    <t>Los préstamos vencidos corporativos representan el 1.40% del total de la cartera de préstamos bruto, reflejando una disminución del 0.29% al cierre de junio 2024 y en los préstamos vencidos de consumo refleja el 1.49% a junio 2025, comparado con el 1.35% a junio 2024 contra el total de la cartera de préstamos bruto.</t>
  </si>
  <si>
    <t>Los préstamos vencidos muestran una participación del 2.89% del total de préstamos bruto a junio 2025, contra el 3.03% al cierre de junio 2024. La reserva para préstamos incobrables cubre los préstamos vencidos en 118.91% a junio 2025 versus 116.23% contra junio 2024.</t>
  </si>
  <si>
    <t>La reserva para préstamos incobrables incluyendo la reserva dinámica en base al total de los préstamos vencidos representa el 167.88% al cierre de junio 2025 y el 161.53% a junio 2024.</t>
  </si>
  <si>
    <t>Etapas de la reserva para préstamos incobrables a junio 2025 vs 2024:</t>
  </si>
  <si>
    <t>[tbl-7.html](tbl-7.html)</t>
  </si>
  <si>
    <t>Al 30 de junio de 2025, el Banco disminuyó su reserva para préstamos incobrables por US$12,105,837 que representa el 5.37% contra junio 2024.</t>
  </si>
  <si>
    <t>La Etapa 1 de la reserva para préstamos incobrables refleja un aumento por US$4,430,653 (21.84%) y una disminución por US$63,316,924 (1.19%) con respecto al saldo de la cartera de préstamos bruto comparado con cifras al cierre de junio 2024.</t>
  </si>
  <si>
    <t>La Etapa 2 de la reserva para préstamos incobrables aumenta por US$1,250,929 (1.91%) y una disminución por US$102,842,606 (12.31%) con respecto al saldo de la cartera de préstamos bruto comparado con cifras a junio 2024.</t>
  </si>
  <si>
    <t>La Etapa 3 de reserva para préstamos incobrables tuvo una disminución por US$17,787,419 (12.74%) y una disminución de US$17,433,944 (6.79%) sobre el saldo de la cartera de préstamos bruto comparado con cifras al cierre de junio 2024.</t>
  </si>
  <si>
    <t>Dentro de la categoría de la Etapa 1 los préstamos corporativos mantienen una participación del 37.67%, consumo 44.87% y otros préstamos el 1.82% del total de la cartera de préstamos bruto.</t>
  </si>
  <si>
    <t>En la Etapa 2 los préstamos corporativos representan el 8.01% y 3.77% en consumo.</t>
  </si>
  <si>
    <t>En la Etapa 3 los préstamos corporativos representan el 2.37% y 1.49% en consumo del total de la cartera de préstamos bruto.</t>
  </si>
  <si>
    <t>Detalle de castigos y recuperaciones:</t>
  </si>
  <si>
    <t>[tbl-8.html](tbl-8.html)</t>
  </si>
  <si>
    <t>Al cierre del 30 de junio 2025, el total de castigos fue por US$43,558,300 reflejando un aumento de US$859,209 (2.01%) que representa el 0.70% del total de préstamos bruto, en comparación con cifras al cierre de junio 2024. En recuperaciones se refleja una disminución de 5.62% comparado con junio 2024.</t>
  </si>
  <si>
    <t>Recursos de Capital</t>
  </si>
  <si>
    <t>[tbl-9.html](tbl-9.html)</t>
  </si>
  <si>
    <t>Al 30 de junio de 2025, el Banco y Subsidiarias mantenía en sus recursos patrimoniales un saldo de US$817,928,365 reflejando un aumento de US$40,922,955 (5.27%) comparados con cifras al cierre de junio 2024.</t>
  </si>
  <si>
    <t>El capital común pagado del Banco es de US$276,994,992 respondiendo por el 33.87% del total de los recursos patrimoniales. Las utilidades no distribuidas representan el 43.13% del total por US$352,759,085. Las Reservas Legales por US$134,000,321 representan el 16.38% del capital total, las cuales incluyen las reservas de capital por US$46,137,123 con el 5.64% y la provisión dinámica por US$87,863,198 que representa el 10.74% del total de recursos patrimoniales, los bonos perpetuos por US$177,320,865 representan el 21.68%, otras partidas del resultado integral por US$19,739,542 que contempla el cambio neto en instrumento de cobertura por - US$2,164,703 que es reintegrado como ajuste regulatorio de reserva de cobertura de flujos de efectivo. Todo lo anterior califica como capital primario (Tier I) para efectos regulatorios.</t>
  </si>
  <si>
    <t>A la fecha de este informe, los fondos patrimoniales del Banco representan el 14.40% de los activos ponderados. Se detalla los activos ponderados por riesgo de crédito neto de deducciones según el Acuerdo No. 3-2016 por US$5,434,558,196 se incorporan los activos ponderados por riesgo de mercado según el Acuerdo No. 2-2018 por US$49,516,425 y los activos ponderados por riesgo operativo en base al Acuerdo No.11-2018 por US$196,344,473 que rigen las normas de adecuación de capital vigentes. Este nivel de capitalización se compara favorablemente con el mínimo de 8% exigido por la Superintendencia de Bancos de Panamá.</t>
  </si>
  <si>
    <t>Al 30 de junio de 2025, el Banco aumentó a 9.04% de su patrimonio en base al total de activos del Banco, en comparación a 8.58% al cierre de junio 2024.</t>
  </si>
  <si>
    <t># III. ESTADO DE RESULTADOS</t>
  </si>
  <si>
    <t>Estado de resultado consolidado condensado, con sus respectivas variaciones al cierre de junio 2025 vs 2024:</t>
  </si>
  <si>
    <t>[tbl-10.html](tbl-10.html)</t>
  </si>
  <si>
    <t>La utilidad neta del Banco y Subsidiarias al 30 de junio de 2025, fue de US$48,262,456 reflejando un aumento de US$429,669 que representa el 0.90% en los resultados contra el año anterior. Dentro de los indicadores financieros caben destacar una disminución en el ROAE con un 6.42% a junio 2025 vs 6.70% al cierre a junio 2024 y en el ROAA con 0.56% a junio 2025 vs 0.57% a junio 2024.</t>
  </si>
  <si>
    <t># Total de ingresos neto de intereses y comisiones</t>
  </si>
  <si>
    <t>A continuación, se detalla la información del total de ingresos neto de intereses y comisiones a junio 2025 vs 2024:</t>
  </si>
  <si>
    <t>[tbl-11.html](tbl-11.html)</t>
  </si>
  <si>
    <t>Los ingresos de intereses alcanzan los US$523,500,468 al 30 de junio de 2025, lo cual representa un aumento de US$19,833,934 (3.94%) con respecto al año anterior. Los intereses de préstamos, depósitos e inversiones presentan tasas de crecimiento de (2.35%; 32.35% y 12.46% respectivamente) como resultado en los intereses ganados muestran una participación de rendimiento de los activos productivos promedio del 6.63% a junio 2025 a 6.50% contra el año anterior.</t>
  </si>
  <si>
    <t>Las comisiones ganadas totalizaron US$70,656,110 al 30 de junio de 2025, con un aumento de US$663,810 (0.95%) comparativo al año anterior. Los ingresos por comisiones de préstamos de autos, tarjetas de crédito, factoring, transporte y prendarios presentan un aumento de US$3,042,185 (10.17%); las comisiones varias disminuyen por US$839,736 (2.31%) donde se observa el aporte de otros servicios financieros que ofrece el Banco por servicios fiduciarios, de inversión, fondos de pensiones, cesantías y puesto de bolsa. El renglón de comisiones por fianzas y avales y cartas de crédito refleja una disminución por US$1,538,639 (41.15%).</t>
  </si>
  <si>
    <t>El gasto de intereses y comisiones aumenta a US$17,409,109 (4.64%) producto de depósitos a plazo fijo, bonos corporativos y adicionalmente por el aumento en el costo de fondos producto de la subida de las tasas de intereses en los mercados internacionales. Estos registraron un aumento en el costo de fondos de 4.76% a junio 2025 vs 4.61% a junio 2024. Adicional el Banco presenta un 1.99% de margen de intereses neto al cierre de junio 2025 vs 1.98% contra el año anterior.</t>
  </si>
  <si>
    <t>Gasto de reserva para préstamos incobrables</t>
  </si>
  <si>
    <t>[tbl-12.html](tbl-12.html)</t>
  </si>
  <si>
    <t>El gasto de provisión de préstamos incobrables disminuye a US$28,431,911 a junio 2025, reflejando una disminución de US$6,263,943 (18.05%) contra el año anterior. Los préstamos castigados aumentan por US$859,210 que representa el 2.01% contra el año anterior y el 0.70% sobre el total de la cartera de préstamos bruto.</t>
  </si>
  <si>
    <t>El gasto de provisión de préstamos incobrables fue de US$28,431,911 lo cual representa el 0.46% del total de la cartera de préstamos bruto a junio 2025. A su vez a junio 2024 el gasto de provisión de préstamos incobrables fue de US$34,695,854 que representa el 0.54% del total de la cartera de préstamos bruto.</t>
  </si>
  <si>
    <t>## Otros Ingresos</t>
  </si>
  <si>
    <t>A continuación, se detalla la información de otros ingresos a junio 2025 vs 2024:</t>
  </si>
  <si>
    <t>[tbl-13.html](tbl-13.html)</t>
  </si>
  <si>
    <t>Al 30 de junio de 2025, se refleja una disminución por US$9,345,243 que representa el 30.74% del total de otros ingresos.</t>
  </si>
  <si>
    <t>Las ganancias en ventas de inversiones con cambios en otros resultados integrales aumentan por US$485,364 que representa el 156.61% comparado contra el año anterior. Las primas netas de seguros disminuyen por US$963,731 lo que representa el 5.78% contra el año anterior. Los servicios fiduciarios y corretaje de valores disminuyen por US$1,119,973 (67.66%) contra junio 2024.</t>
  </si>
  <si>
    <t>En otros ingresos se presenta una disminución bien significativa por US$4,779,170 (53.68%) al cierre de junio 2025.</t>
  </si>
  <si>
    <t># Gastos Generales y Administrativos</t>
  </si>
  <si>
    <t>A continuación, se detalla la información relacionada con los gastos generales y administrativos a junio 2025 vs 2024:</t>
  </si>
  <si>
    <t>[tbl-14.html](tbl-14.html)</t>
  </si>
  <si>
    <t>Los gastos generales y administrativos alcanzan los US$145,017,455 al 30 de junio de 2025, inferior por US$632,142 el cual representa el 0.43% en comparación contra el año anterior.</t>
  </si>
  <si>
    <t>## Salarios y remuneraciones</t>
  </si>
  <si>
    <t>Los salarios y otras remuneraciones representan el 42.60% del total de los gastos con una disminución por US$2,142,346 que representa el 3.35% comparado con el año anterior.</t>
  </si>
  <si>
    <t>## Depreciación y amortización</t>
  </si>
  <si>
    <t>El gasto de depreciación y amortización registró un aumento de US$31,942 (0.18%), representando el 12.16% del total de gastos.</t>
  </si>
  <si>
    <t>## Honorarios profesionales</t>
  </si>
  <si>
    <t>El gasto de honorarios profesionales registró una disminución de US$699,155 (6.51%), representando el 6.93% del total de gastos.</t>
  </si>
  <si>
    <t>## Mantenimiento y reparaciones</t>
  </si>
  <si>
    <t>El gasto de mantenimiento y reparaciones registró una disminución de US$38,851 (0.34%), representando el 7.83% del total de gastos.</t>
  </si>
  <si>
    <t>## Alquileres</t>
  </si>
  <si>
    <t>El gasto de alquiler registró un aumento de US$877,249 (15.75%), representando el 4.45% del total de gastos.</t>
  </si>
  <si>
    <t># Otros Gastos</t>
  </si>
  <si>
    <t>Se refleja un saldo por US$25,980,207 al cierre de junio 2025 a US$26,343,807 contra el año anterior, con una disminución de US$363,600 (1.38%) y representa el 17.92% del total de gastos.</t>
  </si>
  <si>
    <t>La eficiencia operativa se sitúa en 65.12% al 30 de junio de 2025, comparado al reportado en junio 2024 en 63.61%.</t>
  </si>
  <si>
    <t>Se detalla el gasto de impuesto sobre la renta a continuación:</t>
  </si>
  <si>
    <t>[tbl-15.html](tbl-15.html)</t>
  </si>
  <si>
    <t>Las declaraciones de impuesto sobre la renta de los bancos constituidas en la República de Panamá están sujetas a revisión por las autoridades fiscales por los tres últimos años, inclusive el año terminado el 30 de junio de 2025, de acuerdo a regulaciones fiscales vigentes.</t>
  </si>
  <si>
    <t>Al 30 de junio de 2025, se refleja un aumento en los impuestos por US$634,614 (54.37%), impactando las cifras finales de resultados, producto del movimiento neto de la provisión de los préstamos incobrables comparado contra el año anterior.</t>
  </si>
  <si>
    <t># Informe de Calificación de Riesgo</t>
  </si>
  <si>
    <t>En mayo 2025, Standard &amp; Poor's confirma a Global Bank Corporation el otorgado grado de inversión internacional 'BBB-' con una perspectiva estable, basada en un reflejo de una sólida posición de mercado en los segmentos corporativos y comercial, una base de clientes resiliente que le brinda estabilidad al negocio y a una estructura de financiamiento diversificada, junto con obligaciones financieras manejables a corto plazo.</t>
  </si>
  <si>
    <t>En diciembre 2024, Fitch Ratings comunicó la rebaja de la calificación soberana de Panamá, pasando de 'BBB-' a 'BB+' con perspectiva de calificación estable, con lo que nuestro país pierde su grado de inversión. En su nota de prensa Fitch expresa que la rebaja en el grado de riesgos a 'BB+' se debió a que se "reflejan desafíos fiscales y de gobernanza que se han visto agravados por los acontecimientos que rodearon el cierre de la mina más grande del país y el gran déficit fiscal y el bajo rendimiento de los ingresos han impulsado algunos de los mayores aumentos de la deuda pública/PIB y de los intereses/ingresos entre pares desde 2019 antes de la pandemia."</t>
  </si>
  <si>
    <t>En consecuencia, Fitch Ratings llevó a cabo una revisión de cinco bancos panameños incluido Global Bank Corporation, de la cual tres perdieron un peldaño en su calificación de riesgo. En octubre 2024, afirmó al Banco una calificación de 'BB' con una perspectiva estable.</t>
  </si>
  <si>
    <t>Esta rebaja en la calificación podría en el futuro hacer que nuestro costo de fondos siga aumentando, y por ende causar que los resultados financieros se vean impactados en proporción.</t>
  </si>
  <si>
    <t>Adicionalmente, contamos con la calificación de riesgo local de "AA.pan" otorgada por Fitch Ratings; y la calificación de riesgo de "AA.pa" otorgada por Moody's local, con perspectiva estable, refrendadas en octubre 2024 y mayo 2025.</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</si>
  <si>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</si>
  <si>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</si>
  <si>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</si>
  <si>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</si>
  <si>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</si>
  <si>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</si>
  <si>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</si>
  <si>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</si>
  <si>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Supuestos: 32 cells written, at N11, N12, N13, N14, N19, N20, N21, N22, N28, N29, N30, N31, N36, N37, N38 and 17 more; Notas_EEFF: 1 cell written, at A3; Loan_Book: 1 cell written, at A3; Source_Register: 31 cells written, at A2, I5, M5, A119, M119, A120, M120, A121, M121, A122, M122, A123, M123, A124, M124 and 16 more; _CHANGELOG: data A1:H29 -&gt; A1:A3 (rows 29 -&gt; 3, columns 8 -&gt; 1), 181 cells written, at A2, A3, B3, C3, D3, E3, F3, G3, H3, A4, B4, C4, D4, E4, F4 and 166 more.
Other actions: clear x1.
Agent: OpenFinmods export</t>
  </si>
  <si>
    <t>Compare against source and review public copy</t>
  </si>
</sst>
</file>

<file path=xl/styles.xml><?xml version="1.0" encoding="utf-8"?>
<styleSheet xmlns="http://schemas.openxmlformats.org/spreadsheetml/2006/main">
  <numFmts count="9">
    <numFmt numFmtId="164" formatCode="#,##0;(#,##0);-"/>
    <numFmt numFmtId="165" formatCode="General"/>
    <numFmt numFmtId="166" formatCode="@"/>
    <numFmt numFmtId="167" formatCode="#,##0;[Red](#,##0);-"/>
    <numFmt numFmtId="168" formatCode="0.0%"/>
    <numFmt numFmtId="169" formatCode="0"/>
    <numFmt numFmtId="170" formatCode="0.00%;(0.00%);-"/>
    <numFmt numFmtId="171" formatCode="yyyy-mm-dd"/>
    <numFmt numFmtId="172" formatCode="yyyy\-mm\-dd hh:mm"/>
  </numFmts>
  <fonts count="13">
    <font>
      <sz val="11"/>
      <color theme="1"/>
      <name val="Calibri"/>
      <family val="2"/>
      <scheme val="minor"/>
    </font>
    <font>
      <sz val="11"/>
      <color rgb="FF000000"/>
      <name val="Calibri"/>
      <family val="2"/>
      <scheme val="minor"/>
    </font>
    <font>
      <b val="0"/>
      <i val="0"/>
      <strike val="0"/>
      <sz val="10"/>
      <color rgb="FF0432FF"/>
      <name val="Arial"/>
    </font>
    <font>
      <b/>
      <i val="0"/>
      <strike val="0"/>
      <sz val="10"/>
      <color rgb="FF000000"/>
      <name val="Arial"/>
    </font>
    <font>
      <b val="0"/>
      <i val="0"/>
      <strike val="0"/>
      <sz val="10"/>
      <color rgb="FF000000"/>
      <name val="Arial"/>
    </font>
    <font>
      <b val="0"/>
      <i val="0"/>
      <strike val="0"/>
      <sz val="10"/>
      <name val="Arial"/>
    </font>
    <font>
      <b/>
      <i val="0"/>
      <strike val="0"/>
      <sz val="10"/>
      <color rgb="FF0432FF"/>
      <name val="Arial"/>
    </font>
    <font>
      <b val="0"/>
      <i val="0"/>
      <strike val="0"/>
      <sz val="10"/>
      <color rgb="FF00703C"/>
      <name val="Arial"/>
    </font>
    <font>
      <b/>
      <i val="0"/>
      <strike val="0"/>
      <sz val="11"/>
      <color rgb="FF000000"/>
      <name val="Arial"/>
    </font>
    <font>
      <b/>
      <i val="0"/>
      <strike val="0"/>
      <sz val="10"/>
      <color rgb="FF00703C"/>
      <name val="Arial"/>
    </font>
    <font>
      <b val="0"/>
      <i/>
      <strike val="0"/>
      <sz val="10"/>
      <color rgb="FF000000"/>
      <name val="Arial"/>
    </font>
    <font>
      <b/>
      <i val="0"/>
      <strike val="0"/>
      <sz val="10"/>
      <color rgb="FF000000"/>
      <name val="Arial"/>
      <family val="2"/>
      <scheme val="minor"/>
    </font>
    <font>
      <b val="0"/>
      <i val="0"/>
      <strike val="0"/>
      <sz val="10"/>
      <color rgb="FF000000"/>
      <name val="Arial"/>
      <family val="2"/>
      <scheme val="minor"/>
    </font>
  </fonts>
  <fills count="5">
    <fill>
      <patternFill patternType="none"/>
    </fill>
    <fill>
      <patternFill patternType="gray125"/>
    </fill>
    <fill>
      <patternFill patternType="solid">
        <fgColor rgb="FFDCE6F1"/>
        <bgColor rgb="FFDCE6F1"/>
      </patternFill>
    </fill>
    <fill>
      <patternFill patternType="solid">
        <fgColor rgb="FFF2F2F2"/>
        <bgColor rgb="FFF2F2F2"/>
      </patternFill>
    </fill>
    <fill>
      <patternFill patternType="solid">
        <fgColor rgb="FFFFF2CC"/>
        <bgColor rgb="FFFFF2CC"/>
      </patternFill>
    </fill>
  </fills>
  <borders count="4">
    <border/>
    <border>
      <top style="thin">
        <color rgb="FF000000"/>
      </top>
    </border>
    <border>
      <left style="thin">
        <color rgb="FF000000"/>
      </left>
    </border>
    <border>
      <left style="thin">
        <color rgb="FF000000"/>
      </left>
      <top style="thin">
        <color rgb="FF000000"/>
      </top>
    </border>
  </borders>
  <cellStyleXfs count="1">
    <xf numFmtId="0" fontId="1" fillId="0" borderId="0"/>
  </cellStyleXfs>
  <cellXfs count="712">
    <xf numFmtId="0" fontId="1" fillId="0" borderId="0" xfId="0" applyFont="1"/>
    <xf numFmtId="164" fontId="2"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0" borderId="0" xfId="0" applyNumberFormat="1" applyFont="1"/>
    <xf numFmtId="165" fontId="3" fillId="0" borderId="1" xfId="0" applyNumberFormat="1" applyFont="1" applyBorder="1" applyAlignment="1">
      <alignment horizontal="left" vertical="bottom" textRotation="0" indent="0" readingOrder="0"/>
    </xf>
    <xf numFmtId="164" fontId="2" fillId="0" borderId="2" xfId="0" applyNumberFormat="1" applyFont="1" applyBorder="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4" fontId="6" fillId="0" borderId="1" xfId="0" applyNumberFormat="1" applyFont="1" applyBorder="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4" fontId="6" fillId="0" borderId="3" xfId="0" applyNumberFormat="1" applyFont="1" applyBorder="1" applyAlignment="1">
      <alignment horizontal="right" vertical="bottom" textRotation="0" indent="0" readingOrder="0"/>
    </xf>
    <xf numFmtId="165" fontId="3" fillId="2" borderId="2" xfId="0" applyNumberFormat="1" applyFont="1" applyFill="1" applyBorder="1" applyAlignment="1">
      <alignment horizontal="right" vertical="bottom" textRotation="0" indent="0" readingOrder="0"/>
    </xf>
    <xf numFmtId="165" fontId="5" fillId="0" borderId="2" xfId="0" applyNumberFormat="1" applyFont="1" applyBorder="1"/>
    <xf numFmtId="165" fontId="3" fillId="3" borderId="0" xfId="0" applyNumberFormat="1" applyFont="1" applyFill="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5" fontId="3" fillId="2" borderId="0" xfId="0" applyNumberFormat="1" applyFont="1" applyFill="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4" fillId="0" borderId="0" xfId="0" applyNumberFormat="1" applyFont="1"/>
    <xf numFmtId="165" fontId="8" fillId="0" borderId="0" xfId="0" applyNumberFormat="1" applyFont="1"/>
    <xf numFmtId="165" fontId="4" fillId="0" borderId="0" xfId="0" applyNumberFormat="1" applyFont="1" applyAlignment="1">
      <alignment horizontal="left" vertical="bottom" textRotation="0" indent="0" readingOrder="0"/>
    </xf>
    <xf numFmtId="168" fontId="4" fillId="0" borderId="0" xfId="0" applyNumberFormat="1" applyFont="1" applyAlignment="1">
      <alignment horizontal="right" vertical="bottom" textRotation="0" indent="0" readingOrder="0"/>
    </xf>
    <xf numFmtId="165" fontId="5" fillId="0" borderId="0" xfId="0" applyNumberFormat="1" applyFont="1"/>
    <xf numFmtId="165" fontId="5" fillId="0" borderId="2" xfId="0" applyNumberFormat="1" applyFont="1" applyBorder="1"/>
    <xf numFmtId="169" fontId="4" fillId="0" borderId="0" xfId="0" applyNumberFormat="1" applyFont="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5" fillId="2" borderId="0" xfId="0" applyNumberFormat="1" applyFont="1" applyFill="1"/>
    <xf numFmtId="168" fontId="2" fillId="4" borderId="0" xfId="0" applyNumberFormat="1" applyFont="1" applyFill="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5" fontId="5" fillId="2" borderId="2" xfId="0" applyNumberFormat="1" applyFont="1" applyFill="1" applyBorder="1"/>
    <xf numFmtId="168" fontId="4" fillId="0" borderId="2" xfId="0" applyNumberFormat="1" applyFont="1" applyBorder="1" applyAlignment="1">
      <alignment horizontal="right" vertical="bottom" textRotation="0" indent="0" readingOrder="0"/>
    </xf>
    <xf numFmtId="165" fontId="5" fillId="3" borderId="0" xfId="0" applyNumberFormat="1" applyFont="1" applyFill="1"/>
    <xf numFmtId="165" fontId="3" fillId="2" borderId="2" xfId="0" applyNumberFormat="1" applyFont="1" applyFill="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9"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3" borderId="0" xfId="0" applyNumberFormat="1" applyFont="1" applyFill="1"/>
    <xf numFmtId="164" fontId="4" fillId="0" borderId="0" xfId="0" applyNumberFormat="1" applyFont="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64" fontId="3" fillId="0" borderId="1"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5" fontId="3" fillId="2" borderId="0" xfId="0" applyNumberFormat="1" applyFont="1" applyFill="1" applyAlignment="1">
      <alignment horizontal="right" vertical="bottom" textRotation="0" indent="0" readingOrder="0"/>
    </xf>
    <xf numFmtId="164" fontId="3" fillId="0" borderId="3" xfId="0" applyNumberFormat="1" applyFont="1" applyBorder="1" applyAlignment="1">
      <alignment horizontal="right" vertical="bottom" textRotation="0" indent="0" readingOrder="0"/>
    </xf>
    <xf numFmtId="165" fontId="5" fillId="0" borderId="0" xfId="0" applyNumberFormat="1" applyFont="1"/>
    <xf numFmtId="165" fontId="3" fillId="3" borderId="0" xfId="0" applyNumberFormat="1" applyFont="1" applyFill="1" applyAlignment="1">
      <alignment horizontal="right" vertical="bottom" textRotation="0" indent="0" readingOrder="0"/>
    </xf>
    <xf numFmtId="165" fontId="5" fillId="2" borderId="0" xfId="0" applyNumberFormat="1" applyFont="1" applyFill="1"/>
    <xf numFmtId="164" fontId="7" fillId="0" borderId="2"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5" fontId="3" fillId="2" borderId="2" xfId="0" applyNumberFormat="1" applyFont="1" applyFill="1" applyBorder="1" applyAlignment="1">
      <alignment horizontal="right" vertical="bottom" textRotation="0" indent="0" readingOrder="0"/>
    </xf>
    <xf numFmtId="165" fontId="5" fillId="2" borderId="2" xfId="0" applyNumberFormat="1" applyFont="1" applyFill="1" applyBorder="1"/>
    <xf numFmtId="165" fontId="5" fillId="0" borderId="2" xfId="0" applyNumberFormat="1" applyFont="1" applyBorder="1"/>
    <xf numFmtId="166" fontId="7"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5" fontId="3" fillId="2" borderId="0" xfId="0" applyNumberFormat="1" applyFont="1" applyFill="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5" fontId="3" fillId="3" borderId="0" xfId="0" applyNumberFormat="1" applyFont="1" applyFill="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4" fillId="0" borderId="0" xfId="0" applyNumberFormat="1" applyFont="1"/>
    <xf numFmtId="165" fontId="8" fillId="0" borderId="0" xfId="0" applyNumberFormat="1" applyFont="1"/>
    <xf numFmtId="168" fontId="2" fillId="4"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5" fillId="3" borderId="0" xfId="0" applyNumberFormat="1" applyFont="1" applyFill="1"/>
    <xf numFmtId="165" fontId="3" fillId="3" borderId="0" xfId="0" applyNumberFormat="1" applyFont="1" applyFill="1" applyAlignment="1">
      <alignment horizontal="left" vertical="bottom" textRotation="0" indent="0" readingOrder="0"/>
    </xf>
    <xf numFmtId="168"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xf numFmtId="165" fontId="4" fillId="0" borderId="0" xfId="0" applyNumberFormat="1" applyFont="1" applyAlignment="1">
      <alignment horizontal="left" vertical="bottom" textRotation="0" indent="0" readingOrder="0"/>
    </xf>
    <xf numFmtId="168" fontId="4" fillId="0" borderId="0" xfId="0" applyNumberFormat="1" applyFont="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5" fillId="2" borderId="0" xfId="0" applyNumberFormat="1" applyFont="1" applyFill="1"/>
    <xf numFmtId="169" fontId="2" fillId="4" borderId="0" xfId="0" applyNumberFormat="1" applyFont="1" applyFill="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5" fontId="5" fillId="0" borderId="2" xfId="0" applyNumberFormat="1" applyFont="1" applyBorder="1"/>
    <xf numFmtId="169" fontId="4" fillId="0" borderId="0" xfId="0" applyNumberFormat="1" applyFont="1" applyAlignment="1">
      <alignment horizontal="right" vertical="bottom" textRotation="0" indent="0" readingOrder="0"/>
    </xf>
    <xf numFmtId="165" fontId="5" fillId="2" borderId="2" xfId="0" applyNumberFormat="1" applyFont="1" applyFill="1" applyBorder="1"/>
    <xf numFmtId="165" fontId="3" fillId="2" borderId="2" xfId="0" applyNumberFormat="1" applyFont="1" applyFill="1" applyBorder="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64" fontId="3"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5" fillId="0" borderId="0" xfId="0" applyNumberFormat="1" applyFont="1"/>
    <xf numFmtId="164" fontId="3" fillId="0" borderId="3"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3" borderId="0" xfId="0" applyNumberFormat="1" applyFont="1" applyFill="1"/>
    <xf numFmtId="165" fontId="5" fillId="2" borderId="0" xfId="0" applyNumberFormat="1" applyFont="1" applyFill="1"/>
    <xf numFmtId="165" fontId="3" fillId="3" borderId="0" xfId="0" applyNumberFormat="1" applyFont="1" applyFill="1" applyAlignment="1">
      <alignment horizontal="left" vertical="bottom" textRotation="0" indent="0" readingOrder="0"/>
    </xf>
    <xf numFmtId="165" fontId="5" fillId="0" borderId="2" xfId="0" applyNumberFormat="1" applyFont="1" applyBorder="1"/>
    <xf numFmtId="165" fontId="3" fillId="2" borderId="2" xfId="0" applyNumberFormat="1" applyFont="1" applyFill="1" applyBorder="1" applyAlignment="1">
      <alignment horizontal="right" vertical="bottom" textRotation="0" indent="0" readingOrder="0"/>
    </xf>
    <xf numFmtId="165" fontId="5" fillId="2" borderId="2" xfId="0" applyNumberFormat="1" applyFont="1" applyFill="1" applyBorder="1"/>
    <xf numFmtId="164" fontId="7" fillId="0" borderId="2" xfId="0" applyNumberFormat="1" applyFont="1" applyBorder="1" applyAlignment="1">
      <alignment horizontal="right" vertical="bottom" textRotation="0" indent="0" readingOrder="0"/>
    </xf>
    <xf numFmtId="166" fontId="7"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5" fontId="3" fillId="2" borderId="0" xfId="0" applyNumberFormat="1" applyFont="1" applyFill="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5" fontId="3" fillId="3" borderId="0" xfId="0" applyNumberFormat="1" applyFont="1" applyFill="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4" fillId="0" borderId="0" xfId="0" applyNumberFormat="1" applyFont="1"/>
    <xf numFmtId="165" fontId="3" fillId="0" borderId="0" xfId="0" applyNumberFormat="1" applyFont="1"/>
    <xf numFmtId="168" fontId="2" fillId="4" borderId="0" xfId="0" applyNumberFormat="1" applyFont="1" applyFill="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2" xfId="0" applyNumberFormat="1" applyFont="1" applyBorder="1"/>
    <xf numFmtId="165" fontId="3" fillId="3" borderId="0" xfId="0" applyNumberFormat="1" applyFont="1" applyFill="1" applyAlignment="1">
      <alignment horizontal="right" vertical="bottom" textRotation="0" indent="0" readingOrder="0"/>
    </xf>
    <xf numFmtId="165" fontId="5" fillId="2" borderId="0" xfId="0" applyNumberFormat="1" applyFont="1" applyFill="1"/>
    <xf numFmtId="165" fontId="5" fillId="0" borderId="0" xfId="0" applyNumberFormat="1" applyFont="1"/>
    <xf numFmtId="169" fontId="2" fillId="4"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5" fontId="4" fillId="0" borderId="0" xfId="0" applyNumberFormat="1" applyFont="1" applyAlignment="1">
      <alignment horizontal="left" vertical="bottom" textRotation="0" indent="0" readingOrder="0"/>
    </xf>
    <xf numFmtId="169" fontId="4" fillId="0" borderId="0" xfId="0" applyNumberFormat="1" applyFont="1" applyAlignment="1">
      <alignment horizontal="right" vertical="bottom" textRotation="0" indent="0" readingOrder="0"/>
    </xf>
    <xf numFmtId="165" fontId="5" fillId="3" borderId="0" xfId="0" applyNumberFormat="1" applyFont="1" applyFill="1"/>
    <xf numFmtId="165" fontId="3" fillId="2" borderId="2" xfId="0" applyNumberFormat="1" applyFont="1" applyFill="1" applyBorder="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5" fontId="5" fillId="2" borderId="2" xfId="0" applyNumberFormat="1" applyFont="1" applyFill="1" applyBorder="1"/>
    <xf numFmtId="169" fontId="4" fillId="0" borderId="2"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3" fillId="0" borderId="3" xfId="0" applyNumberFormat="1" applyFont="1" applyBorder="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65" fontId="5" fillId="0" borderId="0" xfId="0" applyNumberFormat="1" applyFont="1"/>
    <xf numFmtId="165" fontId="5" fillId="0" borderId="2" xfId="0" applyNumberFormat="1" applyFont="1" applyBorder="1"/>
    <xf numFmtId="165" fontId="3" fillId="2" borderId="2" xfId="0" applyNumberFormat="1" applyFont="1" applyFill="1" applyBorder="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5" fontId="5" fillId="2" borderId="0" xfId="0" applyNumberFormat="1" applyFont="1" applyFill="1"/>
    <xf numFmtId="165" fontId="5" fillId="3" borderId="0" xfId="0" applyNumberFormat="1" applyFont="1" applyFill="1"/>
    <xf numFmtId="165" fontId="5" fillId="2" borderId="2" xfId="0" applyNumberFormat="1" applyFont="1" applyFill="1" applyBorder="1"/>
    <xf numFmtId="164" fontId="7" fillId="0" borderId="2" xfId="0" applyNumberFormat="1" applyFont="1" applyBorder="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3" fillId="0" borderId="3" xfId="0" applyNumberFormat="1" applyFont="1" applyBorder="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65" fontId="5" fillId="0" borderId="0" xfId="0" applyNumberFormat="1" applyFont="1"/>
    <xf numFmtId="165" fontId="5" fillId="0" borderId="2" xfId="0" applyNumberFormat="1" applyFont="1" applyBorder="1"/>
    <xf numFmtId="165" fontId="3" fillId="2" borderId="2" xfId="0" applyNumberFormat="1" applyFont="1" applyFill="1" applyBorder="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5" fontId="5" fillId="2" borderId="0" xfId="0" applyNumberFormat="1" applyFont="1" applyFill="1"/>
    <xf numFmtId="165" fontId="5" fillId="3" borderId="0" xfId="0" applyNumberFormat="1" applyFont="1" applyFill="1"/>
    <xf numFmtId="165" fontId="5" fillId="2" borderId="2" xfId="0" applyNumberFormat="1" applyFont="1" applyFill="1" applyBorder="1"/>
    <xf numFmtId="164" fontId="7" fillId="0" borderId="2" xfId="0" applyNumberFormat="1" applyFont="1" applyBorder="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3" fillId="0" borderId="3" xfId="0" applyNumberFormat="1" applyFont="1" applyBorder="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65" fontId="5" fillId="0" borderId="0" xfId="0" applyNumberFormat="1" applyFont="1"/>
    <xf numFmtId="165" fontId="5" fillId="0" borderId="2" xfId="0" applyNumberFormat="1" applyFont="1" applyBorder="1"/>
    <xf numFmtId="165" fontId="3" fillId="2" borderId="2" xfId="0" applyNumberFormat="1" applyFont="1" applyFill="1" applyBorder="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5" fontId="5" fillId="2" borderId="0" xfId="0" applyNumberFormat="1" applyFont="1" applyFill="1"/>
    <xf numFmtId="165" fontId="5" fillId="3" borderId="0" xfId="0" applyNumberFormat="1" applyFont="1" applyFill="1"/>
    <xf numFmtId="165" fontId="5" fillId="2" borderId="2" xfId="0" applyNumberFormat="1" applyFont="1" applyFill="1" applyBorder="1"/>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5" fontId="3" fillId="3" borderId="0" xfId="0" applyNumberFormat="1" applyFont="1" applyFill="1" applyAlignment="1">
      <alignment horizontal="left" vertical="top" textRotation="0" wrapText="1" indent="0" readingOrder="0"/>
    </xf>
    <xf numFmtId="165" fontId="4" fillId="0" borderId="0" xfId="0" applyNumberFormat="1" applyFont="1"/>
    <xf numFmtId="165" fontId="3" fillId="0" borderId="0" xfId="0" applyNumberFormat="1" applyFont="1"/>
    <xf numFmtId="165" fontId="3" fillId="2" borderId="0" xfId="0" applyNumberFormat="1" applyFont="1" applyFill="1" applyAlignment="1">
      <alignment horizontal="left" vertical="top" textRotation="0" wrapText="1"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4" fillId="0" borderId="0" xfId="0" applyNumberFormat="1" applyFont="1" applyAlignment="1">
      <alignment horizontal="left" vertical="bottom" textRotation="0" indent="0" readingOrder="0"/>
    </xf>
    <xf numFmtId="168" fontId="4" fillId="0" borderId="0" xfId="0" applyNumberFormat="1" applyFont="1" applyAlignment="1">
      <alignment horizontal="right" vertical="bottom" textRotation="0" indent="0" readingOrder="0"/>
    </xf>
    <xf numFmtId="165" fontId="5" fillId="0" borderId="0" xfId="0" applyNumberFormat="1" applyFont="1"/>
    <xf numFmtId="165" fontId="3" fillId="3" borderId="0" xfId="0" applyNumberFormat="1" applyFont="1" applyFill="1" applyAlignment="1">
      <alignment horizontal="right" vertical="bottom" textRotation="0" indent="0" readingOrder="0"/>
    </xf>
    <xf numFmtId="165" fontId="5" fillId="2" borderId="0" xfId="0" applyNumberFormat="1" applyFont="1" applyFill="1"/>
    <xf numFmtId="169" fontId="4"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5" fillId="3" borderId="0" xfId="0" applyNumberFormat="1" applyFont="1" applyFill="1"/>
    <xf numFmtId="165" fontId="3" fillId="3" borderId="0" xfId="0" applyNumberFormat="1" applyFont="1" applyFill="1" applyAlignment="1">
      <alignment horizontal="left" vertical="bottom" textRotation="0" indent="0" readingOrder="0"/>
    </xf>
    <xf numFmtId="165" fontId="3" fillId="2" borderId="2" xfId="0" applyNumberFormat="1" applyFont="1" applyFill="1" applyBorder="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5" fontId="5" fillId="0" borderId="2" xfId="0" applyNumberFormat="1" applyFont="1" applyBorder="1"/>
    <xf numFmtId="165" fontId="5" fillId="2" borderId="2" xfId="0" applyNumberFormat="1" applyFont="1" applyFill="1" applyBorder="1"/>
    <xf numFmtId="169" fontId="4" fillId="0" borderId="2"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3" fillId="0" borderId="3" xfId="0" applyNumberFormat="1" applyFont="1" applyBorder="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65" fontId="5" fillId="0" borderId="0" xfId="0" applyNumberFormat="1" applyFont="1"/>
    <xf numFmtId="165" fontId="5" fillId="0" borderId="2" xfId="0" applyNumberFormat="1" applyFont="1" applyBorder="1"/>
    <xf numFmtId="165" fontId="3" fillId="2" borderId="2" xfId="0" applyNumberFormat="1" applyFont="1" applyFill="1" applyBorder="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5" fontId="5" fillId="2" borderId="0" xfId="0" applyNumberFormat="1" applyFont="1" applyFill="1"/>
    <xf numFmtId="165" fontId="5" fillId="3" borderId="0" xfId="0" applyNumberFormat="1" applyFont="1" applyFill="1"/>
    <xf numFmtId="165" fontId="5" fillId="2" borderId="2" xfId="0" applyNumberFormat="1" applyFont="1" applyFill="1" applyBorder="1"/>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5" fontId="4" fillId="0" borderId="0" xfId="0" applyNumberFormat="1" applyFont="1"/>
    <xf numFmtId="165" fontId="3" fillId="3" borderId="0" xfId="0" applyNumberFormat="1" applyFont="1" applyFill="1" applyAlignment="1">
      <alignment horizontal="left" vertical="top" textRotation="0" wrapText="1" indent="0" readingOrder="0"/>
    </xf>
    <xf numFmtId="165" fontId="3" fillId="0" borderId="0" xfId="0" applyNumberFormat="1" applyFont="1"/>
    <xf numFmtId="165" fontId="3" fillId="2" borderId="0" xfId="0" applyNumberFormat="1" applyFont="1" applyFill="1" applyAlignment="1">
      <alignment horizontal="left" vertical="top" textRotation="0" wrapText="1" indent="0" readingOrder="0"/>
    </xf>
    <xf numFmtId="166" fontId="4" fillId="0" borderId="0" xfId="0" applyNumberFormat="1" applyFont="1" applyAlignment="1">
      <alignment horizontal="left" vertical="top" textRotation="0" wrapText="1"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7" fontId="2" fillId="0" borderId="0" xfId="0" applyNumberFormat="1" applyFont="1" applyAlignment="1">
      <alignment horizontal="right" vertical="top" textRotation="0" indent="0" readingOrder="0"/>
    </xf>
    <xf numFmtId="165" fontId="3" fillId="3" borderId="0" xfId="0" applyNumberFormat="1" applyFont="1" applyFill="1" applyAlignment="1">
      <alignment horizontal="left" vertical="top" textRotation="0" wrapText="1" indent="0" readingOrder="0"/>
    </xf>
    <xf numFmtId="165" fontId="3" fillId="0" borderId="0" xfId="0" applyNumberFormat="1" applyFont="1"/>
    <xf numFmtId="165" fontId="3" fillId="2" borderId="0" xfId="0" applyNumberFormat="1" applyFont="1" applyFill="1" applyAlignment="1">
      <alignment horizontal="left" vertical="top" textRotation="0" wrapText="1" indent="0" readingOrder="0"/>
    </xf>
    <xf numFmtId="165" fontId="4" fillId="0" borderId="0" xfId="0" applyNumberFormat="1" applyFont="1"/>
    <xf numFmtId="164" fontId="7" fillId="0" borderId="0" xfId="0" applyNumberFormat="1" applyFont="1" applyAlignment="1">
      <alignment horizontal="right" vertical="bottom" textRotation="0" indent="0" readingOrder="0"/>
    </xf>
    <xf numFmtId="165" fontId="3" fillId="2" borderId="2" xfId="0" applyNumberFormat="1" applyFont="1" applyFill="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5" fontId="5" fillId="0" borderId="0" xfId="0" applyNumberFormat="1" applyFont="1"/>
    <xf numFmtId="164" fontId="9" fillId="0" borderId="1"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65" fontId="5" fillId="0" borderId="2" xfId="0" applyNumberFormat="1" applyFont="1" applyBorder="1"/>
    <xf numFmtId="165" fontId="3" fillId="0" borderId="1" xfId="0" applyNumberFormat="1" applyFont="1" applyBorder="1" applyAlignment="1">
      <alignment horizontal="left" vertical="bottom" textRotation="0" indent="0" readingOrder="0"/>
    </xf>
    <xf numFmtId="164" fontId="3" fillId="0" borderId="1" xfId="0" applyNumberFormat="1" applyFont="1" applyBorder="1" applyAlignment="1">
      <alignment horizontal="right" vertical="bottom" textRotation="0" indent="0" readingOrder="0"/>
    </xf>
    <xf numFmtId="165" fontId="5" fillId="3" borderId="0" xfId="0" applyNumberFormat="1" applyFont="1" applyFill="1"/>
    <xf numFmtId="165" fontId="3" fillId="3" borderId="0" xfId="0" applyNumberFormat="1" applyFont="1" applyFill="1" applyAlignment="1">
      <alignment horizontal="right" vertical="bottom" textRotation="0" indent="0" readingOrder="0"/>
    </xf>
    <xf numFmtId="164" fontId="3" fillId="0" borderId="3" xfId="0" applyNumberFormat="1" applyFont="1" applyBorder="1" applyAlignment="1">
      <alignment horizontal="right" vertical="bottom" textRotation="0" indent="0" readingOrder="0"/>
    </xf>
    <xf numFmtId="165" fontId="5" fillId="2" borderId="0" xfId="0" applyNumberFormat="1" applyFont="1" applyFill="1"/>
    <xf numFmtId="165" fontId="5" fillId="2" borderId="2" xfId="0" applyNumberFormat="1" applyFont="1" applyFill="1" applyBorder="1"/>
    <xf numFmtId="165" fontId="3" fillId="2" borderId="0" xfId="0" applyNumberFormat="1" applyFont="1" applyFill="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3" fillId="3" borderId="0" xfId="0" applyNumberFormat="1" applyFont="1" applyFill="1" applyAlignment="1">
      <alignment horizontal="left" vertical="top" textRotation="0" wrapText="1" indent="0" readingOrder="0"/>
    </xf>
    <xf numFmtId="165" fontId="3" fillId="2" borderId="0" xfId="0" applyNumberFormat="1" applyFont="1" applyFill="1" applyAlignment="1">
      <alignment horizontal="left" vertical="top" textRotation="0" wrapText="1" indent="0" readingOrder="0"/>
    </xf>
    <xf numFmtId="165" fontId="4" fillId="0" borderId="0" xfId="0" applyNumberFormat="1" applyFont="1"/>
    <xf numFmtId="165" fontId="3" fillId="0" borderId="0" xfId="0" applyNumberFormat="1" applyFont="1"/>
    <xf numFmtId="164" fontId="4" fillId="0" borderId="0" xfId="0" applyNumberFormat="1" applyFont="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5" fillId="0" borderId="0" xfId="0" applyNumberFormat="1" applyFont="1"/>
    <xf numFmtId="165" fontId="3" fillId="3" borderId="0" xfId="0" applyNumberFormat="1" applyFont="1" applyFill="1" applyAlignment="1">
      <alignment horizontal="left" vertical="bottom" textRotation="0" indent="0" readingOrder="0"/>
    </xf>
    <xf numFmtId="168" fontId="4" fillId="0" borderId="0" xfId="0" applyNumberFormat="1" applyFont="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3" fillId="2" borderId="2" xfId="0" applyNumberFormat="1" applyFont="1" applyFill="1" applyBorder="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5" fillId="3" borderId="0" xfId="0" applyNumberFormat="1" applyFont="1" applyFill="1"/>
    <xf numFmtId="164" fontId="4" fillId="0" borderId="2" xfId="0" applyNumberFormat="1" applyFont="1" applyBorder="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0" borderId="2" xfId="0" applyNumberFormat="1" applyFont="1" applyBorder="1"/>
    <xf numFmtId="165" fontId="3" fillId="2" borderId="0" xfId="0" applyNumberFormat="1" applyFont="1" applyFill="1" applyAlignment="1">
      <alignment horizontal="right" vertical="bottom" textRotation="0" indent="0" readingOrder="0"/>
    </xf>
    <xf numFmtId="165" fontId="5" fillId="2" borderId="0" xfId="0" applyNumberFormat="1" applyFont="1" applyFill="1"/>
    <xf numFmtId="164" fontId="7" fillId="0" borderId="0" xfId="0" applyNumberFormat="1" applyFont="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5" fontId="5" fillId="2" borderId="2" xfId="0" applyNumberFormat="1" applyFont="1" applyFill="1" applyBorder="1"/>
    <xf numFmtId="169" fontId="4" fillId="0" borderId="2" xfId="0" applyNumberFormat="1" applyFont="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0" borderId="0" xfId="0" applyNumberFormat="1" applyFont="1"/>
    <xf numFmtId="164" fontId="9" fillId="0" borderId="1"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64" fontId="3" fillId="0" borderId="1" xfId="0" applyNumberFormat="1" applyFont="1" applyBorder="1" applyAlignment="1">
      <alignment horizontal="right" vertical="bottom" textRotation="0" indent="0" readingOrder="0"/>
    </xf>
    <xf numFmtId="165" fontId="5" fillId="3" borderId="0" xfId="0" applyNumberFormat="1" applyFont="1" applyFill="1"/>
    <xf numFmtId="164" fontId="3" fillId="0" borderId="3" xfId="0" applyNumberFormat="1" applyFont="1" applyBorder="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5" fillId="2" borderId="2" xfId="0" applyNumberFormat="1" applyFont="1" applyFill="1" applyBorder="1"/>
    <xf numFmtId="165" fontId="5" fillId="0" borderId="2" xfId="0" applyNumberFormat="1" applyFont="1" applyBorder="1"/>
    <xf numFmtId="165" fontId="5" fillId="2" borderId="0" xfId="0" applyNumberFormat="1" applyFont="1" applyFill="1"/>
    <xf numFmtId="165" fontId="3" fillId="2" borderId="2" xfId="0" applyNumberFormat="1" applyFont="1" applyFill="1" applyBorder="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3" fillId="3" borderId="0" xfId="0" applyNumberFormat="1" applyFont="1" applyFill="1" applyAlignment="1">
      <alignment horizontal="left" vertical="top" textRotation="0" wrapText="1" indent="0" readingOrder="0"/>
    </xf>
    <xf numFmtId="165" fontId="3" fillId="2" borderId="0" xfId="0" applyNumberFormat="1" applyFont="1" applyFill="1" applyAlignment="1">
      <alignment horizontal="left" vertical="top" textRotation="0" wrapText="1" indent="0" readingOrder="0"/>
    </xf>
    <xf numFmtId="165" fontId="3" fillId="0" borderId="0" xfId="0" applyNumberFormat="1" applyFont="1"/>
    <xf numFmtId="165" fontId="4" fillId="0" borderId="0" xfId="0" applyNumberFormat="1" applyFont="1"/>
    <xf numFmtId="164" fontId="4" fillId="0" borderId="0" xfId="0" applyNumberFormat="1" applyFont="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5" fillId="3" borderId="0" xfId="0" applyNumberFormat="1" applyFont="1" applyFill="1"/>
    <xf numFmtId="165" fontId="5" fillId="0" borderId="0" xfId="0" applyNumberFormat="1" applyFont="1"/>
    <xf numFmtId="165" fontId="4" fillId="0" borderId="0" xfId="0" applyNumberFormat="1" applyFont="1" applyAlignment="1">
      <alignment horizontal="left" vertical="bottom" textRotation="0" indent="0" readingOrder="0"/>
    </xf>
    <xf numFmtId="168" fontId="4" fillId="0" borderId="0" xfId="0" applyNumberFormat="1" applyFont="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5" fillId="2" borderId="2" xfId="0" applyNumberFormat="1" applyFont="1" applyFill="1" applyBorder="1"/>
    <xf numFmtId="168" fontId="7" fillId="0" borderId="0" xfId="0" applyNumberFormat="1" applyFont="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5" fontId="5" fillId="2" borderId="0" xfId="0" applyNumberFormat="1" applyFont="1" applyFill="1"/>
    <xf numFmtId="165" fontId="3" fillId="3" borderId="0" xfId="0" applyNumberFormat="1" applyFont="1" applyFill="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2" xfId="0" applyNumberFormat="1" applyFont="1" applyBorder="1"/>
    <xf numFmtId="169" fontId="2" fillId="4" borderId="0" xfId="0" applyNumberFormat="1" applyFont="1" applyFill="1" applyAlignment="1">
      <alignment horizontal="right" vertical="bottom" textRotation="0" indent="0" readingOrder="0"/>
    </xf>
    <xf numFmtId="165" fontId="3" fillId="2" borderId="2"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0" borderId="0" xfId="0" applyNumberFormat="1" applyFont="1"/>
    <xf numFmtId="164" fontId="9" fillId="0" borderId="1"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64" fontId="3" fillId="0" borderId="1" xfId="0" applyNumberFormat="1" applyFont="1" applyBorder="1" applyAlignment="1">
      <alignment horizontal="right" vertical="bottom" textRotation="0" indent="0" readingOrder="0"/>
    </xf>
    <xf numFmtId="165" fontId="5" fillId="3" borderId="0" xfId="0" applyNumberFormat="1" applyFont="1" applyFill="1"/>
    <xf numFmtId="164" fontId="3" fillId="0" borderId="3" xfId="0" applyNumberFormat="1" applyFont="1" applyBorder="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5" fillId="2" borderId="2" xfId="0" applyNumberFormat="1" applyFont="1" applyFill="1" applyBorder="1"/>
    <xf numFmtId="165" fontId="5" fillId="0" borderId="2" xfId="0" applyNumberFormat="1" applyFont="1" applyBorder="1"/>
    <xf numFmtId="165" fontId="5" fillId="2" borderId="0" xfId="0" applyNumberFormat="1" applyFont="1" applyFill="1"/>
    <xf numFmtId="165" fontId="3" fillId="2" borderId="2" xfId="0" applyNumberFormat="1" applyFont="1" applyFill="1" applyBorder="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3" fillId="3" borderId="0" xfId="0" applyNumberFormat="1" applyFont="1" applyFill="1" applyAlignment="1">
      <alignment horizontal="left" vertical="top" textRotation="0" wrapText="1" indent="0" readingOrder="0"/>
    </xf>
    <xf numFmtId="165" fontId="3" fillId="2" borderId="0" xfId="0" applyNumberFormat="1" applyFont="1" applyFill="1" applyAlignment="1">
      <alignment horizontal="left" vertical="top" textRotation="0" wrapText="1" indent="0" readingOrder="0"/>
    </xf>
    <xf numFmtId="165" fontId="3" fillId="0" borderId="0" xfId="0" applyNumberFormat="1" applyFont="1"/>
    <xf numFmtId="165" fontId="4" fillId="0" borderId="0" xfId="0" applyNumberFormat="1" applyFont="1"/>
    <xf numFmtId="164" fontId="4" fillId="0" borderId="0" xfId="0" applyNumberFormat="1" applyFont="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5" fillId="3" borderId="0" xfId="0" applyNumberFormat="1" applyFont="1" applyFill="1"/>
    <xf numFmtId="165" fontId="5" fillId="0" borderId="0" xfId="0" applyNumberFormat="1" applyFont="1"/>
    <xf numFmtId="165" fontId="4" fillId="0" borderId="0" xfId="0" applyNumberFormat="1" applyFont="1" applyAlignment="1">
      <alignment horizontal="left" vertical="bottom" textRotation="0" indent="0" readingOrder="0"/>
    </xf>
    <xf numFmtId="168" fontId="4" fillId="0" borderId="0" xfId="0" applyNumberFormat="1" applyFont="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5" fontId="5" fillId="2" borderId="2" xfId="0" applyNumberFormat="1" applyFont="1" applyFill="1" applyBorder="1"/>
    <xf numFmtId="168" fontId="7" fillId="0" borderId="0" xfId="0" applyNumberFormat="1" applyFont="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5" fontId="5" fillId="2" borderId="0" xfId="0" applyNumberFormat="1" applyFont="1" applyFill="1"/>
    <xf numFmtId="165" fontId="3" fillId="3" borderId="0" xfId="0" applyNumberFormat="1" applyFont="1" applyFill="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0" borderId="2" xfId="0" applyNumberFormat="1" applyFont="1" applyBorder="1"/>
    <xf numFmtId="169" fontId="2" fillId="4" borderId="0" xfId="0" applyNumberFormat="1" applyFont="1" applyFill="1" applyAlignment="1">
      <alignment horizontal="right" vertical="bottom" textRotation="0" indent="0" readingOrder="0"/>
    </xf>
    <xf numFmtId="165" fontId="3" fillId="2" borderId="2"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0" borderId="0" xfId="0" applyNumberFormat="1" applyFont="1"/>
    <xf numFmtId="164" fontId="9" fillId="0" borderId="1"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64" fontId="3" fillId="0" borderId="1" xfId="0" applyNumberFormat="1" applyFont="1" applyBorder="1" applyAlignment="1">
      <alignment horizontal="right" vertical="bottom" textRotation="0" indent="0" readingOrder="0"/>
    </xf>
    <xf numFmtId="165" fontId="5" fillId="3" borderId="0" xfId="0" applyNumberFormat="1" applyFont="1" applyFill="1"/>
    <xf numFmtId="164" fontId="3" fillId="0" borderId="3" xfId="0" applyNumberFormat="1" applyFont="1" applyBorder="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5" fillId="2" borderId="2" xfId="0" applyNumberFormat="1" applyFont="1" applyFill="1" applyBorder="1"/>
    <xf numFmtId="165" fontId="5" fillId="0" borderId="2" xfId="0" applyNumberFormat="1" applyFont="1" applyBorder="1"/>
    <xf numFmtId="165" fontId="5" fillId="2" borderId="0" xfId="0" applyNumberFormat="1" applyFont="1" applyFill="1"/>
    <xf numFmtId="165" fontId="3" fillId="2" borderId="2" xfId="0" applyNumberFormat="1" applyFont="1" applyFill="1" applyBorder="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4" fontId="7" fillId="0" borderId="2" xfId="0" applyNumberFormat="1" applyFont="1" applyBorder="1" applyAlignment="1">
      <alignment horizontal="right" vertical="bottom" textRotation="0" indent="0" readingOrder="0"/>
    </xf>
    <xf numFmtId="165" fontId="5" fillId="0" borderId="0" xfId="0" applyNumberFormat="1" applyFont="1"/>
    <xf numFmtId="165" fontId="3" fillId="2" borderId="0" xfId="0" applyNumberFormat="1" applyFont="1" applyFill="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8" fontId="2" fillId="4" borderId="2" xfId="0" applyNumberFormat="1" applyFont="1" applyFill="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65" fontId="5" fillId="2" borderId="0" xfId="0" applyNumberFormat="1" applyFont="1" applyFill="1"/>
    <xf numFmtId="168" fontId="2" fillId="4"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5" fillId="3" borderId="0" xfId="0" applyNumberFormat="1" applyFont="1" applyFill="1"/>
    <xf numFmtId="168" fontId="7" fillId="0" borderId="0" xfId="0" applyNumberFormat="1" applyFont="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5" fillId="0" borderId="2" xfId="0" applyNumberFormat="1" applyFont="1" applyBorder="1"/>
    <xf numFmtId="165" fontId="3" fillId="3" borderId="0" xfId="0" applyNumberFormat="1" applyFont="1" applyFill="1" applyAlignment="1">
      <alignment horizontal="left" vertical="bottom" textRotation="0" indent="0" readingOrder="0"/>
    </xf>
    <xf numFmtId="165" fontId="5" fillId="2" borderId="2" xfId="0" applyNumberFormat="1" applyFont="1" applyFill="1" applyBorder="1"/>
    <xf numFmtId="169" fontId="2" fillId="4" borderId="0" xfId="0" applyNumberFormat="1" applyFont="1" applyFill="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5" fontId="3" fillId="2" borderId="2" xfId="0" applyNumberFormat="1" applyFont="1" applyFill="1" applyBorder="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3" fillId="0" borderId="1" xfId="0" applyNumberFormat="1" applyFont="1" applyBorder="1" applyAlignment="1">
      <alignment horizontal="left" vertical="bottom" textRotation="0" indent="0" readingOrder="0"/>
    </xf>
    <xf numFmtId="164" fontId="3" fillId="0" borderId="1"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5" fillId="0" borderId="0" xfId="0" applyNumberFormat="1" applyFont="1"/>
    <xf numFmtId="164" fontId="4" fillId="0" borderId="2"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4" fontId="3" fillId="0" borderId="3" xfId="0" applyNumberFormat="1" applyFont="1" applyBorder="1" applyAlignment="1">
      <alignment horizontal="right" vertical="bottom" textRotation="0" indent="0" readingOrder="0"/>
    </xf>
    <xf numFmtId="165" fontId="5" fillId="3" borderId="0" xfId="0" applyNumberFormat="1" applyFont="1" applyFill="1"/>
    <xf numFmtId="165" fontId="3" fillId="2" borderId="0" xfId="0" applyNumberFormat="1" applyFont="1" applyFill="1" applyAlignment="1">
      <alignment horizontal="right" vertical="bottom" textRotation="0" indent="0" readingOrder="0"/>
    </xf>
    <xf numFmtId="165" fontId="3" fillId="2" borderId="2" xfId="0" applyNumberFormat="1" applyFont="1" applyFill="1" applyBorder="1" applyAlignment="1">
      <alignment horizontal="right" vertical="bottom" textRotation="0" indent="0" readingOrder="0"/>
    </xf>
    <xf numFmtId="165" fontId="5" fillId="2" borderId="0" xfId="0" applyNumberFormat="1" applyFont="1" applyFill="1"/>
    <xf numFmtId="165" fontId="5" fillId="0" borderId="2" xfId="0" applyNumberFormat="1" applyFont="1" applyBorder="1"/>
    <xf numFmtId="165" fontId="3" fillId="3" borderId="0" xfId="0" applyNumberFormat="1" applyFont="1" applyFill="1" applyAlignment="1">
      <alignment horizontal="left" vertical="bottom" textRotation="0" indent="0" readingOrder="0"/>
    </xf>
    <xf numFmtId="165" fontId="5" fillId="2" borderId="2" xfId="0" applyNumberFormat="1" applyFont="1" applyFill="1" applyBorder="1"/>
    <xf numFmtId="166" fontId="4" fillId="0" borderId="0" xfId="0" applyNumberFormat="1" applyFont="1" applyAlignment="1">
      <alignment horizontal="left" vertical="top" textRotation="0" indent="0" readingOrder="0"/>
    </xf>
    <xf numFmtId="166" fontId="7"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5" fontId="3" fillId="3" borderId="0" xfId="0" applyNumberFormat="1" applyFont="1" applyFill="1" applyAlignment="1">
      <alignment horizontal="left" vertical="top" textRotation="0" wrapText="1" indent="0" readingOrder="0"/>
    </xf>
    <xf numFmtId="165" fontId="3" fillId="2" borderId="0" xfId="0" applyNumberFormat="1" applyFont="1" applyFill="1" applyAlignment="1">
      <alignment horizontal="left" vertical="top" textRotation="0" wrapText="1" indent="0" readingOrder="0"/>
    </xf>
    <xf numFmtId="165" fontId="4" fillId="0" borderId="0" xfId="0" applyNumberFormat="1" applyFont="1"/>
    <xf numFmtId="165" fontId="3" fillId="0" borderId="0" xfId="0" applyNumberFormat="1" applyFont="1"/>
    <xf numFmtId="168" fontId="4" fillId="0" borderId="0" xfId="0" applyNumberFormat="1" applyFont="1" applyAlignment="1">
      <alignment horizontal="right" vertical="bottom" textRotation="0" indent="0" readingOrder="0"/>
    </xf>
    <xf numFmtId="168" fontId="2" fillId="4" borderId="0" xfId="0" applyNumberFormat="1" applyFont="1" applyFill="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5" fontId="5" fillId="2" borderId="0" xfId="0" applyNumberFormat="1" applyFont="1" applyFill="1"/>
    <xf numFmtId="168" fontId="2" fillId="4" borderId="2" xfId="0" applyNumberFormat="1" applyFont="1" applyFill="1" applyBorder="1" applyAlignment="1">
      <alignment horizontal="right" vertical="bottom" textRotation="0" indent="0" readingOrder="0"/>
    </xf>
    <xf numFmtId="165" fontId="5" fillId="0" borderId="0" xfId="0" applyNumberFormat="1" applyFont="1"/>
    <xf numFmtId="165" fontId="4" fillId="0" borderId="0" xfId="0" applyNumberFormat="1" applyFont="1" applyAlignment="1">
      <alignment horizontal="left" vertical="bottom" textRotation="0" indent="0" readingOrder="0"/>
    </xf>
    <xf numFmtId="165" fontId="5" fillId="3" borderId="0" xfId="0" applyNumberFormat="1" applyFont="1" applyFill="1"/>
    <xf numFmtId="164" fontId="4" fillId="0" borderId="0" xfId="0" applyNumberFormat="1" applyFont="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5" fontId="3" fillId="2" borderId="2" xfId="0" applyNumberFormat="1" applyFont="1" applyFill="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5" fontId="5" fillId="2" borderId="2" xfId="0" applyNumberFormat="1" applyFont="1" applyFill="1" applyBorder="1"/>
    <xf numFmtId="168" fontId="4" fillId="0" borderId="2" xfId="0" applyNumberFormat="1" applyFont="1" applyBorder="1" applyAlignment="1">
      <alignment horizontal="right" vertical="bottom" textRotation="0" indent="0" readingOrder="0"/>
    </xf>
    <xf numFmtId="165" fontId="5" fillId="0" borderId="2" xfId="0" applyNumberFormat="1" applyFont="1" applyBorder="1"/>
    <xf numFmtId="169" fontId="2" fillId="4" borderId="0" xfId="0" applyNumberFormat="1" applyFont="1" applyFill="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5" fillId="2" borderId="0" xfId="0" applyNumberFormat="1" applyFont="1" applyFill="1"/>
    <xf numFmtId="164" fontId="7" fillId="0" borderId="2" xfId="0" applyNumberFormat="1" applyFont="1" applyBorder="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0" borderId="0" xfId="0" applyNumberFormat="1" applyFont="1"/>
    <xf numFmtId="165" fontId="5" fillId="3" borderId="0" xfId="0" applyNumberFormat="1" applyFont="1" applyFill="1"/>
    <xf numFmtId="165" fontId="3" fillId="3" borderId="0" xfId="0" applyNumberFormat="1" applyFont="1" applyFill="1" applyAlignment="1">
      <alignment horizontal="left" vertical="bottom" textRotation="0" indent="0" readingOrder="0"/>
    </xf>
    <xf numFmtId="164" fontId="3" fillId="0" borderId="3" xfId="0" applyNumberFormat="1" applyFont="1" applyBorder="1" applyAlignment="1">
      <alignment horizontal="right" vertical="bottom" textRotation="0" indent="0" readingOrder="0"/>
    </xf>
    <xf numFmtId="165" fontId="5" fillId="2" borderId="2" xfId="0" applyNumberFormat="1" applyFont="1" applyFill="1" applyBorder="1"/>
    <xf numFmtId="165" fontId="5" fillId="0" borderId="2" xfId="0" applyNumberFormat="1" applyFont="1" applyBorder="1"/>
    <xf numFmtId="165" fontId="3" fillId="2" borderId="2" xfId="0" applyNumberFormat="1" applyFont="1" applyFill="1" applyBorder="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5" fontId="5" fillId="3" borderId="0" xfId="0" applyNumberFormat="1" applyFont="1" applyFill="1"/>
    <xf numFmtId="170" fontId="4" fillId="0" borderId="0" xfId="0" applyNumberFormat="1" applyFont="1" applyAlignment="1">
      <alignment horizontal="right" vertical="bottom" textRotation="0" indent="0" readingOrder="0"/>
    </xf>
    <xf numFmtId="165" fontId="5" fillId="0" borderId="0" xfId="0" applyNumberFormat="1" applyFont="1"/>
    <xf numFmtId="165" fontId="3" fillId="3" borderId="0" xfId="0" applyNumberFormat="1" applyFont="1" applyFill="1" applyAlignment="1">
      <alignment horizontal="left" vertical="bottom" textRotation="0" indent="0" readingOrder="0"/>
    </xf>
    <xf numFmtId="165" fontId="5" fillId="2" borderId="0" xfId="0" applyNumberFormat="1" applyFont="1" applyFill="1"/>
    <xf numFmtId="170" fontId="2" fillId="4" borderId="0" xfId="0" applyNumberFormat="1" applyFont="1" applyFill="1" applyAlignment="1">
      <alignment horizontal="right" vertical="bottom" textRotation="0" indent="0" readingOrder="0"/>
    </xf>
    <xf numFmtId="170" fontId="4" fillId="0" borderId="2" xfId="0" applyNumberFormat="1" applyFont="1" applyBorder="1" applyAlignment="1">
      <alignment horizontal="right" vertical="bottom" textRotation="0" indent="0" readingOrder="0"/>
    </xf>
    <xf numFmtId="165" fontId="5" fillId="0" borderId="2" xfId="0" applyNumberFormat="1" applyFont="1" applyBorder="1"/>
    <xf numFmtId="165" fontId="3" fillId="2" borderId="2" xfId="0" applyNumberFormat="1" applyFont="1" applyFill="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3" fillId="3" borderId="0" xfId="0" applyNumberFormat="1" applyFont="1" applyFill="1" applyAlignment="1">
      <alignment horizontal="right" vertical="bottom" textRotation="0" indent="0" readingOrder="0"/>
    </xf>
    <xf numFmtId="165" fontId="5" fillId="2" borderId="2" xfId="0" applyNumberFormat="1" applyFont="1" applyFill="1" applyBorder="1"/>
    <xf numFmtId="164" fontId="3" fillId="0" borderId="1"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64" fontId="3" fillId="0" borderId="3"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70" fontId="7" fillId="0" borderId="0" xfId="0" applyNumberFormat="1" applyFont="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70" fontId="7"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70" fontId="2" fillId="4" borderId="2" xfId="0" applyNumberFormat="1" applyFont="1" applyFill="1" applyBorder="1" applyAlignment="1">
      <alignment horizontal="right" vertical="bottom" textRotation="0" indent="0" readingOrder="0"/>
    </xf>
    <xf numFmtId="166" fontId="4"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3" fillId="3" borderId="0" xfId="0" applyNumberFormat="1" applyFont="1" applyFill="1" applyAlignment="1">
      <alignment horizontal="left" vertical="top" textRotation="0" wrapText="1" indent="0" readingOrder="0"/>
    </xf>
    <xf numFmtId="165" fontId="3" fillId="0" borderId="0" xfId="0" applyNumberFormat="1" applyFont="1"/>
    <xf numFmtId="165" fontId="3" fillId="2" borderId="0" xfId="0" applyNumberFormat="1" applyFont="1" applyFill="1" applyAlignment="1">
      <alignment horizontal="left" vertical="top" textRotation="0" wrapText="1" indent="0" readingOrder="0"/>
    </xf>
    <xf numFmtId="165" fontId="4" fillId="0" borderId="0" xfId="0" applyNumberFormat="1" applyFont="1"/>
    <xf numFmtId="165" fontId="3" fillId="2" borderId="0" xfId="0" applyNumberFormat="1" applyFont="1" applyFill="1" applyAlignment="1">
      <alignment horizontal="right" vertical="bottom" textRotation="0" indent="0" readingOrder="0"/>
    </xf>
    <xf numFmtId="168" fontId="4"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3" borderId="0" xfId="0" applyNumberFormat="1" applyFont="1" applyFill="1"/>
    <xf numFmtId="164" fontId="7" fillId="0" borderId="0" xfId="0" applyNumberFormat="1" applyFont="1" applyAlignment="1">
      <alignment horizontal="right" vertical="bottom" textRotation="0" indent="0" readingOrder="0"/>
    </xf>
    <xf numFmtId="165" fontId="5" fillId="0" borderId="0" xfId="0" applyNumberFormat="1" applyFont="1"/>
    <xf numFmtId="168" fontId="7" fillId="0" borderId="0" xfId="0" applyNumberFormat="1" applyFont="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8" fontId="2" fillId="4" borderId="0" xfId="0" applyNumberFormat="1" applyFont="1" applyFill="1" applyAlignment="1">
      <alignment horizontal="right" vertical="bottom" textRotation="0" indent="0" readingOrder="0"/>
    </xf>
    <xf numFmtId="165" fontId="5" fillId="2" borderId="0" xfId="0" applyNumberFormat="1" applyFont="1" applyFill="1"/>
    <xf numFmtId="168" fontId="2" fillId="4" borderId="2" xfId="0" applyNumberFormat="1" applyFont="1" applyFill="1" applyBorder="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5" fillId="2" borderId="2" xfId="0" applyNumberFormat="1" applyFont="1" applyFill="1" applyBorder="1"/>
    <xf numFmtId="164" fontId="4" fillId="0" borderId="2" xfId="0" applyNumberFormat="1" applyFont="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5" fontId="5" fillId="0" borderId="2" xfId="0" applyNumberFormat="1" applyFont="1" applyBorder="1"/>
    <xf numFmtId="165" fontId="3" fillId="2" borderId="2" xfId="0" applyNumberFormat="1" applyFont="1" applyFill="1" applyBorder="1" applyAlignment="1">
      <alignment horizontal="right" vertical="bottom" textRotation="0" indent="0" readingOrder="0"/>
    </xf>
    <xf numFmtId="169" fontId="2" fillId="4" borderId="0" xfId="0" applyNumberFormat="1" applyFont="1" applyFill="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3" borderId="0" xfId="0" applyNumberFormat="1" applyFont="1" applyFill="1"/>
    <xf numFmtId="165" fontId="5" fillId="0" borderId="0" xfId="0" applyNumberFormat="1" applyFont="1"/>
    <xf numFmtId="164" fontId="9" fillId="0" borderId="1"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5" fillId="2" borderId="0" xfId="0" applyNumberFormat="1" applyFont="1" applyFill="1"/>
    <xf numFmtId="165" fontId="3" fillId="3" borderId="0" xfId="0" applyNumberFormat="1" applyFont="1" applyFill="1" applyAlignment="1">
      <alignment horizontal="left" vertical="bottom" textRotation="0" indent="0" readingOrder="0"/>
    </xf>
    <xf numFmtId="164" fontId="3" fillId="0" borderId="3" xfId="0" applyNumberFormat="1" applyFont="1" applyBorder="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5" fontId="5" fillId="2" borderId="2" xfId="0" applyNumberFormat="1" applyFont="1" applyFill="1" applyBorder="1"/>
    <xf numFmtId="165" fontId="5" fillId="0" borderId="2" xfId="0" applyNumberFormat="1" applyFont="1" applyBorder="1"/>
    <xf numFmtId="165" fontId="3" fillId="2" borderId="2" xfId="0" applyNumberFormat="1" applyFont="1" applyFill="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4" fontId="7" fillId="0" borderId="0" xfId="0" applyNumberFormat="1" applyFont="1" applyAlignment="1">
      <alignment horizontal="right" vertical="bottom" textRotation="0" indent="0" readingOrder="0"/>
    </xf>
    <xf numFmtId="165" fontId="5" fillId="0" borderId="0" xfId="0" applyNumberFormat="1" applyFont="1"/>
    <xf numFmtId="164" fontId="3" fillId="0" borderId="1" xfId="0" applyNumberFormat="1" applyFont="1" applyBorder="1" applyAlignment="1">
      <alignment horizontal="right" vertical="bottom" textRotation="0" indent="0" readingOrder="0"/>
    </xf>
    <xf numFmtId="165" fontId="5" fillId="2" borderId="0" xfId="0" applyNumberFormat="1" applyFont="1" applyFill="1"/>
    <xf numFmtId="164" fontId="2" fillId="4" borderId="0" xfId="0" applyNumberFormat="1" applyFont="1" applyFill="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5" fontId="5" fillId="2" borderId="2" xfId="0" applyNumberFormat="1" applyFont="1" applyFill="1" applyBorder="1"/>
    <xf numFmtId="165" fontId="3" fillId="2" borderId="2" xfId="0" applyNumberFormat="1" applyFont="1" applyFill="1" applyBorder="1" applyAlignment="1">
      <alignment horizontal="right" vertical="bottom" textRotation="0" indent="0" readingOrder="0"/>
    </xf>
    <xf numFmtId="165" fontId="5" fillId="0" borderId="2" xfId="0" applyNumberFormat="1" applyFont="1" applyBorder="1"/>
    <xf numFmtId="165" fontId="5" fillId="3" borderId="0" xfId="0" applyNumberFormat="1" applyFont="1" applyFill="1"/>
    <xf numFmtId="165" fontId="3" fillId="3" borderId="0" xfId="0" applyNumberFormat="1" applyFont="1" applyFill="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70" fontId="7" fillId="0" borderId="0" xfId="0" applyNumberFormat="1" applyFont="1" applyAlignment="1">
      <alignment horizontal="right" vertical="bottom" textRotation="0" indent="0" readingOrder="0"/>
    </xf>
    <xf numFmtId="170" fontId="4" fillId="0" borderId="0" xfId="0" applyNumberFormat="1" applyFont="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70" fontId="7" fillId="0" borderId="2" xfId="0" applyNumberFormat="1" applyFont="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70" fontId="4" fillId="0" borderId="2" xfId="0" applyNumberFormat="1" applyFont="1" applyBorder="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3" fillId="0" borderId="3" xfId="0" applyNumberFormat="1" applyFont="1" applyBorder="1" applyAlignment="1">
      <alignment horizontal="right" vertical="bottom" textRotation="0" indent="0" readingOrder="0"/>
    </xf>
    <xf numFmtId="170" fontId="2" fillId="4" borderId="2" xfId="0" applyNumberFormat="1" applyFont="1" applyFill="1" applyBorder="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65" fontId="4" fillId="0" borderId="0" xfId="0" applyNumberFormat="1" applyFont="1" applyAlignment="1">
      <alignment horizontal="left" vertical="bottom" textRotation="0" indent="0" readingOrder="0"/>
    </xf>
    <xf numFmtId="165" fontId="5" fillId="0" borderId="0" xfId="0" applyNumberFormat="1" applyFont="1"/>
    <xf numFmtId="165" fontId="4" fillId="0" borderId="0" xfId="0" applyNumberFormat="1" applyFont="1" applyAlignment="1">
      <alignment horizontal="left" vertical="bottom" textRotation="0" indent="0" readingOrder="0"/>
    </xf>
    <xf numFmtId="168" fontId="4"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5" fillId="2" borderId="0" xfId="0" applyNumberFormat="1" applyFont="1" applyFill="1"/>
    <xf numFmtId="164" fontId="4" fillId="0" borderId="2" xfId="0" applyNumberFormat="1" applyFont="1" applyBorder="1" applyAlignment="1">
      <alignment horizontal="right" vertical="bottom" textRotation="0" indent="0" readingOrder="0"/>
    </xf>
    <xf numFmtId="168" fontId="7" fillId="0" borderId="0" xfId="0" applyNumberFormat="1" applyFont="1" applyAlignment="1">
      <alignment horizontal="right" vertical="bottom" textRotation="0" indent="0" readingOrder="0"/>
    </xf>
    <xf numFmtId="165" fontId="5" fillId="3" borderId="0" xfId="0" applyNumberFormat="1" applyFont="1" applyFill="1"/>
    <xf numFmtId="165" fontId="3" fillId="2" borderId="0" xfId="0" applyNumberFormat="1" applyFont="1" applyFill="1" applyAlignment="1">
      <alignment horizontal="right" vertical="bottom" textRotation="0" indent="0" readingOrder="0"/>
    </xf>
    <xf numFmtId="169" fontId="4" fillId="0" borderId="0" xfId="0" applyNumberFormat="1" applyFont="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5" fillId="0" borderId="2" xfId="0" applyNumberFormat="1" applyFont="1" applyBorder="1"/>
    <xf numFmtId="165" fontId="5" fillId="2" borderId="2" xfId="0" applyNumberFormat="1" applyFont="1" applyFill="1" applyBorder="1"/>
    <xf numFmtId="168" fontId="4" fillId="0" borderId="2" xfId="0" applyNumberFormat="1" applyFont="1" applyBorder="1" applyAlignment="1">
      <alignment horizontal="right" vertical="bottom" textRotation="0" indent="0" readingOrder="0"/>
    </xf>
    <xf numFmtId="165" fontId="3" fillId="2" borderId="2" xfId="0" applyNumberFormat="1" applyFont="1" applyFill="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3" fillId="0" borderId="0" xfId="0" applyNumberFormat="1" applyFont="1" applyAlignment="1">
      <alignment horizontal="left" vertical="bottom" textRotation="0" indent="0" readingOrder="0"/>
    </xf>
    <xf numFmtId="169" fontId="4" fillId="0" borderId="2" xfId="0" applyNumberFormat="1" applyFont="1" applyBorder="1" applyAlignment="1">
      <alignment horizontal="right" vertical="bottom" textRotation="0" indent="0" readingOrder="0"/>
    </xf>
    <xf numFmtId="166" fontId="4" fillId="0" borderId="0" xfId="0" applyNumberFormat="1" applyFont="1" applyAlignment="1">
      <alignment horizontal="left" vertical="top" textRotation="0" indent="0" readingOrder="0"/>
    </xf>
    <xf numFmtId="166" fontId="4" fillId="0" borderId="0" xfId="0" applyNumberFormat="1" applyFont="1" applyAlignment="1">
      <alignment horizontal="left" vertical="top" textRotation="0" wrapText="1" indent="0" readingOrder="0"/>
    </xf>
    <xf numFmtId="167" fontId="2" fillId="0" borderId="0" xfId="0" applyNumberFormat="1" applyFont="1" applyAlignment="1">
      <alignment horizontal="right" vertical="top" textRotation="0" indent="0" readingOrder="0"/>
    </xf>
    <xf numFmtId="166" fontId="7" fillId="0" borderId="0" xfId="0" applyNumberFormat="1" applyFont="1" applyAlignment="1">
      <alignment horizontal="left" vertical="top" textRotation="0" indent="0" readingOrder="0"/>
    </xf>
    <xf numFmtId="165" fontId="3" fillId="3" borderId="0" xfId="0" applyNumberFormat="1" applyFont="1" applyFill="1" applyAlignment="1">
      <alignment horizontal="left" vertical="top" textRotation="0" wrapText="1" indent="0" readingOrder="0"/>
    </xf>
    <xf numFmtId="165" fontId="3" fillId="0" borderId="0" xfId="0" applyNumberFormat="1" applyFont="1"/>
    <xf numFmtId="165" fontId="3" fillId="2" borderId="0" xfId="0" applyNumberFormat="1" applyFont="1" applyFill="1" applyAlignment="1">
      <alignment horizontal="left" vertical="top" textRotation="0" wrapText="1" indent="0" readingOrder="0"/>
    </xf>
    <xf numFmtId="165" fontId="4" fillId="0" borderId="0" xfId="0" applyNumberFormat="1" applyFont="1"/>
    <xf numFmtId="165" fontId="5" fillId="0" borderId="0" xfId="0" applyNumberFormat="1" applyFont="1"/>
    <xf numFmtId="168" fontId="4" fillId="0" borderId="0" xfId="0" applyNumberFormat="1" applyFont="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9" fontId="4" fillId="0" borderId="0" xfId="0" applyNumberFormat="1" applyFont="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5" fontId="5" fillId="3" borderId="0" xfId="0" applyNumberFormat="1" applyFont="1" applyFill="1"/>
    <xf numFmtId="165" fontId="5" fillId="2" borderId="0" xfId="0" applyNumberFormat="1" applyFont="1" applyFill="1"/>
    <xf numFmtId="165" fontId="3" fillId="3" borderId="0" xfId="0" applyNumberFormat="1" applyFont="1" applyFill="1" applyAlignment="1">
      <alignment horizontal="right" vertical="bottom" textRotation="0" indent="0" readingOrder="0"/>
    </xf>
    <xf numFmtId="165" fontId="10" fillId="0" borderId="0" xfId="0" applyNumberFormat="1" applyFont="1" applyAlignment="1">
      <alignment horizontal="left" vertical="bottom" textRotation="0" indent="0" readingOrder="0"/>
    </xf>
    <xf numFmtId="165" fontId="3" fillId="2" borderId="0" xfId="0" applyNumberFormat="1" applyFont="1" applyFill="1" applyAlignment="1">
      <alignment horizontal="right" vertical="bottom" textRotation="0" indent="0" readingOrder="0"/>
    </xf>
    <xf numFmtId="165" fontId="5" fillId="0" borderId="2" xfId="0" applyNumberFormat="1" applyFont="1" applyBorder="1"/>
    <xf numFmtId="165" fontId="5" fillId="2" borderId="2" xfId="0" applyNumberFormat="1" applyFont="1" applyFill="1" applyBorder="1"/>
    <xf numFmtId="164" fontId="4" fillId="0" borderId="2" xfId="0" applyNumberFormat="1" applyFont="1" applyBorder="1" applyAlignment="1">
      <alignment horizontal="right" vertical="bottom" textRotation="0" indent="0" readingOrder="0"/>
    </xf>
    <xf numFmtId="168" fontId="4" fillId="0" borderId="2" xfId="0" applyNumberFormat="1" applyFont="1" applyBorder="1" applyAlignment="1">
      <alignment horizontal="right" vertical="bottom" textRotation="0" indent="0" readingOrder="0"/>
    </xf>
    <xf numFmtId="165" fontId="3" fillId="2" borderId="2" xfId="0" applyNumberFormat="1" applyFont="1" applyFill="1" applyBorder="1" applyAlignment="1">
      <alignment horizontal="right" vertical="bottom" textRotation="0" indent="0" readingOrder="0"/>
    </xf>
    <xf numFmtId="169" fontId="4" fillId="0" borderId="2" xfId="0" applyNumberFormat="1" applyFont="1" applyBorder="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64" fontId="7" fillId="0" borderId="2" xfId="0" applyNumberFormat="1" applyFont="1" applyBorder="1" applyAlignment="1">
      <alignment horizontal="right" vertical="bottom" textRotation="0" indent="0" readingOrder="0"/>
    </xf>
    <xf numFmtId="165" fontId="5" fillId="0" borderId="0" xfId="0" applyNumberFormat="1" applyFont="1"/>
    <xf numFmtId="164" fontId="9" fillId="0" borderId="1" xfId="0" applyNumberFormat="1" applyFont="1" applyBorder="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3" borderId="0" xfId="0" applyNumberFormat="1" applyFont="1" applyFill="1"/>
    <xf numFmtId="164" fontId="4" fillId="0" borderId="0" xfId="0" applyNumberFormat="1" applyFont="1" applyAlignment="1">
      <alignment horizontal="right" vertical="bottom" textRotation="0" indent="0" readingOrder="0"/>
    </xf>
    <xf numFmtId="165" fontId="3" fillId="2" borderId="0" xfId="0" applyNumberFormat="1" applyFont="1" applyFill="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65" fontId="5" fillId="2" borderId="0" xfId="0" applyNumberFormat="1" applyFont="1" applyFill="1"/>
    <xf numFmtId="164" fontId="3" fillId="0" borderId="3" xfId="0" applyNumberFormat="1" applyFont="1" applyBorder="1" applyAlignment="1">
      <alignment horizontal="right" vertical="bottom" textRotation="0" indent="0" readingOrder="0"/>
    </xf>
    <xf numFmtId="165" fontId="3" fillId="3" borderId="0" xfId="0" applyNumberFormat="1" applyFont="1" applyFill="1" applyAlignment="1">
      <alignment horizontal="right" vertical="bottom" textRotation="0" indent="0" readingOrder="0"/>
    </xf>
    <xf numFmtId="165" fontId="5" fillId="0" borderId="2" xfId="0" applyNumberFormat="1" applyFont="1" applyBorder="1"/>
    <xf numFmtId="165" fontId="3" fillId="2" borderId="2" xfId="0" applyNumberFormat="1" applyFont="1" applyFill="1" applyBorder="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5" fontId="5" fillId="2" borderId="2" xfId="0" applyNumberFormat="1" applyFont="1" applyFill="1" applyBorder="1"/>
    <xf numFmtId="164" fontId="7" fillId="0" borderId="2" xfId="0" applyNumberFormat="1" applyFont="1" applyBorder="1" applyAlignment="1">
      <alignment horizontal="right" vertical="bottom" textRotation="0" indent="0" readingOrder="0"/>
    </xf>
    <xf numFmtId="165" fontId="4" fillId="0" borderId="0" xfId="0" applyNumberFormat="1" applyFont="1" applyAlignment="1">
      <alignment horizontal="left" vertical="bottom" textRotation="0" indent="0" readingOrder="0"/>
    </xf>
    <xf numFmtId="165" fontId="5" fillId="0" borderId="0" xfId="0" applyNumberFormat="1" applyFont="1"/>
    <xf numFmtId="165" fontId="3" fillId="2" borderId="0" xfId="0" applyNumberFormat="1" applyFont="1" applyFill="1" applyAlignment="1">
      <alignment horizontal="right" vertical="bottom" textRotation="0" indent="0" readingOrder="0"/>
    </xf>
    <xf numFmtId="165" fontId="3" fillId="3" borderId="0" xfId="0" applyNumberFormat="1" applyFont="1" applyFill="1" applyAlignment="1">
      <alignment horizontal="left" vertical="bottom" textRotation="0" indent="0" readingOrder="0"/>
    </xf>
    <xf numFmtId="164" fontId="4" fillId="0" borderId="0" xfId="0" applyNumberFormat="1" applyFont="1" applyAlignment="1">
      <alignment horizontal="right" vertical="bottom" textRotation="0" indent="0" readingOrder="0"/>
    </xf>
    <xf numFmtId="164" fontId="2" fillId="4" borderId="0" xfId="0" applyNumberFormat="1" applyFont="1" applyFill="1" applyAlignment="1">
      <alignment horizontal="right" vertical="bottom" textRotation="0" indent="0" readingOrder="0"/>
    </xf>
    <xf numFmtId="164" fontId="4" fillId="0" borderId="2" xfId="0" applyNumberFormat="1" applyFont="1" applyBorder="1" applyAlignment="1">
      <alignment horizontal="right" vertical="bottom" textRotation="0" indent="0" readingOrder="0"/>
    </xf>
    <xf numFmtId="170" fontId="7" fillId="0" borderId="0" xfId="0" applyNumberFormat="1" applyFont="1" applyAlignment="1">
      <alignment horizontal="right" vertical="bottom" textRotation="0" indent="0" readingOrder="0"/>
    </xf>
    <xf numFmtId="165" fontId="5" fillId="2" borderId="0" xfId="0" applyNumberFormat="1" applyFont="1" applyFill="1"/>
    <xf numFmtId="164" fontId="7" fillId="0" borderId="0" xfId="0" applyNumberFormat="1" applyFont="1" applyAlignment="1">
      <alignment horizontal="right" vertical="bottom" textRotation="0" indent="0" readingOrder="0"/>
    </xf>
    <xf numFmtId="165" fontId="5" fillId="0" borderId="2" xfId="0" applyNumberFormat="1" applyFont="1" applyBorder="1"/>
    <xf numFmtId="165" fontId="3" fillId="3" borderId="0" xfId="0" applyNumberFormat="1" applyFont="1" applyFill="1" applyAlignment="1">
      <alignment horizontal="right" vertical="bottom" textRotation="0" indent="0" readingOrder="0"/>
    </xf>
    <xf numFmtId="164" fontId="3" fillId="0" borderId="1" xfId="0" applyNumberFormat="1" applyFont="1" applyBorder="1" applyAlignment="1">
      <alignment horizontal="right" vertical="bottom" textRotation="0" indent="0" readingOrder="0"/>
    </xf>
    <xf numFmtId="170" fontId="4" fillId="0" borderId="0" xfId="0" applyNumberFormat="1" applyFont="1" applyAlignment="1">
      <alignment horizontal="right" vertical="bottom" textRotation="0" indent="0" readingOrder="0"/>
    </xf>
    <xf numFmtId="165" fontId="3" fillId="2" borderId="2" xfId="0" applyNumberFormat="1" applyFont="1" applyFill="1" applyBorder="1" applyAlignment="1">
      <alignment horizontal="right" vertical="bottom" textRotation="0" indent="0" readingOrder="0"/>
    </xf>
    <xf numFmtId="165" fontId="5" fillId="2" borderId="2" xfId="0" applyNumberFormat="1" applyFont="1" applyFill="1" applyBorder="1"/>
    <xf numFmtId="165" fontId="5" fillId="3" borderId="0" xfId="0" applyNumberFormat="1" applyFont="1" applyFill="1"/>
    <xf numFmtId="170" fontId="4" fillId="0" borderId="2" xfId="0" applyNumberFormat="1" applyFont="1" applyBorder="1" applyAlignment="1">
      <alignment horizontal="right" vertical="bottom" textRotation="0" indent="0" readingOrder="0"/>
    </xf>
    <xf numFmtId="165" fontId="3" fillId="0" borderId="1" xfId="0" applyNumberFormat="1" applyFont="1" applyBorder="1" applyAlignment="1">
      <alignment horizontal="left" vertical="bottom" textRotation="0" indent="0" readingOrder="0"/>
    </xf>
    <xf numFmtId="170" fontId="7" fillId="0" borderId="2" xfId="0" applyNumberFormat="1" applyFont="1" applyBorder="1" applyAlignment="1">
      <alignment horizontal="right" vertical="bottom" textRotation="0" indent="0" readingOrder="0"/>
    </xf>
    <xf numFmtId="164" fontId="3" fillId="0" borderId="3" xfId="0" applyNumberFormat="1" applyFont="1" applyBorder="1" applyAlignment="1">
      <alignment horizontal="right" vertical="bottom" textRotation="0" indent="0" readingOrder="0"/>
    </xf>
    <xf numFmtId="170" fontId="2" fillId="4" borderId="0" xfId="0" applyNumberFormat="1" applyFont="1" applyFill="1" applyAlignment="1">
      <alignment horizontal="right" vertical="bottom" textRotation="0" indent="0" readingOrder="0"/>
    </xf>
    <xf numFmtId="164" fontId="9" fillId="0" borderId="1" xfId="0" applyNumberFormat="1" applyFont="1" applyBorder="1" applyAlignment="1">
      <alignment horizontal="right" vertical="bottom" textRotation="0" indent="0" readingOrder="0"/>
    </xf>
    <xf numFmtId="164" fontId="9" fillId="0" borderId="3" xfId="0" applyNumberFormat="1" applyFont="1" applyBorder="1" applyAlignment="1">
      <alignment horizontal="right" vertical="bottom" textRotation="0" indent="0" readingOrder="0"/>
    </xf>
    <xf numFmtId="164" fontId="6" fillId="0" borderId="1" xfId="0" applyNumberFormat="1" applyFont="1" applyBorder="1" applyAlignment="1">
      <alignment horizontal="right" vertical="bottom" textRotation="0" indent="0" readingOrder="0"/>
    </xf>
    <xf numFmtId="170" fontId="2" fillId="4" borderId="2" xfId="0" applyNumberFormat="1" applyFont="1" applyFill="1" applyBorder="1" applyAlignment="1">
      <alignment horizontal="right" vertical="bottom" textRotation="0" indent="0" readingOrder="0"/>
    </xf>
    <xf numFmtId="164" fontId="4" fillId="0" borderId="0" xfId="0" applyNumberFormat="1" applyFont="1" applyAlignment="1">
      <alignment horizontal="right" vertical="bottom" textRotation="0" indent="0" readingOrder="0"/>
    </xf>
    <xf numFmtId="164" fontId="7" fillId="0" borderId="0" xfId="0" applyNumberFormat="1" applyFont="1" applyAlignment="1">
      <alignment horizontal="right" vertical="bottom" textRotation="0" indent="0" readingOrder="0"/>
    </xf>
    <xf numFmtId="165" fontId="3" fillId="2" borderId="2" xfId="0" applyNumberFormat="1" applyFont="1" applyFill="1" applyBorder="1" applyAlignment="1">
      <alignment horizontal="left" vertical="bottom" textRotation="0" indent="0" readingOrder="0"/>
    </xf>
    <xf numFmtId="165" fontId="4" fillId="0" borderId="0" xfId="0" applyNumberFormat="1" applyFont="1" applyAlignment="1">
      <alignment horizontal="left" vertical="bottom" textRotation="0" indent="0" readingOrder="0"/>
    </xf>
    <xf numFmtId="165" fontId="4" fillId="0" borderId="0" xfId="0" applyNumberFormat="1" applyFont="1"/>
    <xf numFmtId="165" fontId="3" fillId="3" borderId="0" xfId="0" applyNumberFormat="1" applyFont="1" applyFill="1" applyAlignment="1">
      <alignment horizontal="left" vertical="bottom" textRotation="0" indent="0" readingOrder="0"/>
    </xf>
    <xf numFmtId="165" fontId="4" fillId="0" borderId="0" xfId="0" applyNumberFormat="1" applyFont="1" applyAlignment="1">
      <alignment horizontal="center" vertical="bottom" textRotation="0" indent="0" readingOrder="0"/>
    </xf>
    <xf numFmtId="164" fontId="7" fillId="0" borderId="2" xfId="0" applyNumberFormat="1" applyFont="1" applyBorder="1" applyAlignment="1">
      <alignment horizontal="right" vertical="bottom" textRotation="0" indent="0" readingOrder="0"/>
    </xf>
    <xf numFmtId="165" fontId="3" fillId="2" borderId="2" xfId="0" applyNumberFormat="1" applyFont="1" applyFill="1" applyBorder="1" applyAlignment="1">
      <alignment horizontal="right" vertical="bottom" textRotation="0" indent="0" readingOrder="0"/>
    </xf>
    <xf numFmtId="164" fontId="4" fillId="0" borderId="0" xfId="0" applyNumberFormat="1" applyFont="1" applyAlignment="1">
      <alignment horizontal="left" vertical="bottom" textRotation="0" indent="0" readingOrder="0"/>
    </xf>
    <xf numFmtId="164" fontId="4" fillId="0" borderId="2" xfId="0" applyNumberFormat="1" applyFont="1" applyBorder="1" applyAlignment="1">
      <alignment horizontal="right" vertical="bottom" textRotation="0" indent="0" readingOrder="0"/>
    </xf>
    <xf numFmtId="165" fontId="3" fillId="0" borderId="0" xfId="0" applyNumberFormat="1" applyFont="1" applyAlignment="1">
      <alignment horizontal="center" vertical="bottom" textRotation="0" indent="0" readingOrder="0"/>
    </xf>
    <xf numFmtId="165" fontId="3" fillId="0" borderId="0" xfId="0" applyNumberFormat="1" applyFont="1" applyAlignment="1">
      <alignment horizontal="left" vertical="bottom" textRotation="0" indent="0" readingOrder="0"/>
    </xf>
    <xf numFmtId="165" fontId="4" fillId="0" borderId="0" xfId="0" applyNumberFormat="1" applyFont="1"/>
    <xf numFmtId="165" fontId="3" fillId="0" borderId="0" xfId="0" applyNumberFormat="1" applyFont="1" applyAlignment="1">
      <alignment horizontal="center" vertical="bottom" textRotation="0" indent="0" readingOrder="0"/>
    </xf>
    <xf numFmtId="171" fontId="4" fillId="0" borderId="0" xfId="0" applyNumberFormat="1" applyFont="1"/>
    <xf numFmtId="165" fontId="3" fillId="0" borderId="0" xfId="0" applyNumberFormat="1" applyFont="1"/>
    <xf numFmtId="165" fontId="9" fillId="0" borderId="0" xfId="0" applyNumberFormat="1" applyFont="1" applyAlignment="1">
      <alignment horizontal="center" vertical="bottom" textRotation="0" indent="0" readingOrder="0"/>
    </xf>
    <xf numFmtId="165" fontId="4" fillId="0" borderId="0" xfId="0" applyNumberFormat="1" applyFont="1"/>
    <xf numFmtId="165" fontId="3" fillId="0" borderId="0" xfId="0" applyNumberFormat="1" applyFont="1"/>
    <xf numFmtId="165" fontId="3" fillId="2" borderId="0" xfId="0" applyNumberFormat="1" applyFont="1" applyFill="1" applyAlignment="1">
      <alignment horizontal="center" vertical="bottom" textRotation="0" indent="0" readingOrder="0"/>
    </xf>
    <xf numFmtId="165" fontId="1" fillId="0" borderId="0" xfId="0" applyNumberFormat="1" applyFont="1" applyAlignment="1">
      <alignment horizontal="center" vertical="bottom" textRotation="0" indent="0" readingOrder="0"/>
    </xf>
    <xf numFmtId="165" fontId="3" fillId="3" borderId="0" xfId="0" applyNumberFormat="1" applyFont="1" applyFill="1" applyAlignment="1">
      <alignment horizontal="center" vertical="bottom" textRotation="0" indent="0" readingOrder="0"/>
    </xf>
    <xf numFmtId="165" fontId="3" fillId="2" borderId="2" xfId="0" applyNumberFormat="1" applyFont="1" applyFill="1" applyBorder="1" applyAlignment="1">
      <alignment horizontal="center" vertical="bottom" textRotation="0" indent="0" readingOrder="0"/>
    </xf>
    <xf numFmtId="0" fontId="11" fillId="0" borderId="0" xfId="0" applyFont="1" applyFill="1" applyProtection="1">
      <protection locked="1" hidden="0"/>
    </xf>
    <xf numFmtId="172" fontId="12" fillId="0" borderId="0" xfId="0" applyNumberFormat="1" applyFont="1" applyFill="1" applyAlignment="1" applyProtection="1">
      <alignment vertical="top"/>
      <protection locked="1" hidden="0"/>
    </xf>
    <xf numFmtId="0" fontId="12" fillId="0" borderId="0" xfId="0" applyFont="1" applyFill="1" applyAlignment="1" applyProtection="1">
      <alignment vertical="top"/>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2"/>
  <sheetViews>
    <sheetView showGridLines="0" tabSelected="1" workbookViewId="0"/>
  </sheetViews>
  <sheetFormatPr defaultColWidth="8.375" defaultRowHeight="15"/>
  <cols>
    <col min="1" max="1" width="43.125" customWidth="1"/>
    <col min="2" max="11" width="12.5" customWidth="1"/>
  </cols>
  <sheetData>
    <row r="1">
      <c r="A1" s="690" t="s">
        <v>0</v>
      </c>
      <c r="B1" s="9"/>
      <c r="C1" s="9"/>
      <c r="D1" s="9"/>
      <c r="E1" s="9"/>
      <c r="F1" s="9"/>
      <c r="G1" s="11"/>
      <c r="H1" s="2"/>
      <c r="I1" s="2"/>
      <c r="J1" s="2"/>
      <c r="K1" s="2"/>
    </row>
    <row r="2">
      <c r="A2" s="688" t="s">
        <v>1</v>
      </c>
      <c r="G2" s="12"/>
    </row>
    <row r="3">
      <c r="A3" s="688" t="s">
        <v>2</v>
      </c>
      <c r="G3" s="12"/>
    </row>
    <row r="4">
      <c r="A4" s="4"/>
      <c r="B4" s="4"/>
      <c r="C4" s="4"/>
      <c r="D4" s="4"/>
      <c r="E4" s="4"/>
      <c r="F4" s="4"/>
      <c r="G4" s="12"/>
      <c r="H4" s="4"/>
      <c r="I4" s="4"/>
      <c r="J4" s="4"/>
      <c r="K4" s="4"/>
    </row>
    <row r="5">
      <c r="A5" s="690" t="s">
        <v>3</v>
      </c>
      <c r="B5" s="707" t="s">
        <v>4</v>
      </c>
      <c r="C5" s="707" t="s">
        <v>5</v>
      </c>
      <c r="D5" s="707" t="s">
        <v>6</v>
      </c>
      <c r="E5" s="707" t="s">
        <v>7</v>
      </c>
      <c r="F5" s="707" t="s">
        <v>8</v>
      </c>
      <c r="G5" s="708" t="s">
        <v>9</v>
      </c>
      <c r="H5" s="705" t="s">
        <v>10</v>
      </c>
      <c r="I5" s="705" t="s">
        <v>11</v>
      </c>
      <c r="J5" s="705" t="s">
        <v>12</v>
      </c>
      <c r="K5" s="705" t="s">
        <v>13</v>
      </c>
    </row>
    <row r="6">
      <c r="A6" s="690" t="s">
        <v>14</v>
      </c>
      <c r="B6" s="9"/>
      <c r="C6" s="9"/>
      <c r="D6" s="9"/>
      <c r="E6" s="9"/>
      <c r="F6" s="9"/>
      <c r="G6" s="11"/>
      <c r="H6" s="2"/>
      <c r="I6" s="2"/>
      <c r="J6" s="2"/>
      <c r="K6" s="2"/>
    </row>
    <row r="7">
      <c r="A7" s="688" t="s">
        <v>15</v>
      </c>
      <c r="B7" s="1">
        <v>436095180</v>
      </c>
      <c r="C7" s="1">
        <v>419112916</v>
      </c>
      <c r="D7" s="1">
        <v>454333887</v>
      </c>
      <c r="E7" s="1">
        <v>503666534</v>
      </c>
      <c r="F7" s="1">
        <v>523500468</v>
      </c>
      <c r="G7" s="6"/>
      <c r="H7" s="1"/>
      <c r="I7" s="1"/>
      <c r="J7" s="1"/>
      <c r="K7" s="1"/>
    </row>
    <row r="8">
      <c r="A8" s="688" t="s">
        <v>16</v>
      </c>
      <c r="B8" s="1">
        <v>-263333029</v>
      </c>
      <c r="C8" s="1">
        <v>-238053406</v>
      </c>
      <c r="D8" s="1">
        <v>-281836291</v>
      </c>
      <c r="E8" s="1">
        <v>-350182264</v>
      </c>
      <c r="F8" s="1">
        <v>-366248027</v>
      </c>
      <c r="G8" s="6"/>
      <c r="H8" s="1"/>
      <c r="I8" s="1"/>
      <c r="J8" s="1"/>
      <c r="K8" s="1"/>
    </row>
    <row r="9">
      <c r="A9" s="677" t="s">
        <v>17</v>
      </c>
      <c r="B9" s="683">
        <v>172762151</v>
      </c>
      <c r="C9" s="683">
        <v>181059510</v>
      </c>
      <c r="D9" s="683">
        <v>172497596</v>
      </c>
      <c r="E9" s="683">
        <v>153484270</v>
      </c>
      <c r="F9" s="683">
        <v>157252441</v>
      </c>
      <c r="G9" s="10"/>
      <c r="H9" s="8"/>
      <c r="I9" s="8"/>
      <c r="J9" s="8"/>
      <c r="K9" s="8"/>
    </row>
    <row r="10">
      <c r="A10" s="688" t="s">
        <v>18</v>
      </c>
      <c r="B10" s="1">
        <v>48561754</v>
      </c>
      <c r="C10" s="1">
        <v>57798314</v>
      </c>
      <c r="D10" s="1">
        <v>66344055</v>
      </c>
      <c r="E10" s="1">
        <v>69992300</v>
      </c>
      <c r="F10" s="1">
        <v>70656110</v>
      </c>
      <c r="G10" s="6"/>
      <c r="H10" s="1"/>
      <c r="I10" s="1"/>
      <c r="J10" s="1"/>
      <c r="K10" s="1"/>
    </row>
    <row r="11">
      <c r="A11" s="688" t="s">
        <v>19</v>
      </c>
      <c r="B11" s="1">
        <v>-13491941</v>
      </c>
      <c r="C11" s="1">
        <v>-19374865</v>
      </c>
      <c r="D11" s="1">
        <v>-22088949</v>
      </c>
      <c r="E11" s="1">
        <v>-24919428</v>
      </c>
      <c r="F11" s="1">
        <v>-26262774</v>
      </c>
      <c r="G11" s="6"/>
      <c r="H11" s="1"/>
      <c r="I11" s="1"/>
      <c r="J11" s="1"/>
      <c r="K11" s="1"/>
    </row>
    <row r="12">
      <c r="A12" s="677" t="s">
        <v>20</v>
      </c>
      <c r="B12" s="683">
        <v>35069813</v>
      </c>
      <c r="C12" s="683">
        <v>38423449</v>
      </c>
      <c r="D12" s="683">
        <v>44255106</v>
      </c>
      <c r="E12" s="683">
        <v>45072872</v>
      </c>
      <c r="F12" s="683">
        <v>44393336</v>
      </c>
      <c r="G12" s="10"/>
      <c r="H12" s="8"/>
      <c r="I12" s="8"/>
      <c r="J12" s="8"/>
      <c r="K12" s="8"/>
    </row>
    <row r="13">
      <c r="A13" s="677" t="s">
        <v>21</v>
      </c>
      <c r="B13" s="683">
        <v>207831964</v>
      </c>
      <c r="C13" s="683">
        <v>219482959</v>
      </c>
      <c r="D13" s="683">
        <v>216752702</v>
      </c>
      <c r="E13" s="683">
        <v>198557142</v>
      </c>
      <c r="F13" s="683">
        <v>201645777</v>
      </c>
      <c r="G13" s="10"/>
      <c r="H13" s="8"/>
      <c r="I13" s="8"/>
      <c r="J13" s="8"/>
      <c r="K13" s="8"/>
    </row>
    <row r="14">
      <c r="A14" s="688" t="s">
        <v>22</v>
      </c>
      <c r="B14" s="1">
        <v>83497811</v>
      </c>
      <c r="C14" s="1">
        <v>59032479</v>
      </c>
      <c r="D14" s="1">
        <v>48957742</v>
      </c>
      <c r="E14" s="1">
        <v>34695854</v>
      </c>
      <c r="F14" s="1">
        <v>28431911</v>
      </c>
      <c r="G14" s="6"/>
      <c r="H14" s="1"/>
      <c r="I14" s="1"/>
      <c r="J14" s="1"/>
      <c r="K14" s="1"/>
    </row>
    <row r="15">
      <c r="A15" s="688" t="s">
        <v>23</v>
      </c>
      <c r="B15" s="1">
        <v>1206330</v>
      </c>
      <c r="C15" s="1">
        <v>-905789</v>
      </c>
      <c r="D15" s="1">
        <v>363938</v>
      </c>
      <c r="E15" s="1">
        <v>-326333</v>
      </c>
      <c r="F15" s="1">
        <v>-613051</v>
      </c>
      <c r="G15" s="6"/>
      <c r="H15" s="1"/>
      <c r="I15" s="1"/>
      <c r="J15" s="1"/>
      <c r="K15" s="1"/>
    </row>
    <row r="16">
      <c r="A16" s="688" t="s">
        <v>24</v>
      </c>
      <c r="B16" s="1">
        <v>500143</v>
      </c>
      <c r="C16" s="1">
        <v>2897059</v>
      </c>
      <c r="D16" s="1">
        <v>474038</v>
      </c>
      <c r="E16" s="1">
        <v>-60659</v>
      </c>
      <c r="F16" s="1">
        <v>-198747</v>
      </c>
      <c r="G16" s="6"/>
      <c r="H16" s="1"/>
      <c r="I16" s="1"/>
      <c r="J16" s="1"/>
      <c r="K16" s="1"/>
    </row>
    <row r="17">
      <c r="A17" s="677" t="s">
        <v>25</v>
      </c>
      <c r="B17" s="683">
        <v>85204284</v>
      </c>
      <c r="C17" s="683">
        <v>61023749</v>
      </c>
      <c r="D17" s="683">
        <v>49795718</v>
      </c>
      <c r="E17" s="683">
        <v>34308862</v>
      </c>
      <c r="F17" s="683">
        <v>27620113</v>
      </c>
      <c r="G17" s="10"/>
      <c r="H17" s="8"/>
      <c r="I17" s="8"/>
      <c r="J17" s="8"/>
      <c r="K17" s="8"/>
    </row>
    <row r="18">
      <c r="A18" s="677" t="s">
        <v>26</v>
      </c>
      <c r="B18" s="683">
        <v>122627680</v>
      </c>
      <c r="C18" s="683">
        <v>158459210</v>
      </c>
      <c r="D18" s="683">
        <v>166956984</v>
      </c>
      <c r="E18" s="683">
        <v>164248280</v>
      </c>
      <c r="F18" s="683">
        <v>174025664</v>
      </c>
      <c r="G18" s="10"/>
      <c r="H18" s="8"/>
      <c r="I18" s="8"/>
      <c r="J18" s="8"/>
      <c r="K18" s="8"/>
    </row>
    <row r="19">
      <c r="A19" s="688" t="s">
        <v>27</v>
      </c>
      <c r="B19" s="1">
        <v>22758298</v>
      </c>
      <c r="C19" s="1">
        <v>13838072</v>
      </c>
      <c r="D19" s="1">
        <v>22011709</v>
      </c>
      <c r="E19" s="1">
        <v>30401234</v>
      </c>
      <c r="F19" s="1">
        <v>21055991</v>
      </c>
      <c r="G19" s="6"/>
      <c r="H19" s="1"/>
      <c r="I19" s="1"/>
      <c r="J19" s="1"/>
      <c r="K19" s="1"/>
    </row>
    <row r="20">
      <c r="A20" s="688" t="s">
        <v>28</v>
      </c>
      <c r="B20" s="1">
        <v>57113674</v>
      </c>
      <c r="C20" s="1">
        <v>59798894</v>
      </c>
      <c r="D20" s="1">
        <v>61331282</v>
      </c>
      <c r="E20" s="1">
        <v>63916541</v>
      </c>
      <c r="F20" s="1">
        <v>61774195</v>
      </c>
      <c r="G20" s="6"/>
      <c r="H20" s="1"/>
      <c r="I20" s="1"/>
      <c r="J20" s="1"/>
      <c r="K20" s="1"/>
    </row>
    <row r="21">
      <c r="A21" s="688" t="s">
        <v>29</v>
      </c>
      <c r="B21" s="1">
        <v>7726797</v>
      </c>
      <c r="C21" s="1">
        <v>9285792</v>
      </c>
      <c r="D21" s="1">
        <v>10360389</v>
      </c>
      <c r="E21" s="1">
        <v>10744135</v>
      </c>
      <c r="F21" s="1">
        <v>10044980</v>
      </c>
      <c r="G21" s="6"/>
      <c r="H21" s="1"/>
      <c r="I21" s="1"/>
      <c r="J21" s="1"/>
      <c r="K21" s="1"/>
    </row>
    <row r="22">
      <c r="A22" s="688" t="s">
        <v>30</v>
      </c>
      <c r="B22" s="1">
        <v>21305412</v>
      </c>
      <c r="C22" s="1">
        <v>20767901</v>
      </c>
      <c r="D22" s="1">
        <v>18258300</v>
      </c>
      <c r="E22" s="1">
        <v>17607972</v>
      </c>
      <c r="F22" s="1">
        <v>17639914</v>
      </c>
      <c r="G22" s="6"/>
      <c r="H22" s="1"/>
      <c r="I22" s="1"/>
      <c r="J22" s="1"/>
      <c r="K22" s="1"/>
    </row>
    <row r="23">
      <c r="A23" s="688" t="s">
        <v>31</v>
      </c>
      <c r="B23" s="1">
        <v>2263252</v>
      </c>
      <c r="C23" s="1">
        <v>2575329</v>
      </c>
      <c r="D23" s="1">
        <v>3117156</v>
      </c>
      <c r="E23" s="1">
        <v>3474398</v>
      </c>
      <c r="F23" s="1">
        <v>3701527</v>
      </c>
      <c r="G23" s="6"/>
      <c r="H23" s="1"/>
      <c r="I23" s="1"/>
      <c r="J23" s="1"/>
      <c r="K23" s="1"/>
    </row>
    <row r="24">
      <c r="A24" s="688" t="s">
        <v>32</v>
      </c>
      <c r="B24" s="1">
        <v>9755794</v>
      </c>
      <c r="C24" s="1">
        <v>10603499</v>
      </c>
      <c r="D24" s="1">
        <v>11309827</v>
      </c>
      <c r="E24" s="1">
        <v>11390367</v>
      </c>
      <c r="F24" s="1">
        <v>11351516</v>
      </c>
      <c r="G24" s="6"/>
      <c r="H24" s="1"/>
      <c r="I24" s="1"/>
      <c r="J24" s="1"/>
      <c r="K24" s="1"/>
    </row>
    <row r="25">
      <c r="A25" s="688" t="s">
        <v>33</v>
      </c>
      <c r="B25" s="1">
        <v>2537829</v>
      </c>
      <c r="C25" s="1">
        <v>3306085</v>
      </c>
      <c r="D25" s="1">
        <v>4015359</v>
      </c>
      <c r="E25" s="1">
        <v>5569274</v>
      </c>
      <c r="F25" s="1">
        <v>6446523</v>
      </c>
      <c r="G25" s="6"/>
      <c r="H25" s="1"/>
      <c r="I25" s="1"/>
      <c r="J25" s="1"/>
      <c r="K25" s="1"/>
    </row>
    <row r="26">
      <c r="A26" s="688" t="s">
        <v>34</v>
      </c>
      <c r="B26" s="1">
        <v>5568403</v>
      </c>
      <c r="C26" s="1">
        <v>6408887</v>
      </c>
      <c r="D26" s="1">
        <v>6222827</v>
      </c>
      <c r="E26" s="1">
        <v>6603103</v>
      </c>
      <c r="F26" s="1">
        <v>8078593</v>
      </c>
      <c r="G26" s="6"/>
      <c r="H26" s="1"/>
      <c r="I26" s="1"/>
      <c r="J26" s="1"/>
      <c r="K26" s="1"/>
    </row>
    <row r="27">
      <c r="A27" s="688" t="s">
        <v>35</v>
      </c>
      <c r="B27" s="1">
        <v>21374260</v>
      </c>
      <c r="C27" s="1">
        <v>23868631</v>
      </c>
      <c r="D27" s="1">
        <v>23382723</v>
      </c>
      <c r="E27" s="1">
        <v>26343807</v>
      </c>
      <c r="F27" s="1">
        <v>25980207</v>
      </c>
      <c r="G27" s="6"/>
      <c r="H27" s="1"/>
      <c r="I27" s="1"/>
      <c r="J27" s="1"/>
      <c r="K27" s="1"/>
    </row>
    <row r="28">
      <c r="A28" s="677" t="s">
        <v>36</v>
      </c>
      <c r="B28" s="683">
        <v>127645421</v>
      </c>
      <c r="C28" s="683">
        <v>136615018</v>
      </c>
      <c r="D28" s="683">
        <v>137997863</v>
      </c>
      <c r="E28" s="683">
        <v>145649597</v>
      </c>
      <c r="F28" s="683">
        <v>145017455</v>
      </c>
      <c r="G28" s="10"/>
      <c r="H28" s="8"/>
      <c r="I28" s="8"/>
      <c r="J28" s="8"/>
      <c r="K28" s="8"/>
    </row>
    <row r="29">
      <c r="A29" s="677" t="s">
        <v>37</v>
      </c>
      <c r="B29" s="683">
        <v>17740557</v>
      </c>
      <c r="C29" s="683">
        <v>35682264</v>
      </c>
      <c r="D29" s="683">
        <v>50970830</v>
      </c>
      <c r="E29" s="683">
        <v>48999917</v>
      </c>
      <c r="F29" s="683">
        <v>50064200</v>
      </c>
      <c r="G29" s="10"/>
      <c r="H29" s="8"/>
      <c r="I29" s="8"/>
      <c r="J29" s="8"/>
      <c r="K29" s="8"/>
    </row>
    <row r="30">
      <c r="A30" s="688" t="s">
        <v>38</v>
      </c>
      <c r="B30" s="1">
        <v>3895556</v>
      </c>
      <c r="C30" s="1">
        <v>3667996</v>
      </c>
      <c r="D30" s="1">
        <v>3825471</v>
      </c>
      <c r="E30" s="1">
        <v>4298464</v>
      </c>
      <c r="F30" s="1">
        <v>4236515</v>
      </c>
      <c r="G30" s="6"/>
      <c r="H30" s="1"/>
      <c r="I30" s="1"/>
      <c r="J30" s="1"/>
      <c r="K30" s="1"/>
    </row>
    <row r="31">
      <c r="A31" s="688" t="s">
        <v>39</v>
      </c>
      <c r="B31" s="1">
        <v>-12748149</v>
      </c>
      <c r="C31" s="1">
        <v>-5249226</v>
      </c>
      <c r="D31" s="1">
        <v>-360567</v>
      </c>
      <c r="E31" s="1">
        <v>-3131334</v>
      </c>
      <c r="F31" s="1">
        <v>-2434771</v>
      </c>
      <c r="G31" s="6"/>
      <c r="H31" s="1"/>
      <c r="I31" s="1"/>
      <c r="J31" s="1"/>
      <c r="K31" s="1"/>
    </row>
    <row r="32">
      <c r="A32" s="677" t="s">
        <v>40</v>
      </c>
      <c r="B32" s="683">
        <v>-8852593</v>
      </c>
      <c r="C32" s="683">
        <v>-1581230</v>
      </c>
      <c r="D32" s="683">
        <v>3464904</v>
      </c>
      <c r="E32" s="683">
        <v>1167130</v>
      </c>
      <c r="F32" s="683">
        <v>1801744</v>
      </c>
      <c r="G32" s="10"/>
      <c r="H32" s="8"/>
      <c r="I32" s="8"/>
      <c r="J32" s="8"/>
      <c r="K32" s="8"/>
    </row>
    <row r="33">
      <c r="A33" s="677" t="s">
        <v>41</v>
      </c>
      <c r="B33" s="683">
        <v>26593150</v>
      </c>
      <c r="C33" s="683">
        <v>37263494</v>
      </c>
      <c r="D33" s="683">
        <v>47505926</v>
      </c>
      <c r="E33" s="683">
        <v>47832787</v>
      </c>
      <c r="F33" s="683">
        <v>48262456</v>
      </c>
      <c r="G33" s="10"/>
      <c r="H33" s="8"/>
      <c r="I33" s="8"/>
      <c r="J33" s="8"/>
      <c r="K33" s="8"/>
    </row>
    <row r="34">
      <c r="A34" s="4"/>
      <c r="B34" s="4"/>
      <c r="C34" s="4"/>
      <c r="D34" s="4"/>
      <c r="E34" s="4"/>
      <c r="F34" s="4"/>
      <c r="G34" s="12"/>
      <c r="H34" s="4"/>
      <c r="I34" s="4"/>
      <c r="J34" s="4"/>
      <c r="K34" s="4"/>
    </row>
    <row r="35">
      <c r="A35" s="690" t="s">
        <v>3</v>
      </c>
      <c r="B35" s="707" t="s">
        <v>4</v>
      </c>
      <c r="C35" s="707" t="s">
        <v>5</v>
      </c>
      <c r="D35" s="707" t="s">
        <v>6</v>
      </c>
      <c r="E35" s="707" t="s">
        <v>7</v>
      </c>
      <c r="F35" s="707" t="s">
        <v>8</v>
      </c>
      <c r="G35" s="708" t="s">
        <v>9</v>
      </c>
      <c r="H35" s="705" t="s">
        <v>10</v>
      </c>
      <c r="I35" s="705" t="s">
        <v>11</v>
      </c>
      <c r="J35" s="705" t="s">
        <v>12</v>
      </c>
      <c r="K35" s="705" t="s">
        <v>13</v>
      </c>
    </row>
    <row r="36">
      <c r="A36" s="690" t="s">
        <v>42</v>
      </c>
      <c r="B36" s="9"/>
      <c r="C36" s="9"/>
      <c r="D36" s="9"/>
      <c r="E36" s="9"/>
      <c r="F36" s="9"/>
      <c r="G36" s="11"/>
      <c r="H36" s="2"/>
      <c r="I36" s="2"/>
      <c r="J36" s="2"/>
      <c r="K36" s="2"/>
    </row>
    <row r="37">
      <c r="A37" s="688" t="s">
        <v>43</v>
      </c>
      <c r="B37" s="1">
        <v>508316487</v>
      </c>
      <c r="C37" s="1">
        <v>422163231</v>
      </c>
      <c r="D37" s="1">
        <v>354965856</v>
      </c>
      <c r="E37" s="1">
        <v>378198724</v>
      </c>
      <c r="F37" s="1">
        <v>433699566</v>
      </c>
      <c r="G37" s="6"/>
      <c r="H37" s="1"/>
      <c r="I37" s="1"/>
      <c r="J37" s="1"/>
      <c r="K37" s="1"/>
    </row>
    <row r="38">
      <c r="A38" s="688" t="s">
        <v>44</v>
      </c>
      <c r="B38" s="1">
        <v>306301</v>
      </c>
      <c r="C38" s="1">
        <v>285200</v>
      </c>
      <c r="D38" s="1">
        <v>3547807</v>
      </c>
      <c r="E38" s="1">
        <v>4956931</v>
      </c>
      <c r="F38" s="1">
        <v>4997637</v>
      </c>
      <c r="G38" s="6"/>
      <c r="H38" s="1"/>
      <c r="I38" s="1"/>
      <c r="J38" s="1"/>
      <c r="K38" s="1"/>
    </row>
    <row r="39">
      <c r="A39" s="688" t="s">
        <v>45</v>
      </c>
      <c r="B39" s="1">
        <v>1110163904</v>
      </c>
      <c r="C39" s="1">
        <v>1079204941</v>
      </c>
      <c r="D39" s="1">
        <v>1053410069</v>
      </c>
      <c r="E39" s="1">
        <v>1049326162</v>
      </c>
      <c r="F39" s="1">
        <v>1136648533</v>
      </c>
      <c r="G39" s="6"/>
      <c r="H39" s="1"/>
      <c r="I39" s="1"/>
      <c r="J39" s="1"/>
      <c r="K39" s="1"/>
    </row>
    <row r="40">
      <c r="A40" s="688" t="s">
        <v>46</v>
      </c>
      <c r="B40" s="1">
        <v>6007976619</v>
      </c>
      <c r="C40" s="1">
        <v>6138222161</v>
      </c>
      <c r="D40" s="1">
        <v>6212554475</v>
      </c>
      <c r="E40" s="1">
        <v>6315709567</v>
      </c>
      <c r="F40" s="1">
        <v>6141543608</v>
      </c>
      <c r="G40" s="6"/>
      <c r="H40" s="1"/>
      <c r="I40" s="1"/>
      <c r="J40" s="1"/>
      <c r="K40" s="1"/>
    </row>
    <row r="41">
      <c r="A41" s="688" t="s">
        <v>47</v>
      </c>
      <c r="B41" s="1">
        <v>195030353</v>
      </c>
      <c r="C41" s="1">
        <v>197759650</v>
      </c>
      <c r="D41" s="1">
        <v>190418187</v>
      </c>
      <c r="E41" s="1">
        <v>191401031</v>
      </c>
      <c r="F41" s="1">
        <v>192001647</v>
      </c>
      <c r="G41" s="6"/>
      <c r="H41" s="1"/>
      <c r="I41" s="1"/>
      <c r="J41" s="1"/>
      <c r="K41" s="1"/>
    </row>
    <row r="42">
      <c r="A42" s="688" t="s">
        <v>48</v>
      </c>
      <c r="B42" s="1">
        <v>19425507</v>
      </c>
      <c r="C42" s="1">
        <v>15584822</v>
      </c>
      <c r="D42" s="1">
        <v>13301035</v>
      </c>
      <c r="E42" s="1">
        <v>11291589</v>
      </c>
      <c r="F42" s="1">
        <v>9660940</v>
      </c>
      <c r="G42" s="6"/>
      <c r="H42" s="1"/>
      <c r="I42" s="1"/>
      <c r="J42" s="1"/>
      <c r="K42" s="1"/>
    </row>
    <row r="43">
      <c r="A43" s="688" t="s">
        <v>49</v>
      </c>
      <c r="B43" s="1">
        <v>482324722</v>
      </c>
      <c r="C43" s="1">
        <v>547376430</v>
      </c>
      <c r="D43" s="1">
        <v>584781470</v>
      </c>
      <c r="E43" s="1">
        <v>569398628</v>
      </c>
      <c r="F43" s="1">
        <v>584449645</v>
      </c>
      <c r="G43" s="6"/>
      <c r="H43" s="1"/>
      <c r="I43" s="1"/>
      <c r="J43" s="1"/>
      <c r="K43" s="1"/>
    </row>
    <row r="44">
      <c r="A44" s="677" t="s">
        <v>50</v>
      </c>
      <c r="B44" s="683">
        <v>8323543893</v>
      </c>
      <c r="C44" s="683">
        <v>8400596435</v>
      </c>
      <c r="D44" s="683">
        <v>8412978899</v>
      </c>
      <c r="E44" s="683">
        <v>8520282632</v>
      </c>
      <c r="F44" s="683">
        <v>8503001576</v>
      </c>
      <c r="G44" s="10"/>
      <c r="H44" s="8"/>
      <c r="I44" s="8"/>
      <c r="J44" s="8"/>
      <c r="K44" s="8"/>
    </row>
    <row r="45">
      <c r="A45" s="688" t="s">
        <v>51</v>
      </c>
      <c r="B45" s="1">
        <v>5189459231</v>
      </c>
      <c r="C45" s="1">
        <v>5178659636</v>
      </c>
      <c r="D45" s="1">
        <v>5205576287</v>
      </c>
      <c r="E45" s="1">
        <v>5264634266</v>
      </c>
      <c r="F45" s="1">
        <v>5715472860</v>
      </c>
      <c r="G45" s="6"/>
      <c r="H45" s="1"/>
      <c r="I45" s="1"/>
      <c r="J45" s="1"/>
      <c r="K45" s="1"/>
    </row>
    <row r="46">
      <c r="A46" s="688" t="s">
        <v>52</v>
      </c>
      <c r="B46" s="1">
        <v>44910134</v>
      </c>
      <c r="C46" s="1">
        <v>64413383</v>
      </c>
      <c r="D46" s="1">
        <v>82919955</v>
      </c>
      <c r="E46" s="1">
        <v>80815921</v>
      </c>
      <c r="F46" s="1">
        <v>16750000</v>
      </c>
      <c r="G46" s="6"/>
      <c r="H46" s="1"/>
      <c r="I46" s="1"/>
      <c r="J46" s="1"/>
      <c r="K46" s="1"/>
    </row>
    <row r="47">
      <c r="A47" s="688" t="s">
        <v>53</v>
      </c>
      <c r="B47" s="1">
        <v>40781723</v>
      </c>
      <c r="C47" s="1">
        <v>32169806</v>
      </c>
      <c r="D47" s="1">
        <v>33051550</v>
      </c>
      <c r="E47" s="1">
        <v>36197140</v>
      </c>
      <c r="F47" s="1">
        <v>40586551</v>
      </c>
      <c r="G47" s="6"/>
      <c r="H47" s="1"/>
      <c r="I47" s="1"/>
      <c r="J47" s="1"/>
      <c r="K47" s="1"/>
    </row>
    <row r="48">
      <c r="A48" s="677" t="s">
        <v>54</v>
      </c>
      <c r="B48" s="683">
        <v>5275151088</v>
      </c>
      <c r="C48" s="683">
        <v>5275242825</v>
      </c>
      <c r="D48" s="683">
        <v>5321547792</v>
      </c>
      <c r="E48" s="683">
        <v>5381647327</v>
      </c>
      <c r="F48" s="683">
        <v>5772809411</v>
      </c>
      <c r="G48" s="10"/>
      <c r="H48" s="8"/>
      <c r="I48" s="8"/>
      <c r="J48" s="8"/>
      <c r="K48" s="8"/>
    </row>
    <row r="49">
      <c r="A49" s="688" t="s">
        <v>55</v>
      </c>
      <c r="B49" s="1">
        <v>0</v>
      </c>
      <c r="C49" s="1">
        <v>93665393</v>
      </c>
      <c r="D49" s="1">
        <v>70009751</v>
      </c>
      <c r="E49" s="1">
        <v>47610933</v>
      </c>
      <c r="F49" s="1">
        <v>37321723</v>
      </c>
      <c r="G49" s="6"/>
      <c r="H49" s="1"/>
      <c r="I49" s="1"/>
      <c r="J49" s="1"/>
      <c r="K49" s="1"/>
    </row>
    <row r="50">
      <c r="A50" s="688" t="s">
        <v>56</v>
      </c>
      <c r="B50" s="1">
        <v>876325546</v>
      </c>
      <c r="C50" s="1">
        <v>1488606294</v>
      </c>
      <c r="D50" s="1">
        <v>1582877582</v>
      </c>
      <c r="E50" s="1">
        <v>1642982215</v>
      </c>
      <c r="F50" s="1">
        <v>1232945418</v>
      </c>
      <c r="G50" s="6"/>
      <c r="H50" s="1"/>
      <c r="I50" s="1"/>
      <c r="J50" s="1"/>
      <c r="K50" s="1"/>
    </row>
    <row r="51">
      <c r="A51" s="688" t="s">
        <v>57</v>
      </c>
      <c r="B51" s="1">
        <v>6850000</v>
      </c>
      <c r="C51" s="1">
        <v>16595000</v>
      </c>
      <c r="D51" s="1">
        <v>0</v>
      </c>
      <c r="E51" s="1">
        <v>2000000</v>
      </c>
      <c r="F51" s="1">
        <v>0</v>
      </c>
      <c r="G51" s="6"/>
      <c r="H51" s="1"/>
      <c r="I51" s="1"/>
      <c r="J51" s="1"/>
      <c r="K51" s="1"/>
    </row>
    <row r="52">
      <c r="A52" s="688" t="s">
        <v>58</v>
      </c>
      <c r="B52" s="1">
        <v>1055663563</v>
      </c>
      <c r="C52" s="1">
        <v>439235300</v>
      </c>
      <c r="D52" s="1">
        <v>388450729</v>
      </c>
      <c r="E52" s="1">
        <v>374440557</v>
      </c>
      <c r="F52" s="1">
        <v>374069381</v>
      </c>
      <c r="G52" s="6"/>
      <c r="H52" s="1"/>
      <c r="I52" s="1"/>
      <c r="J52" s="1"/>
      <c r="K52" s="1"/>
    </row>
    <row r="53">
      <c r="A53" s="688" t="s">
        <v>59</v>
      </c>
      <c r="B53" s="1">
        <v>7833557</v>
      </c>
      <c r="C53" s="1"/>
      <c r="D53" s="1"/>
      <c r="E53" s="1"/>
      <c r="F53" s="1"/>
      <c r="G53" s="6"/>
      <c r="H53" s="1"/>
      <c r="I53" s="1"/>
      <c r="J53" s="1"/>
      <c r="K53" s="1"/>
    </row>
    <row r="54">
      <c r="A54" s="688" t="s">
        <v>60</v>
      </c>
      <c r="B54" s="1">
        <v>160763868</v>
      </c>
      <c r="C54" s="1">
        <v>177495857</v>
      </c>
      <c r="D54" s="1">
        <v>177965873</v>
      </c>
      <c r="E54" s="1">
        <v>178016538</v>
      </c>
      <c r="F54" s="1">
        <v>177320865</v>
      </c>
      <c r="G54" s="6"/>
      <c r="H54" s="1"/>
      <c r="I54" s="1"/>
      <c r="J54" s="1"/>
      <c r="K54" s="1"/>
    </row>
    <row r="55">
      <c r="A55" s="688" t="s">
        <v>53</v>
      </c>
      <c r="B55" s="1">
        <v>14036040</v>
      </c>
      <c r="C55" s="1">
        <v>13211416</v>
      </c>
      <c r="D55" s="1">
        <v>25606793</v>
      </c>
      <c r="E55" s="1">
        <v>25872345</v>
      </c>
      <c r="F55" s="1">
        <v>23085224</v>
      </c>
      <c r="G55" s="6"/>
      <c r="H55" s="1"/>
      <c r="I55" s="1"/>
      <c r="J55" s="1"/>
      <c r="K55" s="1"/>
    </row>
    <row r="56">
      <c r="A56" s="677" t="s">
        <v>61</v>
      </c>
      <c r="B56" s="683">
        <v>2121472574</v>
      </c>
      <c r="C56" s="683">
        <v>2228809260</v>
      </c>
      <c r="D56" s="683">
        <v>2244910728</v>
      </c>
      <c r="E56" s="683">
        <v>2270922588</v>
      </c>
      <c r="F56" s="683">
        <v>1844742611</v>
      </c>
      <c r="G56" s="10"/>
      <c r="H56" s="8"/>
      <c r="I56" s="8"/>
      <c r="J56" s="8"/>
      <c r="K56" s="8"/>
    </row>
    <row r="57">
      <c r="A57" s="688" t="s">
        <v>62</v>
      </c>
      <c r="B57" s="1">
        <v>20847797</v>
      </c>
      <c r="C57" s="1">
        <v>17277420</v>
      </c>
      <c r="D57" s="1">
        <v>15302729</v>
      </c>
      <c r="E57" s="1">
        <v>12991713</v>
      </c>
      <c r="F57" s="1">
        <v>11539789</v>
      </c>
      <c r="G57" s="6"/>
      <c r="H57" s="1"/>
      <c r="I57" s="1"/>
      <c r="J57" s="1"/>
      <c r="K57" s="1"/>
    </row>
    <row r="58">
      <c r="A58" s="688" t="s">
        <v>63</v>
      </c>
      <c r="B58" s="1">
        <v>116353854</v>
      </c>
      <c r="C58" s="1">
        <v>119112591</v>
      </c>
      <c r="D58" s="1">
        <v>119464406</v>
      </c>
      <c r="E58" s="1">
        <v>123345219</v>
      </c>
      <c r="F58" s="1">
        <v>105129335</v>
      </c>
      <c r="G58" s="6"/>
      <c r="H58" s="1"/>
      <c r="I58" s="1"/>
      <c r="J58" s="1"/>
      <c r="K58" s="1"/>
    </row>
    <row r="59">
      <c r="A59" s="677" t="s">
        <v>64</v>
      </c>
      <c r="B59" s="683">
        <v>7533825313</v>
      </c>
      <c r="C59" s="683">
        <v>7640442096</v>
      </c>
      <c r="D59" s="683">
        <v>7701225655</v>
      </c>
      <c r="E59" s="683">
        <v>7788906847</v>
      </c>
      <c r="F59" s="683">
        <v>7734221146</v>
      </c>
      <c r="G59" s="10"/>
      <c r="H59" s="8"/>
      <c r="I59" s="8"/>
      <c r="J59" s="8"/>
      <c r="K59" s="8"/>
    </row>
    <row r="60">
      <c r="A60" s="688" t="s">
        <v>65</v>
      </c>
      <c r="B60" s="1">
        <v>270202657</v>
      </c>
      <c r="C60" s="1">
        <v>270202657</v>
      </c>
      <c r="D60" s="1">
        <v>270202657</v>
      </c>
      <c r="E60" s="1">
        <v>270202657</v>
      </c>
      <c r="F60" s="1">
        <v>274702657</v>
      </c>
      <c r="G60" s="6"/>
      <c r="H60" s="1"/>
      <c r="I60" s="1"/>
      <c r="J60" s="1"/>
      <c r="K60" s="1"/>
    </row>
    <row r="61">
      <c r="A61" s="688" t="s">
        <v>66</v>
      </c>
      <c r="B61" s="1">
        <v>1755574</v>
      </c>
      <c r="C61" s="1">
        <v>1974519</v>
      </c>
      <c r="D61" s="1">
        <v>2252695</v>
      </c>
      <c r="E61" s="1">
        <v>2247763</v>
      </c>
      <c r="F61" s="1">
        <v>2292335</v>
      </c>
      <c r="G61" s="6"/>
      <c r="H61" s="1"/>
      <c r="I61" s="1"/>
      <c r="J61" s="1"/>
      <c r="K61" s="1"/>
    </row>
    <row r="62">
      <c r="A62" s="688" t="s">
        <v>67</v>
      </c>
      <c r="B62" s="1">
        <v>42382907</v>
      </c>
      <c r="C62" s="1">
        <v>43269167</v>
      </c>
      <c r="D62" s="1">
        <v>44175479</v>
      </c>
      <c r="E62" s="1">
        <v>45124877</v>
      </c>
      <c r="F62" s="1">
        <v>46137123</v>
      </c>
      <c r="G62" s="6"/>
      <c r="H62" s="1"/>
      <c r="I62" s="1"/>
      <c r="J62" s="1"/>
      <c r="K62" s="1"/>
    </row>
    <row r="63">
      <c r="A63" s="688" t="s">
        <v>68</v>
      </c>
      <c r="B63" s="1">
        <v>99613232</v>
      </c>
      <c r="C63" s="1">
        <v>101983796</v>
      </c>
      <c r="D63" s="1">
        <v>104142557</v>
      </c>
      <c r="E63" s="1">
        <v>108133638</v>
      </c>
      <c r="F63" s="1">
        <v>112628772</v>
      </c>
      <c r="G63" s="6"/>
      <c r="H63" s="1"/>
      <c r="I63" s="1"/>
      <c r="J63" s="1"/>
      <c r="K63" s="1"/>
    </row>
    <row r="64">
      <c r="A64" s="688" t="s">
        <v>69</v>
      </c>
      <c r="B64" s="1">
        <v>3356143</v>
      </c>
      <c r="C64" s="1">
        <v>-37694923</v>
      </c>
      <c r="D64" s="1">
        <v>-37365976</v>
      </c>
      <c r="E64" s="1">
        <v>-29751677</v>
      </c>
      <c r="F64" s="1">
        <v>-17574839</v>
      </c>
      <c r="G64" s="6"/>
      <c r="H64" s="1"/>
      <c r="I64" s="1"/>
      <c r="J64" s="1"/>
      <c r="K64" s="1"/>
    </row>
    <row r="65">
      <c r="A65" s="688" t="s">
        <v>70</v>
      </c>
      <c r="B65" s="1"/>
      <c r="C65" s="1"/>
      <c r="D65" s="1">
        <v>0</v>
      </c>
      <c r="E65" s="1">
        <v>-69008</v>
      </c>
      <c r="F65" s="1">
        <v>-2164703</v>
      </c>
      <c r="G65" s="6"/>
      <c r="H65" s="1"/>
      <c r="I65" s="1"/>
      <c r="J65" s="1"/>
      <c r="K65" s="1"/>
    </row>
    <row r="66">
      <c r="A66" s="688" t="s">
        <v>71</v>
      </c>
      <c r="B66" s="1">
        <v>372408067</v>
      </c>
      <c r="C66" s="1">
        <v>380419123</v>
      </c>
      <c r="D66" s="1">
        <v>328345832</v>
      </c>
      <c r="E66" s="1">
        <v>335487535</v>
      </c>
      <c r="F66" s="1">
        <v>352759085</v>
      </c>
      <c r="G66" s="6"/>
      <c r="H66" s="1"/>
      <c r="I66" s="1"/>
      <c r="J66" s="1"/>
      <c r="K66" s="1"/>
    </row>
    <row r="67">
      <c r="A67" s="677" t="s">
        <v>72</v>
      </c>
      <c r="B67" s="683">
        <v>789718580</v>
      </c>
      <c r="C67" s="683">
        <v>760154339</v>
      </c>
      <c r="D67" s="683">
        <v>711753244</v>
      </c>
      <c r="E67" s="683">
        <v>731375785</v>
      </c>
      <c r="F67" s="683">
        <v>768780430</v>
      </c>
      <c r="G67" s="10"/>
      <c r="H67" s="8"/>
      <c r="I67" s="8"/>
      <c r="J67" s="8"/>
      <c r="K67" s="8"/>
    </row>
    <row r="68">
      <c r="A68" s="677" t="s">
        <v>73</v>
      </c>
      <c r="B68" s="683">
        <v>8323543893</v>
      </c>
      <c r="C68" s="683">
        <v>8400596435</v>
      </c>
      <c r="D68" s="683">
        <v>8412978899</v>
      </c>
      <c r="E68" s="683">
        <v>8520282632</v>
      </c>
      <c r="F68" s="683">
        <v>8503001576</v>
      </c>
      <c r="G68" s="10"/>
      <c r="H68" s="8"/>
      <c r="I68" s="8"/>
      <c r="J68" s="8"/>
      <c r="K68" s="8"/>
    </row>
    <row r="69">
      <c r="A69" s="4"/>
      <c r="B69" s="4"/>
      <c r="C69" s="4"/>
      <c r="D69" s="4"/>
      <c r="E69" s="4"/>
      <c r="F69" s="4"/>
      <c r="G69" s="12"/>
      <c r="H69" s="4"/>
      <c r="I69" s="4"/>
      <c r="J69" s="4"/>
      <c r="K69" s="4"/>
    </row>
    <row r="70">
      <c r="A70" s="690" t="s">
        <v>3</v>
      </c>
      <c r="B70" s="707" t="s">
        <v>4</v>
      </c>
      <c r="C70" s="707" t="s">
        <v>5</v>
      </c>
      <c r="D70" s="707" t="s">
        <v>6</v>
      </c>
      <c r="E70" s="707" t="s">
        <v>7</v>
      </c>
      <c r="F70" s="707" t="s">
        <v>8</v>
      </c>
      <c r="G70" s="708" t="s">
        <v>9</v>
      </c>
      <c r="H70" s="705" t="s">
        <v>10</v>
      </c>
      <c r="I70" s="705" t="s">
        <v>11</v>
      </c>
      <c r="J70" s="705" t="s">
        <v>12</v>
      </c>
      <c r="K70" s="705" t="s">
        <v>13</v>
      </c>
    </row>
    <row r="71">
      <c r="A71" s="690" t="s">
        <v>74</v>
      </c>
      <c r="B71" s="9"/>
      <c r="C71" s="9"/>
      <c r="D71" s="9"/>
      <c r="E71" s="9"/>
      <c r="F71" s="9"/>
      <c r="G71" s="11"/>
      <c r="H71" s="2"/>
      <c r="I71" s="2"/>
      <c r="J71" s="2"/>
      <c r="K71" s="2"/>
    </row>
    <row r="72">
      <c r="A72" s="688" t="s">
        <v>41</v>
      </c>
      <c r="B72" s="1">
        <v>26593150</v>
      </c>
      <c r="C72" s="1">
        <v>37263494</v>
      </c>
      <c r="D72" s="1">
        <v>47505926</v>
      </c>
      <c r="E72" s="1">
        <v>47832787</v>
      </c>
      <c r="F72" s="1">
        <v>48262456</v>
      </c>
      <c r="G72" s="6"/>
      <c r="H72" s="1"/>
      <c r="I72" s="1"/>
      <c r="J72" s="1"/>
      <c r="K72" s="1"/>
    </row>
    <row r="73">
      <c r="A73" s="688" t="s">
        <v>30</v>
      </c>
      <c r="B73" s="1">
        <v>21305412</v>
      </c>
      <c r="C73" s="1">
        <v>20767901</v>
      </c>
      <c r="D73" s="1">
        <v>18258300</v>
      </c>
      <c r="E73" s="1">
        <v>17607972</v>
      </c>
      <c r="F73" s="1">
        <v>17639914</v>
      </c>
      <c r="G73" s="6"/>
      <c r="H73" s="1"/>
      <c r="I73" s="1"/>
      <c r="J73" s="1"/>
      <c r="K73" s="1"/>
    </row>
    <row r="74">
      <c r="A74" s="688" t="s">
        <v>75</v>
      </c>
      <c r="B74" s="1">
        <v>-5101</v>
      </c>
      <c r="C74" s="1">
        <v>-178437</v>
      </c>
      <c r="D74" s="1">
        <v>-667208</v>
      </c>
      <c r="E74" s="1">
        <v>-308684</v>
      </c>
      <c r="F74" s="1">
        <v>211392</v>
      </c>
      <c r="G74" s="6"/>
      <c r="H74" s="1"/>
      <c r="I74" s="1"/>
      <c r="J74" s="1"/>
      <c r="K74" s="1"/>
    </row>
    <row r="75">
      <c r="A75" s="688" t="s">
        <v>76</v>
      </c>
      <c r="B75" s="1">
        <v>31927</v>
      </c>
      <c r="C75" s="1">
        <v>215502</v>
      </c>
      <c r="D75" s="1">
        <v>5296399</v>
      </c>
      <c r="E75" s="1">
        <v>1241711</v>
      </c>
      <c r="F75" s="1">
        <v>3354830</v>
      </c>
      <c r="G75" s="6"/>
      <c r="H75" s="1"/>
      <c r="I75" s="1"/>
      <c r="J75" s="1"/>
      <c r="K75" s="1"/>
    </row>
    <row r="76">
      <c r="A76" s="688" t="s">
        <v>77</v>
      </c>
      <c r="B76" s="1">
        <v>-7527134</v>
      </c>
      <c r="C76" s="1">
        <v>-1154420</v>
      </c>
      <c r="D76" s="1">
        <v>-388602</v>
      </c>
      <c r="E76" s="1">
        <v>-309926</v>
      </c>
      <c r="F76" s="1">
        <v>-795290</v>
      </c>
      <c r="G76" s="6"/>
      <c r="H76" s="1"/>
      <c r="I76" s="1"/>
      <c r="J76" s="1"/>
      <c r="K76" s="1"/>
    </row>
    <row r="77">
      <c r="A77" s="688" t="s">
        <v>78</v>
      </c>
      <c r="B77" s="1">
        <v>-202943</v>
      </c>
      <c r="C77" s="1">
        <v>680871</v>
      </c>
      <c r="D77" s="1">
        <v>-60788</v>
      </c>
      <c r="E77" s="1">
        <v>-2840346</v>
      </c>
      <c r="F77" s="1">
        <v>85947</v>
      </c>
      <c r="G77" s="6"/>
      <c r="H77" s="1"/>
      <c r="I77" s="1"/>
      <c r="J77" s="1"/>
      <c r="K77" s="1"/>
    </row>
    <row r="78">
      <c r="A78" s="688" t="s">
        <v>79</v>
      </c>
      <c r="B78" s="1">
        <v>83497811</v>
      </c>
      <c r="C78" s="1">
        <v>59032479</v>
      </c>
      <c r="D78" s="1">
        <v>48957742</v>
      </c>
      <c r="E78" s="1">
        <v>34695854</v>
      </c>
      <c r="F78" s="1">
        <v>28431911</v>
      </c>
      <c r="G78" s="6"/>
      <c r="H78" s="1"/>
      <c r="I78" s="1"/>
      <c r="J78" s="1"/>
      <c r="K78" s="1"/>
    </row>
    <row r="79">
      <c r="A79" s="688" t="s">
        <v>80</v>
      </c>
      <c r="B79" s="1">
        <v>500143</v>
      </c>
      <c r="C79" s="1">
        <v>2897059</v>
      </c>
      <c r="D79" s="1">
        <v>474038</v>
      </c>
      <c r="E79" s="1">
        <v>-60659</v>
      </c>
      <c r="F79" s="1">
        <v>-198747</v>
      </c>
      <c r="G79" s="6"/>
      <c r="H79" s="1"/>
      <c r="I79" s="1"/>
      <c r="J79" s="1"/>
      <c r="K79" s="1"/>
    </row>
    <row r="80">
      <c r="A80" s="688" t="s">
        <v>40</v>
      </c>
      <c r="B80" s="1">
        <v>-8852593</v>
      </c>
      <c r="C80" s="1">
        <v>-1581230</v>
      </c>
      <c r="D80" s="1">
        <v>3464904</v>
      </c>
      <c r="E80" s="1">
        <v>1167130</v>
      </c>
      <c r="F80" s="1">
        <v>1801744</v>
      </c>
      <c r="G80" s="6"/>
      <c r="H80" s="1"/>
      <c r="I80" s="1"/>
      <c r="J80" s="1"/>
      <c r="K80" s="1"/>
    </row>
    <row r="81">
      <c r="A81" s="677" t="s">
        <v>17</v>
      </c>
      <c r="B81" s="683">
        <v>-436095180</v>
      </c>
      <c r="C81" s="683">
        <v>-419112916</v>
      </c>
      <c r="D81" s="683">
        <v>-454333887</v>
      </c>
      <c r="E81" s="683">
        <v>-503666534</v>
      </c>
      <c r="F81" s="683">
        <v>-523500468</v>
      </c>
      <c r="G81" s="10"/>
      <c r="H81" s="8"/>
      <c r="I81" s="8"/>
      <c r="J81" s="8"/>
      <c r="K81" s="8"/>
    </row>
    <row r="82">
      <c r="A82" s="688" t="s">
        <v>81</v>
      </c>
      <c r="B82" s="1">
        <v>263333029</v>
      </c>
      <c r="C82" s="1">
        <v>238053406</v>
      </c>
      <c r="D82" s="1">
        <v>281836291</v>
      </c>
      <c r="E82" s="1">
        <v>350182264</v>
      </c>
      <c r="F82" s="1">
        <v>366248027</v>
      </c>
      <c r="G82" s="6"/>
      <c r="H82" s="1"/>
      <c r="I82" s="1"/>
      <c r="J82" s="1"/>
      <c r="K82" s="1"/>
    </row>
    <row r="83">
      <c r="A83" s="688" t="s">
        <v>82</v>
      </c>
      <c r="B83" s="1">
        <v>-243733</v>
      </c>
      <c r="C83" s="1">
        <v>218945</v>
      </c>
      <c r="D83" s="1">
        <v>278176</v>
      </c>
      <c r="E83" s="1">
        <v>-4932</v>
      </c>
      <c r="F83" s="1">
        <v>44572</v>
      </c>
      <c r="G83" s="6"/>
      <c r="H83" s="1"/>
      <c r="I83" s="1"/>
      <c r="J83" s="1"/>
      <c r="K83" s="1"/>
    </row>
    <row r="84">
      <c r="A84" s="688" t="s">
        <v>83</v>
      </c>
      <c r="B84" s="1">
        <v>-57665212</v>
      </c>
      <c r="C84" s="1">
        <v>-62897346</v>
      </c>
      <c r="D84" s="1">
        <v>-49378709</v>
      </c>
      <c r="E84" s="1">
        <v>-54463363</v>
      </c>
      <c r="F84" s="1">
        <v>-58213712</v>
      </c>
      <c r="G84" s="6"/>
      <c r="H84" s="1"/>
      <c r="I84" s="1"/>
      <c r="J84" s="1"/>
      <c r="K84" s="1"/>
    </row>
    <row r="85">
      <c r="A85" s="688" t="s">
        <v>84</v>
      </c>
      <c r="B85" s="1">
        <v>-4858083</v>
      </c>
      <c r="C85" s="1">
        <v>27424348</v>
      </c>
      <c r="D85" s="1">
        <v>-1048266</v>
      </c>
      <c r="E85" s="1">
        <v>-15140695</v>
      </c>
      <c r="F85" s="1">
        <v>-17680239</v>
      </c>
      <c r="G85" s="6"/>
      <c r="H85" s="1"/>
      <c r="I85" s="1"/>
      <c r="J85" s="1"/>
      <c r="K85" s="1"/>
    </row>
    <row r="86">
      <c r="A86" s="688" t="s">
        <v>85</v>
      </c>
      <c r="B86" s="1">
        <v>4755724</v>
      </c>
      <c r="C86" s="1">
        <v>21101</v>
      </c>
      <c r="D86" s="1">
        <v>-3262607</v>
      </c>
      <c r="E86" s="1">
        <v>-1409124</v>
      </c>
      <c r="F86" s="1">
        <v>-40706</v>
      </c>
      <c r="G86" s="6"/>
      <c r="H86" s="1"/>
      <c r="I86" s="1"/>
      <c r="J86" s="1"/>
      <c r="K86" s="1"/>
    </row>
    <row r="87">
      <c r="A87" s="688" t="s">
        <v>86</v>
      </c>
      <c r="B87" s="1">
        <v>248810283</v>
      </c>
      <c r="C87" s="1">
        <v>-201741432</v>
      </c>
      <c r="D87" s="1">
        <v>-127381949</v>
      </c>
      <c r="E87" s="1">
        <v>-130986477</v>
      </c>
      <c r="F87" s="1">
        <v>138786732</v>
      </c>
      <c r="G87" s="6"/>
      <c r="H87" s="1"/>
      <c r="I87" s="1"/>
      <c r="J87" s="1"/>
      <c r="K87" s="1"/>
    </row>
    <row r="88">
      <c r="A88" s="688" t="s">
        <v>87</v>
      </c>
      <c r="B88" s="1">
        <v>-81129522</v>
      </c>
      <c r="C88" s="1">
        <v>-52587149</v>
      </c>
      <c r="D88" s="1">
        <v>-37063725</v>
      </c>
      <c r="E88" s="1">
        <v>13988370</v>
      </c>
      <c r="F88" s="1">
        <v>-16427966</v>
      </c>
      <c r="G88" s="6"/>
      <c r="H88" s="1"/>
      <c r="I88" s="1"/>
      <c r="J88" s="1"/>
      <c r="K88" s="1"/>
    </row>
    <row r="89">
      <c r="A89" s="688" t="s">
        <v>88</v>
      </c>
      <c r="B89" s="1">
        <v>90457200</v>
      </c>
      <c r="C89" s="1">
        <v>-10799595</v>
      </c>
      <c r="D89" s="1">
        <v>26916651</v>
      </c>
      <c r="E89" s="1">
        <v>59057979</v>
      </c>
      <c r="F89" s="1">
        <v>450838594</v>
      </c>
      <c r="G89" s="6"/>
      <c r="H89" s="1"/>
      <c r="I89" s="1"/>
      <c r="J89" s="1"/>
      <c r="K89" s="1"/>
    </row>
    <row r="90">
      <c r="A90" s="688" t="s">
        <v>89</v>
      </c>
      <c r="B90" s="1">
        <v>-27855048</v>
      </c>
      <c r="C90" s="1">
        <v>19503249</v>
      </c>
      <c r="D90" s="1">
        <v>18506572</v>
      </c>
      <c r="E90" s="1">
        <v>-2104034</v>
      </c>
      <c r="F90" s="1">
        <v>-64065921</v>
      </c>
      <c r="G90" s="6"/>
      <c r="H90" s="1"/>
      <c r="I90" s="1"/>
      <c r="J90" s="1"/>
      <c r="K90" s="1"/>
    </row>
    <row r="91">
      <c r="A91" s="688" t="s">
        <v>90</v>
      </c>
      <c r="B91" s="1">
        <v>7397556</v>
      </c>
      <c r="C91" s="1">
        <v>1189437</v>
      </c>
      <c r="D91" s="1">
        <v>-4230079</v>
      </c>
      <c r="E91" s="1">
        <v>-1535423</v>
      </c>
      <c r="F91" s="1">
        <v>-19198992</v>
      </c>
      <c r="G91" s="6"/>
      <c r="H91" s="1"/>
      <c r="I91" s="1"/>
      <c r="J91" s="1"/>
      <c r="K91" s="1"/>
    </row>
    <row r="92">
      <c r="A92" s="677" t="s">
        <v>91</v>
      </c>
      <c r="B92" s="683">
        <v>179912898</v>
      </c>
      <c r="C92" s="683">
        <v>-279887387</v>
      </c>
      <c r="D92" s="683">
        <v>-176942112</v>
      </c>
      <c r="E92" s="683">
        <v>-132392767</v>
      </c>
      <c r="F92" s="683">
        <v>413997790</v>
      </c>
      <c r="G92" s="10"/>
      <c r="H92" s="8"/>
      <c r="I92" s="8"/>
      <c r="J92" s="8"/>
      <c r="K92" s="8"/>
    </row>
    <row r="93">
      <c r="A93" s="688" t="s">
        <v>92</v>
      </c>
      <c r="B93" s="1">
        <v>-3873277</v>
      </c>
      <c r="C93" s="1">
        <v>-1687772</v>
      </c>
      <c r="D93" s="1">
        <v>-2577066</v>
      </c>
      <c r="E93" s="1">
        <v>-3273502</v>
      </c>
      <c r="F93" s="1">
        <v>-2857195</v>
      </c>
      <c r="G93" s="6"/>
      <c r="H93" s="1"/>
      <c r="I93" s="1"/>
      <c r="J93" s="1"/>
      <c r="K93" s="1"/>
    </row>
    <row r="94">
      <c r="A94" s="688" t="s">
        <v>93</v>
      </c>
      <c r="B94" s="1">
        <v>378459256</v>
      </c>
      <c r="C94" s="1">
        <v>432355470</v>
      </c>
      <c r="D94" s="1">
        <v>458708013</v>
      </c>
      <c r="E94" s="1">
        <v>492474302</v>
      </c>
      <c r="F94" s="1">
        <v>529810437</v>
      </c>
      <c r="G94" s="6"/>
      <c r="H94" s="1"/>
      <c r="I94" s="1"/>
      <c r="J94" s="1"/>
      <c r="K94" s="1"/>
    </row>
    <row r="95">
      <c r="A95" s="688" t="s">
        <v>94</v>
      </c>
      <c r="B95" s="1">
        <v>-262152473</v>
      </c>
      <c r="C95" s="1">
        <v>-247459947</v>
      </c>
      <c r="D95" s="1">
        <v>-268559170</v>
      </c>
      <c r="E95" s="1">
        <v>-346771122</v>
      </c>
      <c r="F95" s="1">
        <v>-364645737</v>
      </c>
      <c r="G95" s="6"/>
      <c r="H95" s="1"/>
      <c r="I95" s="1"/>
      <c r="J95" s="1"/>
      <c r="K95" s="1"/>
    </row>
    <row r="96">
      <c r="A96" s="677" t="s">
        <v>95</v>
      </c>
      <c r="B96" s="683">
        <v>292346404</v>
      </c>
      <c r="C96" s="683">
        <v>-96709636</v>
      </c>
      <c r="D96" s="683">
        <v>10629665</v>
      </c>
      <c r="E96" s="683">
        <v>10036911</v>
      </c>
      <c r="F96" s="683">
        <v>576305295</v>
      </c>
      <c r="G96" s="10"/>
      <c r="H96" s="8"/>
      <c r="I96" s="8"/>
      <c r="J96" s="8"/>
      <c r="K96" s="8"/>
    </row>
    <row r="97">
      <c r="A97" s="688" t="s">
        <v>96</v>
      </c>
      <c r="B97" s="1">
        <v>-1651925402</v>
      </c>
      <c r="C97" s="1">
        <v>-427600808</v>
      </c>
      <c r="D97" s="1">
        <v>-251465189</v>
      </c>
      <c r="E97" s="1">
        <v>-219717165</v>
      </c>
      <c r="F97" s="1">
        <v>-414583040</v>
      </c>
      <c r="G97" s="6"/>
      <c r="H97" s="1"/>
      <c r="I97" s="1"/>
      <c r="J97" s="1"/>
      <c r="K97" s="1"/>
    </row>
    <row r="98">
      <c r="A98" s="688" t="s">
        <v>97</v>
      </c>
      <c r="B98" s="1">
        <v>1645314605</v>
      </c>
      <c r="C98" s="1">
        <v>438213712</v>
      </c>
      <c r="D98" s="1">
        <v>301697831</v>
      </c>
      <c r="E98" s="1">
        <v>217377000</v>
      </c>
      <c r="F98" s="1">
        <v>320122455</v>
      </c>
      <c r="G98" s="6"/>
      <c r="H98" s="1"/>
      <c r="I98" s="1"/>
      <c r="J98" s="1"/>
      <c r="K98" s="1"/>
    </row>
    <row r="99">
      <c r="A99" s="688" t="s">
        <v>98</v>
      </c>
      <c r="B99" s="1">
        <v>-27877749</v>
      </c>
      <c r="C99" s="1">
        <v>-3470625</v>
      </c>
      <c r="D99" s="1">
        <v>-27239077</v>
      </c>
      <c r="E99" s="1">
        <v>-2701032</v>
      </c>
      <c r="F99" s="1">
        <v>-27539340</v>
      </c>
      <c r="G99" s="6"/>
      <c r="H99" s="1"/>
      <c r="I99" s="1"/>
      <c r="J99" s="1"/>
      <c r="K99" s="1"/>
    </row>
    <row r="100">
      <c r="A100" s="688" t="s">
        <v>99</v>
      </c>
      <c r="B100" s="1"/>
      <c r="C100" s="1">
        <v>0</v>
      </c>
      <c r="D100" s="1">
        <v>157944</v>
      </c>
      <c r="E100" s="1">
        <v>2506131</v>
      </c>
      <c r="F100" s="1">
        <v>29786790</v>
      </c>
      <c r="G100" s="6"/>
      <c r="H100" s="1"/>
      <c r="I100" s="1"/>
      <c r="J100" s="1"/>
      <c r="K100" s="1"/>
    </row>
    <row r="101">
      <c r="A101" s="688" t="s">
        <v>100</v>
      </c>
      <c r="B101" s="1">
        <v>-46980293</v>
      </c>
      <c r="C101" s="1">
        <v>-36519100</v>
      </c>
      <c r="D101" s="1">
        <v>-16311184</v>
      </c>
      <c r="E101" s="1">
        <v>-4999950</v>
      </c>
      <c r="F101" s="1">
        <v>-28574308</v>
      </c>
      <c r="G101" s="6"/>
      <c r="H101" s="1"/>
      <c r="I101" s="1"/>
      <c r="J101" s="1"/>
      <c r="K101" s="1"/>
    </row>
    <row r="102">
      <c r="A102" s="688" t="s">
        <v>101</v>
      </c>
      <c r="B102" s="1">
        <v>12697532</v>
      </c>
      <c r="C102" s="1">
        <v>16147228</v>
      </c>
      <c r="D102" s="1">
        <v>18866685</v>
      </c>
      <c r="E102" s="1">
        <v>26521562</v>
      </c>
      <c r="F102" s="1">
        <v>46934901</v>
      </c>
      <c r="G102" s="6"/>
      <c r="H102" s="1"/>
      <c r="I102" s="1"/>
      <c r="J102" s="1"/>
      <c r="K102" s="1"/>
    </row>
    <row r="103">
      <c r="A103" s="688" t="s">
        <v>102</v>
      </c>
      <c r="B103" s="1">
        <v>-11948720</v>
      </c>
      <c r="C103" s="1">
        <v>-19038187</v>
      </c>
      <c r="D103" s="1">
        <v>-12386108</v>
      </c>
      <c r="E103" s="1">
        <v>-16279740</v>
      </c>
      <c r="F103" s="1">
        <v>-18621372</v>
      </c>
      <c r="G103" s="6"/>
      <c r="H103" s="1"/>
      <c r="I103" s="1"/>
      <c r="J103" s="1"/>
      <c r="K103" s="1"/>
    </row>
    <row r="104">
      <c r="A104" s="688" t="s">
        <v>103</v>
      </c>
      <c r="B104" s="1">
        <v>5101</v>
      </c>
      <c r="C104" s="1">
        <v>178437</v>
      </c>
      <c r="D104" s="1">
        <v>667208</v>
      </c>
      <c r="E104" s="1">
        <v>308684</v>
      </c>
      <c r="F104" s="1">
        <v>-211392</v>
      </c>
      <c r="G104" s="6"/>
      <c r="H104" s="1"/>
      <c r="I104" s="1"/>
      <c r="J104" s="1"/>
      <c r="K104" s="1"/>
    </row>
    <row r="105">
      <c r="A105" s="677" t="s">
        <v>104</v>
      </c>
      <c r="B105" s="683">
        <v>-80714926</v>
      </c>
      <c r="C105" s="683">
        <v>-32089343</v>
      </c>
      <c r="D105" s="683">
        <v>13988110</v>
      </c>
      <c r="E105" s="683">
        <v>3015490</v>
      </c>
      <c r="F105" s="683">
        <v>-92685306</v>
      </c>
      <c r="G105" s="10"/>
      <c r="H105" s="8"/>
      <c r="I105" s="8"/>
      <c r="J105" s="8"/>
      <c r="K105" s="8"/>
    </row>
    <row r="106">
      <c r="A106" s="688" t="s">
        <v>105</v>
      </c>
      <c r="B106" s="1"/>
      <c r="C106" s="1">
        <v>0</v>
      </c>
      <c r="D106" s="1">
        <v>-23655642</v>
      </c>
      <c r="E106" s="1">
        <v>-70009751</v>
      </c>
      <c r="F106" s="1">
        <v>-47610933</v>
      </c>
      <c r="G106" s="6"/>
      <c r="H106" s="1"/>
      <c r="I106" s="1"/>
      <c r="J106" s="1"/>
      <c r="K106" s="1"/>
    </row>
    <row r="107">
      <c r="A107" s="688" t="s">
        <v>106</v>
      </c>
      <c r="B107" s="1">
        <v>0</v>
      </c>
      <c r="C107" s="1">
        <v>93665393</v>
      </c>
      <c r="D107" s="1">
        <v>0</v>
      </c>
      <c r="E107" s="1">
        <v>47610933</v>
      </c>
      <c r="F107" s="1">
        <v>37321723</v>
      </c>
      <c r="G107" s="6"/>
      <c r="H107" s="1"/>
      <c r="I107" s="1"/>
      <c r="J107" s="1"/>
      <c r="K107" s="1"/>
    </row>
    <row r="108">
      <c r="A108" s="688" t="s">
        <v>107</v>
      </c>
      <c r="B108" s="1">
        <v>732853771</v>
      </c>
      <c r="C108" s="1">
        <v>1844685880</v>
      </c>
      <c r="D108" s="1">
        <v>1766870623</v>
      </c>
      <c r="E108" s="1">
        <v>2262358381</v>
      </c>
      <c r="F108" s="1">
        <v>1209969512</v>
      </c>
      <c r="G108" s="6"/>
      <c r="H108" s="1"/>
      <c r="I108" s="1"/>
      <c r="J108" s="1"/>
      <c r="K108" s="1"/>
    </row>
    <row r="109">
      <c r="A109" s="688" t="s">
        <v>108</v>
      </c>
      <c r="B109" s="1">
        <v>-930857868</v>
      </c>
      <c r="C109" s="1">
        <v>-1241689596</v>
      </c>
      <c r="D109" s="1">
        <v>-1670398393</v>
      </c>
      <c r="E109" s="1">
        <v>-2194963355</v>
      </c>
      <c r="F109" s="1">
        <v>-1620006309</v>
      </c>
      <c r="G109" s="6"/>
      <c r="H109" s="1"/>
      <c r="I109" s="1"/>
      <c r="J109" s="1"/>
      <c r="K109" s="1"/>
    </row>
    <row r="110">
      <c r="A110" s="688" t="s">
        <v>109</v>
      </c>
      <c r="B110" s="1">
        <v>7850000</v>
      </c>
      <c r="C110" s="1">
        <v>16595000</v>
      </c>
      <c r="D110" s="1">
        <v>9545000</v>
      </c>
      <c r="E110" s="1">
        <v>2000000</v>
      </c>
      <c r="F110" s="1">
        <v>0</v>
      </c>
      <c r="G110" s="6"/>
      <c r="H110" s="1"/>
      <c r="I110" s="1"/>
      <c r="J110" s="1"/>
      <c r="K110" s="1"/>
    </row>
    <row r="111">
      <c r="A111" s="688" t="s">
        <v>110</v>
      </c>
      <c r="B111" s="1">
        <v>-24300000</v>
      </c>
      <c r="C111" s="1">
        <v>-6850000</v>
      </c>
      <c r="D111" s="1">
        <v>-26140000</v>
      </c>
      <c r="E111" s="1">
        <v>0</v>
      </c>
      <c r="F111" s="1">
        <v>-2000000</v>
      </c>
      <c r="G111" s="6"/>
      <c r="H111" s="1"/>
      <c r="I111" s="1"/>
      <c r="J111" s="1"/>
      <c r="K111" s="1"/>
    </row>
    <row r="112">
      <c r="A112" s="688" t="s">
        <v>111</v>
      </c>
      <c r="B112" s="1">
        <v>23850000</v>
      </c>
      <c r="C112" s="1">
        <v>16601000</v>
      </c>
      <c r="D112" s="1">
        <v>600000</v>
      </c>
      <c r="E112" s="1">
        <v>64489000</v>
      </c>
      <c r="F112" s="1">
        <v>0</v>
      </c>
      <c r="G112" s="6"/>
      <c r="H112" s="1"/>
      <c r="I112" s="1"/>
      <c r="J112" s="1"/>
      <c r="K112" s="1"/>
    </row>
    <row r="113">
      <c r="A113" s="688" t="s">
        <v>112</v>
      </c>
      <c r="B113" s="1">
        <v>-82646050</v>
      </c>
      <c r="C113" s="1">
        <v>-625806718</v>
      </c>
      <c r="D113" s="1">
        <v>-51308097</v>
      </c>
      <c r="E113" s="1">
        <v>-78347220</v>
      </c>
      <c r="F113" s="1">
        <v>-1290375</v>
      </c>
      <c r="G113" s="6"/>
      <c r="H113" s="1"/>
      <c r="I113" s="1"/>
      <c r="J113" s="1"/>
      <c r="K113" s="1"/>
    </row>
    <row r="114">
      <c r="A114" s="688" t="s">
        <v>113</v>
      </c>
      <c r="B114" s="1">
        <v>-20033073</v>
      </c>
      <c r="C114" s="1">
        <v>-23664251</v>
      </c>
      <c r="D114" s="1">
        <v>-95002266</v>
      </c>
      <c r="E114" s="1">
        <v>-35336599</v>
      </c>
      <c r="F114" s="1">
        <v>-25134617</v>
      </c>
      <c r="G114" s="6"/>
      <c r="H114" s="1"/>
      <c r="I114" s="1"/>
      <c r="J114" s="1"/>
      <c r="K114" s="1"/>
    </row>
    <row r="115">
      <c r="A115" s="688" t="s">
        <v>114</v>
      </c>
      <c r="B115" s="1"/>
      <c r="C115" s="1"/>
      <c r="D115" s="1"/>
      <c r="E115" s="1">
        <v>0</v>
      </c>
      <c r="F115" s="1">
        <v>4500000</v>
      </c>
      <c r="G115" s="6"/>
      <c r="H115" s="1"/>
      <c r="I115" s="1"/>
      <c r="J115" s="1"/>
      <c r="K115" s="1"/>
    </row>
    <row r="116">
      <c r="A116" s="688" t="s">
        <v>115</v>
      </c>
      <c r="B116" s="1">
        <v>-3119419</v>
      </c>
      <c r="C116" s="1">
        <v>-2860865</v>
      </c>
      <c r="D116" s="1">
        <v>-1974691</v>
      </c>
      <c r="E116" s="1">
        <v>-2311016</v>
      </c>
      <c r="F116" s="1">
        <v>-1451924</v>
      </c>
      <c r="G116" s="6"/>
      <c r="H116" s="1"/>
      <c r="I116" s="1"/>
      <c r="J116" s="1"/>
      <c r="K116" s="1"/>
    </row>
    <row r="117">
      <c r="A117" s="688" t="s">
        <v>116</v>
      </c>
      <c r="B117" s="1">
        <v>-490801</v>
      </c>
      <c r="C117" s="1">
        <v>-540609</v>
      </c>
      <c r="D117" s="1">
        <v>-511878</v>
      </c>
      <c r="E117" s="1">
        <v>-700955</v>
      </c>
      <c r="F117" s="1">
        <v>-348909</v>
      </c>
      <c r="G117" s="6"/>
      <c r="H117" s="1"/>
      <c r="I117" s="1"/>
      <c r="J117" s="1"/>
      <c r="K117" s="1"/>
    </row>
    <row r="118">
      <c r="A118" s="677" t="s">
        <v>117</v>
      </c>
      <c r="B118" s="683">
        <v>-296893440</v>
      </c>
      <c r="C118" s="683">
        <v>70135234</v>
      </c>
      <c r="D118" s="683">
        <v>-92973344</v>
      </c>
      <c r="E118" s="683">
        <v>-5210582</v>
      </c>
      <c r="F118" s="683">
        <v>-446051832</v>
      </c>
      <c r="G118" s="10"/>
      <c r="H118" s="8"/>
      <c r="I118" s="8"/>
      <c r="J118" s="8"/>
      <c r="K118" s="8"/>
    </row>
    <row r="119">
      <c r="A119" s="688" t="s">
        <v>118</v>
      </c>
      <c r="B119" s="1">
        <v>-85261962</v>
      </c>
      <c r="C119" s="1">
        <v>-58663745</v>
      </c>
      <c r="D119" s="1">
        <v>-68355569</v>
      </c>
      <c r="E119" s="1">
        <v>7841819</v>
      </c>
      <c r="F119" s="1">
        <v>37568157</v>
      </c>
      <c r="G119" s="6"/>
      <c r="H119" s="1"/>
      <c r="I119" s="1"/>
      <c r="J119" s="1"/>
      <c r="K119" s="1"/>
    </row>
    <row r="120">
      <c r="A120" s="688" t="s">
        <v>119</v>
      </c>
      <c r="B120" s="1">
        <v>559251757</v>
      </c>
      <c r="C120" s="1">
        <v>473989795</v>
      </c>
      <c r="D120" s="1">
        <v>415326050</v>
      </c>
      <c r="E120" s="1">
        <v>346970481</v>
      </c>
      <c r="F120" s="1">
        <v>354812300</v>
      </c>
      <c r="G120" s="6"/>
      <c r="H120" s="1"/>
      <c r="I120" s="1"/>
      <c r="J120" s="1"/>
      <c r="K120" s="1"/>
    </row>
    <row r="121">
      <c r="A121" s="677" t="s">
        <v>120</v>
      </c>
      <c r="B121" s="683">
        <v>473989795</v>
      </c>
      <c r="C121" s="683">
        <v>415326050</v>
      </c>
      <c r="D121" s="683">
        <v>346970481</v>
      </c>
      <c r="E121" s="683">
        <v>354812300</v>
      </c>
      <c r="F121" s="683">
        <v>392380457</v>
      </c>
      <c r="G121" s="10"/>
      <c r="H121" s="8"/>
      <c r="I121" s="8"/>
      <c r="J121" s="8"/>
      <c r="K121" s="8"/>
    </row>
    <row r="122">
      <c r="A122" s="4"/>
      <c r="B122" s="4"/>
      <c r="C122" s="4"/>
      <c r="D122" s="4"/>
      <c r="E122" s="4"/>
      <c r="F122" s="4"/>
      <c r="G122" s="12"/>
      <c r="H122" s="4"/>
      <c r="I122" s="4"/>
      <c r="J122" s="4"/>
      <c r="K122" s="4"/>
    </row>
  </sheetData>
</worksheet>
</file>

<file path=xl/worksheets/sheet2.xml><?xml version="1.0" encoding="utf-8"?>
<worksheet xmlns="http://schemas.openxmlformats.org/spreadsheetml/2006/main" xmlns:r="http://schemas.openxmlformats.org/officeDocument/2006/relationships">
  <dimension ref="A1:Q71"/>
  <sheetViews>
    <sheetView showGridLines="0" workbookViewId="0"/>
  </sheetViews>
  <sheetFormatPr defaultColWidth="8.375" defaultRowHeight="15"/>
  <cols>
    <col min="1" max="1" width="39.375" customWidth="1"/>
    <col min="2" max="11" width="15.625" customWidth="1"/>
    <col min="12" max="12" width="2.875" customWidth="1"/>
    <col min="13" max="13" width="10.625" customWidth="1"/>
    <col min="14" max="14" width="31.875" customWidth="1"/>
    <col min="15" max="16" width="2.875" customWidth="1"/>
    <col min="17" max="17" width="44.375" customWidth="1"/>
  </cols>
  <sheetData>
    <row r="1">
      <c r="A1" s="690" t="s">
        <v>0</v>
      </c>
      <c r="B1" s="631"/>
      <c r="C1" s="631"/>
      <c r="D1" s="631"/>
      <c r="E1" s="631"/>
      <c r="F1" s="631"/>
      <c r="G1" s="638"/>
      <c r="H1" s="633"/>
      <c r="I1" s="633"/>
      <c r="J1" s="633"/>
      <c r="K1" s="633"/>
      <c r="L1" s="626"/>
      <c r="M1" s="626"/>
      <c r="N1" s="632"/>
      <c r="O1" s="626"/>
      <c r="P1" s="626"/>
      <c r="Q1" s="632"/>
    </row>
    <row r="2">
      <c r="A2" s="624"/>
      <c r="B2" s="624"/>
      <c r="C2" s="624"/>
      <c r="D2" s="624"/>
      <c r="E2" s="624"/>
      <c r="F2" s="624"/>
      <c r="G2" s="634"/>
      <c r="H2" s="624"/>
      <c r="I2" s="624"/>
      <c r="J2" s="624"/>
      <c r="K2" s="624"/>
      <c r="L2" s="626"/>
      <c r="M2" s="626"/>
      <c r="N2" s="632"/>
      <c r="O2" s="626"/>
      <c r="P2" s="626"/>
      <c r="Q2" s="632"/>
    </row>
    <row r="3">
      <c r="A3" s="688" t="s">
        <v>121</v>
      </c>
      <c r="G3" s="634"/>
      <c r="L3" s="626"/>
      <c r="M3" s="626"/>
      <c r="N3" s="632"/>
      <c r="O3" s="626"/>
      <c r="P3" s="626"/>
      <c r="Q3" s="632"/>
    </row>
    <row r="4">
      <c r="A4" s="688" t="s">
        <v>122</v>
      </c>
      <c r="G4" s="634"/>
      <c r="L4" s="626"/>
      <c r="M4" s="626"/>
      <c r="N4" s="632"/>
      <c r="O4" s="626"/>
      <c r="P4" s="626"/>
      <c r="Q4" s="632"/>
    </row>
    <row r="5">
      <c r="A5" s="688" t="s">
        <v>123</v>
      </c>
      <c r="B5" s="627"/>
      <c r="C5" s="549">
        <v>1</v>
      </c>
      <c r="D5" s="627"/>
      <c r="E5" s="627"/>
      <c r="F5" s="627"/>
      <c r="G5" s="639"/>
      <c r="H5" s="627"/>
      <c r="I5" s="627"/>
      <c r="J5" s="627"/>
      <c r="K5" s="627"/>
      <c r="L5" s="626"/>
      <c r="M5" s="688" t="s">
        <v>124</v>
      </c>
      <c r="N5" s="632" t="s">
        <v>125</v>
      </c>
      <c r="O5" s="626"/>
      <c r="P5" s="626"/>
      <c r="Q5" s="632" t="s">
        <v>126</v>
      </c>
    </row>
    <row r="6">
      <c r="A6" s="688" t="s">
        <v>127</v>
      </c>
      <c r="B6" s="628"/>
      <c r="C6" s="685" t="str">
        <f>CHOOSE($C$5,"Base","Bull","Bear")</f>
        <v>Base</v>
      </c>
      <c r="D6" s="628"/>
      <c r="E6" s="628"/>
      <c r="F6" s="628"/>
      <c r="G6" s="636"/>
      <c r="H6" s="628"/>
      <c r="I6" s="628"/>
      <c r="J6" s="628"/>
      <c r="K6" s="628"/>
      <c r="L6" s="626"/>
      <c r="M6" s="688" t="s">
        <v>128</v>
      </c>
      <c r="N6" s="632" t="s">
        <v>125</v>
      </c>
      <c r="O6" s="626"/>
      <c r="P6" s="626"/>
      <c r="Q6" s="632" t="s">
        <v>129</v>
      </c>
    </row>
    <row r="7">
      <c r="A7" s="624"/>
      <c r="B7" s="624"/>
      <c r="C7" s="624"/>
      <c r="D7" s="624"/>
      <c r="E7" s="624"/>
      <c r="F7" s="624"/>
      <c r="G7" s="634"/>
      <c r="H7" s="624"/>
      <c r="I7" s="624"/>
      <c r="J7" s="624"/>
      <c r="K7" s="624"/>
      <c r="L7" s="626"/>
      <c r="M7" s="626"/>
      <c r="N7" s="632"/>
      <c r="O7" s="626"/>
      <c r="P7" s="626"/>
      <c r="Q7" s="632"/>
    </row>
    <row r="8">
      <c r="A8" s="690" t="s">
        <v>3</v>
      </c>
      <c r="B8" s="707" t="s">
        <v>4</v>
      </c>
      <c r="C8" s="707" t="s">
        <v>5</v>
      </c>
      <c r="D8" s="707" t="s">
        <v>6</v>
      </c>
      <c r="E8" s="707" t="s">
        <v>7</v>
      </c>
      <c r="F8" s="707" t="s">
        <v>8</v>
      </c>
      <c r="G8" s="708" t="s">
        <v>9</v>
      </c>
      <c r="H8" s="705" t="s">
        <v>10</v>
      </c>
      <c r="I8" s="705" t="s">
        <v>11</v>
      </c>
      <c r="J8" s="705" t="s">
        <v>12</v>
      </c>
      <c r="K8" s="705" t="s">
        <v>13</v>
      </c>
      <c r="L8" s="626"/>
      <c r="M8" s="697" t="s">
        <v>130</v>
      </c>
      <c r="N8" s="697" t="s">
        <v>131</v>
      </c>
      <c r="O8" s="626"/>
      <c r="P8" s="626"/>
      <c r="Q8" s="697" t="s">
        <v>132</v>
      </c>
    </row>
    <row r="9">
      <c r="A9" s="624"/>
      <c r="B9" s="624"/>
      <c r="C9" s="624"/>
      <c r="D9" s="624"/>
      <c r="E9" s="624"/>
      <c r="F9" s="624"/>
      <c r="G9" s="634"/>
      <c r="H9" s="624"/>
      <c r="I9" s="624"/>
      <c r="J9" s="624"/>
      <c r="K9" s="624"/>
      <c r="L9" s="626"/>
      <c r="M9" s="626"/>
      <c r="N9" s="632"/>
      <c r="O9" s="626"/>
      <c r="P9" s="626"/>
      <c r="Q9" s="632"/>
    </row>
    <row r="10">
      <c r="A10" s="690" t="s">
        <v>133</v>
      </c>
      <c r="B10" s="629"/>
      <c r="C10" s="629"/>
      <c r="D10" s="629"/>
      <c r="E10" s="629"/>
      <c r="F10" s="629"/>
      <c r="G10" s="635"/>
      <c r="H10" s="630"/>
      <c r="I10" s="630"/>
      <c r="J10" s="630"/>
      <c r="K10" s="630"/>
      <c r="L10" s="626"/>
      <c r="M10" s="626"/>
      <c r="N10" s="626"/>
      <c r="O10" s="626"/>
      <c r="P10" s="626"/>
      <c r="Q10" s="626"/>
    </row>
    <row r="11">
      <c r="A11" s="688" t="s">
        <v>134</v>
      </c>
      <c r="B11" s="625"/>
      <c r="C11" s="625"/>
      <c r="D11" s="625"/>
      <c r="E11" s="625"/>
      <c r="F11" s="625"/>
      <c r="G11" s="637">
        <f>CHOOSE($C$5,G13,G14,G12)</f>
        <v>0.0394</v>
      </c>
      <c r="H11" s="625">
        <f>CHOOSE($C$5,H13,H14,H12)</f>
        <v>0.0394</v>
      </c>
      <c r="I11" s="625">
        <f>CHOOSE($C$5,I13,I14,I12)</f>
        <v>0.0394</v>
      </c>
      <c r="J11" s="625">
        <f>CHOOSE($C$5,J13,J14,J12)</f>
        <v>0.0394</v>
      </c>
      <c r="K11" s="625">
        <f>CHOOSE($C$5,K13,K14,K12)</f>
        <v>0.0394</v>
      </c>
      <c r="L11" s="626"/>
      <c r="M11" s="688" t="s">
        <v>135</v>
      </c>
      <c r="N11" s="632" t="s">
        <v>136</v>
      </c>
      <c r="O11" s="626"/>
      <c r="P11" s="626"/>
      <c r="Q11" s="632" t="s">
        <v>129</v>
      </c>
    </row>
    <row r="12">
      <c r="A12" s="688" t="s">
        <v>137</v>
      </c>
      <c r="B12" s="625"/>
      <c r="C12" s="625"/>
      <c r="D12" s="625"/>
      <c r="E12" s="625"/>
      <c r="F12" s="625"/>
      <c r="G12" s="541">
        <v>0.0194</v>
      </c>
      <c r="H12" s="539">
        <v>0.0194</v>
      </c>
      <c r="I12" s="539">
        <v>0.0194</v>
      </c>
      <c r="J12" s="539">
        <v>0.0194</v>
      </c>
      <c r="K12" s="539">
        <v>0.0194</v>
      </c>
      <c r="L12" s="626"/>
      <c r="M12" s="688" t="s">
        <v>135</v>
      </c>
      <c r="N12" s="632" t="s">
        <v>136</v>
      </c>
      <c r="O12" s="626"/>
      <c r="P12" s="626"/>
      <c r="Q12" s="632" t="s">
        <v>138</v>
      </c>
    </row>
    <row r="13">
      <c r="A13" s="688" t="s">
        <v>139</v>
      </c>
      <c r="B13" s="625"/>
      <c r="C13" s="625"/>
      <c r="D13" s="625"/>
      <c r="E13" s="625"/>
      <c r="F13" s="625"/>
      <c r="G13" s="541">
        <v>0.0394</v>
      </c>
      <c r="H13" s="539">
        <v>0.0394</v>
      </c>
      <c r="I13" s="539">
        <v>0.0394</v>
      </c>
      <c r="J13" s="539">
        <v>0.0394</v>
      </c>
      <c r="K13" s="539">
        <v>0.0394</v>
      </c>
      <c r="L13" s="626"/>
      <c r="M13" s="688" t="s">
        <v>135</v>
      </c>
      <c r="N13" s="632" t="s">
        <v>136</v>
      </c>
      <c r="O13" s="626"/>
      <c r="P13" s="626"/>
      <c r="Q13" s="632" t="s">
        <v>138</v>
      </c>
    </row>
    <row r="14">
      <c r="A14" s="688" t="s">
        <v>140</v>
      </c>
      <c r="B14" s="625"/>
      <c r="C14" s="625"/>
      <c r="D14" s="625"/>
      <c r="E14" s="625"/>
      <c r="F14" s="625"/>
      <c r="G14" s="541">
        <v>0.0594</v>
      </c>
      <c r="H14" s="539">
        <v>0.0594</v>
      </c>
      <c r="I14" s="539">
        <v>0.0594</v>
      </c>
      <c r="J14" s="539">
        <v>0.0594</v>
      </c>
      <c r="K14" s="539">
        <v>0.0594</v>
      </c>
      <c r="L14" s="626"/>
      <c r="M14" s="688" t="s">
        <v>135</v>
      </c>
      <c r="N14" s="632" t="s">
        <v>136</v>
      </c>
      <c r="O14" s="626"/>
      <c r="P14" s="626"/>
      <c r="Q14" s="632" t="s">
        <v>138</v>
      </c>
    </row>
    <row r="15">
      <c r="A15" s="688" t="s">
        <v>141</v>
      </c>
      <c r="B15" s="686">
        <f>EEFF!B7</f>
        <v>436095180</v>
      </c>
      <c r="C15" s="686">
        <f>EEFF!C7</f>
        <v>419112916</v>
      </c>
      <c r="D15" s="686">
        <f>EEFF!D7</f>
        <v>454333887</v>
      </c>
      <c r="E15" s="686">
        <f>EEFF!E7</f>
        <v>503666534</v>
      </c>
      <c r="F15" s="686">
        <f>EEFF!F7</f>
        <v>523500468</v>
      </c>
      <c r="G15" s="636"/>
      <c r="H15" s="628"/>
      <c r="I15" s="628"/>
      <c r="J15" s="628"/>
      <c r="K15" s="628"/>
      <c r="L15" s="626"/>
      <c r="M15" s="688" t="s">
        <v>128</v>
      </c>
      <c r="N15" s="632" t="s">
        <v>142</v>
      </c>
      <c r="O15" s="626"/>
      <c r="P15" s="626"/>
      <c r="Q15" s="632" t="s">
        <v>143</v>
      </c>
    </row>
    <row r="16">
      <c r="A16" s="688" t="s">
        <v>144</v>
      </c>
      <c r="B16" s="625"/>
      <c r="C16" s="604">
        <f>EEFF!C7/EEFF!B7-1</f>
        <v>-0.038941645720551143</v>
      </c>
      <c r="D16" s="604">
        <f>EEFF!D7/EEFF!C7-1</f>
        <v>0.08403694960333796</v>
      </c>
      <c r="E16" s="604">
        <f>EEFF!E7/EEFF!D7-1</f>
        <v>0.10858236290880052</v>
      </c>
      <c r="F16" s="604">
        <f>EEFF!F7/EEFF!E7-1</f>
        <v>0.03937909839370035</v>
      </c>
      <c r="G16" s="637"/>
      <c r="H16" s="625"/>
      <c r="I16" s="625"/>
      <c r="J16" s="625"/>
      <c r="K16" s="625"/>
      <c r="L16" s="626"/>
      <c r="M16" s="688" t="s">
        <v>135</v>
      </c>
      <c r="N16" s="632" t="s">
        <v>142</v>
      </c>
      <c r="O16" s="626"/>
      <c r="P16" s="626"/>
      <c r="Q16" s="632" t="s">
        <v>145</v>
      </c>
    </row>
    <row r="17">
      <c r="A17" s="624"/>
      <c r="B17" s="624"/>
      <c r="C17" s="624"/>
      <c r="D17" s="624"/>
      <c r="E17" s="624"/>
      <c r="F17" s="624"/>
      <c r="G17" s="634"/>
      <c r="H17" s="624"/>
      <c r="I17" s="624"/>
      <c r="J17" s="624"/>
      <c r="K17" s="624"/>
      <c r="L17" s="626"/>
      <c r="M17" s="626"/>
      <c r="N17" s="632"/>
      <c r="O17" s="626"/>
      <c r="P17" s="626"/>
      <c r="Q17" s="632"/>
    </row>
    <row r="18">
      <c r="A18" s="690" t="s">
        <v>146</v>
      </c>
      <c r="B18" s="629"/>
      <c r="C18" s="629"/>
      <c r="D18" s="629"/>
      <c r="E18" s="629"/>
      <c r="F18" s="629"/>
      <c r="G18" s="635"/>
      <c r="H18" s="630"/>
      <c r="I18" s="630"/>
      <c r="J18" s="630"/>
      <c r="K18" s="630"/>
      <c r="L18" s="626"/>
      <c r="M18" s="626"/>
      <c r="N18" s="626"/>
      <c r="O18" s="626"/>
      <c r="P18" s="626"/>
      <c r="Q18" s="626"/>
    </row>
    <row r="19">
      <c r="A19" s="688" t="s">
        <v>147</v>
      </c>
      <c r="B19" s="625"/>
      <c r="C19" s="625"/>
      <c r="D19" s="625"/>
      <c r="E19" s="625"/>
      <c r="F19" s="625"/>
      <c r="G19" s="637">
        <f>CHOOSE($C$5,G21,G22,G20)</f>
        <v>-0.6996</v>
      </c>
      <c r="H19" s="625">
        <f>CHOOSE($C$5,H21,H22,H20)</f>
        <v>-0.6996</v>
      </c>
      <c r="I19" s="625">
        <f>CHOOSE($C$5,I21,I22,I20)</f>
        <v>-0.6996</v>
      </c>
      <c r="J19" s="625">
        <f>CHOOSE($C$5,J21,J22,J20)</f>
        <v>-0.6996</v>
      </c>
      <c r="K19" s="625">
        <f>CHOOSE($C$5,K21,K22,K20)</f>
        <v>-0.6996</v>
      </c>
      <c r="L19" s="626"/>
      <c r="M19" s="688" t="s">
        <v>135</v>
      </c>
      <c r="N19" s="632" t="s">
        <v>148</v>
      </c>
      <c r="O19" s="626"/>
      <c r="P19" s="626"/>
      <c r="Q19" s="632" t="s">
        <v>129</v>
      </c>
    </row>
    <row r="20">
      <c r="A20" s="688" t="s">
        <v>137</v>
      </c>
      <c r="B20" s="625"/>
      <c r="C20" s="625"/>
      <c r="D20" s="625"/>
      <c r="E20" s="625"/>
      <c r="F20" s="625"/>
      <c r="G20" s="541">
        <v>-0.6796</v>
      </c>
      <c r="H20" s="539">
        <v>-0.6796</v>
      </c>
      <c r="I20" s="539">
        <v>-0.6796</v>
      </c>
      <c r="J20" s="539">
        <v>-0.6796</v>
      </c>
      <c r="K20" s="539">
        <v>-0.6796</v>
      </c>
      <c r="L20" s="626"/>
      <c r="M20" s="688" t="s">
        <v>135</v>
      </c>
      <c r="N20" s="632" t="s">
        <v>148</v>
      </c>
      <c r="O20" s="626"/>
      <c r="P20" s="626"/>
      <c r="Q20" s="632" t="s">
        <v>138</v>
      </c>
    </row>
    <row r="21">
      <c r="A21" s="688" t="s">
        <v>139</v>
      </c>
      <c r="B21" s="625"/>
      <c r="C21" s="625"/>
      <c r="D21" s="625"/>
      <c r="E21" s="625"/>
      <c r="F21" s="625"/>
      <c r="G21" s="541">
        <v>-0.6996</v>
      </c>
      <c r="H21" s="539">
        <v>-0.6996</v>
      </c>
      <c r="I21" s="539">
        <v>-0.6996</v>
      </c>
      <c r="J21" s="539">
        <v>-0.6996</v>
      </c>
      <c r="K21" s="539">
        <v>-0.6996</v>
      </c>
      <c r="L21" s="626"/>
      <c r="M21" s="688" t="s">
        <v>135</v>
      </c>
      <c r="N21" s="632" t="s">
        <v>148</v>
      </c>
      <c r="O21" s="626"/>
      <c r="P21" s="626"/>
      <c r="Q21" s="632" t="s">
        <v>138</v>
      </c>
    </row>
    <row r="22">
      <c r="A22" s="688" t="s">
        <v>140</v>
      </c>
      <c r="B22" s="625"/>
      <c r="C22" s="625"/>
      <c r="D22" s="625"/>
      <c r="E22" s="625"/>
      <c r="F22" s="625"/>
      <c r="G22" s="541">
        <v>-0.7196</v>
      </c>
      <c r="H22" s="539">
        <v>-0.7196</v>
      </c>
      <c r="I22" s="539">
        <v>-0.7196</v>
      </c>
      <c r="J22" s="539">
        <v>-0.7196</v>
      </c>
      <c r="K22" s="539">
        <v>-0.7196</v>
      </c>
      <c r="L22" s="626"/>
      <c r="M22" s="688" t="s">
        <v>135</v>
      </c>
      <c r="N22" s="632" t="s">
        <v>148</v>
      </c>
      <c r="O22" s="626"/>
      <c r="P22" s="626"/>
      <c r="Q22" s="632" t="s">
        <v>138</v>
      </c>
    </row>
    <row r="23">
      <c r="A23" s="688" t="s">
        <v>149</v>
      </c>
      <c r="B23" s="604">
        <f>EEFF!B8/EEFF!B7</f>
        <v>-0.6038430165634943</v>
      </c>
      <c r="C23" s="604">
        <f>EEFF!C8/EEFF!C7</f>
        <v>-0.5679934855550957</v>
      </c>
      <c r="D23" s="604">
        <f>EEFF!D8/EEFF!D7</f>
        <v>-0.6203285712650353</v>
      </c>
      <c r="E23" s="604">
        <f>EEFF!E8/EEFF!E7</f>
        <v>-0.6952660944512943</v>
      </c>
      <c r="F23" s="604">
        <f>EEFF!F8/EEFF!F7</f>
        <v>-0.6996135617590317</v>
      </c>
      <c r="G23" s="637"/>
      <c r="H23" s="625"/>
      <c r="I23" s="625"/>
      <c r="J23" s="625"/>
      <c r="K23" s="625"/>
      <c r="L23" s="626"/>
      <c r="M23" s="688" t="s">
        <v>135</v>
      </c>
      <c r="N23" s="632" t="s">
        <v>150</v>
      </c>
      <c r="O23" s="626"/>
      <c r="P23" s="626"/>
      <c r="Q23" s="632" t="s">
        <v>143</v>
      </c>
    </row>
    <row r="24">
      <c r="A24" s="624"/>
      <c r="B24" s="624"/>
      <c r="C24" s="624"/>
      <c r="D24" s="624"/>
      <c r="E24" s="624"/>
      <c r="F24" s="624"/>
      <c r="G24" s="634"/>
      <c r="H24" s="624"/>
      <c r="I24" s="624"/>
      <c r="J24" s="624"/>
      <c r="K24" s="624"/>
      <c r="L24" s="626"/>
      <c r="M24" s="626"/>
      <c r="N24" s="632"/>
      <c r="O24" s="626"/>
      <c r="P24" s="626"/>
      <c r="Q24" s="632"/>
    </row>
    <row r="25">
      <c r="A25" s="690" t="s">
        <v>151</v>
      </c>
      <c r="B25" s="629"/>
      <c r="C25" s="629"/>
      <c r="D25" s="629"/>
      <c r="E25" s="629"/>
      <c r="F25" s="629"/>
      <c r="G25" s="635"/>
      <c r="H25" s="630"/>
      <c r="I25" s="630"/>
      <c r="J25" s="630"/>
      <c r="K25" s="630"/>
      <c r="L25" s="626"/>
      <c r="M25" s="626"/>
      <c r="N25" s="626"/>
      <c r="O25" s="626"/>
      <c r="P25" s="626"/>
      <c r="Q25" s="626"/>
    </row>
    <row r="26">
      <c r="A26" s="688" t="s">
        <v>152</v>
      </c>
      <c r="B26" s="686">
        <f>EEFF!B40</f>
        <v>6007976619</v>
      </c>
      <c r="C26" s="686">
        <f>EEFF!C40</f>
        <v>6138222161</v>
      </c>
      <c r="D26" s="686">
        <f>EEFF!D40</f>
        <v>6212554475</v>
      </c>
      <c r="E26" s="686">
        <f>EEFF!E40</f>
        <v>6315709567</v>
      </c>
      <c r="F26" s="686">
        <f>EEFF!F40</f>
        <v>6141543608</v>
      </c>
      <c r="G26" s="636"/>
      <c r="H26" s="628"/>
      <c r="I26" s="628"/>
      <c r="J26" s="628"/>
      <c r="K26" s="628"/>
      <c r="L26" s="626"/>
      <c r="M26" s="688" t="s">
        <v>128</v>
      </c>
      <c r="N26" s="632" t="s">
        <v>153</v>
      </c>
      <c r="O26" s="626"/>
      <c r="P26" s="626"/>
      <c r="Q26" s="632" t="s">
        <v>143</v>
      </c>
    </row>
    <row r="27">
      <c r="A27" s="688" t="s">
        <v>154</v>
      </c>
      <c r="B27" s="625"/>
      <c r="C27" s="604">
        <f>EEFF!C40/EEFF!B40-1</f>
        <v>0.021678769785505425</v>
      </c>
      <c r="D27" s="604">
        <f>EEFF!D40/EEFF!C40-1</f>
        <v>0.012109746446174574</v>
      </c>
      <c r="E27" s="604">
        <f>EEFF!E40/EEFF!D40-1</f>
        <v>0.016604295771587507</v>
      </c>
      <c r="F27" s="604">
        <f>EEFF!F40/EEFF!E40-1</f>
        <v>-0.02757662573814801</v>
      </c>
      <c r="G27" s="637"/>
      <c r="H27" s="625"/>
      <c r="I27" s="625"/>
      <c r="J27" s="625"/>
      <c r="K27" s="625"/>
      <c r="L27" s="626"/>
      <c r="M27" s="688" t="s">
        <v>135</v>
      </c>
      <c r="N27" s="632" t="s">
        <v>153</v>
      </c>
      <c r="O27" s="626"/>
      <c r="P27" s="626"/>
      <c r="Q27" s="632" t="s">
        <v>145</v>
      </c>
    </row>
    <row r="28">
      <c r="A28" s="688" t="s">
        <v>155</v>
      </c>
      <c r="B28" s="625"/>
      <c r="C28" s="625"/>
      <c r="D28" s="625"/>
      <c r="E28" s="625"/>
      <c r="F28" s="625"/>
      <c r="G28" s="637">
        <f>CHOOSE($C$5,G30,G31,G29)</f>
        <v>0.0057</v>
      </c>
      <c r="H28" s="625">
        <f>CHOOSE($C$5,H30,H31,H29)</f>
        <v>0.0057</v>
      </c>
      <c r="I28" s="625">
        <f>CHOOSE($C$5,I30,I31,I29)</f>
        <v>0.0057</v>
      </c>
      <c r="J28" s="625">
        <f>CHOOSE($C$5,J30,J31,J29)</f>
        <v>0.0057</v>
      </c>
      <c r="K28" s="625">
        <f>CHOOSE($C$5,K30,K31,K29)</f>
        <v>0.0057</v>
      </c>
      <c r="L28" s="626"/>
      <c r="M28" s="688" t="s">
        <v>135</v>
      </c>
      <c r="N28" s="632" t="s">
        <v>156</v>
      </c>
      <c r="O28" s="626"/>
      <c r="P28" s="626"/>
      <c r="Q28" s="632" t="s">
        <v>129</v>
      </c>
    </row>
    <row r="29">
      <c r="A29" s="688" t="s">
        <v>137</v>
      </c>
      <c r="B29" s="625"/>
      <c r="C29" s="625"/>
      <c r="D29" s="625"/>
      <c r="E29" s="625"/>
      <c r="F29" s="625"/>
      <c r="G29" s="541">
        <v>0</v>
      </c>
      <c r="H29" s="539">
        <v>0</v>
      </c>
      <c r="I29" s="539">
        <v>0</v>
      </c>
      <c r="J29" s="539">
        <v>0</v>
      </c>
      <c r="K29" s="539">
        <v>0</v>
      </c>
      <c r="L29" s="626"/>
      <c r="M29" s="688" t="s">
        <v>135</v>
      </c>
      <c r="N29" s="632" t="s">
        <v>156</v>
      </c>
      <c r="O29" s="626"/>
      <c r="P29" s="626"/>
      <c r="Q29" s="632" t="s">
        <v>157</v>
      </c>
    </row>
    <row r="30">
      <c r="A30" s="688" t="s">
        <v>139</v>
      </c>
      <c r="B30" s="625"/>
      <c r="C30" s="625"/>
      <c r="D30" s="625"/>
      <c r="E30" s="625"/>
      <c r="F30" s="625"/>
      <c r="G30" s="541">
        <v>0.0057</v>
      </c>
      <c r="H30" s="539">
        <v>0.0057</v>
      </c>
      <c r="I30" s="539">
        <v>0.0057</v>
      </c>
      <c r="J30" s="539">
        <v>0.0057</v>
      </c>
      <c r="K30" s="539">
        <v>0.0057</v>
      </c>
      <c r="L30" s="626"/>
      <c r="M30" s="688" t="s">
        <v>135</v>
      </c>
      <c r="N30" s="632" t="s">
        <v>156</v>
      </c>
      <c r="O30" s="626"/>
      <c r="P30" s="626"/>
      <c r="Q30" s="632" t="s">
        <v>158</v>
      </c>
    </row>
    <row r="31">
      <c r="A31" s="688" t="s">
        <v>140</v>
      </c>
      <c r="B31" s="625"/>
      <c r="C31" s="625"/>
      <c r="D31" s="625"/>
      <c r="E31" s="625"/>
      <c r="F31" s="625"/>
      <c r="G31" s="541">
        <v>0.0257</v>
      </c>
      <c r="H31" s="539">
        <v>0.0257</v>
      </c>
      <c r="I31" s="539">
        <v>0.0257</v>
      </c>
      <c r="J31" s="539">
        <v>0.0257</v>
      </c>
      <c r="K31" s="539">
        <v>0.0257</v>
      </c>
      <c r="L31" s="626"/>
      <c r="M31" s="688" t="s">
        <v>135</v>
      </c>
      <c r="N31" s="632" t="s">
        <v>156</v>
      </c>
      <c r="O31" s="626"/>
      <c r="P31" s="626"/>
      <c r="Q31" s="632" t="s">
        <v>159</v>
      </c>
    </row>
    <row r="32">
      <c r="A32" s="624"/>
      <c r="B32" s="624"/>
      <c r="C32" s="624"/>
      <c r="D32" s="624"/>
      <c r="E32" s="624"/>
      <c r="F32" s="624"/>
      <c r="G32" s="634"/>
      <c r="H32" s="624"/>
      <c r="I32" s="624"/>
      <c r="J32" s="624"/>
      <c r="K32" s="624"/>
      <c r="L32" s="626"/>
      <c r="M32" s="626"/>
      <c r="N32" s="632"/>
      <c r="O32" s="626"/>
      <c r="P32" s="626"/>
      <c r="Q32" s="632"/>
    </row>
    <row r="33">
      <c r="A33" s="690" t="s">
        <v>160</v>
      </c>
      <c r="B33" s="629"/>
      <c r="C33" s="629"/>
      <c r="D33" s="629"/>
      <c r="E33" s="629"/>
      <c r="F33" s="629"/>
      <c r="G33" s="635"/>
      <c r="H33" s="630"/>
      <c r="I33" s="630"/>
      <c r="J33" s="630"/>
      <c r="K33" s="630"/>
      <c r="L33" s="626"/>
      <c r="M33" s="626"/>
      <c r="N33" s="626"/>
      <c r="O33" s="626"/>
      <c r="P33" s="626"/>
      <c r="Q33" s="626"/>
    </row>
    <row r="34">
      <c r="A34" s="688" t="s">
        <v>161</v>
      </c>
      <c r="B34" s="686">
        <f>EEFF!B45</f>
        <v>5189459231</v>
      </c>
      <c r="C34" s="686">
        <f>EEFF!C45</f>
        <v>5178659636</v>
      </c>
      <c r="D34" s="686">
        <f>EEFF!D45</f>
        <v>5205576287</v>
      </c>
      <c r="E34" s="686">
        <f>EEFF!E45</f>
        <v>5264634266</v>
      </c>
      <c r="F34" s="686">
        <f>EEFF!F45</f>
        <v>5715472860</v>
      </c>
      <c r="G34" s="636"/>
      <c r="H34" s="628"/>
      <c r="I34" s="628"/>
      <c r="J34" s="628"/>
      <c r="K34" s="628"/>
      <c r="L34" s="626"/>
      <c r="M34" s="688" t="s">
        <v>128</v>
      </c>
      <c r="N34" s="632" t="s">
        <v>162</v>
      </c>
      <c r="O34" s="626"/>
      <c r="P34" s="626"/>
      <c r="Q34" s="632" t="s">
        <v>143</v>
      </c>
    </row>
    <row r="35">
      <c r="A35" s="688" t="s">
        <v>163</v>
      </c>
      <c r="B35" s="625"/>
      <c r="C35" s="604">
        <f>EEFF!C45/EEFF!B45-1</f>
        <v>-0.002081063656013904</v>
      </c>
      <c r="D35" s="604">
        <f>EEFF!D45/EEFF!C45-1</f>
        <v>0.00519760959242932</v>
      </c>
      <c r="E35" s="604">
        <f>EEFF!E45/EEFF!D45-1</f>
        <v>0.01134513754941735</v>
      </c>
      <c r="F35" s="604">
        <f>EEFF!F45/EEFF!E45-1</f>
        <v>0.08563531125259738</v>
      </c>
      <c r="G35" s="637"/>
      <c r="H35" s="625"/>
      <c r="I35" s="625"/>
      <c r="J35" s="625"/>
      <c r="K35" s="625"/>
      <c r="L35" s="626"/>
      <c r="M35" s="688" t="s">
        <v>135</v>
      </c>
      <c r="N35" s="632" t="s">
        <v>162</v>
      </c>
      <c r="O35" s="626"/>
      <c r="P35" s="626"/>
      <c r="Q35" s="632" t="s">
        <v>145</v>
      </c>
    </row>
    <row r="36">
      <c r="A36" s="688" t="s">
        <v>164</v>
      </c>
      <c r="B36" s="625"/>
      <c r="C36" s="625"/>
      <c r="D36" s="625"/>
      <c r="E36" s="625"/>
      <c r="F36" s="625"/>
      <c r="G36" s="637">
        <f>CHOOSE($C$5,G38,G39,G37)</f>
        <v>0.025</v>
      </c>
      <c r="H36" s="625">
        <f>CHOOSE($C$5,H38,H39,H37)</f>
        <v>0.025</v>
      </c>
      <c r="I36" s="625">
        <f>CHOOSE($C$5,I38,I39,I37)</f>
        <v>0.025</v>
      </c>
      <c r="J36" s="625">
        <f>CHOOSE($C$5,J38,J39,J37)</f>
        <v>0.025</v>
      </c>
      <c r="K36" s="625">
        <f>CHOOSE($C$5,K38,K39,K37)</f>
        <v>0.025</v>
      </c>
      <c r="L36" s="626"/>
      <c r="M36" s="688" t="s">
        <v>135</v>
      </c>
      <c r="N36" s="632" t="s">
        <v>165</v>
      </c>
      <c r="O36" s="626"/>
      <c r="P36" s="626"/>
      <c r="Q36" s="632" t="s">
        <v>129</v>
      </c>
    </row>
    <row r="37">
      <c r="A37" s="688" t="s">
        <v>137</v>
      </c>
      <c r="B37" s="625"/>
      <c r="C37" s="625"/>
      <c r="D37" s="625"/>
      <c r="E37" s="625"/>
      <c r="F37" s="625"/>
      <c r="G37" s="541">
        <v>0</v>
      </c>
      <c r="H37" s="539">
        <v>0</v>
      </c>
      <c r="I37" s="539">
        <v>0</v>
      </c>
      <c r="J37" s="539">
        <v>0</v>
      </c>
      <c r="K37" s="539">
        <v>0</v>
      </c>
      <c r="L37" s="626"/>
      <c r="M37" s="688" t="s">
        <v>135</v>
      </c>
      <c r="N37" s="632" t="s">
        <v>165</v>
      </c>
      <c r="O37" s="626"/>
      <c r="P37" s="626"/>
      <c r="Q37" s="632" t="s">
        <v>157</v>
      </c>
    </row>
    <row r="38">
      <c r="A38" s="688" t="s">
        <v>139</v>
      </c>
      <c r="B38" s="625"/>
      <c r="C38" s="625"/>
      <c r="D38" s="625"/>
      <c r="E38" s="625"/>
      <c r="F38" s="625"/>
      <c r="G38" s="541">
        <v>0.025</v>
      </c>
      <c r="H38" s="539">
        <v>0.025</v>
      </c>
      <c r="I38" s="539">
        <v>0.025</v>
      </c>
      <c r="J38" s="539">
        <v>0.025</v>
      </c>
      <c r="K38" s="539">
        <v>0.025</v>
      </c>
      <c r="L38" s="626"/>
      <c r="M38" s="688" t="s">
        <v>135</v>
      </c>
      <c r="N38" s="632" t="s">
        <v>165</v>
      </c>
      <c r="O38" s="626"/>
      <c r="P38" s="626"/>
      <c r="Q38" s="632" t="s">
        <v>158</v>
      </c>
    </row>
    <row r="39">
      <c r="A39" s="688" t="s">
        <v>140</v>
      </c>
      <c r="B39" s="625"/>
      <c r="C39" s="625"/>
      <c r="D39" s="625"/>
      <c r="E39" s="625"/>
      <c r="F39" s="625"/>
      <c r="G39" s="541">
        <v>0.045</v>
      </c>
      <c r="H39" s="539">
        <v>0.045</v>
      </c>
      <c r="I39" s="539">
        <v>0.045</v>
      </c>
      <c r="J39" s="539">
        <v>0.045</v>
      </c>
      <c r="K39" s="539">
        <v>0.045</v>
      </c>
      <c r="L39" s="626"/>
      <c r="M39" s="688" t="s">
        <v>135</v>
      </c>
      <c r="N39" s="632" t="s">
        <v>165</v>
      </c>
      <c r="O39" s="626"/>
      <c r="P39" s="626"/>
      <c r="Q39" s="632" t="s">
        <v>159</v>
      </c>
    </row>
    <row r="40">
      <c r="A40" s="624"/>
      <c r="B40" s="624"/>
      <c r="C40" s="624"/>
      <c r="D40" s="624"/>
      <c r="E40" s="624"/>
      <c r="F40" s="624"/>
      <c r="G40" s="634"/>
      <c r="H40" s="624"/>
      <c r="I40" s="624"/>
      <c r="J40" s="624"/>
      <c r="K40" s="624"/>
      <c r="L40" s="626"/>
      <c r="M40" s="626"/>
      <c r="N40" s="632"/>
      <c r="O40" s="626"/>
      <c r="P40" s="626"/>
      <c r="Q40" s="632"/>
    </row>
    <row r="41">
      <c r="A41" s="690" t="s">
        <v>166</v>
      </c>
      <c r="B41" s="629"/>
      <c r="C41" s="629"/>
      <c r="D41" s="629"/>
      <c r="E41" s="629"/>
      <c r="F41" s="629"/>
      <c r="G41" s="635"/>
      <c r="H41" s="630"/>
      <c r="I41" s="630"/>
      <c r="J41" s="630"/>
      <c r="K41" s="630"/>
      <c r="L41" s="626"/>
      <c r="M41" s="626"/>
      <c r="N41" s="626"/>
      <c r="O41" s="626"/>
      <c r="P41" s="626"/>
      <c r="Q41" s="626"/>
    </row>
    <row r="42">
      <c r="A42" s="688" t="s">
        <v>167</v>
      </c>
      <c r="B42" s="686">
        <f>EEFF!B14</f>
        <v>83497811</v>
      </c>
      <c r="C42" s="686">
        <f>EEFF!C14</f>
        <v>59032479</v>
      </c>
      <c r="D42" s="686">
        <f>EEFF!D14</f>
        <v>48957742</v>
      </c>
      <c r="E42" s="686">
        <f>EEFF!E14</f>
        <v>34695854</v>
      </c>
      <c r="F42" s="686">
        <f>EEFF!F14</f>
        <v>28431911</v>
      </c>
      <c r="G42" s="636"/>
      <c r="H42" s="628"/>
      <c r="I42" s="628"/>
      <c r="J42" s="628"/>
      <c r="K42" s="628"/>
      <c r="L42" s="626"/>
      <c r="M42" s="688" t="s">
        <v>128</v>
      </c>
      <c r="N42" s="632" t="s">
        <v>168</v>
      </c>
      <c r="O42" s="626"/>
      <c r="P42" s="626"/>
      <c r="Q42" s="632" t="s">
        <v>143</v>
      </c>
    </row>
    <row r="43">
      <c r="A43" s="688" t="s">
        <v>169</v>
      </c>
      <c r="B43" s="625"/>
      <c r="C43" s="604">
        <f>EEFF!C14/EEFF!B40</f>
        <v>0.009825683877216168</v>
      </c>
      <c r="D43" s="604">
        <f>EEFF!D14/EEFF!C40</f>
        <v>0.007975883035166019</v>
      </c>
      <c r="E43" s="604">
        <f>EEFF!E14/EEFF!D40</f>
        <v>0.005584796743371816</v>
      </c>
      <c r="F43" s="604">
        <f>EEFF!F14/EEFF!E40</f>
        <v>0.004501776197651427</v>
      </c>
      <c r="G43" s="637"/>
      <c r="H43" s="625"/>
      <c r="I43" s="625"/>
      <c r="J43" s="625"/>
      <c r="K43" s="625"/>
      <c r="L43" s="626"/>
      <c r="M43" s="688" t="s">
        <v>135</v>
      </c>
      <c r="N43" s="632" t="s">
        <v>170</v>
      </c>
      <c r="O43" s="626"/>
      <c r="P43" s="626"/>
      <c r="Q43" s="632" t="s">
        <v>143</v>
      </c>
    </row>
    <row r="44">
      <c r="A44" s="688" t="s">
        <v>171</v>
      </c>
      <c r="B44" s="625"/>
      <c r="C44" s="625"/>
      <c r="D44" s="625"/>
      <c r="E44" s="625"/>
      <c r="F44" s="625"/>
      <c r="G44" s="637">
        <f>CHOOSE($C$5,G46,G47,G45)</f>
        <v>0.0045</v>
      </c>
      <c r="H44" s="625">
        <f>CHOOSE($C$5,H46,H47,H45)</f>
        <v>0.0045</v>
      </c>
      <c r="I44" s="625">
        <f>CHOOSE($C$5,I46,I47,I45)</f>
        <v>0.0045</v>
      </c>
      <c r="J44" s="625">
        <f>CHOOSE($C$5,J46,J47,J45)</f>
        <v>0.0045</v>
      </c>
      <c r="K44" s="625">
        <f>CHOOSE($C$5,K46,K47,K45)</f>
        <v>0.0045</v>
      </c>
      <c r="L44" s="626"/>
      <c r="M44" s="688" t="s">
        <v>135</v>
      </c>
      <c r="N44" s="632" t="s">
        <v>172</v>
      </c>
      <c r="O44" s="626"/>
      <c r="P44" s="626"/>
      <c r="Q44" s="632" t="s">
        <v>129</v>
      </c>
    </row>
    <row r="45">
      <c r="A45" s="688" t="s">
        <v>137</v>
      </c>
      <c r="B45" s="625"/>
      <c r="C45" s="625"/>
      <c r="D45" s="625"/>
      <c r="E45" s="625"/>
      <c r="F45" s="625"/>
      <c r="G45" s="541">
        <v>0.006</v>
      </c>
      <c r="H45" s="539">
        <v>0.006</v>
      </c>
      <c r="I45" s="539">
        <v>0.006</v>
      </c>
      <c r="J45" s="539">
        <v>0.006</v>
      </c>
      <c r="K45" s="539">
        <v>0.006</v>
      </c>
      <c r="L45" s="626"/>
      <c r="M45" s="688" t="s">
        <v>135</v>
      </c>
      <c r="N45" s="632" t="s">
        <v>172</v>
      </c>
      <c r="O45" s="626"/>
      <c r="P45" s="626"/>
      <c r="Q45" s="632" t="s">
        <v>138</v>
      </c>
    </row>
    <row r="46">
      <c r="A46" s="688" t="s">
        <v>139</v>
      </c>
      <c r="B46" s="625"/>
      <c r="C46" s="625"/>
      <c r="D46" s="625"/>
      <c r="E46" s="625"/>
      <c r="F46" s="625"/>
      <c r="G46" s="541">
        <v>0.0045</v>
      </c>
      <c r="H46" s="539">
        <v>0.0045</v>
      </c>
      <c r="I46" s="539">
        <v>0.0045</v>
      </c>
      <c r="J46" s="539">
        <v>0.0045</v>
      </c>
      <c r="K46" s="539">
        <v>0.0045</v>
      </c>
      <c r="L46" s="626"/>
      <c r="M46" s="688" t="s">
        <v>135</v>
      </c>
      <c r="N46" s="632" t="s">
        <v>172</v>
      </c>
      <c r="O46" s="626"/>
      <c r="P46" s="626"/>
      <c r="Q46" s="632" t="s">
        <v>138</v>
      </c>
    </row>
    <row r="47">
      <c r="A47" s="688" t="s">
        <v>140</v>
      </c>
      <c r="B47" s="625"/>
      <c r="C47" s="625"/>
      <c r="D47" s="625"/>
      <c r="E47" s="625"/>
      <c r="F47" s="625"/>
      <c r="G47" s="541">
        <v>0.003</v>
      </c>
      <c r="H47" s="539">
        <v>0.003</v>
      </c>
      <c r="I47" s="539">
        <v>0.003</v>
      </c>
      <c r="J47" s="539">
        <v>0.003</v>
      </c>
      <c r="K47" s="539">
        <v>0.003</v>
      </c>
      <c r="L47" s="626"/>
      <c r="M47" s="688" t="s">
        <v>135</v>
      </c>
      <c r="N47" s="632" t="s">
        <v>172</v>
      </c>
      <c r="O47" s="626"/>
      <c r="P47" s="626"/>
      <c r="Q47" s="632" t="s">
        <v>138</v>
      </c>
    </row>
    <row r="48">
      <c r="A48" s="624"/>
      <c r="B48" s="624"/>
      <c r="C48" s="624"/>
      <c r="D48" s="624"/>
      <c r="E48" s="624"/>
      <c r="F48" s="624"/>
      <c r="G48" s="634"/>
      <c r="H48" s="624"/>
      <c r="I48" s="624"/>
      <c r="J48" s="624"/>
      <c r="K48" s="624"/>
      <c r="L48" s="626"/>
      <c r="M48" s="626"/>
      <c r="N48" s="632"/>
      <c r="O48" s="626"/>
      <c r="P48" s="626"/>
      <c r="Q48" s="632"/>
    </row>
    <row r="49">
      <c r="A49" s="690" t="s">
        <v>173</v>
      </c>
      <c r="B49" s="629"/>
      <c r="C49" s="629"/>
      <c r="D49" s="629"/>
      <c r="E49" s="629"/>
      <c r="F49" s="629"/>
      <c r="G49" s="635"/>
      <c r="H49" s="630"/>
      <c r="I49" s="630"/>
      <c r="J49" s="630"/>
      <c r="K49" s="630"/>
      <c r="L49" s="626"/>
      <c r="M49" s="626"/>
      <c r="N49" s="626"/>
      <c r="O49" s="626"/>
      <c r="P49" s="626"/>
      <c r="Q49" s="626"/>
    </row>
    <row r="50">
      <c r="A50" s="688" t="s">
        <v>174</v>
      </c>
      <c r="B50" s="625"/>
      <c r="C50" s="625"/>
      <c r="D50" s="625"/>
      <c r="E50" s="625"/>
      <c r="F50" s="625"/>
      <c r="G50" s="637">
        <f>CHOOSE($C$5,G52,G53,G51)</f>
        <v>0.0095</v>
      </c>
      <c r="H50" s="625">
        <f>CHOOSE($C$5,H52,H53,H51)</f>
        <v>0.0095</v>
      </c>
      <c r="I50" s="625">
        <f>CHOOSE($C$5,I52,I53,I51)</f>
        <v>0.0095</v>
      </c>
      <c r="J50" s="625">
        <f>CHOOSE($C$5,J52,J53,J51)</f>
        <v>0.0095</v>
      </c>
      <c r="K50" s="625">
        <f>CHOOSE($C$5,K52,K53,K51)</f>
        <v>0.0095</v>
      </c>
      <c r="L50" s="626"/>
      <c r="M50" s="688" t="s">
        <v>135</v>
      </c>
      <c r="N50" s="632" t="s">
        <v>175</v>
      </c>
      <c r="O50" s="626"/>
      <c r="P50" s="626"/>
      <c r="Q50" s="632" t="s">
        <v>129</v>
      </c>
    </row>
    <row r="51">
      <c r="A51" s="688" t="s">
        <v>137</v>
      </c>
      <c r="B51" s="625"/>
      <c r="C51" s="625"/>
      <c r="D51" s="625"/>
      <c r="E51" s="625"/>
      <c r="F51" s="625"/>
      <c r="G51" s="541">
        <v>0</v>
      </c>
      <c r="H51" s="539">
        <v>0</v>
      </c>
      <c r="I51" s="539">
        <v>0</v>
      </c>
      <c r="J51" s="539">
        <v>0</v>
      </c>
      <c r="K51" s="539">
        <v>0</v>
      </c>
      <c r="L51" s="626"/>
      <c r="M51" s="688" t="s">
        <v>135</v>
      </c>
      <c r="N51" s="632" t="s">
        <v>175</v>
      </c>
      <c r="O51" s="626"/>
      <c r="P51" s="626"/>
      <c r="Q51" s="632" t="s">
        <v>138</v>
      </c>
    </row>
    <row r="52">
      <c r="A52" s="688" t="s">
        <v>139</v>
      </c>
      <c r="B52" s="625"/>
      <c r="C52" s="625"/>
      <c r="D52" s="625"/>
      <c r="E52" s="625"/>
      <c r="F52" s="625"/>
      <c r="G52" s="541">
        <v>0.0095</v>
      </c>
      <c r="H52" s="539">
        <v>0.0095</v>
      </c>
      <c r="I52" s="539">
        <v>0.0095</v>
      </c>
      <c r="J52" s="539">
        <v>0.0095</v>
      </c>
      <c r="K52" s="539">
        <v>0.0095</v>
      </c>
      <c r="L52" s="626"/>
      <c r="M52" s="688" t="s">
        <v>135</v>
      </c>
      <c r="N52" s="632" t="s">
        <v>175</v>
      </c>
      <c r="O52" s="626"/>
      <c r="P52" s="626"/>
      <c r="Q52" s="632" t="s">
        <v>138</v>
      </c>
    </row>
    <row r="53">
      <c r="A53" s="688" t="s">
        <v>140</v>
      </c>
      <c r="B53" s="625"/>
      <c r="C53" s="625"/>
      <c r="D53" s="625"/>
      <c r="E53" s="625"/>
      <c r="F53" s="625"/>
      <c r="G53" s="541">
        <v>0.0295</v>
      </c>
      <c r="H53" s="539">
        <v>0.0295</v>
      </c>
      <c r="I53" s="539">
        <v>0.0295</v>
      </c>
      <c r="J53" s="539">
        <v>0.0295</v>
      </c>
      <c r="K53" s="539">
        <v>0.0295</v>
      </c>
      <c r="L53" s="626"/>
      <c r="M53" s="688" t="s">
        <v>135</v>
      </c>
      <c r="N53" s="632" t="s">
        <v>175</v>
      </c>
      <c r="O53" s="626"/>
      <c r="P53" s="626"/>
      <c r="Q53" s="632" t="s">
        <v>138</v>
      </c>
    </row>
    <row r="54">
      <c r="A54" s="688" t="s">
        <v>176</v>
      </c>
      <c r="B54" s="686">
        <f>EEFF!B10</f>
        <v>48561754</v>
      </c>
      <c r="C54" s="686">
        <f>EEFF!C10</f>
        <v>57798314</v>
      </c>
      <c r="D54" s="686">
        <f>EEFF!D10</f>
        <v>66344055</v>
      </c>
      <c r="E54" s="686">
        <f>EEFF!E10</f>
        <v>69992300</v>
      </c>
      <c r="F54" s="686">
        <f>EEFF!F10</f>
        <v>70656110</v>
      </c>
      <c r="G54" s="636"/>
      <c r="H54" s="628"/>
      <c r="I54" s="628"/>
      <c r="J54" s="628"/>
      <c r="K54" s="628"/>
      <c r="L54" s="626"/>
      <c r="M54" s="688" t="s">
        <v>128</v>
      </c>
      <c r="N54" s="632" t="s">
        <v>177</v>
      </c>
      <c r="O54" s="626"/>
      <c r="P54" s="626"/>
      <c r="Q54" s="632" t="s">
        <v>143</v>
      </c>
    </row>
    <row r="55">
      <c r="A55" s="688" t="s">
        <v>178</v>
      </c>
      <c r="B55" s="625"/>
      <c r="C55" s="604">
        <f>EEFF!C10/EEFF!B10-1</f>
        <v>0.1902023555409469</v>
      </c>
      <c r="D55" s="604">
        <f>EEFF!D10/EEFF!C10-1</f>
        <v>0.14785450316076698</v>
      </c>
      <c r="E55" s="604">
        <f>EEFF!E10/EEFF!D10-1</f>
        <v>0.05498978016945144</v>
      </c>
      <c r="F55" s="604">
        <f>EEFF!F10/EEFF!E10-1</f>
        <v>0.009484043244756934</v>
      </c>
      <c r="G55" s="637"/>
      <c r="H55" s="625"/>
      <c r="I55" s="625"/>
      <c r="J55" s="625"/>
      <c r="K55" s="625"/>
      <c r="L55" s="626"/>
      <c r="M55" s="688" t="s">
        <v>135</v>
      </c>
      <c r="N55" s="632" t="s">
        <v>177</v>
      </c>
      <c r="O55" s="626"/>
      <c r="P55" s="626"/>
      <c r="Q55" s="632" t="s">
        <v>145</v>
      </c>
    </row>
    <row r="56">
      <c r="A56" s="624"/>
      <c r="B56" s="624"/>
      <c r="C56" s="624"/>
      <c r="D56" s="624"/>
      <c r="E56" s="624"/>
      <c r="F56" s="624"/>
      <c r="G56" s="634"/>
      <c r="H56" s="624"/>
      <c r="I56" s="624"/>
      <c r="J56" s="624"/>
      <c r="K56" s="624"/>
      <c r="L56" s="626"/>
      <c r="M56" s="626"/>
      <c r="N56" s="632"/>
      <c r="O56" s="626"/>
      <c r="P56" s="626"/>
      <c r="Q56" s="632"/>
    </row>
    <row r="57">
      <c r="A57" s="690" t="s">
        <v>179</v>
      </c>
      <c r="B57" s="629"/>
      <c r="C57" s="629"/>
      <c r="D57" s="629"/>
      <c r="E57" s="629"/>
      <c r="F57" s="629"/>
      <c r="G57" s="635"/>
      <c r="H57" s="630"/>
      <c r="I57" s="630"/>
      <c r="J57" s="630"/>
      <c r="K57" s="630"/>
      <c r="L57" s="626"/>
      <c r="M57" s="626"/>
      <c r="N57" s="626"/>
      <c r="O57" s="626"/>
      <c r="P57" s="626"/>
      <c r="Q57" s="626"/>
    </row>
    <row r="58">
      <c r="A58" s="688" t="s">
        <v>180</v>
      </c>
      <c r="B58" s="625"/>
      <c r="C58" s="625"/>
      <c r="D58" s="625"/>
      <c r="E58" s="625"/>
      <c r="F58" s="625"/>
      <c r="G58" s="637">
        <f>CHOOSE($C$5,G60,G61,G59)</f>
        <v>0</v>
      </c>
      <c r="H58" s="625">
        <f>CHOOSE($C$5,H60,H61,H59)</f>
        <v>0</v>
      </c>
      <c r="I58" s="625">
        <f>CHOOSE($C$5,I60,I61,I59)</f>
        <v>0</v>
      </c>
      <c r="J58" s="625">
        <f>CHOOSE($C$5,J60,J61,J59)</f>
        <v>0</v>
      </c>
      <c r="K58" s="625">
        <f>CHOOSE($C$5,K60,K61,K59)</f>
        <v>0</v>
      </c>
      <c r="L58" s="626"/>
      <c r="M58" s="688" t="s">
        <v>135</v>
      </c>
      <c r="N58" s="632" t="s">
        <v>181</v>
      </c>
      <c r="O58" s="626"/>
      <c r="P58" s="626"/>
      <c r="Q58" s="632" t="s">
        <v>129</v>
      </c>
    </row>
    <row r="59">
      <c r="A59" s="688" t="s">
        <v>137</v>
      </c>
      <c r="B59" s="625"/>
      <c r="C59" s="625"/>
      <c r="D59" s="625"/>
      <c r="E59" s="625"/>
      <c r="F59" s="625"/>
      <c r="G59" s="541">
        <v>0</v>
      </c>
      <c r="H59" s="539">
        <v>0</v>
      </c>
      <c r="I59" s="539">
        <v>0</v>
      </c>
      <c r="J59" s="539">
        <v>0</v>
      </c>
      <c r="K59" s="539">
        <v>0</v>
      </c>
      <c r="L59" s="626"/>
      <c r="M59" s="688" t="s">
        <v>135</v>
      </c>
      <c r="N59" s="632" t="s">
        <v>181</v>
      </c>
      <c r="O59" s="626"/>
      <c r="P59" s="626"/>
      <c r="Q59" s="632" t="s">
        <v>138</v>
      </c>
    </row>
    <row r="60">
      <c r="A60" s="688" t="s">
        <v>139</v>
      </c>
      <c r="B60" s="625"/>
      <c r="C60" s="625"/>
      <c r="D60" s="625"/>
      <c r="E60" s="625"/>
      <c r="F60" s="625"/>
      <c r="G60" s="541">
        <v>0</v>
      </c>
      <c r="H60" s="539">
        <v>0</v>
      </c>
      <c r="I60" s="539">
        <v>0</v>
      </c>
      <c r="J60" s="539">
        <v>0</v>
      </c>
      <c r="K60" s="539">
        <v>0</v>
      </c>
      <c r="L60" s="626"/>
      <c r="M60" s="688" t="s">
        <v>135</v>
      </c>
      <c r="N60" s="632" t="s">
        <v>181</v>
      </c>
      <c r="O60" s="626"/>
      <c r="P60" s="626"/>
      <c r="Q60" s="632" t="s">
        <v>138</v>
      </c>
    </row>
    <row r="61">
      <c r="A61" s="688" t="s">
        <v>140</v>
      </c>
      <c r="B61" s="625"/>
      <c r="C61" s="625"/>
      <c r="D61" s="625"/>
      <c r="E61" s="625"/>
      <c r="F61" s="625"/>
      <c r="G61" s="541">
        <v>0.02</v>
      </c>
      <c r="H61" s="539">
        <v>0.02</v>
      </c>
      <c r="I61" s="539">
        <v>0.02</v>
      </c>
      <c r="J61" s="539">
        <v>0.02</v>
      </c>
      <c r="K61" s="539">
        <v>0.02</v>
      </c>
      <c r="L61" s="626"/>
      <c r="M61" s="688" t="s">
        <v>135</v>
      </c>
      <c r="N61" s="632" t="s">
        <v>181</v>
      </c>
      <c r="O61" s="626"/>
      <c r="P61" s="626"/>
      <c r="Q61" s="632" t="s">
        <v>138</v>
      </c>
    </row>
    <row r="62">
      <c r="A62" s="688" t="s">
        <v>182</v>
      </c>
      <c r="B62" s="686">
        <f>EEFF!B19</f>
        <v>22758298</v>
      </c>
      <c r="C62" s="686">
        <f>EEFF!C19</f>
        <v>13838072</v>
      </c>
      <c r="D62" s="686">
        <f>EEFF!D19</f>
        <v>22011709</v>
      </c>
      <c r="E62" s="686">
        <f>EEFF!E19</f>
        <v>30401234</v>
      </c>
      <c r="F62" s="686">
        <f>EEFF!F19</f>
        <v>21055991</v>
      </c>
      <c r="G62" s="636"/>
      <c r="H62" s="628"/>
      <c r="I62" s="628"/>
      <c r="J62" s="628"/>
      <c r="K62" s="628"/>
      <c r="L62" s="626"/>
      <c r="M62" s="688" t="s">
        <v>128</v>
      </c>
      <c r="N62" s="632" t="s">
        <v>183</v>
      </c>
      <c r="O62" s="626"/>
      <c r="P62" s="626"/>
      <c r="Q62" s="632" t="s">
        <v>143</v>
      </c>
    </row>
    <row r="63">
      <c r="A63" s="688" t="s">
        <v>184</v>
      </c>
      <c r="B63" s="625"/>
      <c r="C63" s="604">
        <f>EEFF!C19/EEFF!B19-1</f>
        <v>-0.39195488168754977</v>
      </c>
      <c r="D63" s="604">
        <f>EEFF!D19/EEFF!C19-1</f>
        <v>0.5906629912028207</v>
      </c>
      <c r="E63" s="604">
        <f>EEFF!E19/EEFF!D19-1</f>
        <v>0.3811391927814418</v>
      </c>
      <c r="F63" s="604">
        <f>EEFF!F19/EEFF!E19-1</f>
        <v>-0.3073968313259916</v>
      </c>
      <c r="G63" s="637"/>
      <c r="H63" s="625"/>
      <c r="I63" s="625"/>
      <c r="J63" s="625"/>
      <c r="K63" s="625"/>
      <c r="L63" s="626"/>
      <c r="M63" s="688" t="s">
        <v>135</v>
      </c>
      <c r="N63" s="632" t="s">
        <v>183</v>
      </c>
      <c r="O63" s="626"/>
      <c r="P63" s="626"/>
      <c r="Q63" s="632" t="s">
        <v>145</v>
      </c>
    </row>
    <row r="64">
      <c r="A64" s="624"/>
      <c r="B64" s="624"/>
      <c r="C64" s="624"/>
      <c r="D64" s="624"/>
      <c r="E64" s="624"/>
      <c r="F64" s="624"/>
      <c r="G64" s="634"/>
      <c r="H64" s="624"/>
      <c r="I64" s="624"/>
      <c r="J64" s="624"/>
      <c r="K64" s="624"/>
      <c r="L64" s="626"/>
      <c r="M64" s="626"/>
      <c r="N64" s="632"/>
      <c r="O64" s="626"/>
      <c r="P64" s="626"/>
      <c r="Q64" s="632"/>
    </row>
    <row r="65">
      <c r="A65" s="690" t="s">
        <v>185</v>
      </c>
      <c r="B65" s="629"/>
      <c r="C65" s="629"/>
      <c r="D65" s="629"/>
      <c r="E65" s="629"/>
      <c r="F65" s="629"/>
      <c r="G65" s="635"/>
      <c r="H65" s="630"/>
      <c r="I65" s="630"/>
      <c r="J65" s="630"/>
      <c r="K65" s="630"/>
      <c r="L65" s="626"/>
      <c r="M65" s="626"/>
      <c r="N65" s="626"/>
      <c r="O65" s="626"/>
      <c r="P65" s="626"/>
      <c r="Q65" s="626"/>
    </row>
    <row r="66">
      <c r="A66" s="688" t="s">
        <v>186</v>
      </c>
      <c r="B66" s="625"/>
      <c r="C66" s="625"/>
      <c r="D66" s="625"/>
      <c r="E66" s="625"/>
      <c r="F66" s="625"/>
      <c r="G66" s="637">
        <f>CHOOSE($C$5,G68,G69,G67)</f>
        <v>-0.0043</v>
      </c>
      <c r="H66" s="625">
        <f>CHOOSE($C$5,H68,H69,H67)</f>
        <v>-0.0043</v>
      </c>
      <c r="I66" s="625">
        <f>CHOOSE($C$5,I68,I69,I67)</f>
        <v>-0.0043</v>
      </c>
      <c r="J66" s="625">
        <f>CHOOSE($C$5,J68,J69,J67)</f>
        <v>-0.0043</v>
      </c>
      <c r="K66" s="625">
        <f>CHOOSE($C$5,K68,K69,K67)</f>
        <v>-0.0043</v>
      </c>
      <c r="L66" s="626"/>
      <c r="M66" s="688" t="s">
        <v>135</v>
      </c>
      <c r="N66" s="632" t="s">
        <v>187</v>
      </c>
      <c r="O66" s="626"/>
      <c r="P66" s="626"/>
      <c r="Q66" s="632" t="s">
        <v>129</v>
      </c>
    </row>
    <row r="67">
      <c r="A67" s="688" t="s">
        <v>137</v>
      </c>
      <c r="B67" s="625"/>
      <c r="C67" s="625"/>
      <c r="D67" s="625"/>
      <c r="E67" s="625"/>
      <c r="F67" s="625"/>
      <c r="G67" s="541">
        <v>0.0057</v>
      </c>
      <c r="H67" s="539">
        <v>0.0057</v>
      </c>
      <c r="I67" s="539">
        <v>0.0057</v>
      </c>
      <c r="J67" s="539">
        <v>0.0057</v>
      </c>
      <c r="K67" s="539">
        <v>0.0057</v>
      </c>
      <c r="L67" s="626"/>
      <c r="M67" s="688" t="s">
        <v>135</v>
      </c>
      <c r="N67" s="632" t="s">
        <v>187</v>
      </c>
      <c r="O67" s="626"/>
      <c r="P67" s="626"/>
      <c r="Q67" s="632" t="s">
        <v>138</v>
      </c>
    </row>
    <row r="68">
      <c r="A68" s="688" t="s">
        <v>139</v>
      </c>
      <c r="B68" s="625"/>
      <c r="C68" s="625"/>
      <c r="D68" s="625"/>
      <c r="E68" s="625"/>
      <c r="F68" s="625"/>
      <c r="G68" s="541">
        <v>-0.0043</v>
      </c>
      <c r="H68" s="539">
        <v>-0.0043</v>
      </c>
      <c r="I68" s="539">
        <v>-0.0043</v>
      </c>
      <c r="J68" s="539">
        <v>-0.0043</v>
      </c>
      <c r="K68" s="539">
        <v>-0.0043</v>
      </c>
      <c r="L68" s="626"/>
      <c r="M68" s="688" t="s">
        <v>135</v>
      </c>
      <c r="N68" s="632" t="s">
        <v>187</v>
      </c>
      <c r="O68" s="626"/>
      <c r="P68" s="626"/>
      <c r="Q68" s="632" t="s">
        <v>138</v>
      </c>
    </row>
    <row r="69">
      <c r="A69" s="688" t="s">
        <v>140</v>
      </c>
      <c r="B69" s="625"/>
      <c r="C69" s="625"/>
      <c r="D69" s="625"/>
      <c r="E69" s="625"/>
      <c r="F69" s="625"/>
      <c r="G69" s="541">
        <v>-0.0143</v>
      </c>
      <c r="H69" s="539">
        <v>-0.0143</v>
      </c>
      <c r="I69" s="539">
        <v>-0.0143</v>
      </c>
      <c r="J69" s="539">
        <v>-0.0143</v>
      </c>
      <c r="K69" s="539">
        <v>-0.0143</v>
      </c>
      <c r="L69" s="626"/>
      <c r="M69" s="688" t="s">
        <v>135</v>
      </c>
      <c r="N69" s="632" t="s">
        <v>187</v>
      </c>
      <c r="O69" s="626"/>
      <c r="P69" s="626"/>
      <c r="Q69" s="632" t="s">
        <v>138</v>
      </c>
    </row>
    <row r="70">
      <c r="A70" s="688" t="s">
        <v>188</v>
      </c>
      <c r="B70" s="686">
        <f>EEFF!B28</f>
        <v>127645421</v>
      </c>
      <c r="C70" s="686">
        <f>EEFF!C28</f>
        <v>136615018</v>
      </c>
      <c r="D70" s="686">
        <f>EEFF!D28</f>
        <v>137997863</v>
      </c>
      <c r="E70" s="686">
        <f>EEFF!E28</f>
        <v>145649597</v>
      </c>
      <c r="F70" s="686">
        <f>EEFF!F28</f>
        <v>145017455</v>
      </c>
      <c r="G70" s="636"/>
      <c r="H70" s="628"/>
      <c r="I70" s="628"/>
      <c r="J70" s="628"/>
      <c r="K70" s="628"/>
      <c r="L70" s="626"/>
      <c r="M70" s="688" t="s">
        <v>128</v>
      </c>
      <c r="N70" s="632" t="s">
        <v>189</v>
      </c>
      <c r="O70" s="626"/>
      <c r="P70" s="626"/>
      <c r="Q70" s="632" t="s">
        <v>143</v>
      </c>
    </row>
    <row r="71">
      <c r="A71" s="688" t="s">
        <v>190</v>
      </c>
      <c r="B71" s="625"/>
      <c r="C71" s="604">
        <f>EEFF!C28/EEFF!B28-1</f>
        <v>0.07026963387899365</v>
      </c>
      <c r="D71" s="604">
        <f>EEFF!D28/EEFF!C28-1</f>
        <v>0.01012220340226433</v>
      </c>
      <c r="E71" s="604">
        <f>EEFF!E28/EEFF!D28-1</f>
        <v>0.055448206469689953</v>
      </c>
      <c r="F71" s="604">
        <f>EEFF!F28/EEFF!E28-1</f>
        <v>-0.004340156190064892</v>
      </c>
      <c r="G71" s="637"/>
      <c r="H71" s="625"/>
      <c r="I71" s="625"/>
      <c r="J71" s="625"/>
      <c r="K71" s="625"/>
      <c r="L71" s="626"/>
      <c r="M71" s="688" t="s">
        <v>135</v>
      </c>
      <c r="N71" s="632" t="s">
        <v>189</v>
      </c>
      <c r="O71" s="626"/>
      <c r="P71" s="626"/>
      <c r="Q71" s="632" t="s">
        <v>145</v>
      </c>
    </row>
  </sheetData>
</worksheet>
</file>

<file path=xl/worksheets/sheet3.xml><?xml version="1.0" encoding="utf-8"?>
<worksheet xmlns="http://schemas.openxmlformats.org/spreadsheetml/2006/main" xmlns:r="http://schemas.openxmlformats.org/officeDocument/2006/relationships">
  <dimension ref="A1:T1641"/>
  <sheetViews>
    <sheetView showGridLines="0" workbookViewId="0"/>
  </sheetViews>
  <sheetFormatPr defaultColWidth="8.375" defaultRowHeight="15"/>
  <cols>
    <col min="1" max="1" width="6.125" customWidth="1"/>
    <col min="2" max="2" width="18.125" customWidth="1"/>
    <col min="4" max="4" width="14.375" customWidth="1"/>
    <col min="5" max="5" width="6.375" customWidth="1"/>
    <col min="6" max="6" width="30.625" customWidth="1"/>
    <col min="7" max="7" width="18.125" customWidth="1"/>
    <col min="8" max="9" width="24.375" customWidth="1"/>
    <col min="10" max="10" width="44.375" customWidth="1"/>
    <col min="11" max="11" width="14.375" customWidth="1"/>
    <col min="12" max="12" width="7.125" customWidth="1"/>
    <col min="13" max="13" width="11.25" customWidth="1"/>
    <col min="14" max="14" width="19.375" customWidth="1"/>
    <col min="15" max="15" width="22.5" customWidth="1"/>
    <col min="16" max="17" width="26.875" customWidth="1"/>
    <col min="18" max="18" width="14.375" customWidth="1"/>
    <col min="19" max="19" width="25.625" customWidth="1"/>
    <col min="20" max="20" width="14.375" customWidth="1"/>
  </cols>
  <sheetData>
    <row r="1">
      <c r="A1" s="704" t="s">
        <v>0</v>
      </c>
    </row>
    <row r="2">
      <c r="A2" s="703" t="s">
        <v>191</v>
      </c>
    </row>
    <row r="3">
      <c r="A3" s="703" t="s">
        <v>192</v>
      </c>
    </row>
    <row r="5">
      <c r="A5" s="620" t="s">
        <v>193</v>
      </c>
      <c r="B5" s="620" t="s">
        <v>194</v>
      </c>
      <c r="C5" s="620" t="s">
        <v>195</v>
      </c>
      <c r="D5" s="620" t="s">
        <v>196</v>
      </c>
      <c r="E5" s="620" t="s">
        <v>197</v>
      </c>
      <c r="F5" s="620" t="s">
        <v>198</v>
      </c>
      <c r="G5" s="620" t="s">
        <v>199</v>
      </c>
      <c r="H5" s="620" t="s">
        <v>200</v>
      </c>
      <c r="I5" s="620" t="s">
        <v>201</v>
      </c>
      <c r="J5" s="620" t="s">
        <v>202</v>
      </c>
      <c r="K5" s="620" t="s">
        <v>203</v>
      </c>
      <c r="L5" s="620" t="s">
        <v>204</v>
      </c>
      <c r="M5" s="620" t="s">
        <v>205</v>
      </c>
      <c r="N5" s="620" t="s">
        <v>206</v>
      </c>
      <c r="O5" s="620" t="s">
        <v>207</v>
      </c>
      <c r="P5" s="622" t="s">
        <v>208</v>
      </c>
      <c r="Q5" s="622" t="s">
        <v>209</v>
      </c>
      <c r="R5" s="620" t="s">
        <v>210</v>
      </c>
      <c r="S5" s="620" t="s">
        <v>211</v>
      </c>
      <c r="T5" s="620" t="s">
        <v>212</v>
      </c>
    </row>
    <row r="6">
      <c r="A6" s="616" t="s">
        <v>213</v>
      </c>
      <c r="B6" s="616" t="s">
        <v>214</v>
      </c>
      <c r="C6" s="616" t="s">
        <v>215</v>
      </c>
      <c r="D6" s="616" t="s">
        <v>216</v>
      </c>
      <c r="E6" s="616" t="s">
        <v>217</v>
      </c>
      <c r="F6" s="617" t="s">
        <v>218</v>
      </c>
      <c r="G6" s="616" t="s">
        <v>219</v>
      </c>
      <c r="H6" s="617"/>
      <c r="I6" s="617"/>
      <c r="J6" s="617" t="s">
        <v>220</v>
      </c>
      <c r="K6" s="618"/>
      <c r="L6" s="616"/>
      <c r="M6" s="616"/>
      <c r="N6" s="617"/>
      <c r="O6" s="617"/>
      <c r="P6" s="617"/>
      <c r="Q6" s="617"/>
      <c r="R6" s="619"/>
      <c r="S6" s="617"/>
      <c r="T6" s="616" t="s">
        <v>221</v>
      </c>
    </row>
    <row r="7" ht="34.5">
      <c r="A7" s="616" t="s">
        <v>213</v>
      </c>
      <c r="B7" s="616" t="s">
        <v>214</v>
      </c>
      <c r="C7" s="616" t="s">
        <v>215</v>
      </c>
      <c r="D7" s="616" t="s">
        <v>216</v>
      </c>
      <c r="E7" s="616" t="s">
        <v>217</v>
      </c>
      <c r="F7" s="617" t="s">
        <v>218</v>
      </c>
      <c r="G7" s="616" t="s">
        <v>219</v>
      </c>
      <c r="H7" s="617"/>
      <c r="I7" s="617"/>
      <c r="J7" s="617" t="s">
        <v>222</v>
      </c>
      <c r="K7" s="618"/>
      <c r="L7" s="616"/>
      <c r="M7" s="616"/>
      <c r="N7" s="617"/>
      <c r="O7" s="617"/>
      <c r="P7" s="617"/>
      <c r="Q7" s="617"/>
      <c r="R7" s="619"/>
      <c r="S7" s="617"/>
      <c r="T7" s="616" t="s">
        <v>221</v>
      </c>
    </row>
    <row r="8" ht="34.5">
      <c r="A8" s="616" t="s">
        <v>213</v>
      </c>
      <c r="B8" s="616" t="s">
        <v>214</v>
      </c>
      <c r="C8" s="616" t="s">
        <v>215</v>
      </c>
      <c r="D8" s="616" t="s">
        <v>216</v>
      </c>
      <c r="E8" s="616" t="s">
        <v>217</v>
      </c>
      <c r="F8" s="617" t="s">
        <v>218</v>
      </c>
      <c r="G8" s="616" t="s">
        <v>219</v>
      </c>
      <c r="H8" s="617"/>
      <c r="I8" s="617"/>
      <c r="J8" s="617" t="s">
        <v>223</v>
      </c>
      <c r="K8" s="618"/>
      <c r="L8" s="616"/>
      <c r="M8" s="616"/>
      <c r="N8" s="617"/>
      <c r="O8" s="617"/>
      <c r="P8" s="617"/>
      <c r="Q8" s="617"/>
      <c r="R8" s="619"/>
      <c r="S8" s="617"/>
      <c r="T8" s="616" t="s">
        <v>221</v>
      </c>
    </row>
    <row r="9" ht="34.5">
      <c r="A9" s="616" t="s">
        <v>213</v>
      </c>
      <c r="B9" s="616" t="s">
        <v>214</v>
      </c>
      <c r="C9" s="616" t="s">
        <v>224</v>
      </c>
      <c r="D9" s="616" t="s">
        <v>216</v>
      </c>
      <c r="E9" s="616" t="s">
        <v>217</v>
      </c>
      <c r="F9" s="617" t="s">
        <v>218</v>
      </c>
      <c r="G9" s="616" t="s">
        <v>219</v>
      </c>
      <c r="H9" s="617"/>
      <c r="I9" s="617"/>
      <c r="J9" s="617" t="s">
        <v>225</v>
      </c>
      <c r="K9" s="618"/>
      <c r="L9" s="616"/>
      <c r="M9" s="616"/>
      <c r="N9" s="617"/>
      <c r="O9" s="617"/>
      <c r="P9" s="617"/>
      <c r="Q9" s="617"/>
      <c r="R9" s="619"/>
      <c r="S9" s="617"/>
      <c r="T9" s="616" t="s">
        <v>221</v>
      </c>
    </row>
    <row r="10" ht="34.5">
      <c r="A10" s="616" t="s">
        <v>213</v>
      </c>
      <c r="B10" s="616" t="s">
        <v>214</v>
      </c>
      <c r="C10" s="616" t="s">
        <v>224</v>
      </c>
      <c r="D10" s="616" t="s">
        <v>216</v>
      </c>
      <c r="E10" s="616" t="s">
        <v>217</v>
      </c>
      <c r="F10" s="617" t="s">
        <v>218</v>
      </c>
      <c r="G10" s="616" t="s">
        <v>219</v>
      </c>
      <c r="H10" s="617"/>
      <c r="I10" s="617"/>
      <c r="J10" s="617" t="s">
        <v>226</v>
      </c>
      <c r="K10" s="618"/>
      <c r="L10" s="616"/>
      <c r="M10" s="616"/>
      <c r="N10" s="617"/>
      <c r="O10" s="617"/>
      <c r="P10" s="617"/>
      <c r="Q10" s="617"/>
      <c r="R10" s="619"/>
      <c r="S10" s="617"/>
      <c r="T10" s="616" t="s">
        <v>221</v>
      </c>
    </row>
    <row r="11" ht="34.5">
      <c r="A11" s="616" t="s">
        <v>213</v>
      </c>
      <c r="B11" s="616" t="s">
        <v>214</v>
      </c>
      <c r="C11" s="616" t="s">
        <v>224</v>
      </c>
      <c r="D11" s="616" t="s">
        <v>216</v>
      </c>
      <c r="E11" s="616" t="s">
        <v>217</v>
      </c>
      <c r="F11" s="617" t="s">
        <v>218</v>
      </c>
      <c r="G11" s="616" t="s">
        <v>219</v>
      </c>
      <c r="H11" s="617"/>
      <c r="I11" s="617"/>
      <c r="J11" s="617" t="s">
        <v>227</v>
      </c>
      <c r="K11" s="618"/>
      <c r="L11" s="616"/>
      <c r="M11" s="616"/>
      <c r="N11" s="617"/>
      <c r="O11" s="617"/>
      <c r="P11" s="617"/>
      <c r="Q11" s="617"/>
      <c r="R11" s="619"/>
      <c r="S11" s="617"/>
      <c r="T11" s="616" t="s">
        <v>221</v>
      </c>
    </row>
    <row r="12" ht="34.5">
      <c r="A12" s="616" t="s">
        <v>213</v>
      </c>
      <c r="B12" s="616" t="s">
        <v>214</v>
      </c>
      <c r="C12" s="616" t="s">
        <v>224</v>
      </c>
      <c r="D12" s="616" t="s">
        <v>216</v>
      </c>
      <c r="E12" s="616" t="s">
        <v>217</v>
      </c>
      <c r="F12" s="617" t="s">
        <v>218</v>
      </c>
      <c r="G12" s="616" t="s">
        <v>219</v>
      </c>
      <c r="H12" s="617"/>
      <c r="I12" s="617"/>
      <c r="J12" s="617" t="s">
        <v>228</v>
      </c>
      <c r="K12" s="618"/>
      <c r="L12" s="616"/>
      <c r="M12" s="616"/>
      <c r="N12" s="617"/>
      <c r="O12" s="617"/>
      <c r="P12" s="617"/>
      <c r="Q12" s="617"/>
      <c r="R12" s="619"/>
      <c r="S12" s="617"/>
      <c r="T12" s="616" t="s">
        <v>221</v>
      </c>
    </row>
    <row r="13" ht="34.5">
      <c r="A13" s="616" t="s">
        <v>213</v>
      </c>
      <c r="B13" s="616" t="s">
        <v>214</v>
      </c>
      <c r="C13" s="616" t="s">
        <v>224</v>
      </c>
      <c r="D13" s="616" t="s">
        <v>216</v>
      </c>
      <c r="E13" s="616" t="s">
        <v>217</v>
      </c>
      <c r="F13" s="617" t="s">
        <v>218</v>
      </c>
      <c r="G13" s="616" t="s">
        <v>219</v>
      </c>
      <c r="H13" s="617"/>
      <c r="I13" s="617"/>
      <c r="J13" s="617" t="s">
        <v>229</v>
      </c>
      <c r="K13" s="618"/>
      <c r="L13" s="616"/>
      <c r="M13" s="616"/>
      <c r="N13" s="617"/>
      <c r="O13" s="617"/>
      <c r="P13" s="617"/>
      <c r="Q13" s="617"/>
      <c r="R13" s="619"/>
      <c r="S13" s="617"/>
      <c r="T13" s="616" t="s">
        <v>221</v>
      </c>
    </row>
    <row r="14" ht="34.5">
      <c r="A14" s="616" t="s">
        <v>213</v>
      </c>
      <c r="B14" s="616" t="s">
        <v>214</v>
      </c>
      <c r="C14" s="616" t="s">
        <v>224</v>
      </c>
      <c r="D14" s="616" t="s">
        <v>216</v>
      </c>
      <c r="E14" s="616" t="s">
        <v>217</v>
      </c>
      <c r="F14" s="617" t="s">
        <v>218</v>
      </c>
      <c r="G14" s="616" t="s">
        <v>219</v>
      </c>
      <c r="H14" s="617"/>
      <c r="I14" s="617"/>
      <c r="J14" s="617" t="s">
        <v>230</v>
      </c>
      <c r="K14" s="618"/>
      <c r="L14" s="616"/>
      <c r="M14" s="616"/>
      <c r="N14" s="617"/>
      <c r="O14" s="617"/>
      <c r="P14" s="617"/>
      <c r="Q14" s="617"/>
      <c r="R14" s="619"/>
      <c r="S14" s="617"/>
      <c r="T14" s="616" t="s">
        <v>221</v>
      </c>
    </row>
    <row r="15" ht="34.5">
      <c r="A15" s="616" t="s">
        <v>213</v>
      </c>
      <c r="B15" s="616" t="s">
        <v>214</v>
      </c>
      <c r="C15" s="616" t="s">
        <v>224</v>
      </c>
      <c r="D15" s="616" t="s">
        <v>216</v>
      </c>
      <c r="E15" s="616" t="s">
        <v>217</v>
      </c>
      <c r="F15" s="617" t="s">
        <v>218</v>
      </c>
      <c r="G15" s="616" t="s">
        <v>219</v>
      </c>
      <c r="H15" s="617"/>
      <c r="I15" s="617"/>
      <c r="J15" s="617" t="s">
        <v>231</v>
      </c>
      <c r="K15" s="618"/>
      <c r="L15" s="616"/>
      <c r="M15" s="616"/>
      <c r="N15" s="617"/>
      <c r="O15" s="617"/>
      <c r="P15" s="617"/>
      <c r="Q15" s="617"/>
      <c r="R15" s="619"/>
      <c r="S15" s="617"/>
      <c r="T15" s="616" t="s">
        <v>221</v>
      </c>
    </row>
    <row r="16" ht="34.5">
      <c r="A16" s="616" t="s">
        <v>213</v>
      </c>
      <c r="B16" s="616" t="s">
        <v>214</v>
      </c>
      <c r="C16" s="616" t="s">
        <v>224</v>
      </c>
      <c r="D16" s="616" t="s">
        <v>216</v>
      </c>
      <c r="E16" s="616" t="s">
        <v>217</v>
      </c>
      <c r="F16" s="617" t="s">
        <v>218</v>
      </c>
      <c r="G16" s="616" t="s">
        <v>219</v>
      </c>
      <c r="H16" s="617"/>
      <c r="I16" s="617"/>
      <c r="J16" s="617" t="s">
        <v>232</v>
      </c>
      <c r="K16" s="618"/>
      <c r="L16" s="616"/>
      <c r="M16" s="616"/>
      <c r="N16" s="617"/>
      <c r="O16" s="617"/>
      <c r="P16" s="617"/>
      <c r="Q16" s="617"/>
      <c r="R16" s="619"/>
      <c r="S16" s="617"/>
      <c r="T16" s="616" t="s">
        <v>221</v>
      </c>
    </row>
    <row r="17" ht="34.5">
      <c r="A17" s="616" t="s">
        <v>213</v>
      </c>
      <c r="B17" s="616" t="s">
        <v>214</v>
      </c>
      <c r="C17" s="616" t="s">
        <v>224</v>
      </c>
      <c r="D17" s="616" t="s">
        <v>216</v>
      </c>
      <c r="E17" s="616" t="s">
        <v>217</v>
      </c>
      <c r="F17" s="617" t="s">
        <v>218</v>
      </c>
      <c r="G17" s="616" t="s">
        <v>219</v>
      </c>
      <c r="H17" s="617"/>
      <c r="I17" s="617"/>
      <c r="J17" s="617" t="s">
        <v>233</v>
      </c>
      <c r="K17" s="618"/>
      <c r="L17" s="616"/>
      <c r="M17" s="616"/>
      <c r="N17" s="617"/>
      <c r="O17" s="617"/>
      <c r="P17" s="617"/>
      <c r="Q17" s="617"/>
      <c r="R17" s="619"/>
      <c r="S17" s="617"/>
      <c r="T17" s="616" t="s">
        <v>221</v>
      </c>
    </row>
    <row r="18" ht="34.5">
      <c r="A18" s="616" t="s">
        <v>213</v>
      </c>
      <c r="B18" s="616" t="s">
        <v>214</v>
      </c>
      <c r="C18" s="616" t="s">
        <v>224</v>
      </c>
      <c r="D18" s="616" t="s">
        <v>216</v>
      </c>
      <c r="E18" s="616" t="s">
        <v>217</v>
      </c>
      <c r="F18" s="617" t="s">
        <v>218</v>
      </c>
      <c r="G18" s="616" t="s">
        <v>219</v>
      </c>
      <c r="H18" s="617"/>
      <c r="I18" s="617"/>
      <c r="J18" s="617" t="s">
        <v>234</v>
      </c>
      <c r="K18" s="618"/>
      <c r="L18" s="616"/>
      <c r="M18" s="616"/>
      <c r="N18" s="617"/>
      <c r="O18" s="617"/>
      <c r="P18" s="617"/>
      <c r="Q18" s="617"/>
      <c r="R18" s="619"/>
      <c r="S18" s="617"/>
      <c r="T18" s="616" t="s">
        <v>221</v>
      </c>
    </row>
    <row r="19" ht="34.5">
      <c r="A19" s="616" t="s">
        <v>213</v>
      </c>
      <c r="B19" s="616" t="s">
        <v>214</v>
      </c>
      <c r="C19" s="616" t="s">
        <v>224</v>
      </c>
      <c r="D19" s="616" t="s">
        <v>216</v>
      </c>
      <c r="E19" s="616" t="s">
        <v>217</v>
      </c>
      <c r="F19" s="617" t="s">
        <v>218</v>
      </c>
      <c r="G19" s="616" t="s">
        <v>219</v>
      </c>
      <c r="H19" s="617"/>
      <c r="I19" s="617"/>
      <c r="J19" s="617" t="s">
        <v>235</v>
      </c>
      <c r="K19" s="618"/>
      <c r="L19" s="616"/>
      <c r="M19" s="616"/>
      <c r="N19" s="617"/>
      <c r="O19" s="617"/>
      <c r="P19" s="617"/>
      <c r="Q19" s="617"/>
      <c r="R19" s="619"/>
      <c r="S19" s="617"/>
      <c r="T19" s="616" t="s">
        <v>221</v>
      </c>
    </row>
    <row r="20" ht="34.5">
      <c r="A20" s="616" t="s">
        <v>213</v>
      </c>
      <c r="B20" s="616" t="s">
        <v>214</v>
      </c>
      <c r="C20" s="616" t="s">
        <v>224</v>
      </c>
      <c r="D20" s="616" t="s">
        <v>216</v>
      </c>
      <c r="E20" s="616" t="s">
        <v>217</v>
      </c>
      <c r="F20" s="617" t="s">
        <v>218</v>
      </c>
      <c r="G20" s="616" t="s">
        <v>219</v>
      </c>
      <c r="H20" s="617"/>
      <c r="I20" s="617"/>
      <c r="J20" s="617" t="s">
        <v>236</v>
      </c>
      <c r="K20" s="618"/>
      <c r="L20" s="616"/>
      <c r="M20" s="616"/>
      <c r="N20" s="617"/>
      <c r="O20" s="617"/>
      <c r="P20" s="617"/>
      <c r="Q20" s="617"/>
      <c r="R20" s="619"/>
      <c r="S20" s="617"/>
      <c r="T20" s="616" t="s">
        <v>221</v>
      </c>
    </row>
    <row r="21" ht="34.5">
      <c r="A21" s="616" t="s">
        <v>213</v>
      </c>
      <c r="B21" s="616" t="s">
        <v>214</v>
      </c>
      <c r="C21" s="616" t="s">
        <v>224</v>
      </c>
      <c r="D21" s="616" t="s">
        <v>216</v>
      </c>
      <c r="E21" s="616" t="s">
        <v>217</v>
      </c>
      <c r="F21" s="617" t="s">
        <v>218</v>
      </c>
      <c r="G21" s="616" t="s">
        <v>219</v>
      </c>
      <c r="H21" s="617"/>
      <c r="I21" s="617"/>
      <c r="J21" s="617" t="s">
        <v>237</v>
      </c>
      <c r="K21" s="618"/>
      <c r="L21" s="616"/>
      <c r="M21" s="616"/>
      <c r="N21" s="617"/>
      <c r="O21" s="617"/>
      <c r="P21" s="617"/>
      <c r="Q21" s="617"/>
      <c r="R21" s="619"/>
      <c r="S21" s="617"/>
      <c r="T21" s="616" t="s">
        <v>221</v>
      </c>
    </row>
    <row r="22" ht="34.5">
      <c r="A22" s="616" t="s">
        <v>213</v>
      </c>
      <c r="B22" s="616" t="s">
        <v>214</v>
      </c>
      <c r="C22" s="616" t="s">
        <v>238</v>
      </c>
      <c r="D22" s="616" t="s">
        <v>216</v>
      </c>
      <c r="E22" s="616" t="s">
        <v>217</v>
      </c>
      <c r="F22" s="617" t="s">
        <v>218</v>
      </c>
      <c r="G22" s="616" t="s">
        <v>219</v>
      </c>
      <c r="H22" s="617"/>
      <c r="I22" s="617"/>
      <c r="J22" s="617" t="s">
        <v>239</v>
      </c>
      <c r="K22" s="618"/>
      <c r="L22" s="616"/>
      <c r="M22" s="616"/>
      <c r="N22" s="617"/>
      <c r="O22" s="617"/>
      <c r="P22" s="617"/>
      <c r="Q22" s="617"/>
      <c r="R22" s="619"/>
      <c r="S22" s="617"/>
      <c r="T22" s="616" t="s">
        <v>221</v>
      </c>
    </row>
    <row r="23" ht="34.5">
      <c r="A23" s="616" t="s">
        <v>213</v>
      </c>
      <c r="B23" s="616" t="s">
        <v>214</v>
      </c>
      <c r="C23" s="616" t="s">
        <v>238</v>
      </c>
      <c r="D23" s="616" t="s">
        <v>216</v>
      </c>
      <c r="E23" s="616" t="s">
        <v>217</v>
      </c>
      <c r="F23" s="617" t="s">
        <v>218</v>
      </c>
      <c r="G23" s="616" t="s">
        <v>219</v>
      </c>
      <c r="H23" s="617"/>
      <c r="I23" s="617"/>
      <c r="J23" s="617" t="s">
        <v>240</v>
      </c>
      <c r="K23" s="618"/>
      <c r="L23" s="616"/>
      <c r="M23" s="616"/>
      <c r="N23" s="617"/>
      <c r="O23" s="617"/>
      <c r="P23" s="617"/>
      <c r="Q23" s="617"/>
      <c r="R23" s="619"/>
      <c r="S23" s="617"/>
      <c r="T23" s="616" t="s">
        <v>221</v>
      </c>
    </row>
    <row r="24" ht="34.5">
      <c r="A24" s="616" t="s">
        <v>213</v>
      </c>
      <c r="B24" s="616" t="s">
        <v>214</v>
      </c>
      <c r="C24" s="616" t="s">
        <v>238</v>
      </c>
      <c r="D24" s="616" t="s">
        <v>216</v>
      </c>
      <c r="E24" s="616" t="s">
        <v>217</v>
      </c>
      <c r="F24" s="617" t="s">
        <v>218</v>
      </c>
      <c r="G24" s="616" t="s">
        <v>219</v>
      </c>
      <c r="H24" s="617"/>
      <c r="I24" s="617"/>
      <c r="J24" s="617" t="s">
        <v>241</v>
      </c>
      <c r="K24" s="618"/>
      <c r="L24" s="616"/>
      <c r="M24" s="616"/>
      <c r="N24" s="617"/>
      <c r="O24" s="617"/>
      <c r="P24" s="617"/>
      <c r="Q24" s="617"/>
      <c r="R24" s="619"/>
      <c r="S24" s="617"/>
      <c r="T24" s="616" t="s">
        <v>221</v>
      </c>
    </row>
    <row r="25" ht="34.5">
      <c r="A25" s="616" t="s">
        <v>213</v>
      </c>
      <c r="B25" s="616" t="s">
        <v>214</v>
      </c>
      <c r="C25" s="616" t="s">
        <v>238</v>
      </c>
      <c r="D25" s="616" t="s">
        <v>216</v>
      </c>
      <c r="E25" s="616" t="s">
        <v>217</v>
      </c>
      <c r="F25" s="617" t="s">
        <v>218</v>
      </c>
      <c r="G25" s="616" t="s">
        <v>219</v>
      </c>
      <c r="H25" s="617"/>
      <c r="I25" s="617"/>
      <c r="J25" s="617" t="s">
        <v>242</v>
      </c>
      <c r="K25" s="618"/>
      <c r="L25" s="616"/>
      <c r="M25" s="616"/>
      <c r="N25" s="617"/>
      <c r="O25" s="617"/>
      <c r="P25" s="617"/>
      <c r="Q25" s="617"/>
      <c r="R25" s="619"/>
      <c r="S25" s="617"/>
      <c r="T25" s="616" t="s">
        <v>221</v>
      </c>
    </row>
    <row r="26" ht="34.5">
      <c r="A26" s="616" t="s">
        <v>213</v>
      </c>
      <c r="B26" s="616" t="s">
        <v>214</v>
      </c>
      <c r="C26" s="616" t="s">
        <v>238</v>
      </c>
      <c r="D26" s="616" t="s">
        <v>216</v>
      </c>
      <c r="E26" s="616" t="s">
        <v>217</v>
      </c>
      <c r="F26" s="617" t="s">
        <v>218</v>
      </c>
      <c r="G26" s="616" t="s">
        <v>219</v>
      </c>
      <c r="H26" s="617"/>
      <c r="I26" s="617"/>
      <c r="J26" s="617" t="s">
        <v>243</v>
      </c>
      <c r="K26" s="618"/>
      <c r="L26" s="616"/>
      <c r="M26" s="616"/>
      <c r="N26" s="617"/>
      <c r="O26" s="617"/>
      <c r="P26" s="617"/>
      <c r="Q26" s="617"/>
      <c r="R26" s="619"/>
      <c r="S26" s="617"/>
      <c r="T26" s="616" t="s">
        <v>221</v>
      </c>
    </row>
    <row r="27" ht="34.5">
      <c r="A27" s="616" t="s">
        <v>213</v>
      </c>
      <c r="B27" s="616" t="s">
        <v>214</v>
      </c>
      <c r="C27" s="616" t="s">
        <v>238</v>
      </c>
      <c r="D27" s="616" t="s">
        <v>216</v>
      </c>
      <c r="E27" s="616" t="s">
        <v>217</v>
      </c>
      <c r="F27" s="617" t="s">
        <v>218</v>
      </c>
      <c r="G27" s="616" t="s">
        <v>219</v>
      </c>
      <c r="H27" s="617"/>
      <c r="I27" s="617"/>
      <c r="J27" s="617" t="s">
        <v>244</v>
      </c>
      <c r="K27" s="618"/>
      <c r="L27" s="616"/>
      <c r="M27" s="616"/>
      <c r="N27" s="617"/>
      <c r="O27" s="617"/>
      <c r="P27" s="617"/>
      <c r="Q27" s="617"/>
      <c r="R27" s="619"/>
      <c r="S27" s="617"/>
      <c r="T27" s="616" t="s">
        <v>221</v>
      </c>
    </row>
    <row r="28" ht="34.5">
      <c r="A28" s="616" t="s">
        <v>213</v>
      </c>
      <c r="B28" s="616" t="s">
        <v>214</v>
      </c>
      <c r="C28" s="616" t="s">
        <v>238</v>
      </c>
      <c r="D28" s="616" t="s">
        <v>216</v>
      </c>
      <c r="E28" s="616" t="s">
        <v>217</v>
      </c>
      <c r="F28" s="617" t="s">
        <v>218</v>
      </c>
      <c r="G28" s="616" t="s">
        <v>219</v>
      </c>
      <c r="H28" s="617"/>
      <c r="I28" s="617"/>
      <c r="J28" s="617" t="s">
        <v>245</v>
      </c>
      <c r="K28" s="618"/>
      <c r="L28" s="616"/>
      <c r="M28" s="616"/>
      <c r="N28" s="617"/>
      <c r="O28" s="617"/>
      <c r="P28" s="617"/>
      <c r="Q28" s="617"/>
      <c r="R28" s="619"/>
      <c r="S28" s="617"/>
      <c r="T28" s="616" t="s">
        <v>221</v>
      </c>
    </row>
    <row r="29" ht="34.5">
      <c r="A29" s="616" t="s">
        <v>213</v>
      </c>
      <c r="B29" s="616" t="s">
        <v>214</v>
      </c>
      <c r="C29" s="616" t="s">
        <v>238</v>
      </c>
      <c r="D29" s="616" t="s">
        <v>216</v>
      </c>
      <c r="E29" s="616" t="s">
        <v>217</v>
      </c>
      <c r="F29" s="617" t="s">
        <v>218</v>
      </c>
      <c r="G29" s="616" t="s">
        <v>219</v>
      </c>
      <c r="H29" s="617"/>
      <c r="I29" s="617"/>
      <c r="J29" s="617" t="s">
        <v>246</v>
      </c>
      <c r="K29" s="618"/>
      <c r="L29" s="616"/>
      <c r="M29" s="616"/>
      <c r="N29" s="617"/>
      <c r="O29" s="617"/>
      <c r="P29" s="617"/>
      <c r="Q29" s="617"/>
      <c r="R29" s="619"/>
      <c r="S29" s="617"/>
      <c r="T29" s="616" t="s">
        <v>221</v>
      </c>
    </row>
    <row r="30" ht="34.5">
      <c r="A30" s="616" t="s">
        <v>213</v>
      </c>
      <c r="B30" s="616" t="s">
        <v>214</v>
      </c>
      <c r="C30" s="616" t="s">
        <v>238</v>
      </c>
      <c r="D30" s="616" t="s">
        <v>216</v>
      </c>
      <c r="E30" s="616" t="s">
        <v>217</v>
      </c>
      <c r="F30" s="617" t="s">
        <v>218</v>
      </c>
      <c r="G30" s="616" t="s">
        <v>219</v>
      </c>
      <c r="H30" s="617"/>
      <c r="I30" s="617"/>
      <c r="J30" s="617" t="s">
        <v>247</v>
      </c>
      <c r="K30" s="618"/>
      <c r="L30" s="616"/>
      <c r="M30" s="616"/>
      <c r="N30" s="617"/>
      <c r="O30" s="617"/>
      <c r="P30" s="617"/>
      <c r="Q30" s="617"/>
      <c r="R30" s="619"/>
      <c r="S30" s="617"/>
      <c r="T30" s="616" t="s">
        <v>221</v>
      </c>
    </row>
    <row r="31" ht="34.5">
      <c r="A31" s="616" t="s">
        <v>213</v>
      </c>
      <c r="B31" s="616" t="s">
        <v>214</v>
      </c>
      <c r="C31" s="616" t="s">
        <v>238</v>
      </c>
      <c r="D31" s="616" t="s">
        <v>216</v>
      </c>
      <c r="E31" s="616" t="s">
        <v>217</v>
      </c>
      <c r="F31" s="617" t="s">
        <v>218</v>
      </c>
      <c r="G31" s="616" t="s">
        <v>219</v>
      </c>
      <c r="H31" s="617"/>
      <c r="I31" s="617"/>
      <c r="J31" s="617" t="s">
        <v>248</v>
      </c>
      <c r="K31" s="618"/>
      <c r="L31" s="616"/>
      <c r="M31" s="616"/>
      <c r="N31" s="617"/>
      <c r="O31" s="617"/>
      <c r="P31" s="617"/>
      <c r="Q31" s="617"/>
      <c r="R31" s="619"/>
      <c r="S31" s="617"/>
      <c r="T31" s="616" t="s">
        <v>221</v>
      </c>
    </row>
    <row r="32" ht="34.5">
      <c r="A32" s="616" t="s">
        <v>213</v>
      </c>
      <c r="B32" s="616" t="s">
        <v>214</v>
      </c>
      <c r="C32" s="616" t="s">
        <v>238</v>
      </c>
      <c r="D32" s="616" t="s">
        <v>216</v>
      </c>
      <c r="E32" s="616" t="s">
        <v>217</v>
      </c>
      <c r="F32" s="617" t="s">
        <v>218</v>
      </c>
      <c r="G32" s="616" t="s">
        <v>219</v>
      </c>
      <c r="H32" s="617"/>
      <c r="I32" s="617"/>
      <c r="J32" s="617" t="s">
        <v>249</v>
      </c>
      <c r="K32" s="618"/>
      <c r="L32" s="616"/>
      <c r="M32" s="616"/>
      <c r="N32" s="617"/>
      <c r="O32" s="617"/>
      <c r="P32" s="617"/>
      <c r="Q32" s="617"/>
      <c r="R32" s="619"/>
      <c r="S32" s="617"/>
      <c r="T32" s="616" t="s">
        <v>221</v>
      </c>
    </row>
    <row r="33" ht="34.5">
      <c r="A33" s="616" t="s">
        <v>213</v>
      </c>
      <c r="B33" s="616" t="s">
        <v>214</v>
      </c>
      <c r="C33" s="616" t="s">
        <v>238</v>
      </c>
      <c r="D33" s="616" t="s">
        <v>216</v>
      </c>
      <c r="E33" s="616" t="s">
        <v>217</v>
      </c>
      <c r="F33" s="617" t="s">
        <v>218</v>
      </c>
      <c r="G33" s="616" t="s">
        <v>219</v>
      </c>
      <c r="H33" s="617"/>
      <c r="I33" s="617"/>
      <c r="J33" s="617" t="s">
        <v>250</v>
      </c>
      <c r="K33" s="618"/>
      <c r="L33" s="616"/>
      <c r="M33" s="616"/>
      <c r="N33" s="617"/>
      <c r="O33" s="617"/>
      <c r="P33" s="617"/>
      <c r="Q33" s="617"/>
      <c r="R33" s="619"/>
      <c r="S33" s="617"/>
      <c r="T33" s="616" t="s">
        <v>221</v>
      </c>
    </row>
    <row r="34" ht="34.5">
      <c r="A34" s="616" t="s">
        <v>213</v>
      </c>
      <c r="B34" s="616" t="s">
        <v>214</v>
      </c>
      <c r="C34" s="616" t="s">
        <v>238</v>
      </c>
      <c r="D34" s="616" t="s">
        <v>216</v>
      </c>
      <c r="E34" s="616" t="s">
        <v>217</v>
      </c>
      <c r="F34" s="617" t="s">
        <v>218</v>
      </c>
      <c r="G34" s="616" t="s">
        <v>219</v>
      </c>
      <c r="H34" s="617"/>
      <c r="I34" s="617"/>
      <c r="J34" s="617" t="s">
        <v>251</v>
      </c>
      <c r="K34" s="618"/>
      <c r="L34" s="616"/>
      <c r="M34" s="616"/>
      <c r="N34" s="617"/>
      <c r="O34" s="617"/>
      <c r="P34" s="617"/>
      <c r="Q34" s="617"/>
      <c r="R34" s="619"/>
      <c r="S34" s="617"/>
      <c r="T34" s="616" t="s">
        <v>221</v>
      </c>
    </row>
    <row r="35" ht="34.5">
      <c r="A35" s="616" t="s">
        <v>213</v>
      </c>
      <c r="B35" s="616" t="s">
        <v>214</v>
      </c>
      <c r="C35" s="616" t="s">
        <v>252</v>
      </c>
      <c r="D35" s="616" t="s">
        <v>216</v>
      </c>
      <c r="E35" s="616" t="s">
        <v>217</v>
      </c>
      <c r="F35" s="617" t="s">
        <v>218</v>
      </c>
      <c r="G35" s="616" t="s">
        <v>219</v>
      </c>
      <c r="H35" s="617"/>
      <c r="I35" s="617"/>
      <c r="J35" s="617" t="s">
        <v>253</v>
      </c>
      <c r="K35" s="618"/>
      <c r="L35" s="616"/>
      <c r="M35" s="616"/>
      <c r="N35" s="617"/>
      <c r="O35" s="617"/>
      <c r="P35" s="617"/>
      <c r="Q35" s="617"/>
      <c r="R35" s="619"/>
      <c r="S35" s="617"/>
      <c r="T35" s="616" t="s">
        <v>221</v>
      </c>
    </row>
    <row r="36" ht="34.5">
      <c r="A36" s="616" t="s">
        <v>213</v>
      </c>
      <c r="B36" s="616" t="s">
        <v>214</v>
      </c>
      <c r="C36" s="616" t="s">
        <v>252</v>
      </c>
      <c r="D36" s="616" t="s">
        <v>216</v>
      </c>
      <c r="E36" s="616" t="s">
        <v>217</v>
      </c>
      <c r="F36" s="617" t="s">
        <v>218</v>
      </c>
      <c r="G36" s="616" t="s">
        <v>219</v>
      </c>
      <c r="H36" s="617"/>
      <c r="I36" s="617"/>
      <c r="J36" s="617" t="s">
        <v>254</v>
      </c>
      <c r="K36" s="618"/>
      <c r="L36" s="616"/>
      <c r="M36" s="616"/>
      <c r="N36" s="617"/>
      <c r="O36" s="617"/>
      <c r="P36" s="617"/>
      <c r="Q36" s="617"/>
      <c r="R36" s="619"/>
      <c r="S36" s="617"/>
      <c r="T36" s="616" t="s">
        <v>221</v>
      </c>
    </row>
    <row r="37" ht="34.5">
      <c r="A37" s="616" t="s">
        <v>213</v>
      </c>
      <c r="B37" s="616" t="s">
        <v>214</v>
      </c>
      <c r="C37" s="616" t="s">
        <v>252</v>
      </c>
      <c r="D37" s="616" t="s">
        <v>216</v>
      </c>
      <c r="E37" s="616" t="s">
        <v>217</v>
      </c>
      <c r="F37" s="617" t="s">
        <v>218</v>
      </c>
      <c r="G37" s="616" t="s">
        <v>219</v>
      </c>
      <c r="H37" s="617"/>
      <c r="I37" s="617"/>
      <c r="J37" s="617" t="s">
        <v>255</v>
      </c>
      <c r="K37" s="618"/>
      <c r="L37" s="616"/>
      <c r="M37" s="616"/>
      <c r="N37" s="617"/>
      <c r="O37" s="617"/>
      <c r="P37" s="617"/>
      <c r="Q37" s="617"/>
      <c r="R37" s="619"/>
      <c r="S37" s="617"/>
      <c r="T37" s="616" t="s">
        <v>221</v>
      </c>
    </row>
    <row r="38" ht="34.5">
      <c r="A38" s="616" t="s">
        <v>213</v>
      </c>
      <c r="B38" s="616" t="s">
        <v>214</v>
      </c>
      <c r="C38" s="616" t="s">
        <v>252</v>
      </c>
      <c r="D38" s="616" t="s">
        <v>216</v>
      </c>
      <c r="E38" s="616" t="s">
        <v>217</v>
      </c>
      <c r="F38" s="617" t="s">
        <v>218</v>
      </c>
      <c r="G38" s="616" t="s">
        <v>219</v>
      </c>
      <c r="H38" s="617"/>
      <c r="I38" s="617"/>
      <c r="J38" s="617" t="s">
        <v>256</v>
      </c>
      <c r="K38" s="618"/>
      <c r="L38" s="616"/>
      <c r="M38" s="616"/>
      <c r="N38" s="617"/>
      <c r="O38" s="617"/>
      <c r="P38" s="617"/>
      <c r="Q38" s="617"/>
      <c r="R38" s="619"/>
      <c r="S38" s="617"/>
      <c r="T38" s="616" t="s">
        <v>221</v>
      </c>
    </row>
    <row r="39" ht="34.5">
      <c r="A39" s="616" t="s">
        <v>213</v>
      </c>
      <c r="B39" s="616" t="s">
        <v>214</v>
      </c>
      <c r="C39" s="616" t="s">
        <v>252</v>
      </c>
      <c r="D39" s="616" t="s">
        <v>216</v>
      </c>
      <c r="E39" s="616" t="s">
        <v>217</v>
      </c>
      <c r="F39" s="617" t="s">
        <v>218</v>
      </c>
      <c r="G39" s="616" t="s">
        <v>219</v>
      </c>
      <c r="H39" s="617"/>
      <c r="I39" s="617"/>
      <c r="J39" s="617" t="s">
        <v>257</v>
      </c>
      <c r="K39" s="618"/>
      <c r="L39" s="616"/>
      <c r="M39" s="616"/>
      <c r="N39" s="617"/>
      <c r="O39" s="617"/>
      <c r="P39" s="617"/>
      <c r="Q39" s="617"/>
      <c r="R39" s="619"/>
      <c r="S39" s="617"/>
      <c r="T39" s="616" t="s">
        <v>221</v>
      </c>
    </row>
    <row r="40" ht="34.5">
      <c r="A40" s="616" t="s">
        <v>213</v>
      </c>
      <c r="B40" s="616" t="s">
        <v>214</v>
      </c>
      <c r="C40" s="616" t="s">
        <v>252</v>
      </c>
      <c r="D40" s="616" t="s">
        <v>216</v>
      </c>
      <c r="E40" s="616" t="s">
        <v>217</v>
      </c>
      <c r="F40" s="617" t="s">
        <v>218</v>
      </c>
      <c r="G40" s="616" t="s">
        <v>219</v>
      </c>
      <c r="H40" s="617"/>
      <c r="I40" s="617"/>
      <c r="J40" s="617" t="s">
        <v>258</v>
      </c>
      <c r="K40" s="618"/>
      <c r="L40" s="616"/>
      <c r="M40" s="616"/>
      <c r="N40" s="617"/>
      <c r="O40" s="617"/>
      <c r="P40" s="617"/>
      <c r="Q40" s="617"/>
      <c r="R40" s="619"/>
      <c r="S40" s="617"/>
      <c r="T40" s="616" t="s">
        <v>221</v>
      </c>
    </row>
    <row r="41" ht="34.5">
      <c r="A41" s="616" t="s">
        <v>213</v>
      </c>
      <c r="B41" s="616" t="s">
        <v>214</v>
      </c>
      <c r="C41" s="616" t="s">
        <v>252</v>
      </c>
      <c r="D41" s="616" t="s">
        <v>216</v>
      </c>
      <c r="E41" s="616" t="s">
        <v>217</v>
      </c>
      <c r="F41" s="617" t="s">
        <v>218</v>
      </c>
      <c r="G41" s="616" t="s">
        <v>219</v>
      </c>
      <c r="H41" s="617"/>
      <c r="I41" s="617"/>
      <c r="J41" s="617" t="s">
        <v>259</v>
      </c>
      <c r="K41" s="618"/>
      <c r="L41" s="616"/>
      <c r="M41" s="616"/>
      <c r="N41" s="617"/>
      <c r="O41" s="617"/>
      <c r="P41" s="617"/>
      <c r="Q41" s="617"/>
      <c r="R41" s="619"/>
      <c r="S41" s="617"/>
      <c r="T41" s="616" t="s">
        <v>221</v>
      </c>
    </row>
    <row r="42" ht="34.5">
      <c r="A42" s="616" t="s">
        <v>213</v>
      </c>
      <c r="B42" s="616" t="s">
        <v>214</v>
      </c>
      <c r="C42" s="616" t="s">
        <v>252</v>
      </c>
      <c r="D42" s="616" t="s">
        <v>216</v>
      </c>
      <c r="E42" s="616" t="s">
        <v>217</v>
      </c>
      <c r="F42" s="617" t="s">
        <v>218</v>
      </c>
      <c r="G42" s="616" t="s">
        <v>219</v>
      </c>
      <c r="H42" s="617"/>
      <c r="I42" s="617"/>
      <c r="J42" s="617" t="s">
        <v>260</v>
      </c>
      <c r="K42" s="618"/>
      <c r="L42" s="616"/>
      <c r="M42" s="616"/>
      <c r="N42" s="617"/>
      <c r="O42" s="617"/>
      <c r="P42" s="617"/>
      <c r="Q42" s="617"/>
      <c r="R42" s="619"/>
      <c r="S42" s="617"/>
      <c r="T42" s="616" t="s">
        <v>221</v>
      </c>
    </row>
    <row r="43" ht="34.5">
      <c r="A43" s="616" t="s">
        <v>213</v>
      </c>
      <c r="B43" s="616" t="s">
        <v>214</v>
      </c>
      <c r="C43" s="616" t="s">
        <v>252</v>
      </c>
      <c r="D43" s="616" t="s">
        <v>216</v>
      </c>
      <c r="E43" s="616" t="s">
        <v>217</v>
      </c>
      <c r="F43" s="617" t="s">
        <v>218</v>
      </c>
      <c r="G43" s="616" t="s">
        <v>219</v>
      </c>
      <c r="H43" s="617"/>
      <c r="I43" s="617"/>
      <c r="J43" s="617" t="s">
        <v>261</v>
      </c>
      <c r="K43" s="618"/>
      <c r="L43" s="616"/>
      <c r="M43" s="616"/>
      <c r="N43" s="617"/>
      <c r="O43" s="617"/>
      <c r="P43" s="617"/>
      <c r="Q43" s="617"/>
      <c r="R43" s="619"/>
      <c r="S43" s="617"/>
      <c r="T43" s="616" t="s">
        <v>221</v>
      </c>
    </row>
    <row r="44" ht="34.5">
      <c r="A44" s="616" t="s">
        <v>213</v>
      </c>
      <c r="B44" s="616" t="s">
        <v>214</v>
      </c>
      <c r="C44" s="616" t="s">
        <v>252</v>
      </c>
      <c r="D44" s="616" t="s">
        <v>216</v>
      </c>
      <c r="E44" s="616" t="s">
        <v>217</v>
      </c>
      <c r="F44" s="617" t="s">
        <v>218</v>
      </c>
      <c r="G44" s="616" t="s">
        <v>219</v>
      </c>
      <c r="H44" s="617"/>
      <c r="I44" s="617"/>
      <c r="J44" s="617" t="s">
        <v>262</v>
      </c>
      <c r="K44" s="618"/>
      <c r="L44" s="616"/>
      <c r="M44" s="616"/>
      <c r="N44" s="617"/>
      <c r="O44" s="617"/>
      <c r="P44" s="617"/>
      <c r="Q44" s="617"/>
      <c r="R44" s="619"/>
      <c r="S44" s="617"/>
      <c r="T44" s="616" t="s">
        <v>221</v>
      </c>
    </row>
    <row r="45" ht="34.5">
      <c r="A45" s="616" t="s">
        <v>213</v>
      </c>
      <c r="B45" s="616" t="s">
        <v>214</v>
      </c>
      <c r="C45" s="616" t="s">
        <v>252</v>
      </c>
      <c r="D45" s="616" t="s">
        <v>216</v>
      </c>
      <c r="E45" s="616" t="s">
        <v>217</v>
      </c>
      <c r="F45" s="617" t="s">
        <v>218</v>
      </c>
      <c r="G45" s="616" t="s">
        <v>219</v>
      </c>
      <c r="H45" s="617"/>
      <c r="I45" s="617"/>
      <c r="J45" s="617" t="s">
        <v>263</v>
      </c>
      <c r="K45" s="618"/>
      <c r="L45" s="616"/>
      <c r="M45" s="616"/>
      <c r="N45" s="617"/>
      <c r="O45" s="617"/>
      <c r="P45" s="617"/>
      <c r="Q45" s="617"/>
      <c r="R45" s="619"/>
      <c r="S45" s="617"/>
      <c r="T45" s="616" t="s">
        <v>221</v>
      </c>
    </row>
    <row r="46" ht="34.5">
      <c r="A46" s="616" t="s">
        <v>213</v>
      </c>
      <c r="B46" s="616" t="s">
        <v>214</v>
      </c>
      <c r="C46" s="616" t="s">
        <v>252</v>
      </c>
      <c r="D46" s="616" t="s">
        <v>216</v>
      </c>
      <c r="E46" s="616" t="s">
        <v>217</v>
      </c>
      <c r="F46" s="617" t="s">
        <v>218</v>
      </c>
      <c r="G46" s="616" t="s">
        <v>219</v>
      </c>
      <c r="H46" s="617"/>
      <c r="I46" s="617"/>
      <c r="J46" s="617" t="s">
        <v>264</v>
      </c>
      <c r="K46" s="618"/>
      <c r="L46" s="616"/>
      <c r="M46" s="616"/>
      <c r="N46" s="617"/>
      <c r="O46" s="617"/>
      <c r="P46" s="617"/>
      <c r="Q46" s="617"/>
      <c r="R46" s="619"/>
      <c r="S46" s="617"/>
      <c r="T46" s="616" t="s">
        <v>221</v>
      </c>
    </row>
    <row r="47" ht="34.5">
      <c r="A47" s="616" t="s">
        <v>213</v>
      </c>
      <c r="B47" s="616" t="s">
        <v>214</v>
      </c>
      <c r="C47" s="616" t="s">
        <v>265</v>
      </c>
      <c r="D47" s="616" t="s">
        <v>216</v>
      </c>
      <c r="E47" s="616" t="s">
        <v>217</v>
      </c>
      <c r="F47" s="617" t="s">
        <v>218</v>
      </c>
      <c r="G47" s="616" t="s">
        <v>219</v>
      </c>
      <c r="H47" s="617"/>
      <c r="I47" s="617"/>
      <c r="J47" s="617" t="s">
        <v>266</v>
      </c>
      <c r="K47" s="618"/>
      <c r="L47" s="616"/>
      <c r="M47" s="616"/>
      <c r="N47" s="617"/>
      <c r="O47" s="617"/>
      <c r="P47" s="617"/>
      <c r="Q47" s="617"/>
      <c r="R47" s="619"/>
      <c r="S47" s="617"/>
      <c r="T47" s="616" t="s">
        <v>221</v>
      </c>
    </row>
    <row r="48" ht="34.5">
      <c r="A48" s="616" t="s">
        <v>213</v>
      </c>
      <c r="B48" s="616" t="s">
        <v>214</v>
      </c>
      <c r="C48" s="616" t="s">
        <v>265</v>
      </c>
      <c r="D48" s="616" t="s">
        <v>216</v>
      </c>
      <c r="E48" s="616" t="s">
        <v>217</v>
      </c>
      <c r="F48" s="617" t="s">
        <v>218</v>
      </c>
      <c r="G48" s="616" t="s">
        <v>219</v>
      </c>
      <c r="H48" s="617"/>
      <c r="I48" s="617"/>
      <c r="J48" s="617" t="s">
        <v>267</v>
      </c>
      <c r="K48" s="618"/>
      <c r="L48" s="616"/>
      <c r="M48" s="616"/>
      <c r="N48" s="617"/>
      <c r="O48" s="617"/>
      <c r="P48" s="617"/>
      <c r="Q48" s="617"/>
      <c r="R48" s="619"/>
      <c r="S48" s="617"/>
      <c r="T48" s="616" t="s">
        <v>221</v>
      </c>
    </row>
    <row r="49" ht="34.5">
      <c r="A49" s="616" t="s">
        <v>213</v>
      </c>
      <c r="B49" s="616" t="s">
        <v>214</v>
      </c>
      <c r="C49" s="616" t="s">
        <v>265</v>
      </c>
      <c r="D49" s="616" t="s">
        <v>216</v>
      </c>
      <c r="E49" s="616" t="s">
        <v>217</v>
      </c>
      <c r="F49" s="617" t="s">
        <v>218</v>
      </c>
      <c r="G49" s="616" t="s">
        <v>219</v>
      </c>
      <c r="H49" s="617"/>
      <c r="I49" s="617"/>
      <c r="J49" s="617" t="s">
        <v>268</v>
      </c>
      <c r="K49" s="618"/>
      <c r="L49" s="616"/>
      <c r="M49" s="616"/>
      <c r="N49" s="617"/>
      <c r="O49" s="617"/>
      <c r="P49" s="617"/>
      <c r="Q49" s="617"/>
      <c r="R49" s="619"/>
      <c r="S49" s="617"/>
      <c r="T49" s="616" t="s">
        <v>221</v>
      </c>
    </row>
    <row r="50" ht="34.5">
      <c r="A50" s="616" t="s">
        <v>213</v>
      </c>
      <c r="B50" s="616" t="s">
        <v>214</v>
      </c>
      <c r="C50" s="616" t="s">
        <v>265</v>
      </c>
      <c r="D50" s="616" t="s">
        <v>216</v>
      </c>
      <c r="E50" s="616" t="s">
        <v>217</v>
      </c>
      <c r="F50" s="617" t="s">
        <v>218</v>
      </c>
      <c r="G50" s="616" t="s">
        <v>219</v>
      </c>
      <c r="H50" s="617"/>
      <c r="I50" s="617"/>
      <c r="J50" s="617" t="s">
        <v>269</v>
      </c>
      <c r="K50" s="618"/>
      <c r="L50" s="616"/>
      <c r="M50" s="616"/>
      <c r="N50" s="617"/>
      <c r="O50" s="617"/>
      <c r="P50" s="617"/>
      <c r="Q50" s="617"/>
      <c r="R50" s="619"/>
      <c r="S50" s="617"/>
      <c r="T50" s="616" t="s">
        <v>221</v>
      </c>
    </row>
    <row r="51" ht="34.5">
      <c r="A51" s="616" t="s">
        <v>213</v>
      </c>
      <c r="B51" s="616" t="s">
        <v>214</v>
      </c>
      <c r="C51" s="616" t="s">
        <v>265</v>
      </c>
      <c r="D51" s="616" t="s">
        <v>216</v>
      </c>
      <c r="E51" s="616" t="s">
        <v>217</v>
      </c>
      <c r="F51" s="617" t="s">
        <v>218</v>
      </c>
      <c r="G51" s="616" t="s">
        <v>219</v>
      </c>
      <c r="H51" s="617"/>
      <c r="I51" s="617"/>
      <c r="J51" s="617" t="s">
        <v>270</v>
      </c>
      <c r="K51" s="618"/>
      <c r="L51" s="616"/>
      <c r="M51" s="616"/>
      <c r="N51" s="617"/>
      <c r="O51" s="617"/>
      <c r="P51" s="617"/>
      <c r="Q51" s="617"/>
      <c r="R51" s="619"/>
      <c r="S51" s="617"/>
      <c r="T51" s="616" t="s">
        <v>221</v>
      </c>
    </row>
    <row r="52" ht="34.5">
      <c r="A52" s="616" t="s">
        <v>213</v>
      </c>
      <c r="B52" s="616" t="s">
        <v>214</v>
      </c>
      <c r="C52" s="616" t="s">
        <v>265</v>
      </c>
      <c r="D52" s="616" t="s">
        <v>216</v>
      </c>
      <c r="E52" s="616" t="s">
        <v>217</v>
      </c>
      <c r="F52" s="617" t="s">
        <v>218</v>
      </c>
      <c r="G52" s="616" t="s">
        <v>219</v>
      </c>
      <c r="H52" s="617"/>
      <c r="I52" s="617"/>
      <c r="J52" s="617" t="s">
        <v>271</v>
      </c>
      <c r="K52" s="618"/>
      <c r="L52" s="616"/>
      <c r="M52" s="616"/>
      <c r="N52" s="617"/>
      <c r="O52" s="617"/>
      <c r="P52" s="617"/>
      <c r="Q52" s="617"/>
      <c r="R52" s="619"/>
      <c r="S52" s="617"/>
      <c r="T52" s="616" t="s">
        <v>221</v>
      </c>
    </row>
    <row r="53" ht="34.5">
      <c r="A53" s="616" t="s">
        <v>213</v>
      </c>
      <c r="B53" s="616" t="s">
        <v>214</v>
      </c>
      <c r="C53" s="616" t="s">
        <v>265</v>
      </c>
      <c r="D53" s="616" t="s">
        <v>216</v>
      </c>
      <c r="E53" s="616" t="s">
        <v>217</v>
      </c>
      <c r="F53" s="617" t="s">
        <v>218</v>
      </c>
      <c r="G53" s="616" t="s">
        <v>219</v>
      </c>
      <c r="H53" s="617"/>
      <c r="I53" s="617"/>
      <c r="J53" s="617" t="s">
        <v>272</v>
      </c>
      <c r="K53" s="618"/>
      <c r="L53" s="616"/>
      <c r="M53" s="616"/>
      <c r="N53" s="617"/>
      <c r="O53" s="617"/>
      <c r="P53" s="617"/>
      <c r="Q53" s="617"/>
      <c r="R53" s="619"/>
      <c r="S53" s="617"/>
      <c r="T53" s="616" t="s">
        <v>221</v>
      </c>
    </row>
    <row r="54" ht="34.5">
      <c r="A54" s="616" t="s">
        <v>213</v>
      </c>
      <c r="B54" s="616" t="s">
        <v>214</v>
      </c>
      <c r="C54" s="616" t="s">
        <v>265</v>
      </c>
      <c r="D54" s="616" t="s">
        <v>216</v>
      </c>
      <c r="E54" s="616" t="s">
        <v>217</v>
      </c>
      <c r="F54" s="617" t="s">
        <v>218</v>
      </c>
      <c r="G54" s="616" t="s">
        <v>219</v>
      </c>
      <c r="H54" s="617"/>
      <c r="I54" s="617"/>
      <c r="J54" s="617" t="s">
        <v>273</v>
      </c>
      <c r="K54" s="618"/>
      <c r="L54" s="616"/>
      <c r="M54" s="616"/>
      <c r="N54" s="617"/>
      <c r="O54" s="617"/>
      <c r="P54" s="617"/>
      <c r="Q54" s="617"/>
      <c r="R54" s="619"/>
      <c r="S54" s="617"/>
      <c r="T54" s="616" t="s">
        <v>221</v>
      </c>
    </row>
    <row r="55" ht="34.5">
      <c r="A55" s="616" t="s">
        <v>213</v>
      </c>
      <c r="B55" s="616" t="s">
        <v>214</v>
      </c>
      <c r="C55" s="616" t="s">
        <v>265</v>
      </c>
      <c r="D55" s="616" t="s">
        <v>216</v>
      </c>
      <c r="E55" s="616" t="s">
        <v>217</v>
      </c>
      <c r="F55" s="617" t="s">
        <v>218</v>
      </c>
      <c r="G55" s="616" t="s">
        <v>219</v>
      </c>
      <c r="H55" s="617"/>
      <c r="I55" s="617"/>
      <c r="J55" s="617" t="s">
        <v>274</v>
      </c>
      <c r="K55" s="618"/>
      <c r="L55" s="616"/>
      <c r="M55" s="616"/>
      <c r="N55" s="617"/>
      <c r="O55" s="617"/>
      <c r="P55" s="617"/>
      <c r="Q55" s="617"/>
      <c r="R55" s="619"/>
      <c r="S55" s="617"/>
      <c r="T55" s="616" t="s">
        <v>221</v>
      </c>
    </row>
    <row r="56" ht="34.5">
      <c r="A56" s="616" t="s">
        <v>213</v>
      </c>
      <c r="B56" s="616" t="s">
        <v>214</v>
      </c>
      <c r="C56" s="616" t="s">
        <v>265</v>
      </c>
      <c r="D56" s="616" t="s">
        <v>216</v>
      </c>
      <c r="E56" s="616" t="s">
        <v>217</v>
      </c>
      <c r="F56" s="617" t="s">
        <v>218</v>
      </c>
      <c r="G56" s="616" t="s">
        <v>219</v>
      </c>
      <c r="H56" s="617"/>
      <c r="I56" s="617"/>
      <c r="J56" s="617" t="s">
        <v>275</v>
      </c>
      <c r="K56" s="618"/>
      <c r="L56" s="616"/>
      <c r="M56" s="616"/>
      <c r="N56" s="617"/>
      <c r="O56" s="617"/>
      <c r="P56" s="617"/>
      <c r="Q56" s="617"/>
      <c r="R56" s="619"/>
      <c r="S56" s="617"/>
      <c r="T56" s="616" t="s">
        <v>221</v>
      </c>
    </row>
    <row r="57" ht="34.5">
      <c r="A57" s="616" t="s">
        <v>213</v>
      </c>
      <c r="B57" s="616" t="s">
        <v>214</v>
      </c>
      <c r="C57" s="616" t="s">
        <v>265</v>
      </c>
      <c r="D57" s="616" t="s">
        <v>216</v>
      </c>
      <c r="E57" s="616" t="s">
        <v>217</v>
      </c>
      <c r="F57" s="617" t="s">
        <v>218</v>
      </c>
      <c r="G57" s="616" t="s">
        <v>219</v>
      </c>
      <c r="H57" s="617"/>
      <c r="I57" s="617"/>
      <c r="J57" s="617" t="s">
        <v>276</v>
      </c>
      <c r="K57" s="618"/>
      <c r="L57" s="616"/>
      <c r="M57" s="616"/>
      <c r="N57" s="617"/>
      <c r="O57" s="617"/>
      <c r="P57" s="617"/>
      <c r="Q57" s="617"/>
      <c r="R57" s="619"/>
      <c r="S57" s="617"/>
      <c r="T57" s="616" t="s">
        <v>221</v>
      </c>
    </row>
    <row r="58" ht="34.5">
      <c r="A58" s="616" t="s">
        <v>213</v>
      </c>
      <c r="B58" s="616" t="s">
        <v>214</v>
      </c>
      <c r="C58" s="616" t="s">
        <v>265</v>
      </c>
      <c r="D58" s="616" t="s">
        <v>216</v>
      </c>
      <c r="E58" s="616" t="s">
        <v>217</v>
      </c>
      <c r="F58" s="617" t="s">
        <v>218</v>
      </c>
      <c r="G58" s="616" t="s">
        <v>219</v>
      </c>
      <c r="H58" s="617"/>
      <c r="I58" s="617"/>
      <c r="J58" s="617" t="s">
        <v>277</v>
      </c>
      <c r="K58" s="618"/>
      <c r="L58" s="616"/>
      <c r="M58" s="616"/>
      <c r="N58" s="617"/>
      <c r="O58" s="617"/>
      <c r="P58" s="617"/>
      <c r="Q58" s="617"/>
      <c r="R58" s="619"/>
      <c r="S58" s="617"/>
      <c r="T58" s="616" t="s">
        <v>221</v>
      </c>
    </row>
    <row r="59" ht="34.5">
      <c r="A59" s="616" t="s">
        <v>213</v>
      </c>
      <c r="B59" s="616" t="s">
        <v>214</v>
      </c>
      <c r="C59" s="616" t="s">
        <v>278</v>
      </c>
      <c r="D59" s="616" t="s">
        <v>216</v>
      </c>
      <c r="E59" s="616" t="s">
        <v>217</v>
      </c>
      <c r="F59" s="617" t="s">
        <v>218</v>
      </c>
      <c r="G59" s="616" t="s">
        <v>219</v>
      </c>
      <c r="H59" s="617"/>
      <c r="I59" s="617"/>
      <c r="J59" s="617" t="s">
        <v>279</v>
      </c>
      <c r="K59" s="618"/>
      <c r="L59" s="616"/>
      <c r="M59" s="616"/>
      <c r="N59" s="617"/>
      <c r="O59" s="617"/>
      <c r="P59" s="617"/>
      <c r="Q59" s="617"/>
      <c r="R59" s="619"/>
      <c r="S59" s="617"/>
      <c r="T59" s="616" t="s">
        <v>221</v>
      </c>
    </row>
    <row r="60" ht="34.5">
      <c r="A60" s="616" t="s">
        <v>213</v>
      </c>
      <c r="B60" s="616" t="s">
        <v>214</v>
      </c>
      <c r="C60" s="616" t="s">
        <v>278</v>
      </c>
      <c r="D60" s="616" t="s">
        <v>216</v>
      </c>
      <c r="E60" s="616" t="s">
        <v>217</v>
      </c>
      <c r="F60" s="617" t="s">
        <v>218</v>
      </c>
      <c r="G60" s="616" t="s">
        <v>219</v>
      </c>
      <c r="H60" s="617"/>
      <c r="I60" s="617"/>
      <c r="J60" s="617" t="s">
        <v>280</v>
      </c>
      <c r="K60" s="618"/>
      <c r="L60" s="616"/>
      <c r="M60" s="616"/>
      <c r="N60" s="617"/>
      <c r="O60" s="617"/>
      <c r="P60" s="617"/>
      <c r="Q60" s="617"/>
      <c r="R60" s="619"/>
      <c r="S60" s="617"/>
      <c r="T60" s="616" t="s">
        <v>221</v>
      </c>
    </row>
    <row r="61" ht="34.5">
      <c r="A61" s="616" t="s">
        <v>213</v>
      </c>
      <c r="B61" s="616" t="s">
        <v>214</v>
      </c>
      <c r="C61" s="616" t="s">
        <v>278</v>
      </c>
      <c r="D61" s="616" t="s">
        <v>216</v>
      </c>
      <c r="E61" s="616" t="s">
        <v>217</v>
      </c>
      <c r="F61" s="617" t="s">
        <v>218</v>
      </c>
      <c r="G61" s="616" t="s">
        <v>219</v>
      </c>
      <c r="H61" s="617"/>
      <c r="I61" s="617"/>
      <c r="J61" s="617" t="s">
        <v>281</v>
      </c>
      <c r="K61" s="618"/>
      <c r="L61" s="616"/>
      <c r="M61" s="616"/>
      <c r="N61" s="617"/>
      <c r="O61" s="617"/>
      <c r="P61" s="617"/>
      <c r="Q61" s="617"/>
      <c r="R61" s="619"/>
      <c r="S61" s="617"/>
      <c r="T61" s="616" t="s">
        <v>221</v>
      </c>
    </row>
    <row r="62" ht="34.5">
      <c r="A62" s="616" t="s">
        <v>213</v>
      </c>
      <c r="B62" s="616" t="s">
        <v>214</v>
      </c>
      <c r="C62" s="616" t="s">
        <v>278</v>
      </c>
      <c r="D62" s="616" t="s">
        <v>216</v>
      </c>
      <c r="E62" s="616" t="s">
        <v>217</v>
      </c>
      <c r="F62" s="617" t="s">
        <v>218</v>
      </c>
      <c r="G62" s="616" t="s">
        <v>219</v>
      </c>
      <c r="H62" s="617"/>
      <c r="I62" s="617"/>
      <c r="J62" s="617" t="s">
        <v>282</v>
      </c>
      <c r="K62" s="618"/>
      <c r="L62" s="616"/>
      <c r="M62" s="616"/>
      <c r="N62" s="617"/>
      <c r="O62" s="617"/>
      <c r="P62" s="617"/>
      <c r="Q62" s="617"/>
      <c r="R62" s="619"/>
      <c r="S62" s="617"/>
      <c r="T62" s="616" t="s">
        <v>221</v>
      </c>
    </row>
    <row r="63" ht="34.5">
      <c r="A63" s="616" t="s">
        <v>213</v>
      </c>
      <c r="B63" s="616" t="s">
        <v>214</v>
      </c>
      <c r="C63" s="616" t="s">
        <v>278</v>
      </c>
      <c r="D63" s="616" t="s">
        <v>216</v>
      </c>
      <c r="E63" s="616" t="s">
        <v>217</v>
      </c>
      <c r="F63" s="617" t="s">
        <v>218</v>
      </c>
      <c r="G63" s="616" t="s">
        <v>219</v>
      </c>
      <c r="H63" s="617"/>
      <c r="I63" s="617"/>
      <c r="J63" s="617" t="s">
        <v>283</v>
      </c>
      <c r="K63" s="618"/>
      <c r="L63" s="616"/>
      <c r="M63" s="616"/>
      <c r="N63" s="617"/>
      <c r="O63" s="617"/>
      <c r="P63" s="617"/>
      <c r="Q63" s="617"/>
      <c r="R63" s="619"/>
      <c r="S63" s="617"/>
      <c r="T63" s="616" t="s">
        <v>221</v>
      </c>
    </row>
    <row r="64" ht="34.5">
      <c r="A64" s="616" t="s">
        <v>213</v>
      </c>
      <c r="B64" s="616" t="s">
        <v>214</v>
      </c>
      <c r="C64" s="616" t="s">
        <v>278</v>
      </c>
      <c r="D64" s="616" t="s">
        <v>216</v>
      </c>
      <c r="E64" s="616" t="s">
        <v>217</v>
      </c>
      <c r="F64" s="617" t="s">
        <v>218</v>
      </c>
      <c r="G64" s="616" t="s">
        <v>219</v>
      </c>
      <c r="H64" s="617"/>
      <c r="I64" s="617"/>
      <c r="J64" s="617" t="s">
        <v>284</v>
      </c>
      <c r="K64" s="618"/>
      <c r="L64" s="616"/>
      <c r="M64" s="616"/>
      <c r="N64" s="617"/>
      <c r="O64" s="617"/>
      <c r="P64" s="617"/>
      <c r="Q64" s="617"/>
      <c r="R64" s="619"/>
      <c r="S64" s="617"/>
      <c r="T64" s="616" t="s">
        <v>221</v>
      </c>
    </row>
    <row r="65" ht="34.5">
      <c r="A65" s="616" t="s">
        <v>213</v>
      </c>
      <c r="B65" s="616" t="s">
        <v>214</v>
      </c>
      <c r="C65" s="616" t="s">
        <v>278</v>
      </c>
      <c r="D65" s="616" t="s">
        <v>216</v>
      </c>
      <c r="E65" s="616" t="s">
        <v>217</v>
      </c>
      <c r="F65" s="617" t="s">
        <v>218</v>
      </c>
      <c r="G65" s="616" t="s">
        <v>219</v>
      </c>
      <c r="H65" s="617"/>
      <c r="I65" s="617"/>
      <c r="J65" s="617" t="s">
        <v>285</v>
      </c>
      <c r="K65" s="618"/>
      <c r="L65" s="616"/>
      <c r="M65" s="616"/>
      <c r="N65" s="617"/>
      <c r="O65" s="617"/>
      <c r="P65" s="617"/>
      <c r="Q65" s="617"/>
      <c r="R65" s="619"/>
      <c r="S65" s="617"/>
      <c r="T65" s="616" t="s">
        <v>221</v>
      </c>
    </row>
    <row r="66" ht="34.5">
      <c r="A66" s="616" t="s">
        <v>213</v>
      </c>
      <c r="B66" s="616" t="s">
        <v>214</v>
      </c>
      <c r="C66" s="616" t="s">
        <v>278</v>
      </c>
      <c r="D66" s="616" t="s">
        <v>216</v>
      </c>
      <c r="E66" s="616" t="s">
        <v>217</v>
      </c>
      <c r="F66" s="617" t="s">
        <v>218</v>
      </c>
      <c r="G66" s="616" t="s">
        <v>219</v>
      </c>
      <c r="H66" s="617"/>
      <c r="I66" s="617"/>
      <c r="J66" s="617" t="s">
        <v>286</v>
      </c>
      <c r="K66" s="618"/>
      <c r="L66" s="616"/>
      <c r="M66" s="616"/>
      <c r="N66" s="617"/>
      <c r="O66" s="617"/>
      <c r="P66" s="617"/>
      <c r="Q66" s="617"/>
      <c r="R66" s="619"/>
      <c r="S66" s="617"/>
      <c r="T66" s="616" t="s">
        <v>221</v>
      </c>
    </row>
    <row r="67" ht="34.5">
      <c r="A67" s="616" t="s">
        <v>213</v>
      </c>
      <c r="B67" s="616" t="s">
        <v>214</v>
      </c>
      <c r="C67" s="616" t="s">
        <v>278</v>
      </c>
      <c r="D67" s="616" t="s">
        <v>216</v>
      </c>
      <c r="E67" s="616" t="s">
        <v>217</v>
      </c>
      <c r="F67" s="617" t="s">
        <v>218</v>
      </c>
      <c r="G67" s="616" t="s">
        <v>219</v>
      </c>
      <c r="H67" s="617"/>
      <c r="I67" s="617"/>
      <c r="J67" s="617" t="s">
        <v>287</v>
      </c>
      <c r="K67" s="618"/>
      <c r="L67" s="616"/>
      <c r="M67" s="616"/>
      <c r="N67" s="617"/>
      <c r="O67" s="617"/>
      <c r="P67" s="617"/>
      <c r="Q67" s="617"/>
      <c r="R67" s="619"/>
      <c r="S67" s="617"/>
      <c r="T67" s="616" t="s">
        <v>221</v>
      </c>
    </row>
    <row r="68" ht="34.5">
      <c r="A68" s="616" t="s">
        <v>213</v>
      </c>
      <c r="B68" s="616" t="s">
        <v>214</v>
      </c>
      <c r="C68" s="616" t="s">
        <v>278</v>
      </c>
      <c r="D68" s="616" t="s">
        <v>216</v>
      </c>
      <c r="E68" s="616" t="s">
        <v>217</v>
      </c>
      <c r="F68" s="617" t="s">
        <v>218</v>
      </c>
      <c r="G68" s="616" t="s">
        <v>219</v>
      </c>
      <c r="H68" s="617"/>
      <c r="I68" s="617"/>
      <c r="J68" s="617" t="s">
        <v>288</v>
      </c>
      <c r="K68" s="618"/>
      <c r="L68" s="616"/>
      <c r="M68" s="616"/>
      <c r="N68" s="617"/>
      <c r="O68" s="617"/>
      <c r="P68" s="617"/>
      <c r="Q68" s="617"/>
      <c r="R68" s="619"/>
      <c r="S68" s="617"/>
      <c r="T68" s="616" t="s">
        <v>221</v>
      </c>
    </row>
    <row r="69" ht="34.5">
      <c r="A69" s="616" t="s">
        <v>213</v>
      </c>
      <c r="B69" s="616" t="s">
        <v>214</v>
      </c>
      <c r="C69" s="616" t="s">
        <v>278</v>
      </c>
      <c r="D69" s="616" t="s">
        <v>216</v>
      </c>
      <c r="E69" s="616" t="s">
        <v>217</v>
      </c>
      <c r="F69" s="617" t="s">
        <v>218</v>
      </c>
      <c r="G69" s="616" t="s">
        <v>219</v>
      </c>
      <c r="H69" s="617"/>
      <c r="I69" s="617"/>
      <c r="J69" s="617" t="s">
        <v>289</v>
      </c>
      <c r="K69" s="618"/>
      <c r="L69" s="616"/>
      <c r="M69" s="616"/>
      <c r="N69" s="617"/>
      <c r="O69" s="617"/>
      <c r="P69" s="617"/>
      <c r="Q69" s="617"/>
      <c r="R69" s="619"/>
      <c r="S69" s="617"/>
      <c r="T69" s="616" t="s">
        <v>221</v>
      </c>
    </row>
    <row r="70" ht="34.5">
      <c r="A70" s="616" t="s">
        <v>213</v>
      </c>
      <c r="B70" s="616" t="s">
        <v>214</v>
      </c>
      <c r="C70" s="616" t="s">
        <v>278</v>
      </c>
      <c r="D70" s="616" t="s">
        <v>216</v>
      </c>
      <c r="E70" s="616" t="s">
        <v>217</v>
      </c>
      <c r="F70" s="617" t="s">
        <v>218</v>
      </c>
      <c r="G70" s="616" t="s">
        <v>219</v>
      </c>
      <c r="H70" s="617"/>
      <c r="I70" s="617"/>
      <c r="J70" s="617" t="s">
        <v>290</v>
      </c>
      <c r="K70" s="618"/>
      <c r="L70" s="616"/>
      <c r="M70" s="616"/>
      <c r="N70" s="617"/>
      <c r="O70" s="617"/>
      <c r="P70" s="617"/>
      <c r="Q70" s="617"/>
      <c r="R70" s="619"/>
      <c r="S70" s="617"/>
      <c r="T70" s="616" t="s">
        <v>221</v>
      </c>
    </row>
    <row r="71" ht="34.5">
      <c r="A71" s="616" t="s">
        <v>213</v>
      </c>
      <c r="B71" s="616" t="s">
        <v>214</v>
      </c>
      <c r="C71" s="616" t="s">
        <v>278</v>
      </c>
      <c r="D71" s="616" t="s">
        <v>216</v>
      </c>
      <c r="E71" s="616" t="s">
        <v>217</v>
      </c>
      <c r="F71" s="617" t="s">
        <v>218</v>
      </c>
      <c r="G71" s="616" t="s">
        <v>219</v>
      </c>
      <c r="H71" s="617"/>
      <c r="I71" s="617"/>
      <c r="J71" s="617" t="s">
        <v>291</v>
      </c>
      <c r="K71" s="618"/>
      <c r="L71" s="616"/>
      <c r="M71" s="616"/>
      <c r="N71" s="617"/>
      <c r="O71" s="617"/>
      <c r="P71" s="617"/>
      <c r="Q71" s="617"/>
      <c r="R71" s="619"/>
      <c r="S71" s="617"/>
      <c r="T71" s="616" t="s">
        <v>221</v>
      </c>
    </row>
    <row r="72" ht="34.5">
      <c r="A72" s="616" t="s">
        <v>213</v>
      </c>
      <c r="B72" s="616" t="s">
        <v>214</v>
      </c>
      <c r="C72" s="616" t="s">
        <v>278</v>
      </c>
      <c r="D72" s="616" t="s">
        <v>216</v>
      </c>
      <c r="E72" s="616" t="s">
        <v>217</v>
      </c>
      <c r="F72" s="617" t="s">
        <v>218</v>
      </c>
      <c r="G72" s="616" t="s">
        <v>219</v>
      </c>
      <c r="H72" s="617"/>
      <c r="I72" s="617"/>
      <c r="J72" s="617" t="s">
        <v>292</v>
      </c>
      <c r="K72" s="618"/>
      <c r="L72" s="616"/>
      <c r="M72" s="616"/>
      <c r="N72" s="617"/>
      <c r="O72" s="617"/>
      <c r="P72" s="617"/>
      <c r="Q72" s="617"/>
      <c r="R72" s="619"/>
      <c r="S72" s="617"/>
      <c r="T72" s="616" t="s">
        <v>221</v>
      </c>
    </row>
    <row r="73" ht="34.5">
      <c r="A73" s="616" t="s">
        <v>213</v>
      </c>
      <c r="B73" s="616" t="s">
        <v>214</v>
      </c>
      <c r="C73" s="616" t="s">
        <v>293</v>
      </c>
      <c r="D73" s="616" t="s">
        <v>216</v>
      </c>
      <c r="E73" s="616" t="s">
        <v>217</v>
      </c>
      <c r="F73" s="617" t="s">
        <v>218</v>
      </c>
      <c r="G73" s="616" t="s">
        <v>219</v>
      </c>
      <c r="H73" s="617"/>
      <c r="I73" s="617"/>
      <c r="J73" s="617" t="s">
        <v>294</v>
      </c>
      <c r="K73" s="618"/>
      <c r="L73" s="616"/>
      <c r="M73" s="616"/>
      <c r="N73" s="617"/>
      <c r="O73" s="617"/>
      <c r="P73" s="617"/>
      <c r="Q73" s="617"/>
      <c r="R73" s="619"/>
      <c r="S73" s="617"/>
      <c r="T73" s="616" t="s">
        <v>221</v>
      </c>
    </row>
    <row r="74" ht="34.5">
      <c r="A74" s="616" t="s">
        <v>213</v>
      </c>
      <c r="B74" s="616" t="s">
        <v>214</v>
      </c>
      <c r="C74" s="616" t="s">
        <v>293</v>
      </c>
      <c r="D74" s="616" t="s">
        <v>216</v>
      </c>
      <c r="E74" s="616" t="s">
        <v>217</v>
      </c>
      <c r="F74" s="617" t="s">
        <v>218</v>
      </c>
      <c r="G74" s="616" t="s">
        <v>219</v>
      </c>
      <c r="H74" s="617"/>
      <c r="I74" s="617"/>
      <c r="J74" s="617" t="s">
        <v>295</v>
      </c>
      <c r="K74" s="618"/>
      <c r="L74" s="616"/>
      <c r="M74" s="616"/>
      <c r="N74" s="617"/>
      <c r="O74" s="617"/>
      <c r="P74" s="617"/>
      <c r="Q74" s="617"/>
      <c r="R74" s="619"/>
      <c r="S74" s="617"/>
      <c r="T74" s="616" t="s">
        <v>221</v>
      </c>
    </row>
    <row r="75" ht="34.5">
      <c r="A75" s="616" t="s">
        <v>213</v>
      </c>
      <c r="B75" s="616" t="s">
        <v>214</v>
      </c>
      <c r="C75" s="616" t="s">
        <v>293</v>
      </c>
      <c r="D75" s="616" t="s">
        <v>216</v>
      </c>
      <c r="E75" s="616" t="s">
        <v>217</v>
      </c>
      <c r="F75" s="617" t="s">
        <v>218</v>
      </c>
      <c r="G75" s="616" t="s">
        <v>219</v>
      </c>
      <c r="H75" s="617"/>
      <c r="I75" s="617"/>
      <c r="J75" s="617" t="s">
        <v>296</v>
      </c>
      <c r="K75" s="618"/>
      <c r="L75" s="616"/>
      <c r="M75" s="616"/>
      <c r="N75" s="617"/>
      <c r="O75" s="617"/>
      <c r="P75" s="617"/>
      <c r="Q75" s="617"/>
      <c r="R75" s="619"/>
      <c r="S75" s="617"/>
      <c r="T75" s="616" t="s">
        <v>221</v>
      </c>
    </row>
    <row r="76" ht="34.5">
      <c r="A76" s="616" t="s">
        <v>213</v>
      </c>
      <c r="B76" s="616" t="s">
        <v>214</v>
      </c>
      <c r="C76" s="616" t="s">
        <v>293</v>
      </c>
      <c r="D76" s="616" t="s">
        <v>216</v>
      </c>
      <c r="E76" s="616" t="s">
        <v>217</v>
      </c>
      <c r="F76" s="617" t="s">
        <v>218</v>
      </c>
      <c r="G76" s="616" t="s">
        <v>219</v>
      </c>
      <c r="H76" s="617"/>
      <c r="I76" s="617"/>
      <c r="J76" s="617" t="s">
        <v>297</v>
      </c>
      <c r="K76" s="618"/>
      <c r="L76" s="616"/>
      <c r="M76" s="616"/>
      <c r="N76" s="617"/>
      <c r="O76" s="617"/>
      <c r="P76" s="617"/>
      <c r="Q76" s="617"/>
      <c r="R76" s="619"/>
      <c r="S76" s="617"/>
      <c r="T76" s="616" t="s">
        <v>221</v>
      </c>
    </row>
    <row r="77" ht="34.5">
      <c r="A77" s="616" t="s">
        <v>213</v>
      </c>
      <c r="B77" s="616" t="s">
        <v>214</v>
      </c>
      <c r="C77" s="616" t="s">
        <v>293</v>
      </c>
      <c r="D77" s="616" t="s">
        <v>216</v>
      </c>
      <c r="E77" s="616" t="s">
        <v>217</v>
      </c>
      <c r="F77" s="617" t="s">
        <v>218</v>
      </c>
      <c r="G77" s="616" t="s">
        <v>219</v>
      </c>
      <c r="H77" s="617"/>
      <c r="I77" s="617"/>
      <c r="J77" s="617" t="s">
        <v>298</v>
      </c>
      <c r="K77" s="618"/>
      <c r="L77" s="616"/>
      <c r="M77" s="616"/>
      <c r="N77" s="617"/>
      <c r="O77" s="617"/>
      <c r="P77" s="617"/>
      <c r="Q77" s="617"/>
      <c r="R77" s="619"/>
      <c r="S77" s="617"/>
      <c r="T77" s="616" t="s">
        <v>221</v>
      </c>
    </row>
    <row r="78" ht="34.5">
      <c r="A78" s="616" t="s">
        <v>213</v>
      </c>
      <c r="B78" s="616" t="s">
        <v>214</v>
      </c>
      <c r="C78" s="616" t="s">
        <v>293</v>
      </c>
      <c r="D78" s="616" t="s">
        <v>216</v>
      </c>
      <c r="E78" s="616" t="s">
        <v>217</v>
      </c>
      <c r="F78" s="617" t="s">
        <v>218</v>
      </c>
      <c r="G78" s="616" t="s">
        <v>219</v>
      </c>
      <c r="H78" s="617"/>
      <c r="I78" s="617"/>
      <c r="J78" s="617" t="s">
        <v>299</v>
      </c>
      <c r="K78" s="618"/>
      <c r="L78" s="616"/>
      <c r="M78" s="616"/>
      <c r="N78" s="617"/>
      <c r="O78" s="617"/>
      <c r="P78" s="617"/>
      <c r="Q78" s="617"/>
      <c r="R78" s="619"/>
      <c r="S78" s="617"/>
      <c r="T78" s="616" t="s">
        <v>221</v>
      </c>
    </row>
    <row r="79" ht="34.5">
      <c r="A79" s="616" t="s">
        <v>213</v>
      </c>
      <c r="B79" s="616" t="s">
        <v>214</v>
      </c>
      <c r="C79" s="616" t="s">
        <v>293</v>
      </c>
      <c r="D79" s="616" t="s">
        <v>216</v>
      </c>
      <c r="E79" s="616" t="s">
        <v>217</v>
      </c>
      <c r="F79" s="617" t="s">
        <v>218</v>
      </c>
      <c r="G79" s="616" t="s">
        <v>219</v>
      </c>
      <c r="H79" s="617"/>
      <c r="I79" s="617"/>
      <c r="J79" s="617" t="s">
        <v>300</v>
      </c>
      <c r="K79" s="618"/>
      <c r="L79" s="616"/>
      <c r="M79" s="616"/>
      <c r="N79" s="617"/>
      <c r="O79" s="617"/>
      <c r="P79" s="617"/>
      <c r="Q79" s="617"/>
      <c r="R79" s="619"/>
      <c r="S79" s="617"/>
      <c r="T79" s="616" t="s">
        <v>221</v>
      </c>
    </row>
    <row r="80" ht="34.5">
      <c r="A80" s="616" t="s">
        <v>213</v>
      </c>
      <c r="B80" s="616" t="s">
        <v>214</v>
      </c>
      <c r="C80" s="616" t="s">
        <v>293</v>
      </c>
      <c r="D80" s="616" t="s">
        <v>216</v>
      </c>
      <c r="E80" s="616" t="s">
        <v>217</v>
      </c>
      <c r="F80" s="617" t="s">
        <v>218</v>
      </c>
      <c r="G80" s="616" t="s">
        <v>219</v>
      </c>
      <c r="H80" s="617"/>
      <c r="I80" s="617"/>
      <c r="J80" s="617" t="s">
        <v>301</v>
      </c>
      <c r="K80" s="618"/>
      <c r="L80" s="616"/>
      <c r="M80" s="616"/>
      <c r="N80" s="617"/>
      <c r="O80" s="617"/>
      <c r="P80" s="617"/>
      <c r="Q80" s="617"/>
      <c r="R80" s="619"/>
      <c r="S80" s="617"/>
      <c r="T80" s="616" t="s">
        <v>221</v>
      </c>
    </row>
    <row r="81" ht="34.5">
      <c r="A81" s="616" t="s">
        <v>213</v>
      </c>
      <c r="B81" s="616" t="s">
        <v>214</v>
      </c>
      <c r="C81" s="616" t="s">
        <v>293</v>
      </c>
      <c r="D81" s="616" t="s">
        <v>216</v>
      </c>
      <c r="E81" s="616" t="s">
        <v>217</v>
      </c>
      <c r="F81" s="617" t="s">
        <v>218</v>
      </c>
      <c r="G81" s="616" t="s">
        <v>219</v>
      </c>
      <c r="H81" s="617"/>
      <c r="I81" s="617"/>
      <c r="J81" s="617" t="s">
        <v>302</v>
      </c>
      <c r="K81" s="618"/>
      <c r="L81" s="616"/>
      <c r="M81" s="616"/>
      <c r="N81" s="617"/>
      <c r="O81" s="617"/>
      <c r="P81" s="617"/>
      <c r="Q81" s="617"/>
      <c r="R81" s="619"/>
      <c r="S81" s="617"/>
      <c r="T81" s="616" t="s">
        <v>221</v>
      </c>
    </row>
    <row r="82" ht="34.5">
      <c r="A82" s="616" t="s">
        <v>213</v>
      </c>
      <c r="B82" s="616" t="s">
        <v>214</v>
      </c>
      <c r="C82" s="616" t="s">
        <v>293</v>
      </c>
      <c r="D82" s="616" t="s">
        <v>216</v>
      </c>
      <c r="E82" s="616" t="s">
        <v>217</v>
      </c>
      <c r="F82" s="617" t="s">
        <v>218</v>
      </c>
      <c r="G82" s="616" t="s">
        <v>219</v>
      </c>
      <c r="H82" s="617"/>
      <c r="I82" s="617"/>
      <c r="J82" s="617" t="s">
        <v>303</v>
      </c>
      <c r="K82" s="618"/>
      <c r="L82" s="616"/>
      <c r="M82" s="616"/>
      <c r="N82" s="617"/>
      <c r="O82" s="617"/>
      <c r="P82" s="617"/>
      <c r="Q82" s="617"/>
      <c r="R82" s="619"/>
      <c r="S82" s="617"/>
      <c r="T82" s="616" t="s">
        <v>221</v>
      </c>
    </row>
    <row r="83" ht="34.5">
      <c r="A83" s="616" t="s">
        <v>213</v>
      </c>
      <c r="B83" s="616" t="s">
        <v>214</v>
      </c>
      <c r="C83" s="616" t="s">
        <v>293</v>
      </c>
      <c r="D83" s="616" t="s">
        <v>216</v>
      </c>
      <c r="E83" s="616" t="s">
        <v>217</v>
      </c>
      <c r="F83" s="617" t="s">
        <v>218</v>
      </c>
      <c r="G83" s="616" t="s">
        <v>219</v>
      </c>
      <c r="H83" s="617"/>
      <c r="I83" s="617"/>
      <c r="J83" s="617" t="s">
        <v>304</v>
      </c>
      <c r="K83" s="618"/>
      <c r="L83" s="616"/>
      <c r="M83" s="616"/>
      <c r="N83" s="617"/>
      <c r="O83" s="617"/>
      <c r="P83" s="617"/>
      <c r="Q83" s="617"/>
      <c r="R83" s="619"/>
      <c r="S83" s="617"/>
      <c r="T83" s="616" t="s">
        <v>221</v>
      </c>
    </row>
    <row r="84" ht="34.5">
      <c r="A84" s="616" t="s">
        <v>213</v>
      </c>
      <c r="B84" s="616" t="s">
        <v>214</v>
      </c>
      <c r="C84" s="616" t="s">
        <v>293</v>
      </c>
      <c r="D84" s="616" t="s">
        <v>216</v>
      </c>
      <c r="E84" s="616" t="s">
        <v>217</v>
      </c>
      <c r="F84" s="617" t="s">
        <v>218</v>
      </c>
      <c r="G84" s="616" t="s">
        <v>219</v>
      </c>
      <c r="H84" s="617"/>
      <c r="I84" s="617"/>
      <c r="J84" s="617" t="s">
        <v>305</v>
      </c>
      <c r="K84" s="618"/>
      <c r="L84" s="616"/>
      <c r="M84" s="616"/>
      <c r="N84" s="617"/>
      <c r="O84" s="617"/>
      <c r="P84" s="617"/>
      <c r="Q84" s="617"/>
      <c r="R84" s="619"/>
      <c r="S84" s="617"/>
      <c r="T84" s="616" t="s">
        <v>221</v>
      </c>
    </row>
    <row r="85" ht="34.5">
      <c r="A85" s="616" t="s">
        <v>213</v>
      </c>
      <c r="B85" s="616" t="s">
        <v>214</v>
      </c>
      <c r="C85" s="616" t="s">
        <v>293</v>
      </c>
      <c r="D85" s="616" t="s">
        <v>216</v>
      </c>
      <c r="E85" s="616" t="s">
        <v>217</v>
      </c>
      <c r="F85" s="617" t="s">
        <v>218</v>
      </c>
      <c r="G85" s="616" t="s">
        <v>219</v>
      </c>
      <c r="H85" s="617"/>
      <c r="I85" s="617"/>
      <c r="J85" s="617" t="s">
        <v>306</v>
      </c>
      <c r="K85" s="618"/>
      <c r="L85" s="616"/>
      <c r="M85" s="616"/>
      <c r="N85" s="617"/>
      <c r="O85" s="617"/>
      <c r="P85" s="617"/>
      <c r="Q85" s="617"/>
      <c r="R85" s="619"/>
      <c r="S85" s="617"/>
      <c r="T85" s="616" t="s">
        <v>221</v>
      </c>
    </row>
    <row r="86" ht="34.5">
      <c r="A86" s="616" t="s">
        <v>213</v>
      </c>
      <c r="B86" s="616" t="s">
        <v>214</v>
      </c>
      <c r="C86" s="616" t="s">
        <v>293</v>
      </c>
      <c r="D86" s="616" t="s">
        <v>216</v>
      </c>
      <c r="E86" s="616" t="s">
        <v>217</v>
      </c>
      <c r="F86" s="617" t="s">
        <v>218</v>
      </c>
      <c r="G86" s="616" t="s">
        <v>219</v>
      </c>
      <c r="H86" s="617"/>
      <c r="I86" s="617"/>
      <c r="J86" s="617" t="s">
        <v>307</v>
      </c>
      <c r="K86" s="618"/>
      <c r="L86" s="616"/>
      <c r="M86" s="616"/>
      <c r="N86" s="617"/>
      <c r="O86" s="617"/>
      <c r="P86" s="617"/>
      <c r="Q86" s="617"/>
      <c r="R86" s="619"/>
      <c r="S86" s="617"/>
      <c r="T86" s="616" t="s">
        <v>221</v>
      </c>
    </row>
    <row r="87" ht="34.5">
      <c r="A87" s="616" t="s">
        <v>213</v>
      </c>
      <c r="B87" s="616" t="s">
        <v>214</v>
      </c>
      <c r="C87" s="616" t="s">
        <v>308</v>
      </c>
      <c r="D87" s="616" t="s">
        <v>216</v>
      </c>
      <c r="E87" s="616" t="s">
        <v>217</v>
      </c>
      <c r="F87" s="617" t="s">
        <v>218</v>
      </c>
      <c r="G87" s="616" t="s">
        <v>219</v>
      </c>
      <c r="H87" s="617"/>
      <c r="I87" s="617"/>
      <c r="J87" s="617" t="s">
        <v>309</v>
      </c>
      <c r="K87" s="618"/>
      <c r="L87" s="616"/>
      <c r="M87" s="616"/>
      <c r="N87" s="617"/>
      <c r="O87" s="617"/>
      <c r="P87" s="617"/>
      <c r="Q87" s="617"/>
      <c r="R87" s="619"/>
      <c r="S87" s="617"/>
      <c r="T87" s="616" t="s">
        <v>221</v>
      </c>
    </row>
    <row r="88" ht="34.5">
      <c r="A88" s="616" t="s">
        <v>213</v>
      </c>
      <c r="B88" s="616" t="s">
        <v>214</v>
      </c>
      <c r="C88" s="616" t="s">
        <v>308</v>
      </c>
      <c r="D88" s="616" t="s">
        <v>216</v>
      </c>
      <c r="E88" s="616" t="s">
        <v>217</v>
      </c>
      <c r="F88" s="617" t="s">
        <v>218</v>
      </c>
      <c r="G88" s="616" t="s">
        <v>219</v>
      </c>
      <c r="H88" s="617"/>
      <c r="I88" s="617"/>
      <c r="J88" s="617" t="s">
        <v>310</v>
      </c>
      <c r="K88" s="618"/>
      <c r="L88" s="616"/>
      <c r="M88" s="616"/>
      <c r="N88" s="617"/>
      <c r="O88" s="617"/>
      <c r="P88" s="617"/>
      <c r="Q88" s="617"/>
      <c r="R88" s="619"/>
      <c r="S88" s="617"/>
      <c r="T88" s="616" t="s">
        <v>221</v>
      </c>
    </row>
    <row r="89" ht="34.5">
      <c r="A89" s="616" t="s">
        <v>213</v>
      </c>
      <c r="B89" s="616" t="s">
        <v>214</v>
      </c>
      <c r="C89" s="616" t="s">
        <v>308</v>
      </c>
      <c r="D89" s="616" t="s">
        <v>216</v>
      </c>
      <c r="E89" s="616" t="s">
        <v>217</v>
      </c>
      <c r="F89" s="617" t="s">
        <v>218</v>
      </c>
      <c r="G89" s="616" t="s">
        <v>219</v>
      </c>
      <c r="H89" s="617"/>
      <c r="I89" s="617"/>
      <c r="J89" s="617" t="s">
        <v>311</v>
      </c>
      <c r="K89" s="618"/>
      <c r="L89" s="616"/>
      <c r="M89" s="616"/>
      <c r="N89" s="617"/>
      <c r="O89" s="617"/>
      <c r="P89" s="617"/>
      <c r="Q89" s="617"/>
      <c r="R89" s="619"/>
      <c r="S89" s="617"/>
      <c r="T89" s="616" t="s">
        <v>221</v>
      </c>
    </row>
    <row r="90" ht="34.5">
      <c r="A90" s="616" t="s">
        <v>213</v>
      </c>
      <c r="B90" s="616" t="s">
        <v>214</v>
      </c>
      <c r="C90" s="616" t="s">
        <v>308</v>
      </c>
      <c r="D90" s="616" t="s">
        <v>216</v>
      </c>
      <c r="E90" s="616" t="s">
        <v>217</v>
      </c>
      <c r="F90" s="617" t="s">
        <v>218</v>
      </c>
      <c r="G90" s="616" t="s">
        <v>219</v>
      </c>
      <c r="H90" s="617"/>
      <c r="I90" s="617"/>
      <c r="J90" s="617" t="s">
        <v>312</v>
      </c>
      <c r="K90" s="618"/>
      <c r="L90" s="616"/>
      <c r="M90" s="616"/>
      <c r="N90" s="617"/>
      <c r="O90" s="617"/>
      <c r="P90" s="617"/>
      <c r="Q90" s="617"/>
      <c r="R90" s="619"/>
      <c r="S90" s="617"/>
      <c r="T90" s="616" t="s">
        <v>221</v>
      </c>
    </row>
    <row r="91" ht="34.5">
      <c r="A91" s="616" t="s">
        <v>213</v>
      </c>
      <c r="B91" s="616" t="s">
        <v>214</v>
      </c>
      <c r="C91" s="616" t="s">
        <v>308</v>
      </c>
      <c r="D91" s="616" t="s">
        <v>216</v>
      </c>
      <c r="E91" s="616" t="s">
        <v>217</v>
      </c>
      <c r="F91" s="617" t="s">
        <v>218</v>
      </c>
      <c r="G91" s="616" t="s">
        <v>219</v>
      </c>
      <c r="H91" s="617"/>
      <c r="I91" s="617"/>
      <c r="J91" s="617" t="s">
        <v>313</v>
      </c>
      <c r="K91" s="618"/>
      <c r="L91" s="616"/>
      <c r="M91" s="616"/>
      <c r="N91" s="617"/>
      <c r="O91" s="617"/>
      <c r="P91" s="617"/>
      <c r="Q91" s="617"/>
      <c r="R91" s="619"/>
      <c r="S91" s="617"/>
      <c r="T91" s="616" t="s">
        <v>221</v>
      </c>
    </row>
    <row r="92" ht="34.5">
      <c r="A92" s="616" t="s">
        <v>213</v>
      </c>
      <c r="B92" s="616" t="s">
        <v>214</v>
      </c>
      <c r="C92" s="616" t="s">
        <v>308</v>
      </c>
      <c r="D92" s="616" t="s">
        <v>216</v>
      </c>
      <c r="E92" s="616" t="s">
        <v>217</v>
      </c>
      <c r="F92" s="617" t="s">
        <v>218</v>
      </c>
      <c r="G92" s="616" t="s">
        <v>219</v>
      </c>
      <c r="H92" s="617"/>
      <c r="I92" s="617"/>
      <c r="J92" s="617" t="s">
        <v>314</v>
      </c>
      <c r="K92" s="618"/>
      <c r="L92" s="616"/>
      <c r="M92" s="616"/>
      <c r="N92" s="617"/>
      <c r="O92" s="617"/>
      <c r="P92" s="617"/>
      <c r="Q92" s="617"/>
      <c r="R92" s="619"/>
      <c r="S92" s="617"/>
      <c r="T92" s="616" t="s">
        <v>221</v>
      </c>
    </row>
    <row r="93" ht="34.5">
      <c r="A93" s="616" t="s">
        <v>213</v>
      </c>
      <c r="B93" s="616" t="s">
        <v>214</v>
      </c>
      <c r="C93" s="616" t="s">
        <v>308</v>
      </c>
      <c r="D93" s="616" t="s">
        <v>216</v>
      </c>
      <c r="E93" s="616" t="s">
        <v>217</v>
      </c>
      <c r="F93" s="617" t="s">
        <v>218</v>
      </c>
      <c r="G93" s="616" t="s">
        <v>219</v>
      </c>
      <c r="H93" s="617"/>
      <c r="I93" s="617"/>
      <c r="J93" s="617" t="s">
        <v>315</v>
      </c>
      <c r="K93" s="618"/>
      <c r="L93" s="616"/>
      <c r="M93" s="616"/>
      <c r="N93" s="617"/>
      <c r="O93" s="617"/>
      <c r="P93" s="617"/>
      <c r="Q93" s="617"/>
      <c r="R93" s="619"/>
      <c r="S93" s="617"/>
      <c r="T93" s="616" t="s">
        <v>221</v>
      </c>
    </row>
    <row r="94" ht="34.5">
      <c r="A94" s="616" t="s">
        <v>213</v>
      </c>
      <c r="B94" s="616" t="s">
        <v>214</v>
      </c>
      <c r="C94" s="616" t="s">
        <v>308</v>
      </c>
      <c r="D94" s="616" t="s">
        <v>216</v>
      </c>
      <c r="E94" s="616" t="s">
        <v>217</v>
      </c>
      <c r="F94" s="617" t="s">
        <v>218</v>
      </c>
      <c r="G94" s="616" t="s">
        <v>219</v>
      </c>
      <c r="H94" s="617"/>
      <c r="I94" s="617"/>
      <c r="J94" s="617" t="s">
        <v>316</v>
      </c>
      <c r="K94" s="618"/>
      <c r="L94" s="616"/>
      <c r="M94" s="616"/>
      <c r="N94" s="617"/>
      <c r="O94" s="617"/>
      <c r="P94" s="617"/>
      <c r="Q94" s="617"/>
      <c r="R94" s="619"/>
      <c r="S94" s="617"/>
      <c r="T94" s="616" t="s">
        <v>221</v>
      </c>
    </row>
    <row r="95" ht="34.5">
      <c r="A95" s="616" t="s">
        <v>213</v>
      </c>
      <c r="B95" s="616" t="s">
        <v>214</v>
      </c>
      <c r="C95" s="616" t="s">
        <v>308</v>
      </c>
      <c r="D95" s="616" t="s">
        <v>216</v>
      </c>
      <c r="E95" s="616" t="s">
        <v>217</v>
      </c>
      <c r="F95" s="617" t="s">
        <v>218</v>
      </c>
      <c r="G95" s="616" t="s">
        <v>219</v>
      </c>
      <c r="H95" s="617"/>
      <c r="I95" s="617"/>
      <c r="J95" s="617" t="s">
        <v>317</v>
      </c>
      <c r="K95" s="618"/>
      <c r="L95" s="616"/>
      <c r="M95" s="616"/>
      <c r="N95" s="617"/>
      <c r="O95" s="617"/>
      <c r="P95" s="617"/>
      <c r="Q95" s="617"/>
      <c r="R95" s="619"/>
      <c r="S95" s="617"/>
      <c r="T95" s="616" t="s">
        <v>221</v>
      </c>
    </row>
    <row r="96" ht="34.5">
      <c r="A96" s="616" t="s">
        <v>213</v>
      </c>
      <c r="B96" s="616" t="s">
        <v>214</v>
      </c>
      <c r="C96" s="616" t="s">
        <v>308</v>
      </c>
      <c r="D96" s="616" t="s">
        <v>216</v>
      </c>
      <c r="E96" s="616" t="s">
        <v>217</v>
      </c>
      <c r="F96" s="617" t="s">
        <v>218</v>
      </c>
      <c r="G96" s="616" t="s">
        <v>219</v>
      </c>
      <c r="H96" s="617"/>
      <c r="I96" s="617"/>
      <c r="J96" s="617" t="s">
        <v>318</v>
      </c>
      <c r="K96" s="618"/>
      <c r="L96" s="616"/>
      <c r="M96" s="616"/>
      <c r="N96" s="617"/>
      <c r="O96" s="617"/>
      <c r="P96" s="617"/>
      <c r="Q96" s="617"/>
      <c r="R96" s="619"/>
      <c r="S96" s="617"/>
      <c r="T96" s="616" t="s">
        <v>221</v>
      </c>
    </row>
    <row r="97" ht="34.5">
      <c r="A97" s="616" t="s">
        <v>213</v>
      </c>
      <c r="B97" s="616" t="s">
        <v>214</v>
      </c>
      <c r="C97" s="616" t="s">
        <v>308</v>
      </c>
      <c r="D97" s="616" t="s">
        <v>216</v>
      </c>
      <c r="E97" s="616" t="s">
        <v>217</v>
      </c>
      <c r="F97" s="617" t="s">
        <v>218</v>
      </c>
      <c r="G97" s="616" t="s">
        <v>219</v>
      </c>
      <c r="H97" s="617"/>
      <c r="I97" s="617"/>
      <c r="J97" s="617" t="s">
        <v>319</v>
      </c>
      <c r="K97" s="618"/>
      <c r="L97" s="616"/>
      <c r="M97" s="616"/>
      <c r="N97" s="617"/>
      <c r="O97" s="617"/>
      <c r="P97" s="617"/>
      <c r="Q97" s="617"/>
      <c r="R97" s="619"/>
      <c r="S97" s="617"/>
      <c r="T97" s="616" t="s">
        <v>221</v>
      </c>
    </row>
    <row r="98" ht="34.5">
      <c r="A98" s="616" t="s">
        <v>213</v>
      </c>
      <c r="B98" s="616" t="s">
        <v>214</v>
      </c>
      <c r="C98" s="616" t="s">
        <v>320</v>
      </c>
      <c r="D98" s="616" t="s">
        <v>216</v>
      </c>
      <c r="E98" s="616" t="s">
        <v>217</v>
      </c>
      <c r="F98" s="617" t="s">
        <v>218</v>
      </c>
      <c r="G98" s="616" t="s">
        <v>219</v>
      </c>
      <c r="H98" s="617"/>
      <c r="I98" s="617"/>
      <c r="J98" s="617" t="s">
        <v>321</v>
      </c>
      <c r="K98" s="618"/>
      <c r="L98" s="616"/>
      <c r="M98" s="616"/>
      <c r="N98" s="617"/>
      <c r="O98" s="617"/>
      <c r="P98" s="617"/>
      <c r="Q98" s="617"/>
      <c r="R98" s="619"/>
      <c r="S98" s="617"/>
      <c r="T98" s="616" t="s">
        <v>221</v>
      </c>
    </row>
    <row r="99" ht="34.5">
      <c r="A99" s="616" t="s">
        <v>213</v>
      </c>
      <c r="B99" s="616" t="s">
        <v>214</v>
      </c>
      <c r="C99" s="616" t="s">
        <v>320</v>
      </c>
      <c r="D99" s="616" t="s">
        <v>216</v>
      </c>
      <c r="E99" s="616" t="s">
        <v>217</v>
      </c>
      <c r="F99" s="617" t="s">
        <v>218</v>
      </c>
      <c r="G99" s="616" t="s">
        <v>219</v>
      </c>
      <c r="H99" s="617"/>
      <c r="I99" s="617"/>
      <c r="J99" s="617" t="s">
        <v>322</v>
      </c>
      <c r="K99" s="618"/>
      <c r="L99" s="616"/>
      <c r="M99" s="616"/>
      <c r="N99" s="617"/>
      <c r="O99" s="617"/>
      <c r="P99" s="617"/>
      <c r="Q99" s="617"/>
      <c r="R99" s="619"/>
      <c r="S99" s="617"/>
      <c r="T99" s="616" t="s">
        <v>221</v>
      </c>
    </row>
    <row r="100" ht="34.5">
      <c r="A100" s="616" t="s">
        <v>213</v>
      </c>
      <c r="B100" s="616" t="s">
        <v>214</v>
      </c>
      <c r="C100" s="616" t="s">
        <v>320</v>
      </c>
      <c r="D100" s="616" t="s">
        <v>216</v>
      </c>
      <c r="E100" s="616" t="s">
        <v>217</v>
      </c>
      <c r="F100" s="617" t="s">
        <v>218</v>
      </c>
      <c r="G100" s="616" t="s">
        <v>219</v>
      </c>
      <c r="H100" s="617"/>
      <c r="I100" s="617"/>
      <c r="J100" s="617" t="s">
        <v>323</v>
      </c>
      <c r="K100" s="618"/>
      <c r="L100" s="616"/>
      <c r="M100" s="616"/>
      <c r="N100" s="617"/>
      <c r="O100" s="617"/>
      <c r="P100" s="617"/>
      <c r="Q100" s="617"/>
      <c r="R100" s="619"/>
      <c r="S100" s="617"/>
      <c r="T100" s="616" t="s">
        <v>221</v>
      </c>
    </row>
    <row r="101" ht="34.5">
      <c r="A101" s="616" t="s">
        <v>213</v>
      </c>
      <c r="B101" s="616" t="s">
        <v>214</v>
      </c>
      <c r="C101" s="616" t="s">
        <v>320</v>
      </c>
      <c r="D101" s="616" t="s">
        <v>216</v>
      </c>
      <c r="E101" s="616" t="s">
        <v>217</v>
      </c>
      <c r="F101" s="617" t="s">
        <v>218</v>
      </c>
      <c r="G101" s="616" t="s">
        <v>219</v>
      </c>
      <c r="H101" s="617"/>
      <c r="I101" s="617"/>
      <c r="J101" s="617" t="s">
        <v>324</v>
      </c>
      <c r="K101" s="618"/>
      <c r="L101" s="616"/>
      <c r="M101" s="616"/>
      <c r="N101" s="617"/>
      <c r="O101" s="617"/>
      <c r="P101" s="617"/>
      <c r="Q101" s="617"/>
      <c r="R101" s="619"/>
      <c r="S101" s="617"/>
      <c r="T101" s="616" t="s">
        <v>221</v>
      </c>
    </row>
    <row r="102" ht="34.5">
      <c r="A102" s="616" t="s">
        <v>213</v>
      </c>
      <c r="B102" s="616" t="s">
        <v>214</v>
      </c>
      <c r="C102" s="616" t="s">
        <v>320</v>
      </c>
      <c r="D102" s="616" t="s">
        <v>216</v>
      </c>
      <c r="E102" s="616" t="s">
        <v>217</v>
      </c>
      <c r="F102" s="617" t="s">
        <v>218</v>
      </c>
      <c r="G102" s="616" t="s">
        <v>219</v>
      </c>
      <c r="H102" s="617"/>
      <c r="I102" s="617"/>
      <c r="J102" s="617" t="s">
        <v>325</v>
      </c>
      <c r="K102" s="618"/>
      <c r="L102" s="616"/>
      <c r="M102" s="616"/>
      <c r="N102" s="617"/>
      <c r="O102" s="617"/>
      <c r="P102" s="617"/>
      <c r="Q102" s="617"/>
      <c r="R102" s="619"/>
      <c r="S102" s="617"/>
      <c r="T102" s="616" t="s">
        <v>221</v>
      </c>
    </row>
    <row r="103" ht="34.5">
      <c r="A103" s="616" t="s">
        <v>213</v>
      </c>
      <c r="B103" s="616" t="s">
        <v>214</v>
      </c>
      <c r="C103" s="616" t="s">
        <v>320</v>
      </c>
      <c r="D103" s="616" t="s">
        <v>216</v>
      </c>
      <c r="E103" s="616" t="s">
        <v>217</v>
      </c>
      <c r="F103" s="617" t="s">
        <v>218</v>
      </c>
      <c r="G103" s="616" t="s">
        <v>219</v>
      </c>
      <c r="H103" s="617"/>
      <c r="I103" s="617"/>
      <c r="J103" s="617" t="s">
        <v>326</v>
      </c>
      <c r="K103" s="618"/>
      <c r="L103" s="616"/>
      <c r="M103" s="616"/>
      <c r="N103" s="617"/>
      <c r="O103" s="617"/>
      <c r="P103" s="617"/>
      <c r="Q103" s="617"/>
      <c r="R103" s="619"/>
      <c r="S103" s="617"/>
      <c r="T103" s="616" t="s">
        <v>221</v>
      </c>
    </row>
    <row r="104" ht="34.5">
      <c r="A104" s="616" t="s">
        <v>213</v>
      </c>
      <c r="B104" s="616" t="s">
        <v>214</v>
      </c>
      <c r="C104" s="616" t="s">
        <v>320</v>
      </c>
      <c r="D104" s="616" t="s">
        <v>216</v>
      </c>
      <c r="E104" s="616" t="s">
        <v>217</v>
      </c>
      <c r="F104" s="617" t="s">
        <v>218</v>
      </c>
      <c r="G104" s="616" t="s">
        <v>219</v>
      </c>
      <c r="H104" s="617"/>
      <c r="I104" s="617"/>
      <c r="J104" s="617" t="s">
        <v>327</v>
      </c>
      <c r="K104" s="618"/>
      <c r="L104" s="616"/>
      <c r="M104" s="616"/>
      <c r="N104" s="617"/>
      <c r="O104" s="617"/>
      <c r="P104" s="617"/>
      <c r="Q104" s="617"/>
      <c r="R104" s="619"/>
      <c r="S104" s="617"/>
      <c r="T104" s="616" t="s">
        <v>221</v>
      </c>
    </row>
    <row r="105" ht="34.5">
      <c r="A105" s="616" t="s">
        <v>213</v>
      </c>
      <c r="B105" s="616" t="s">
        <v>214</v>
      </c>
      <c r="C105" s="616" t="s">
        <v>320</v>
      </c>
      <c r="D105" s="616" t="s">
        <v>216</v>
      </c>
      <c r="E105" s="616" t="s">
        <v>217</v>
      </c>
      <c r="F105" s="617" t="s">
        <v>218</v>
      </c>
      <c r="G105" s="616" t="s">
        <v>219</v>
      </c>
      <c r="H105" s="617"/>
      <c r="I105" s="617"/>
      <c r="J105" s="617" t="s">
        <v>328</v>
      </c>
      <c r="K105" s="618"/>
      <c r="L105" s="616"/>
      <c r="M105" s="616"/>
      <c r="N105" s="617"/>
      <c r="O105" s="617"/>
      <c r="P105" s="617"/>
      <c r="Q105" s="617"/>
      <c r="R105" s="619"/>
      <c r="S105" s="617"/>
      <c r="T105" s="616" t="s">
        <v>221</v>
      </c>
    </row>
    <row r="106" ht="34.5">
      <c r="A106" s="616" t="s">
        <v>213</v>
      </c>
      <c r="B106" s="616" t="s">
        <v>214</v>
      </c>
      <c r="C106" s="616" t="s">
        <v>320</v>
      </c>
      <c r="D106" s="616" t="s">
        <v>216</v>
      </c>
      <c r="E106" s="616" t="s">
        <v>217</v>
      </c>
      <c r="F106" s="617" t="s">
        <v>218</v>
      </c>
      <c r="G106" s="616" t="s">
        <v>219</v>
      </c>
      <c r="H106" s="617"/>
      <c r="I106" s="617"/>
      <c r="J106" s="617" t="s">
        <v>329</v>
      </c>
      <c r="K106" s="618"/>
      <c r="L106" s="616"/>
      <c r="M106" s="616"/>
      <c r="N106" s="617"/>
      <c r="O106" s="617"/>
      <c r="P106" s="617"/>
      <c r="Q106" s="617"/>
      <c r="R106" s="619"/>
      <c r="S106" s="617"/>
      <c r="T106" s="616" t="s">
        <v>221</v>
      </c>
    </row>
    <row r="107" ht="34.5">
      <c r="A107" s="616" t="s">
        <v>213</v>
      </c>
      <c r="B107" s="616" t="s">
        <v>214</v>
      </c>
      <c r="C107" s="616" t="s">
        <v>320</v>
      </c>
      <c r="D107" s="616" t="s">
        <v>216</v>
      </c>
      <c r="E107" s="616" t="s">
        <v>217</v>
      </c>
      <c r="F107" s="617" t="s">
        <v>218</v>
      </c>
      <c r="G107" s="616" t="s">
        <v>219</v>
      </c>
      <c r="H107" s="617"/>
      <c r="I107" s="617"/>
      <c r="J107" s="617" t="s">
        <v>330</v>
      </c>
      <c r="K107" s="618"/>
      <c r="L107" s="616"/>
      <c r="M107" s="616"/>
      <c r="N107" s="617"/>
      <c r="O107" s="617"/>
      <c r="P107" s="617"/>
      <c r="Q107" s="617"/>
      <c r="R107" s="619"/>
      <c r="S107" s="617"/>
      <c r="T107" s="616" t="s">
        <v>221</v>
      </c>
    </row>
    <row r="108" ht="34.5">
      <c r="A108" s="616" t="s">
        <v>213</v>
      </c>
      <c r="B108" s="616" t="s">
        <v>214</v>
      </c>
      <c r="C108" s="616" t="s">
        <v>331</v>
      </c>
      <c r="D108" s="616" t="s">
        <v>216</v>
      </c>
      <c r="E108" s="616" t="s">
        <v>217</v>
      </c>
      <c r="F108" s="617" t="s">
        <v>218</v>
      </c>
      <c r="G108" s="616" t="s">
        <v>219</v>
      </c>
      <c r="H108" s="617"/>
      <c r="I108" s="617"/>
      <c r="J108" s="617" t="s">
        <v>332</v>
      </c>
      <c r="K108" s="618"/>
      <c r="L108" s="616"/>
      <c r="M108" s="616"/>
      <c r="N108" s="617"/>
      <c r="O108" s="617"/>
      <c r="P108" s="617"/>
      <c r="Q108" s="617"/>
      <c r="R108" s="619"/>
      <c r="S108" s="617"/>
      <c r="T108" s="616" t="s">
        <v>221</v>
      </c>
    </row>
    <row r="109" ht="34.5">
      <c r="A109" s="616" t="s">
        <v>213</v>
      </c>
      <c r="B109" s="616" t="s">
        <v>214</v>
      </c>
      <c r="C109" s="616" t="s">
        <v>331</v>
      </c>
      <c r="D109" s="616" t="s">
        <v>216</v>
      </c>
      <c r="E109" s="616" t="s">
        <v>217</v>
      </c>
      <c r="F109" s="617" t="s">
        <v>218</v>
      </c>
      <c r="G109" s="616" t="s">
        <v>219</v>
      </c>
      <c r="H109" s="617"/>
      <c r="I109" s="617"/>
      <c r="J109" s="617" t="s">
        <v>333</v>
      </c>
      <c r="K109" s="618"/>
      <c r="L109" s="616"/>
      <c r="M109" s="616"/>
      <c r="N109" s="617"/>
      <c r="O109" s="617"/>
      <c r="P109" s="617"/>
      <c r="Q109" s="617"/>
      <c r="R109" s="619"/>
      <c r="S109" s="617"/>
      <c r="T109" s="616" t="s">
        <v>221</v>
      </c>
    </row>
    <row r="110" ht="34.5">
      <c r="A110" s="616" t="s">
        <v>213</v>
      </c>
      <c r="B110" s="616" t="s">
        <v>214</v>
      </c>
      <c r="C110" s="616" t="s">
        <v>331</v>
      </c>
      <c r="D110" s="616" t="s">
        <v>216</v>
      </c>
      <c r="E110" s="616" t="s">
        <v>217</v>
      </c>
      <c r="F110" s="617" t="s">
        <v>218</v>
      </c>
      <c r="G110" s="616" t="s">
        <v>219</v>
      </c>
      <c r="H110" s="617"/>
      <c r="I110" s="617"/>
      <c r="J110" s="617" t="s">
        <v>334</v>
      </c>
      <c r="K110" s="618"/>
      <c r="L110" s="616"/>
      <c r="M110" s="616"/>
      <c r="N110" s="617"/>
      <c r="O110" s="617"/>
      <c r="P110" s="617"/>
      <c r="Q110" s="617"/>
      <c r="R110" s="619"/>
      <c r="S110" s="617"/>
      <c r="T110" s="616" t="s">
        <v>221</v>
      </c>
    </row>
    <row r="111" ht="34.5">
      <c r="A111" s="616" t="s">
        <v>213</v>
      </c>
      <c r="B111" s="616" t="s">
        <v>214</v>
      </c>
      <c r="C111" s="616" t="s">
        <v>331</v>
      </c>
      <c r="D111" s="616" t="s">
        <v>216</v>
      </c>
      <c r="E111" s="616" t="s">
        <v>217</v>
      </c>
      <c r="F111" s="617" t="s">
        <v>218</v>
      </c>
      <c r="G111" s="616" t="s">
        <v>219</v>
      </c>
      <c r="H111" s="617"/>
      <c r="I111" s="617"/>
      <c r="J111" s="617" t="s">
        <v>335</v>
      </c>
      <c r="K111" s="618"/>
      <c r="L111" s="616"/>
      <c r="M111" s="616"/>
      <c r="N111" s="617"/>
      <c r="O111" s="617"/>
      <c r="P111" s="617"/>
      <c r="Q111" s="617"/>
      <c r="R111" s="619"/>
      <c r="S111" s="617"/>
      <c r="T111" s="616" t="s">
        <v>221</v>
      </c>
    </row>
    <row r="112" ht="34.5">
      <c r="A112" s="616" t="s">
        <v>213</v>
      </c>
      <c r="B112" s="616" t="s">
        <v>214</v>
      </c>
      <c r="C112" s="616" t="s">
        <v>331</v>
      </c>
      <c r="D112" s="616" t="s">
        <v>216</v>
      </c>
      <c r="E112" s="616" t="s">
        <v>217</v>
      </c>
      <c r="F112" s="617" t="s">
        <v>218</v>
      </c>
      <c r="G112" s="616" t="s">
        <v>219</v>
      </c>
      <c r="H112" s="617"/>
      <c r="I112" s="617"/>
      <c r="J112" s="617" t="s">
        <v>336</v>
      </c>
      <c r="K112" s="618"/>
      <c r="L112" s="616"/>
      <c r="M112" s="616"/>
      <c r="N112" s="617"/>
      <c r="O112" s="617"/>
      <c r="P112" s="617"/>
      <c r="Q112" s="617"/>
      <c r="R112" s="619"/>
      <c r="S112" s="617"/>
      <c r="T112" s="616" t="s">
        <v>221</v>
      </c>
    </row>
    <row r="113" ht="34.5">
      <c r="A113" s="616" t="s">
        <v>213</v>
      </c>
      <c r="B113" s="616" t="s">
        <v>214</v>
      </c>
      <c r="C113" s="616" t="s">
        <v>331</v>
      </c>
      <c r="D113" s="616" t="s">
        <v>216</v>
      </c>
      <c r="E113" s="616" t="s">
        <v>217</v>
      </c>
      <c r="F113" s="617" t="s">
        <v>218</v>
      </c>
      <c r="G113" s="616" t="s">
        <v>219</v>
      </c>
      <c r="H113" s="617"/>
      <c r="I113" s="617"/>
      <c r="J113" s="617" t="s">
        <v>337</v>
      </c>
      <c r="K113" s="618"/>
      <c r="L113" s="616"/>
      <c r="M113" s="616"/>
      <c r="N113" s="617"/>
      <c r="O113" s="617"/>
      <c r="P113" s="617"/>
      <c r="Q113" s="617"/>
      <c r="R113" s="619"/>
      <c r="S113" s="617"/>
      <c r="T113" s="616" t="s">
        <v>221</v>
      </c>
    </row>
    <row r="114" ht="34.5">
      <c r="A114" s="616" t="s">
        <v>213</v>
      </c>
      <c r="B114" s="616" t="s">
        <v>214</v>
      </c>
      <c r="C114" s="616" t="s">
        <v>331</v>
      </c>
      <c r="D114" s="616" t="s">
        <v>216</v>
      </c>
      <c r="E114" s="616" t="s">
        <v>217</v>
      </c>
      <c r="F114" s="617" t="s">
        <v>218</v>
      </c>
      <c r="G114" s="616" t="s">
        <v>219</v>
      </c>
      <c r="H114" s="617"/>
      <c r="I114" s="617"/>
      <c r="J114" s="617" t="s">
        <v>338</v>
      </c>
      <c r="K114" s="618"/>
      <c r="L114" s="616"/>
      <c r="M114" s="616"/>
      <c r="N114" s="617"/>
      <c r="O114" s="617"/>
      <c r="P114" s="617"/>
      <c r="Q114" s="617"/>
      <c r="R114" s="619"/>
      <c r="S114" s="617"/>
      <c r="T114" s="616" t="s">
        <v>221</v>
      </c>
    </row>
    <row r="115" ht="34.5">
      <c r="A115" s="616" t="s">
        <v>213</v>
      </c>
      <c r="B115" s="616" t="s">
        <v>214</v>
      </c>
      <c r="C115" s="616" t="s">
        <v>331</v>
      </c>
      <c r="D115" s="616" t="s">
        <v>216</v>
      </c>
      <c r="E115" s="616" t="s">
        <v>217</v>
      </c>
      <c r="F115" s="617" t="s">
        <v>218</v>
      </c>
      <c r="G115" s="616" t="s">
        <v>219</v>
      </c>
      <c r="H115" s="617"/>
      <c r="I115" s="617"/>
      <c r="J115" s="617" t="s">
        <v>339</v>
      </c>
      <c r="K115" s="618"/>
      <c r="L115" s="616"/>
      <c r="M115" s="616"/>
      <c r="N115" s="617"/>
      <c r="O115" s="617"/>
      <c r="P115" s="617"/>
      <c r="Q115" s="617"/>
      <c r="R115" s="619"/>
      <c r="S115" s="617"/>
      <c r="T115" s="616" t="s">
        <v>221</v>
      </c>
    </row>
    <row r="116" ht="34.5">
      <c r="A116" s="616" t="s">
        <v>213</v>
      </c>
      <c r="B116" s="616" t="s">
        <v>214</v>
      </c>
      <c r="C116" s="616" t="s">
        <v>331</v>
      </c>
      <c r="D116" s="616" t="s">
        <v>216</v>
      </c>
      <c r="E116" s="616" t="s">
        <v>217</v>
      </c>
      <c r="F116" s="617" t="s">
        <v>218</v>
      </c>
      <c r="G116" s="616" t="s">
        <v>219</v>
      </c>
      <c r="H116" s="617"/>
      <c r="I116" s="617"/>
      <c r="J116" s="617" t="s">
        <v>340</v>
      </c>
      <c r="K116" s="618"/>
      <c r="L116" s="616"/>
      <c r="M116" s="616"/>
      <c r="N116" s="617"/>
      <c r="O116" s="617"/>
      <c r="P116" s="617"/>
      <c r="Q116" s="617"/>
      <c r="R116" s="619"/>
      <c r="S116" s="617"/>
      <c r="T116" s="616" t="s">
        <v>221</v>
      </c>
    </row>
    <row r="117" ht="34.5">
      <c r="A117" s="616" t="s">
        <v>213</v>
      </c>
      <c r="B117" s="616" t="s">
        <v>214</v>
      </c>
      <c r="C117" s="616" t="s">
        <v>331</v>
      </c>
      <c r="D117" s="616" t="s">
        <v>216</v>
      </c>
      <c r="E117" s="616" t="s">
        <v>217</v>
      </c>
      <c r="F117" s="617" t="s">
        <v>218</v>
      </c>
      <c r="G117" s="616" t="s">
        <v>219</v>
      </c>
      <c r="H117" s="617"/>
      <c r="I117" s="617"/>
      <c r="J117" s="617" t="s">
        <v>341</v>
      </c>
      <c r="K117" s="618"/>
      <c r="L117" s="616"/>
      <c r="M117" s="616"/>
      <c r="N117" s="617"/>
      <c r="O117" s="617"/>
      <c r="P117" s="617"/>
      <c r="Q117" s="617"/>
      <c r="R117" s="619"/>
      <c r="S117" s="617"/>
      <c r="T117" s="616" t="s">
        <v>221</v>
      </c>
    </row>
    <row r="118" ht="34.5">
      <c r="A118" s="616" t="s">
        <v>213</v>
      </c>
      <c r="B118" s="616" t="s">
        <v>214</v>
      </c>
      <c r="C118" s="616" t="s">
        <v>331</v>
      </c>
      <c r="D118" s="616" t="s">
        <v>216</v>
      </c>
      <c r="E118" s="616" t="s">
        <v>217</v>
      </c>
      <c r="F118" s="617" t="s">
        <v>218</v>
      </c>
      <c r="G118" s="616" t="s">
        <v>219</v>
      </c>
      <c r="H118" s="617"/>
      <c r="I118" s="617"/>
      <c r="J118" s="617" t="s">
        <v>342</v>
      </c>
      <c r="K118" s="618"/>
      <c r="L118" s="616"/>
      <c r="M118" s="616"/>
      <c r="N118" s="617"/>
      <c r="O118" s="617"/>
      <c r="P118" s="617"/>
      <c r="Q118" s="617"/>
      <c r="R118" s="619"/>
      <c r="S118" s="617"/>
      <c r="T118" s="616" t="s">
        <v>221</v>
      </c>
    </row>
    <row r="119" ht="34.5">
      <c r="A119" s="616" t="s">
        <v>213</v>
      </c>
      <c r="B119" s="616" t="s">
        <v>214</v>
      </c>
      <c r="C119" s="616" t="s">
        <v>331</v>
      </c>
      <c r="D119" s="616" t="s">
        <v>216</v>
      </c>
      <c r="E119" s="616" t="s">
        <v>217</v>
      </c>
      <c r="F119" s="617" t="s">
        <v>218</v>
      </c>
      <c r="G119" s="616" t="s">
        <v>219</v>
      </c>
      <c r="H119" s="617"/>
      <c r="I119" s="617"/>
      <c r="J119" s="617" t="s">
        <v>343</v>
      </c>
      <c r="K119" s="618"/>
      <c r="L119" s="616"/>
      <c r="M119" s="616"/>
      <c r="N119" s="617"/>
      <c r="O119" s="617"/>
      <c r="P119" s="617"/>
      <c r="Q119" s="617"/>
      <c r="R119" s="619"/>
      <c r="S119" s="617"/>
      <c r="T119" s="616" t="s">
        <v>221</v>
      </c>
    </row>
    <row r="120" ht="34.5">
      <c r="A120" s="616" t="s">
        <v>213</v>
      </c>
      <c r="B120" s="616" t="s">
        <v>214</v>
      </c>
      <c r="C120" s="616" t="s">
        <v>331</v>
      </c>
      <c r="D120" s="616" t="s">
        <v>216</v>
      </c>
      <c r="E120" s="616" t="s">
        <v>217</v>
      </c>
      <c r="F120" s="617" t="s">
        <v>218</v>
      </c>
      <c r="G120" s="616" t="s">
        <v>219</v>
      </c>
      <c r="H120" s="617"/>
      <c r="I120" s="617"/>
      <c r="J120" s="617" t="s">
        <v>344</v>
      </c>
      <c r="K120" s="618"/>
      <c r="L120" s="616"/>
      <c r="M120" s="616"/>
      <c r="N120" s="617"/>
      <c r="O120" s="617"/>
      <c r="P120" s="617"/>
      <c r="Q120" s="617"/>
      <c r="R120" s="619"/>
      <c r="S120" s="617"/>
      <c r="T120" s="616" t="s">
        <v>221</v>
      </c>
    </row>
    <row r="121" ht="34.5">
      <c r="A121" s="616" t="s">
        <v>213</v>
      </c>
      <c r="B121" s="616" t="s">
        <v>214</v>
      </c>
      <c r="C121" s="616" t="s">
        <v>345</v>
      </c>
      <c r="D121" s="616" t="s">
        <v>216</v>
      </c>
      <c r="E121" s="616" t="s">
        <v>217</v>
      </c>
      <c r="F121" s="617" t="s">
        <v>218</v>
      </c>
      <c r="G121" s="616" t="s">
        <v>219</v>
      </c>
      <c r="H121" s="617"/>
      <c r="I121" s="617"/>
      <c r="J121" s="617" t="s">
        <v>346</v>
      </c>
      <c r="K121" s="618"/>
      <c r="L121" s="616"/>
      <c r="M121" s="616"/>
      <c r="N121" s="617"/>
      <c r="O121" s="617"/>
      <c r="P121" s="617"/>
      <c r="Q121" s="617"/>
      <c r="R121" s="619"/>
      <c r="S121" s="617"/>
      <c r="T121" s="616" t="s">
        <v>221</v>
      </c>
    </row>
    <row r="122" ht="34.5">
      <c r="A122" s="616" t="s">
        <v>213</v>
      </c>
      <c r="B122" s="616" t="s">
        <v>214</v>
      </c>
      <c r="C122" s="616" t="s">
        <v>345</v>
      </c>
      <c r="D122" s="616" t="s">
        <v>216</v>
      </c>
      <c r="E122" s="616" t="s">
        <v>217</v>
      </c>
      <c r="F122" s="617" t="s">
        <v>218</v>
      </c>
      <c r="G122" s="616" t="s">
        <v>219</v>
      </c>
      <c r="H122" s="617"/>
      <c r="I122" s="617"/>
      <c r="J122" s="617" t="s">
        <v>347</v>
      </c>
      <c r="K122" s="618"/>
      <c r="L122" s="616"/>
      <c r="M122" s="616"/>
      <c r="N122" s="617"/>
      <c r="O122" s="617"/>
      <c r="P122" s="617"/>
      <c r="Q122" s="617"/>
      <c r="R122" s="619"/>
      <c r="S122" s="617"/>
      <c r="T122" s="616" t="s">
        <v>221</v>
      </c>
    </row>
    <row r="123" ht="34.5">
      <c r="A123" s="616" t="s">
        <v>213</v>
      </c>
      <c r="B123" s="616" t="s">
        <v>214</v>
      </c>
      <c r="C123" s="616" t="s">
        <v>345</v>
      </c>
      <c r="D123" s="616" t="s">
        <v>216</v>
      </c>
      <c r="E123" s="616" t="s">
        <v>217</v>
      </c>
      <c r="F123" s="617" t="s">
        <v>218</v>
      </c>
      <c r="G123" s="616" t="s">
        <v>219</v>
      </c>
      <c r="H123" s="617"/>
      <c r="I123" s="617"/>
      <c r="J123" s="617" t="s">
        <v>348</v>
      </c>
      <c r="K123" s="618"/>
      <c r="L123" s="616"/>
      <c r="M123" s="616"/>
      <c r="N123" s="617"/>
      <c r="O123" s="617"/>
      <c r="P123" s="617"/>
      <c r="Q123" s="617"/>
      <c r="R123" s="619"/>
      <c r="S123" s="617"/>
      <c r="T123" s="616" t="s">
        <v>221</v>
      </c>
    </row>
    <row r="124" ht="34.5">
      <c r="A124" s="616" t="s">
        <v>213</v>
      </c>
      <c r="B124" s="616" t="s">
        <v>214</v>
      </c>
      <c r="C124" s="616" t="s">
        <v>345</v>
      </c>
      <c r="D124" s="616" t="s">
        <v>216</v>
      </c>
      <c r="E124" s="616" t="s">
        <v>217</v>
      </c>
      <c r="F124" s="617" t="s">
        <v>218</v>
      </c>
      <c r="G124" s="616" t="s">
        <v>219</v>
      </c>
      <c r="H124" s="617"/>
      <c r="I124" s="617"/>
      <c r="J124" s="617" t="s">
        <v>349</v>
      </c>
      <c r="K124" s="618"/>
      <c r="L124" s="616"/>
      <c r="M124" s="616"/>
      <c r="N124" s="617"/>
      <c r="O124" s="617"/>
      <c r="P124" s="617"/>
      <c r="Q124" s="617"/>
      <c r="R124" s="619"/>
      <c r="S124" s="617"/>
      <c r="T124" s="616" t="s">
        <v>221</v>
      </c>
    </row>
    <row r="125" ht="34.5">
      <c r="A125" s="616" t="s">
        <v>213</v>
      </c>
      <c r="B125" s="616" t="s">
        <v>214</v>
      </c>
      <c r="C125" s="616" t="s">
        <v>345</v>
      </c>
      <c r="D125" s="616" t="s">
        <v>216</v>
      </c>
      <c r="E125" s="616" t="s">
        <v>217</v>
      </c>
      <c r="F125" s="617" t="s">
        <v>218</v>
      </c>
      <c r="G125" s="616" t="s">
        <v>219</v>
      </c>
      <c r="H125" s="617"/>
      <c r="I125" s="617"/>
      <c r="J125" s="617" t="s">
        <v>350</v>
      </c>
      <c r="K125" s="618"/>
      <c r="L125" s="616"/>
      <c r="M125" s="616"/>
      <c r="N125" s="617"/>
      <c r="O125" s="617"/>
      <c r="P125" s="617"/>
      <c r="Q125" s="617"/>
      <c r="R125" s="619"/>
      <c r="S125" s="617"/>
      <c r="T125" s="616" t="s">
        <v>221</v>
      </c>
    </row>
    <row r="126" ht="34.5">
      <c r="A126" s="616" t="s">
        <v>213</v>
      </c>
      <c r="B126" s="616" t="s">
        <v>214</v>
      </c>
      <c r="C126" s="616" t="s">
        <v>345</v>
      </c>
      <c r="D126" s="616" t="s">
        <v>216</v>
      </c>
      <c r="E126" s="616" t="s">
        <v>217</v>
      </c>
      <c r="F126" s="617" t="s">
        <v>218</v>
      </c>
      <c r="G126" s="616" t="s">
        <v>219</v>
      </c>
      <c r="H126" s="617"/>
      <c r="I126" s="617"/>
      <c r="J126" s="617" t="s">
        <v>351</v>
      </c>
      <c r="K126" s="618"/>
      <c r="L126" s="616"/>
      <c r="M126" s="616"/>
      <c r="N126" s="617"/>
      <c r="O126" s="617"/>
      <c r="P126" s="617"/>
      <c r="Q126" s="617"/>
      <c r="R126" s="619"/>
      <c r="S126" s="617"/>
      <c r="T126" s="616" t="s">
        <v>221</v>
      </c>
    </row>
    <row r="127" ht="34.5">
      <c r="A127" s="616" t="s">
        <v>213</v>
      </c>
      <c r="B127" s="616" t="s">
        <v>214</v>
      </c>
      <c r="C127" s="616" t="s">
        <v>345</v>
      </c>
      <c r="D127" s="616" t="s">
        <v>216</v>
      </c>
      <c r="E127" s="616" t="s">
        <v>217</v>
      </c>
      <c r="F127" s="617" t="s">
        <v>218</v>
      </c>
      <c r="G127" s="616" t="s">
        <v>219</v>
      </c>
      <c r="H127" s="617"/>
      <c r="I127" s="617"/>
      <c r="J127" s="617" t="s">
        <v>352</v>
      </c>
      <c r="K127" s="618"/>
      <c r="L127" s="616"/>
      <c r="M127" s="616"/>
      <c r="N127" s="617"/>
      <c r="O127" s="617"/>
      <c r="P127" s="617"/>
      <c r="Q127" s="617"/>
      <c r="R127" s="619"/>
      <c r="S127" s="617"/>
      <c r="T127" s="616" t="s">
        <v>221</v>
      </c>
    </row>
    <row r="128" ht="34.5">
      <c r="A128" s="616" t="s">
        <v>213</v>
      </c>
      <c r="B128" s="616" t="s">
        <v>214</v>
      </c>
      <c r="C128" s="616" t="s">
        <v>345</v>
      </c>
      <c r="D128" s="616" t="s">
        <v>216</v>
      </c>
      <c r="E128" s="616" t="s">
        <v>217</v>
      </c>
      <c r="F128" s="617" t="s">
        <v>218</v>
      </c>
      <c r="G128" s="616" t="s">
        <v>219</v>
      </c>
      <c r="H128" s="617"/>
      <c r="I128" s="617"/>
      <c r="J128" s="617" t="s">
        <v>353</v>
      </c>
      <c r="K128" s="618"/>
      <c r="L128" s="616"/>
      <c r="M128" s="616"/>
      <c r="N128" s="617"/>
      <c r="O128" s="617"/>
      <c r="P128" s="617"/>
      <c r="Q128" s="617"/>
      <c r="R128" s="619"/>
      <c r="S128" s="617"/>
      <c r="T128" s="616" t="s">
        <v>221</v>
      </c>
    </row>
    <row r="129" ht="34.5">
      <c r="A129" s="616" t="s">
        <v>213</v>
      </c>
      <c r="B129" s="616" t="s">
        <v>214</v>
      </c>
      <c r="C129" s="616" t="s">
        <v>345</v>
      </c>
      <c r="D129" s="616" t="s">
        <v>216</v>
      </c>
      <c r="E129" s="616" t="s">
        <v>217</v>
      </c>
      <c r="F129" s="617" t="s">
        <v>218</v>
      </c>
      <c r="G129" s="616" t="s">
        <v>219</v>
      </c>
      <c r="H129" s="617"/>
      <c r="I129" s="617"/>
      <c r="J129" s="617" t="s">
        <v>354</v>
      </c>
      <c r="K129" s="618"/>
      <c r="L129" s="616"/>
      <c r="M129" s="616"/>
      <c r="N129" s="617"/>
      <c r="O129" s="617"/>
      <c r="P129" s="617"/>
      <c r="Q129" s="617"/>
      <c r="R129" s="619"/>
      <c r="S129" s="617"/>
      <c r="T129" s="616" t="s">
        <v>221</v>
      </c>
    </row>
    <row r="130" ht="34.5">
      <c r="A130" s="616" t="s">
        <v>213</v>
      </c>
      <c r="B130" s="616" t="s">
        <v>214</v>
      </c>
      <c r="C130" s="616" t="s">
        <v>345</v>
      </c>
      <c r="D130" s="616" t="s">
        <v>216</v>
      </c>
      <c r="E130" s="616" t="s">
        <v>217</v>
      </c>
      <c r="F130" s="617" t="s">
        <v>218</v>
      </c>
      <c r="G130" s="616" t="s">
        <v>219</v>
      </c>
      <c r="H130" s="617"/>
      <c r="I130" s="617"/>
      <c r="J130" s="617" t="s">
        <v>355</v>
      </c>
      <c r="K130" s="618"/>
      <c r="L130" s="616"/>
      <c r="M130" s="616"/>
      <c r="N130" s="617"/>
      <c r="O130" s="617"/>
      <c r="P130" s="617"/>
      <c r="Q130" s="617"/>
      <c r="R130" s="619"/>
      <c r="S130" s="617"/>
      <c r="T130" s="616" t="s">
        <v>221</v>
      </c>
    </row>
    <row r="131" ht="34.5">
      <c r="A131" s="616" t="s">
        <v>213</v>
      </c>
      <c r="B131" s="616" t="s">
        <v>214</v>
      </c>
      <c r="C131" s="616" t="s">
        <v>345</v>
      </c>
      <c r="D131" s="616" t="s">
        <v>216</v>
      </c>
      <c r="E131" s="616" t="s">
        <v>217</v>
      </c>
      <c r="F131" s="617" t="s">
        <v>218</v>
      </c>
      <c r="G131" s="616" t="s">
        <v>219</v>
      </c>
      <c r="H131" s="617"/>
      <c r="I131" s="617"/>
      <c r="J131" s="617" t="s">
        <v>356</v>
      </c>
      <c r="K131" s="618"/>
      <c r="L131" s="616"/>
      <c r="M131" s="616"/>
      <c r="N131" s="617"/>
      <c r="O131" s="617"/>
      <c r="P131" s="617"/>
      <c r="Q131" s="617"/>
      <c r="R131" s="619"/>
      <c r="S131" s="617"/>
      <c r="T131" s="616" t="s">
        <v>221</v>
      </c>
    </row>
    <row r="132" ht="34.5">
      <c r="A132" s="616" t="s">
        <v>213</v>
      </c>
      <c r="B132" s="616" t="s">
        <v>214</v>
      </c>
      <c r="C132" s="616" t="s">
        <v>357</v>
      </c>
      <c r="D132" s="616" t="s">
        <v>216</v>
      </c>
      <c r="E132" s="616" t="s">
        <v>217</v>
      </c>
      <c r="F132" s="617" t="s">
        <v>218</v>
      </c>
      <c r="G132" s="616" t="s">
        <v>219</v>
      </c>
      <c r="H132" s="617"/>
      <c r="I132" s="617"/>
      <c r="J132" s="617" t="s">
        <v>358</v>
      </c>
      <c r="K132" s="618"/>
      <c r="L132" s="616"/>
      <c r="M132" s="616"/>
      <c r="N132" s="617"/>
      <c r="O132" s="617"/>
      <c r="P132" s="617"/>
      <c r="Q132" s="617"/>
      <c r="R132" s="619"/>
      <c r="S132" s="617"/>
      <c r="T132" s="616" t="s">
        <v>221</v>
      </c>
    </row>
    <row r="133" ht="34.5">
      <c r="A133" s="616" t="s">
        <v>213</v>
      </c>
      <c r="B133" s="616" t="s">
        <v>214</v>
      </c>
      <c r="C133" s="616" t="s">
        <v>357</v>
      </c>
      <c r="D133" s="616" t="s">
        <v>216</v>
      </c>
      <c r="E133" s="616" t="s">
        <v>217</v>
      </c>
      <c r="F133" s="617" t="s">
        <v>218</v>
      </c>
      <c r="G133" s="616" t="s">
        <v>219</v>
      </c>
      <c r="H133" s="617"/>
      <c r="I133" s="617"/>
      <c r="J133" s="617" t="s">
        <v>359</v>
      </c>
      <c r="K133" s="618"/>
      <c r="L133" s="616"/>
      <c r="M133" s="616"/>
      <c r="N133" s="617"/>
      <c r="O133" s="617"/>
      <c r="P133" s="617"/>
      <c r="Q133" s="617"/>
      <c r="R133" s="619"/>
      <c r="S133" s="617"/>
      <c r="T133" s="616" t="s">
        <v>221</v>
      </c>
    </row>
    <row r="134" ht="34.5">
      <c r="A134" s="616" t="s">
        <v>213</v>
      </c>
      <c r="B134" s="616" t="s">
        <v>214</v>
      </c>
      <c r="C134" s="616" t="s">
        <v>357</v>
      </c>
      <c r="D134" s="616" t="s">
        <v>216</v>
      </c>
      <c r="E134" s="616" t="s">
        <v>217</v>
      </c>
      <c r="F134" s="617" t="s">
        <v>218</v>
      </c>
      <c r="G134" s="616" t="s">
        <v>219</v>
      </c>
      <c r="H134" s="617"/>
      <c r="I134" s="617"/>
      <c r="J134" s="617" t="s">
        <v>360</v>
      </c>
      <c r="K134" s="618"/>
      <c r="L134" s="616"/>
      <c r="M134" s="616"/>
      <c r="N134" s="617"/>
      <c r="O134" s="617"/>
      <c r="P134" s="617"/>
      <c r="Q134" s="617"/>
      <c r="R134" s="619"/>
      <c r="S134" s="617"/>
      <c r="T134" s="616" t="s">
        <v>221</v>
      </c>
    </row>
    <row r="135" ht="34.5">
      <c r="A135" s="616" t="s">
        <v>213</v>
      </c>
      <c r="B135" s="616" t="s">
        <v>214</v>
      </c>
      <c r="C135" s="616" t="s">
        <v>357</v>
      </c>
      <c r="D135" s="616" t="s">
        <v>216</v>
      </c>
      <c r="E135" s="616" t="s">
        <v>217</v>
      </c>
      <c r="F135" s="617" t="s">
        <v>218</v>
      </c>
      <c r="G135" s="616" t="s">
        <v>219</v>
      </c>
      <c r="H135" s="617"/>
      <c r="I135" s="617"/>
      <c r="J135" s="617" t="s">
        <v>361</v>
      </c>
      <c r="K135" s="618"/>
      <c r="L135" s="616"/>
      <c r="M135" s="616"/>
      <c r="N135" s="617"/>
      <c r="O135" s="617"/>
      <c r="P135" s="617"/>
      <c r="Q135" s="617"/>
      <c r="R135" s="619"/>
      <c r="S135" s="617"/>
      <c r="T135" s="616" t="s">
        <v>221</v>
      </c>
    </row>
    <row r="136" ht="34.5">
      <c r="A136" s="616" t="s">
        <v>213</v>
      </c>
      <c r="B136" s="616" t="s">
        <v>214</v>
      </c>
      <c r="C136" s="616" t="s">
        <v>357</v>
      </c>
      <c r="D136" s="616" t="s">
        <v>216</v>
      </c>
      <c r="E136" s="616" t="s">
        <v>217</v>
      </c>
      <c r="F136" s="617" t="s">
        <v>218</v>
      </c>
      <c r="G136" s="616" t="s">
        <v>219</v>
      </c>
      <c r="H136" s="617"/>
      <c r="I136" s="617"/>
      <c r="J136" s="617" t="s">
        <v>362</v>
      </c>
      <c r="K136" s="618"/>
      <c r="L136" s="616"/>
      <c r="M136" s="616"/>
      <c r="N136" s="617"/>
      <c r="O136" s="617"/>
      <c r="P136" s="617"/>
      <c r="Q136" s="617"/>
      <c r="R136" s="619"/>
      <c r="S136" s="617"/>
      <c r="T136" s="616" t="s">
        <v>221</v>
      </c>
    </row>
    <row r="137" ht="34.5">
      <c r="A137" s="616" t="s">
        <v>213</v>
      </c>
      <c r="B137" s="616" t="s">
        <v>214</v>
      </c>
      <c r="C137" s="616" t="s">
        <v>357</v>
      </c>
      <c r="D137" s="616" t="s">
        <v>216</v>
      </c>
      <c r="E137" s="616" t="s">
        <v>217</v>
      </c>
      <c r="F137" s="617" t="s">
        <v>218</v>
      </c>
      <c r="G137" s="616" t="s">
        <v>219</v>
      </c>
      <c r="H137" s="617"/>
      <c r="I137" s="617"/>
      <c r="J137" s="617" t="s">
        <v>363</v>
      </c>
      <c r="K137" s="618"/>
      <c r="L137" s="616"/>
      <c r="M137" s="616"/>
      <c r="N137" s="617"/>
      <c r="O137" s="617"/>
      <c r="P137" s="617"/>
      <c r="Q137" s="617"/>
      <c r="R137" s="619"/>
      <c r="S137" s="617"/>
      <c r="T137" s="616" t="s">
        <v>221</v>
      </c>
    </row>
    <row r="138" ht="34.5">
      <c r="A138" s="616" t="s">
        <v>213</v>
      </c>
      <c r="B138" s="616" t="s">
        <v>214</v>
      </c>
      <c r="C138" s="616" t="s">
        <v>357</v>
      </c>
      <c r="D138" s="616" t="s">
        <v>216</v>
      </c>
      <c r="E138" s="616" t="s">
        <v>217</v>
      </c>
      <c r="F138" s="617" t="s">
        <v>218</v>
      </c>
      <c r="G138" s="616" t="s">
        <v>219</v>
      </c>
      <c r="H138" s="617"/>
      <c r="I138" s="617"/>
      <c r="J138" s="617" t="s">
        <v>364</v>
      </c>
      <c r="K138" s="618"/>
      <c r="L138" s="616"/>
      <c r="M138" s="616"/>
      <c r="N138" s="617"/>
      <c r="O138" s="617"/>
      <c r="P138" s="617"/>
      <c r="Q138" s="617"/>
      <c r="R138" s="619"/>
      <c r="S138" s="617"/>
      <c r="T138" s="616" t="s">
        <v>221</v>
      </c>
    </row>
    <row r="139" ht="34.5">
      <c r="A139" s="616" t="s">
        <v>213</v>
      </c>
      <c r="B139" s="616" t="s">
        <v>214</v>
      </c>
      <c r="C139" s="616" t="s">
        <v>357</v>
      </c>
      <c r="D139" s="616" t="s">
        <v>216</v>
      </c>
      <c r="E139" s="616" t="s">
        <v>217</v>
      </c>
      <c r="F139" s="617" t="s">
        <v>218</v>
      </c>
      <c r="G139" s="616" t="s">
        <v>219</v>
      </c>
      <c r="H139" s="617"/>
      <c r="I139" s="617"/>
      <c r="J139" s="617" t="s">
        <v>365</v>
      </c>
      <c r="K139" s="618"/>
      <c r="L139" s="616"/>
      <c r="M139" s="616"/>
      <c r="N139" s="617"/>
      <c r="O139" s="617"/>
      <c r="P139" s="617"/>
      <c r="Q139" s="617"/>
      <c r="R139" s="619"/>
      <c r="S139" s="617"/>
      <c r="T139" s="616" t="s">
        <v>221</v>
      </c>
    </row>
    <row r="140" ht="34.5">
      <c r="A140" s="616" t="s">
        <v>213</v>
      </c>
      <c r="B140" s="616" t="s">
        <v>214</v>
      </c>
      <c r="C140" s="616" t="s">
        <v>357</v>
      </c>
      <c r="D140" s="616" t="s">
        <v>216</v>
      </c>
      <c r="E140" s="616" t="s">
        <v>217</v>
      </c>
      <c r="F140" s="617" t="s">
        <v>218</v>
      </c>
      <c r="G140" s="616" t="s">
        <v>219</v>
      </c>
      <c r="H140" s="617"/>
      <c r="I140" s="617"/>
      <c r="J140" s="617" t="s">
        <v>366</v>
      </c>
      <c r="K140" s="618"/>
      <c r="L140" s="616"/>
      <c r="M140" s="616"/>
      <c r="N140" s="617"/>
      <c r="O140" s="617"/>
      <c r="P140" s="617"/>
      <c r="Q140" s="617"/>
      <c r="R140" s="619"/>
      <c r="S140" s="617"/>
      <c r="T140" s="616" t="s">
        <v>221</v>
      </c>
    </row>
    <row r="141" ht="34.5">
      <c r="A141" s="616" t="s">
        <v>213</v>
      </c>
      <c r="B141" s="616" t="s">
        <v>214</v>
      </c>
      <c r="C141" s="616" t="s">
        <v>367</v>
      </c>
      <c r="D141" s="616" t="s">
        <v>216</v>
      </c>
      <c r="E141" s="616" t="s">
        <v>217</v>
      </c>
      <c r="F141" s="617" t="s">
        <v>218</v>
      </c>
      <c r="G141" s="616" t="s">
        <v>219</v>
      </c>
      <c r="H141" s="617"/>
      <c r="I141" s="617"/>
      <c r="J141" s="617" t="s">
        <v>368</v>
      </c>
      <c r="K141" s="618"/>
      <c r="L141" s="616"/>
      <c r="M141" s="616"/>
      <c r="N141" s="617"/>
      <c r="O141" s="617"/>
      <c r="P141" s="617"/>
      <c r="Q141" s="617"/>
      <c r="R141" s="619"/>
      <c r="S141" s="617"/>
      <c r="T141" s="616" t="s">
        <v>221</v>
      </c>
    </row>
    <row r="142" ht="34.5">
      <c r="A142" s="616" t="s">
        <v>213</v>
      </c>
      <c r="B142" s="616" t="s">
        <v>214</v>
      </c>
      <c r="C142" s="616" t="s">
        <v>367</v>
      </c>
      <c r="D142" s="616" t="s">
        <v>216</v>
      </c>
      <c r="E142" s="616" t="s">
        <v>217</v>
      </c>
      <c r="F142" s="617" t="s">
        <v>218</v>
      </c>
      <c r="G142" s="616" t="s">
        <v>219</v>
      </c>
      <c r="H142" s="617"/>
      <c r="I142" s="617"/>
      <c r="J142" s="617" t="s">
        <v>369</v>
      </c>
      <c r="K142" s="618"/>
      <c r="L142" s="616"/>
      <c r="M142" s="616"/>
      <c r="N142" s="617"/>
      <c r="O142" s="617"/>
      <c r="P142" s="617"/>
      <c r="Q142" s="617"/>
      <c r="R142" s="619"/>
      <c r="S142" s="617"/>
      <c r="T142" s="616" t="s">
        <v>221</v>
      </c>
    </row>
    <row r="143" ht="34.5">
      <c r="A143" s="616" t="s">
        <v>213</v>
      </c>
      <c r="B143" s="616" t="s">
        <v>214</v>
      </c>
      <c r="C143" s="616" t="s">
        <v>367</v>
      </c>
      <c r="D143" s="616" t="s">
        <v>216</v>
      </c>
      <c r="E143" s="616" t="s">
        <v>217</v>
      </c>
      <c r="F143" s="617" t="s">
        <v>218</v>
      </c>
      <c r="G143" s="616" t="s">
        <v>219</v>
      </c>
      <c r="H143" s="617"/>
      <c r="I143" s="617"/>
      <c r="J143" s="617" t="s">
        <v>370</v>
      </c>
      <c r="K143" s="618"/>
      <c r="L143" s="616"/>
      <c r="M143" s="616"/>
      <c r="N143" s="617"/>
      <c r="O143" s="617"/>
      <c r="P143" s="617"/>
      <c r="Q143" s="617"/>
      <c r="R143" s="619"/>
      <c r="S143" s="617"/>
      <c r="T143" s="616" t="s">
        <v>221</v>
      </c>
    </row>
    <row r="144" ht="34.5">
      <c r="A144" s="616" t="s">
        <v>213</v>
      </c>
      <c r="B144" s="616" t="s">
        <v>214</v>
      </c>
      <c r="C144" s="616" t="s">
        <v>367</v>
      </c>
      <c r="D144" s="616" t="s">
        <v>216</v>
      </c>
      <c r="E144" s="616" t="s">
        <v>217</v>
      </c>
      <c r="F144" s="617" t="s">
        <v>218</v>
      </c>
      <c r="G144" s="616" t="s">
        <v>219</v>
      </c>
      <c r="H144" s="617"/>
      <c r="I144" s="617"/>
      <c r="J144" s="617" t="s">
        <v>371</v>
      </c>
      <c r="K144" s="618"/>
      <c r="L144" s="616"/>
      <c r="M144" s="616"/>
      <c r="N144" s="617"/>
      <c r="O144" s="617"/>
      <c r="P144" s="617"/>
      <c r="Q144" s="617"/>
      <c r="R144" s="619"/>
      <c r="S144" s="617"/>
      <c r="T144" s="616" t="s">
        <v>221</v>
      </c>
    </row>
    <row r="145" ht="34.5">
      <c r="A145" s="616" t="s">
        <v>213</v>
      </c>
      <c r="B145" s="616" t="s">
        <v>214</v>
      </c>
      <c r="C145" s="616" t="s">
        <v>367</v>
      </c>
      <c r="D145" s="616" t="s">
        <v>216</v>
      </c>
      <c r="E145" s="616" t="s">
        <v>217</v>
      </c>
      <c r="F145" s="617" t="s">
        <v>218</v>
      </c>
      <c r="G145" s="616" t="s">
        <v>219</v>
      </c>
      <c r="H145" s="617"/>
      <c r="I145" s="617"/>
      <c r="J145" s="617" t="s">
        <v>372</v>
      </c>
      <c r="K145" s="618"/>
      <c r="L145" s="616"/>
      <c r="M145" s="616"/>
      <c r="N145" s="617"/>
      <c r="O145" s="617"/>
      <c r="P145" s="617"/>
      <c r="Q145" s="617"/>
      <c r="R145" s="619"/>
      <c r="S145" s="617"/>
      <c r="T145" s="616" t="s">
        <v>221</v>
      </c>
    </row>
    <row r="146" ht="34.5">
      <c r="A146" s="616" t="s">
        <v>213</v>
      </c>
      <c r="B146" s="616" t="s">
        <v>214</v>
      </c>
      <c r="C146" s="616" t="s">
        <v>367</v>
      </c>
      <c r="D146" s="616" t="s">
        <v>216</v>
      </c>
      <c r="E146" s="616" t="s">
        <v>217</v>
      </c>
      <c r="F146" s="617" t="s">
        <v>218</v>
      </c>
      <c r="G146" s="616" t="s">
        <v>219</v>
      </c>
      <c r="H146" s="617"/>
      <c r="I146" s="617"/>
      <c r="J146" s="617" t="s">
        <v>373</v>
      </c>
      <c r="K146" s="618"/>
      <c r="L146" s="616"/>
      <c r="M146" s="616"/>
      <c r="N146" s="617"/>
      <c r="O146" s="617"/>
      <c r="P146" s="617"/>
      <c r="Q146" s="617"/>
      <c r="R146" s="619"/>
      <c r="S146" s="617"/>
      <c r="T146" s="616" t="s">
        <v>221</v>
      </c>
    </row>
    <row r="147" ht="34.5">
      <c r="A147" s="616" t="s">
        <v>213</v>
      </c>
      <c r="B147" s="616" t="s">
        <v>214</v>
      </c>
      <c r="C147" s="616" t="s">
        <v>367</v>
      </c>
      <c r="D147" s="616" t="s">
        <v>216</v>
      </c>
      <c r="E147" s="616" t="s">
        <v>217</v>
      </c>
      <c r="F147" s="617" t="s">
        <v>218</v>
      </c>
      <c r="G147" s="616" t="s">
        <v>219</v>
      </c>
      <c r="H147" s="617"/>
      <c r="I147" s="617"/>
      <c r="J147" s="617" t="s">
        <v>374</v>
      </c>
      <c r="K147" s="618"/>
      <c r="L147" s="616"/>
      <c r="M147" s="616"/>
      <c r="N147" s="617"/>
      <c r="O147" s="617"/>
      <c r="P147" s="617"/>
      <c r="Q147" s="617"/>
      <c r="R147" s="619"/>
      <c r="S147" s="617"/>
      <c r="T147" s="616" t="s">
        <v>221</v>
      </c>
    </row>
    <row r="148" ht="34.5">
      <c r="A148" s="616" t="s">
        <v>213</v>
      </c>
      <c r="B148" s="616" t="s">
        <v>214</v>
      </c>
      <c r="C148" s="616" t="s">
        <v>367</v>
      </c>
      <c r="D148" s="616" t="s">
        <v>216</v>
      </c>
      <c r="E148" s="616" t="s">
        <v>217</v>
      </c>
      <c r="F148" s="617" t="s">
        <v>218</v>
      </c>
      <c r="G148" s="616" t="s">
        <v>219</v>
      </c>
      <c r="H148" s="617"/>
      <c r="I148" s="617"/>
      <c r="J148" s="617" t="s">
        <v>375</v>
      </c>
      <c r="K148" s="618"/>
      <c r="L148" s="616"/>
      <c r="M148" s="616"/>
      <c r="N148" s="617"/>
      <c r="O148" s="617"/>
      <c r="P148" s="617"/>
      <c r="Q148" s="617"/>
      <c r="R148" s="619"/>
      <c r="S148" s="617"/>
      <c r="T148" s="616" t="s">
        <v>221</v>
      </c>
    </row>
    <row r="149" ht="34.5">
      <c r="A149" s="616" t="s">
        <v>213</v>
      </c>
      <c r="B149" s="616" t="s">
        <v>214</v>
      </c>
      <c r="C149" s="616" t="s">
        <v>367</v>
      </c>
      <c r="D149" s="616" t="s">
        <v>216</v>
      </c>
      <c r="E149" s="616" t="s">
        <v>217</v>
      </c>
      <c r="F149" s="617" t="s">
        <v>218</v>
      </c>
      <c r="G149" s="616" t="s">
        <v>219</v>
      </c>
      <c r="H149" s="617"/>
      <c r="I149" s="617"/>
      <c r="J149" s="617" t="s">
        <v>376</v>
      </c>
      <c r="K149" s="618"/>
      <c r="L149" s="616"/>
      <c r="M149" s="616"/>
      <c r="N149" s="617"/>
      <c r="O149" s="617"/>
      <c r="P149" s="617"/>
      <c r="Q149" s="617"/>
      <c r="R149" s="619"/>
      <c r="S149" s="617"/>
      <c r="T149" s="616" t="s">
        <v>221</v>
      </c>
    </row>
    <row r="150" ht="34.5">
      <c r="A150" s="616" t="s">
        <v>213</v>
      </c>
      <c r="B150" s="616" t="s">
        <v>214</v>
      </c>
      <c r="C150" s="616" t="s">
        <v>367</v>
      </c>
      <c r="D150" s="616" t="s">
        <v>216</v>
      </c>
      <c r="E150" s="616" t="s">
        <v>217</v>
      </c>
      <c r="F150" s="617" t="s">
        <v>218</v>
      </c>
      <c r="G150" s="616" t="s">
        <v>219</v>
      </c>
      <c r="H150" s="617"/>
      <c r="I150" s="617"/>
      <c r="J150" s="617" t="s">
        <v>377</v>
      </c>
      <c r="K150" s="618"/>
      <c r="L150" s="616"/>
      <c r="M150" s="616"/>
      <c r="N150" s="617"/>
      <c r="O150" s="617"/>
      <c r="P150" s="617"/>
      <c r="Q150" s="617"/>
      <c r="R150" s="619"/>
      <c r="S150" s="617"/>
      <c r="T150" s="616" t="s">
        <v>221</v>
      </c>
    </row>
    <row r="151" ht="34.5">
      <c r="A151" s="616" t="s">
        <v>213</v>
      </c>
      <c r="B151" s="616" t="s">
        <v>214</v>
      </c>
      <c r="C151" s="616" t="s">
        <v>367</v>
      </c>
      <c r="D151" s="616" t="s">
        <v>216</v>
      </c>
      <c r="E151" s="616" t="s">
        <v>217</v>
      </c>
      <c r="F151" s="617" t="s">
        <v>218</v>
      </c>
      <c r="G151" s="616" t="s">
        <v>219</v>
      </c>
      <c r="H151" s="617"/>
      <c r="I151" s="617"/>
      <c r="J151" s="617" t="s">
        <v>378</v>
      </c>
      <c r="K151" s="618"/>
      <c r="L151" s="616"/>
      <c r="M151" s="616"/>
      <c r="N151" s="617"/>
      <c r="O151" s="617"/>
      <c r="P151" s="617"/>
      <c r="Q151" s="617"/>
      <c r="R151" s="619"/>
      <c r="S151" s="617"/>
      <c r="T151" s="616" t="s">
        <v>221</v>
      </c>
    </row>
    <row r="152" ht="34.5">
      <c r="A152" s="616" t="s">
        <v>213</v>
      </c>
      <c r="B152" s="616" t="s">
        <v>214</v>
      </c>
      <c r="C152" s="616" t="s">
        <v>367</v>
      </c>
      <c r="D152" s="616" t="s">
        <v>216</v>
      </c>
      <c r="E152" s="616" t="s">
        <v>217</v>
      </c>
      <c r="F152" s="617" t="s">
        <v>218</v>
      </c>
      <c r="G152" s="616" t="s">
        <v>219</v>
      </c>
      <c r="H152" s="617"/>
      <c r="I152" s="617"/>
      <c r="J152" s="617" t="s">
        <v>379</v>
      </c>
      <c r="K152" s="618"/>
      <c r="L152" s="616"/>
      <c r="M152" s="616"/>
      <c r="N152" s="617"/>
      <c r="O152" s="617"/>
      <c r="P152" s="617"/>
      <c r="Q152" s="617"/>
      <c r="R152" s="619"/>
      <c r="S152" s="617"/>
      <c r="T152" s="616" t="s">
        <v>221</v>
      </c>
    </row>
    <row r="153" ht="34.5">
      <c r="A153" s="616" t="s">
        <v>213</v>
      </c>
      <c r="B153" s="616" t="s">
        <v>214</v>
      </c>
      <c r="C153" s="616" t="s">
        <v>367</v>
      </c>
      <c r="D153" s="616" t="s">
        <v>216</v>
      </c>
      <c r="E153" s="616" t="s">
        <v>217</v>
      </c>
      <c r="F153" s="617" t="s">
        <v>218</v>
      </c>
      <c r="G153" s="616" t="s">
        <v>219</v>
      </c>
      <c r="H153" s="617"/>
      <c r="I153" s="617"/>
      <c r="J153" s="617" t="s">
        <v>380</v>
      </c>
      <c r="K153" s="618"/>
      <c r="L153" s="616"/>
      <c r="M153" s="616"/>
      <c r="N153" s="617"/>
      <c r="O153" s="617"/>
      <c r="P153" s="617"/>
      <c r="Q153" s="617"/>
      <c r="R153" s="619"/>
      <c r="S153" s="617"/>
      <c r="T153" s="616" t="s">
        <v>221</v>
      </c>
    </row>
    <row r="154" ht="34.5">
      <c r="A154" s="616" t="s">
        <v>213</v>
      </c>
      <c r="B154" s="616" t="s">
        <v>214</v>
      </c>
      <c r="C154" s="616" t="s">
        <v>367</v>
      </c>
      <c r="D154" s="616" t="s">
        <v>216</v>
      </c>
      <c r="E154" s="616" t="s">
        <v>217</v>
      </c>
      <c r="F154" s="617" t="s">
        <v>218</v>
      </c>
      <c r="G154" s="616" t="s">
        <v>219</v>
      </c>
      <c r="H154" s="617"/>
      <c r="I154" s="617"/>
      <c r="J154" s="617" t="s">
        <v>381</v>
      </c>
      <c r="K154" s="618"/>
      <c r="L154" s="616"/>
      <c r="M154" s="616"/>
      <c r="N154" s="617"/>
      <c r="O154" s="617"/>
      <c r="P154" s="617"/>
      <c r="Q154" s="617"/>
      <c r="R154" s="619"/>
      <c r="S154" s="617"/>
      <c r="T154" s="616" t="s">
        <v>221</v>
      </c>
    </row>
    <row r="155" ht="34.5">
      <c r="A155" s="616" t="s">
        <v>213</v>
      </c>
      <c r="B155" s="616" t="s">
        <v>214</v>
      </c>
      <c r="C155" s="616" t="s">
        <v>367</v>
      </c>
      <c r="D155" s="616" t="s">
        <v>216</v>
      </c>
      <c r="E155" s="616" t="s">
        <v>217</v>
      </c>
      <c r="F155" s="617" t="s">
        <v>218</v>
      </c>
      <c r="G155" s="616" t="s">
        <v>219</v>
      </c>
      <c r="H155" s="617"/>
      <c r="I155" s="617"/>
      <c r="J155" s="617" t="s">
        <v>382</v>
      </c>
      <c r="K155" s="618"/>
      <c r="L155" s="616"/>
      <c r="M155" s="616"/>
      <c r="N155" s="617"/>
      <c r="O155" s="617"/>
      <c r="P155" s="617"/>
      <c r="Q155" s="617"/>
      <c r="R155" s="619"/>
      <c r="S155" s="617"/>
      <c r="T155" s="616" t="s">
        <v>221</v>
      </c>
    </row>
    <row r="156" ht="34.5">
      <c r="A156" s="616" t="s">
        <v>213</v>
      </c>
      <c r="B156" s="616" t="s">
        <v>214</v>
      </c>
      <c r="C156" s="616" t="s">
        <v>367</v>
      </c>
      <c r="D156" s="616" t="s">
        <v>216</v>
      </c>
      <c r="E156" s="616" t="s">
        <v>217</v>
      </c>
      <c r="F156" s="617" t="s">
        <v>218</v>
      </c>
      <c r="G156" s="616" t="s">
        <v>219</v>
      </c>
      <c r="H156" s="617"/>
      <c r="I156" s="617"/>
      <c r="J156" s="617" t="s">
        <v>383</v>
      </c>
      <c r="K156" s="618"/>
      <c r="L156" s="616"/>
      <c r="M156" s="616"/>
      <c r="N156" s="617"/>
      <c r="O156" s="617"/>
      <c r="P156" s="617"/>
      <c r="Q156" s="617"/>
      <c r="R156" s="619"/>
      <c r="S156" s="617"/>
      <c r="T156" s="616" t="s">
        <v>221</v>
      </c>
    </row>
    <row r="157" ht="34.5">
      <c r="A157" s="616" t="s">
        <v>213</v>
      </c>
      <c r="B157" s="616" t="s">
        <v>214</v>
      </c>
      <c r="C157" s="616" t="s">
        <v>384</v>
      </c>
      <c r="D157" s="616" t="s">
        <v>216</v>
      </c>
      <c r="E157" s="616" t="s">
        <v>217</v>
      </c>
      <c r="F157" s="617" t="s">
        <v>218</v>
      </c>
      <c r="G157" s="616" t="s">
        <v>219</v>
      </c>
      <c r="H157" s="617"/>
      <c r="I157" s="617"/>
      <c r="J157" s="617" t="s">
        <v>385</v>
      </c>
      <c r="K157" s="618"/>
      <c r="L157" s="616"/>
      <c r="M157" s="616"/>
      <c r="N157" s="617"/>
      <c r="O157" s="617"/>
      <c r="P157" s="617"/>
      <c r="Q157" s="617"/>
      <c r="R157" s="619"/>
      <c r="S157" s="617"/>
      <c r="T157" s="616" t="s">
        <v>221</v>
      </c>
    </row>
    <row r="158" ht="34.5">
      <c r="A158" s="616" t="s">
        <v>213</v>
      </c>
      <c r="B158" s="616" t="s">
        <v>214</v>
      </c>
      <c r="C158" s="616" t="s">
        <v>384</v>
      </c>
      <c r="D158" s="616" t="s">
        <v>216</v>
      </c>
      <c r="E158" s="616" t="s">
        <v>217</v>
      </c>
      <c r="F158" s="617" t="s">
        <v>218</v>
      </c>
      <c r="G158" s="616" t="s">
        <v>219</v>
      </c>
      <c r="H158" s="617"/>
      <c r="I158" s="617"/>
      <c r="J158" s="617" t="s">
        <v>386</v>
      </c>
      <c r="K158" s="618"/>
      <c r="L158" s="616"/>
      <c r="M158" s="616"/>
      <c r="N158" s="617"/>
      <c r="O158" s="617"/>
      <c r="P158" s="617"/>
      <c r="Q158" s="617"/>
      <c r="R158" s="619"/>
      <c r="S158" s="617"/>
      <c r="T158" s="616" t="s">
        <v>221</v>
      </c>
    </row>
    <row r="159" ht="34.5">
      <c r="A159" s="616" t="s">
        <v>213</v>
      </c>
      <c r="B159" s="616" t="s">
        <v>214</v>
      </c>
      <c r="C159" s="616" t="s">
        <v>384</v>
      </c>
      <c r="D159" s="616" t="s">
        <v>216</v>
      </c>
      <c r="E159" s="616" t="s">
        <v>217</v>
      </c>
      <c r="F159" s="617" t="s">
        <v>218</v>
      </c>
      <c r="G159" s="616" t="s">
        <v>219</v>
      </c>
      <c r="H159" s="617"/>
      <c r="I159" s="617"/>
      <c r="J159" s="617" t="s">
        <v>387</v>
      </c>
      <c r="K159" s="618"/>
      <c r="L159" s="616"/>
      <c r="M159" s="616"/>
      <c r="N159" s="617"/>
      <c r="O159" s="617"/>
      <c r="P159" s="617"/>
      <c r="Q159" s="617"/>
      <c r="R159" s="619"/>
      <c r="S159" s="617"/>
      <c r="T159" s="616" t="s">
        <v>221</v>
      </c>
    </row>
    <row r="160" ht="34.5">
      <c r="A160" s="616" t="s">
        <v>213</v>
      </c>
      <c r="B160" s="616" t="s">
        <v>214</v>
      </c>
      <c r="C160" s="616" t="s">
        <v>384</v>
      </c>
      <c r="D160" s="616" t="s">
        <v>216</v>
      </c>
      <c r="E160" s="616" t="s">
        <v>217</v>
      </c>
      <c r="F160" s="617" t="s">
        <v>218</v>
      </c>
      <c r="G160" s="616" t="s">
        <v>219</v>
      </c>
      <c r="H160" s="617"/>
      <c r="I160" s="617"/>
      <c r="J160" s="617" t="s">
        <v>388</v>
      </c>
      <c r="K160" s="618"/>
      <c r="L160" s="616"/>
      <c r="M160" s="616"/>
      <c r="N160" s="617"/>
      <c r="O160" s="617"/>
      <c r="P160" s="617"/>
      <c r="Q160" s="617"/>
      <c r="R160" s="619"/>
      <c r="S160" s="617"/>
      <c r="T160" s="616" t="s">
        <v>221</v>
      </c>
    </row>
    <row r="161" ht="34.5">
      <c r="A161" s="616" t="s">
        <v>213</v>
      </c>
      <c r="B161" s="616" t="s">
        <v>214</v>
      </c>
      <c r="C161" s="616" t="s">
        <v>384</v>
      </c>
      <c r="D161" s="616" t="s">
        <v>216</v>
      </c>
      <c r="E161" s="616" t="s">
        <v>217</v>
      </c>
      <c r="F161" s="617" t="s">
        <v>218</v>
      </c>
      <c r="G161" s="616" t="s">
        <v>219</v>
      </c>
      <c r="H161" s="617"/>
      <c r="I161" s="617"/>
      <c r="J161" s="617" t="s">
        <v>389</v>
      </c>
      <c r="K161" s="618"/>
      <c r="L161" s="616"/>
      <c r="M161" s="616"/>
      <c r="N161" s="617"/>
      <c r="O161" s="617"/>
      <c r="P161" s="617"/>
      <c r="Q161" s="617"/>
      <c r="R161" s="619"/>
      <c r="S161" s="617"/>
      <c r="T161" s="616" t="s">
        <v>221</v>
      </c>
    </row>
    <row r="162" ht="34.5">
      <c r="A162" s="616" t="s">
        <v>213</v>
      </c>
      <c r="B162" s="616" t="s">
        <v>214</v>
      </c>
      <c r="C162" s="616" t="s">
        <v>384</v>
      </c>
      <c r="D162" s="616" t="s">
        <v>216</v>
      </c>
      <c r="E162" s="616" t="s">
        <v>217</v>
      </c>
      <c r="F162" s="617" t="s">
        <v>218</v>
      </c>
      <c r="G162" s="616" t="s">
        <v>219</v>
      </c>
      <c r="H162" s="617"/>
      <c r="I162" s="617"/>
      <c r="J162" s="617" t="s">
        <v>390</v>
      </c>
      <c r="K162" s="618"/>
      <c r="L162" s="616"/>
      <c r="M162" s="616"/>
      <c r="N162" s="617"/>
      <c r="O162" s="617"/>
      <c r="P162" s="617"/>
      <c r="Q162" s="617"/>
      <c r="R162" s="619"/>
      <c r="S162" s="617"/>
      <c r="T162" s="616" t="s">
        <v>221</v>
      </c>
    </row>
    <row r="163" ht="34.5">
      <c r="A163" s="616" t="s">
        <v>213</v>
      </c>
      <c r="B163" s="616" t="s">
        <v>214</v>
      </c>
      <c r="C163" s="616" t="s">
        <v>384</v>
      </c>
      <c r="D163" s="616" t="s">
        <v>216</v>
      </c>
      <c r="E163" s="616" t="s">
        <v>217</v>
      </c>
      <c r="F163" s="617" t="s">
        <v>218</v>
      </c>
      <c r="G163" s="616" t="s">
        <v>219</v>
      </c>
      <c r="H163" s="617"/>
      <c r="I163" s="617"/>
      <c r="J163" s="617" t="s">
        <v>391</v>
      </c>
      <c r="K163" s="618"/>
      <c r="L163" s="616"/>
      <c r="M163" s="616"/>
      <c r="N163" s="617"/>
      <c r="O163" s="617"/>
      <c r="P163" s="617"/>
      <c r="Q163" s="617"/>
      <c r="R163" s="619"/>
      <c r="S163" s="617"/>
      <c r="T163" s="616" t="s">
        <v>221</v>
      </c>
    </row>
    <row r="164" ht="34.5">
      <c r="A164" s="616" t="s">
        <v>213</v>
      </c>
      <c r="B164" s="616" t="s">
        <v>214</v>
      </c>
      <c r="C164" s="616" t="s">
        <v>384</v>
      </c>
      <c r="D164" s="616" t="s">
        <v>216</v>
      </c>
      <c r="E164" s="616" t="s">
        <v>217</v>
      </c>
      <c r="F164" s="617" t="s">
        <v>218</v>
      </c>
      <c r="G164" s="616" t="s">
        <v>219</v>
      </c>
      <c r="H164" s="617"/>
      <c r="I164" s="617"/>
      <c r="J164" s="617" t="s">
        <v>392</v>
      </c>
      <c r="K164" s="618"/>
      <c r="L164" s="616"/>
      <c r="M164" s="616"/>
      <c r="N164" s="617"/>
      <c r="O164" s="617"/>
      <c r="P164" s="617"/>
      <c r="Q164" s="617"/>
      <c r="R164" s="619"/>
      <c r="S164" s="617"/>
      <c r="T164" s="616" t="s">
        <v>221</v>
      </c>
    </row>
    <row r="165" ht="34.5">
      <c r="A165" s="616" t="s">
        <v>213</v>
      </c>
      <c r="B165" s="616" t="s">
        <v>214</v>
      </c>
      <c r="C165" s="616" t="s">
        <v>384</v>
      </c>
      <c r="D165" s="616" t="s">
        <v>216</v>
      </c>
      <c r="E165" s="616" t="s">
        <v>217</v>
      </c>
      <c r="F165" s="617" t="s">
        <v>218</v>
      </c>
      <c r="G165" s="616" t="s">
        <v>219</v>
      </c>
      <c r="H165" s="617"/>
      <c r="I165" s="617"/>
      <c r="J165" s="617" t="s">
        <v>393</v>
      </c>
      <c r="K165" s="618"/>
      <c r="L165" s="616"/>
      <c r="M165" s="616"/>
      <c r="N165" s="617"/>
      <c r="O165" s="617"/>
      <c r="P165" s="617"/>
      <c r="Q165" s="617"/>
      <c r="R165" s="619"/>
      <c r="S165" s="617"/>
      <c r="T165" s="616" t="s">
        <v>221</v>
      </c>
    </row>
    <row r="166" ht="34.5">
      <c r="A166" s="616" t="s">
        <v>213</v>
      </c>
      <c r="B166" s="616" t="s">
        <v>214</v>
      </c>
      <c r="C166" s="616" t="s">
        <v>384</v>
      </c>
      <c r="D166" s="616" t="s">
        <v>216</v>
      </c>
      <c r="E166" s="616" t="s">
        <v>217</v>
      </c>
      <c r="F166" s="617" t="s">
        <v>218</v>
      </c>
      <c r="G166" s="616" t="s">
        <v>219</v>
      </c>
      <c r="H166" s="617"/>
      <c r="I166" s="617"/>
      <c r="J166" s="617" t="s">
        <v>394</v>
      </c>
      <c r="K166" s="618"/>
      <c r="L166" s="616"/>
      <c r="M166" s="616"/>
      <c r="N166" s="617"/>
      <c r="O166" s="617"/>
      <c r="P166" s="617"/>
      <c r="Q166" s="617"/>
      <c r="R166" s="619"/>
      <c r="S166" s="617"/>
      <c r="T166" s="616" t="s">
        <v>221</v>
      </c>
    </row>
    <row r="167" ht="34.5">
      <c r="A167" s="616" t="s">
        <v>213</v>
      </c>
      <c r="B167" s="616" t="s">
        <v>214</v>
      </c>
      <c r="C167" s="616" t="s">
        <v>384</v>
      </c>
      <c r="D167" s="616" t="s">
        <v>216</v>
      </c>
      <c r="E167" s="616" t="s">
        <v>217</v>
      </c>
      <c r="F167" s="617" t="s">
        <v>218</v>
      </c>
      <c r="G167" s="616" t="s">
        <v>219</v>
      </c>
      <c r="H167" s="617"/>
      <c r="I167" s="617"/>
      <c r="J167" s="617" t="s">
        <v>395</v>
      </c>
      <c r="K167" s="618"/>
      <c r="L167" s="616"/>
      <c r="M167" s="616"/>
      <c r="N167" s="617"/>
      <c r="O167" s="617"/>
      <c r="P167" s="617"/>
      <c r="Q167" s="617"/>
      <c r="R167" s="619"/>
      <c r="S167" s="617"/>
      <c r="T167" s="616" t="s">
        <v>221</v>
      </c>
    </row>
    <row r="168" ht="34.5">
      <c r="A168" s="616" t="s">
        <v>213</v>
      </c>
      <c r="B168" s="616" t="s">
        <v>214</v>
      </c>
      <c r="C168" s="616" t="s">
        <v>384</v>
      </c>
      <c r="D168" s="616" t="s">
        <v>216</v>
      </c>
      <c r="E168" s="616" t="s">
        <v>217</v>
      </c>
      <c r="F168" s="617" t="s">
        <v>218</v>
      </c>
      <c r="G168" s="616" t="s">
        <v>219</v>
      </c>
      <c r="H168" s="617"/>
      <c r="I168" s="617"/>
      <c r="J168" s="617" t="s">
        <v>396</v>
      </c>
      <c r="K168" s="618"/>
      <c r="L168" s="616"/>
      <c r="M168" s="616"/>
      <c r="N168" s="617"/>
      <c r="O168" s="617"/>
      <c r="P168" s="617"/>
      <c r="Q168" s="617"/>
      <c r="R168" s="619"/>
      <c r="S168" s="617"/>
      <c r="T168" s="616" t="s">
        <v>221</v>
      </c>
    </row>
    <row r="169" ht="34.5">
      <c r="A169" s="616" t="s">
        <v>213</v>
      </c>
      <c r="B169" s="616" t="s">
        <v>214</v>
      </c>
      <c r="C169" s="616" t="s">
        <v>384</v>
      </c>
      <c r="D169" s="616" t="s">
        <v>216</v>
      </c>
      <c r="E169" s="616" t="s">
        <v>217</v>
      </c>
      <c r="F169" s="617" t="s">
        <v>218</v>
      </c>
      <c r="G169" s="616" t="s">
        <v>219</v>
      </c>
      <c r="H169" s="617"/>
      <c r="I169" s="617"/>
      <c r="J169" s="617" t="s">
        <v>397</v>
      </c>
      <c r="K169" s="618"/>
      <c r="L169" s="616"/>
      <c r="M169" s="616"/>
      <c r="N169" s="617"/>
      <c r="O169" s="617"/>
      <c r="P169" s="617"/>
      <c r="Q169" s="617"/>
      <c r="R169" s="619"/>
      <c r="S169" s="617"/>
      <c r="T169" s="616" t="s">
        <v>221</v>
      </c>
    </row>
    <row r="170" ht="34.5">
      <c r="A170" s="616" t="s">
        <v>213</v>
      </c>
      <c r="B170" s="616" t="s">
        <v>214</v>
      </c>
      <c r="C170" s="616" t="s">
        <v>398</v>
      </c>
      <c r="D170" s="616" t="s">
        <v>216</v>
      </c>
      <c r="E170" s="616" t="s">
        <v>217</v>
      </c>
      <c r="F170" s="617" t="s">
        <v>218</v>
      </c>
      <c r="G170" s="616" t="s">
        <v>219</v>
      </c>
      <c r="H170" s="617"/>
      <c r="I170" s="617"/>
      <c r="J170" s="617" t="s">
        <v>399</v>
      </c>
      <c r="K170" s="618"/>
      <c r="L170" s="616"/>
      <c r="M170" s="616"/>
      <c r="N170" s="617"/>
      <c r="O170" s="617"/>
      <c r="P170" s="617"/>
      <c r="Q170" s="617"/>
      <c r="R170" s="619"/>
      <c r="S170" s="617"/>
      <c r="T170" s="616" t="s">
        <v>221</v>
      </c>
    </row>
    <row r="171" ht="34.5">
      <c r="A171" s="616" t="s">
        <v>213</v>
      </c>
      <c r="B171" s="616" t="s">
        <v>214</v>
      </c>
      <c r="C171" s="616" t="s">
        <v>398</v>
      </c>
      <c r="D171" s="616" t="s">
        <v>216</v>
      </c>
      <c r="E171" s="616" t="s">
        <v>217</v>
      </c>
      <c r="F171" s="617" t="s">
        <v>218</v>
      </c>
      <c r="G171" s="616" t="s">
        <v>219</v>
      </c>
      <c r="H171" s="617"/>
      <c r="I171" s="617"/>
      <c r="J171" s="617" t="s">
        <v>400</v>
      </c>
      <c r="K171" s="618"/>
      <c r="L171" s="616"/>
      <c r="M171" s="616"/>
      <c r="N171" s="617"/>
      <c r="O171" s="617"/>
      <c r="P171" s="617"/>
      <c r="Q171" s="617"/>
      <c r="R171" s="619"/>
      <c r="S171" s="617"/>
      <c r="T171" s="616" t="s">
        <v>221</v>
      </c>
    </row>
    <row r="172" ht="34.5">
      <c r="A172" s="616" t="s">
        <v>213</v>
      </c>
      <c r="B172" s="616" t="s">
        <v>214</v>
      </c>
      <c r="C172" s="616" t="s">
        <v>398</v>
      </c>
      <c r="D172" s="616" t="s">
        <v>216</v>
      </c>
      <c r="E172" s="616" t="s">
        <v>217</v>
      </c>
      <c r="F172" s="617" t="s">
        <v>218</v>
      </c>
      <c r="G172" s="616" t="s">
        <v>219</v>
      </c>
      <c r="H172" s="617"/>
      <c r="I172" s="617"/>
      <c r="J172" s="617" t="s">
        <v>401</v>
      </c>
      <c r="K172" s="618"/>
      <c r="L172" s="616"/>
      <c r="M172" s="616"/>
      <c r="N172" s="617"/>
      <c r="O172" s="617"/>
      <c r="P172" s="617"/>
      <c r="Q172" s="617"/>
      <c r="R172" s="619"/>
      <c r="S172" s="617"/>
      <c r="T172" s="616" t="s">
        <v>221</v>
      </c>
    </row>
    <row r="173" ht="34.5">
      <c r="A173" s="616" t="s">
        <v>213</v>
      </c>
      <c r="B173" s="616" t="s">
        <v>214</v>
      </c>
      <c r="C173" s="616" t="s">
        <v>398</v>
      </c>
      <c r="D173" s="616" t="s">
        <v>216</v>
      </c>
      <c r="E173" s="616" t="s">
        <v>217</v>
      </c>
      <c r="F173" s="617" t="s">
        <v>218</v>
      </c>
      <c r="G173" s="616" t="s">
        <v>219</v>
      </c>
      <c r="H173" s="617"/>
      <c r="I173" s="617"/>
      <c r="J173" s="617" t="s">
        <v>402</v>
      </c>
      <c r="K173" s="618"/>
      <c r="L173" s="616"/>
      <c r="M173" s="616"/>
      <c r="N173" s="617"/>
      <c r="O173" s="617"/>
      <c r="P173" s="617"/>
      <c r="Q173" s="617"/>
      <c r="R173" s="619"/>
      <c r="S173" s="617"/>
      <c r="T173" s="616" t="s">
        <v>221</v>
      </c>
    </row>
    <row r="174" ht="34.5">
      <c r="A174" s="616" t="s">
        <v>213</v>
      </c>
      <c r="B174" s="616" t="s">
        <v>214</v>
      </c>
      <c r="C174" s="616" t="s">
        <v>398</v>
      </c>
      <c r="D174" s="616" t="s">
        <v>216</v>
      </c>
      <c r="E174" s="616" t="s">
        <v>217</v>
      </c>
      <c r="F174" s="617" t="s">
        <v>218</v>
      </c>
      <c r="G174" s="616" t="s">
        <v>219</v>
      </c>
      <c r="H174" s="617"/>
      <c r="I174" s="617"/>
      <c r="J174" s="617" t="s">
        <v>403</v>
      </c>
      <c r="K174" s="618"/>
      <c r="L174" s="616"/>
      <c r="M174" s="616"/>
      <c r="N174" s="617"/>
      <c r="O174" s="617"/>
      <c r="P174" s="617"/>
      <c r="Q174" s="617"/>
      <c r="R174" s="619"/>
      <c r="S174" s="617"/>
      <c r="T174" s="616" t="s">
        <v>221</v>
      </c>
    </row>
    <row r="175" ht="34.5">
      <c r="A175" s="616" t="s">
        <v>213</v>
      </c>
      <c r="B175" s="616" t="s">
        <v>214</v>
      </c>
      <c r="C175" s="616" t="s">
        <v>398</v>
      </c>
      <c r="D175" s="616" t="s">
        <v>216</v>
      </c>
      <c r="E175" s="616" t="s">
        <v>217</v>
      </c>
      <c r="F175" s="617" t="s">
        <v>218</v>
      </c>
      <c r="G175" s="616" t="s">
        <v>219</v>
      </c>
      <c r="H175" s="617"/>
      <c r="I175" s="617"/>
      <c r="J175" s="617" t="s">
        <v>404</v>
      </c>
      <c r="K175" s="618"/>
      <c r="L175" s="616"/>
      <c r="M175" s="616"/>
      <c r="N175" s="617"/>
      <c r="O175" s="617"/>
      <c r="P175" s="617"/>
      <c r="Q175" s="617"/>
      <c r="R175" s="619"/>
      <c r="S175" s="617"/>
      <c r="T175" s="616" t="s">
        <v>221</v>
      </c>
    </row>
    <row r="176" ht="34.5">
      <c r="A176" s="616" t="s">
        <v>213</v>
      </c>
      <c r="B176" s="616" t="s">
        <v>214</v>
      </c>
      <c r="C176" s="616" t="s">
        <v>398</v>
      </c>
      <c r="D176" s="616" t="s">
        <v>216</v>
      </c>
      <c r="E176" s="616" t="s">
        <v>217</v>
      </c>
      <c r="F176" s="617" t="s">
        <v>218</v>
      </c>
      <c r="G176" s="616" t="s">
        <v>219</v>
      </c>
      <c r="H176" s="617"/>
      <c r="I176" s="617"/>
      <c r="J176" s="617" t="s">
        <v>405</v>
      </c>
      <c r="K176" s="618"/>
      <c r="L176" s="616"/>
      <c r="M176" s="616"/>
      <c r="N176" s="617"/>
      <c r="O176" s="617"/>
      <c r="P176" s="617"/>
      <c r="Q176" s="617"/>
      <c r="R176" s="619"/>
      <c r="S176" s="617"/>
      <c r="T176" s="616" t="s">
        <v>221</v>
      </c>
    </row>
    <row r="177" ht="34.5">
      <c r="A177" s="616" t="s">
        <v>213</v>
      </c>
      <c r="B177" s="616" t="s">
        <v>214</v>
      </c>
      <c r="C177" s="616" t="s">
        <v>398</v>
      </c>
      <c r="D177" s="616" t="s">
        <v>216</v>
      </c>
      <c r="E177" s="616" t="s">
        <v>217</v>
      </c>
      <c r="F177" s="617" t="s">
        <v>218</v>
      </c>
      <c r="G177" s="616" t="s">
        <v>219</v>
      </c>
      <c r="H177" s="617"/>
      <c r="I177" s="617"/>
      <c r="J177" s="617" t="s">
        <v>406</v>
      </c>
      <c r="K177" s="618"/>
      <c r="L177" s="616"/>
      <c r="M177" s="616"/>
      <c r="N177" s="617"/>
      <c r="O177" s="617"/>
      <c r="P177" s="617"/>
      <c r="Q177" s="617"/>
      <c r="R177" s="619"/>
      <c r="S177" s="617"/>
      <c r="T177" s="616" t="s">
        <v>221</v>
      </c>
    </row>
    <row r="178" ht="34.5">
      <c r="A178" s="616" t="s">
        <v>213</v>
      </c>
      <c r="B178" s="616" t="s">
        <v>214</v>
      </c>
      <c r="C178" s="616" t="s">
        <v>398</v>
      </c>
      <c r="D178" s="616" t="s">
        <v>216</v>
      </c>
      <c r="E178" s="616" t="s">
        <v>217</v>
      </c>
      <c r="F178" s="617" t="s">
        <v>218</v>
      </c>
      <c r="G178" s="616" t="s">
        <v>219</v>
      </c>
      <c r="H178" s="617"/>
      <c r="I178" s="617"/>
      <c r="J178" s="617" t="s">
        <v>407</v>
      </c>
      <c r="K178" s="618"/>
      <c r="L178" s="616"/>
      <c r="M178" s="616"/>
      <c r="N178" s="617"/>
      <c r="O178" s="617"/>
      <c r="P178" s="617"/>
      <c r="Q178" s="617"/>
      <c r="R178" s="619"/>
      <c r="S178" s="617"/>
      <c r="T178" s="616" t="s">
        <v>221</v>
      </c>
    </row>
    <row r="179" ht="34.5">
      <c r="A179" s="616" t="s">
        <v>213</v>
      </c>
      <c r="B179" s="616" t="s">
        <v>214</v>
      </c>
      <c r="C179" s="616" t="s">
        <v>398</v>
      </c>
      <c r="D179" s="616" t="s">
        <v>216</v>
      </c>
      <c r="E179" s="616" t="s">
        <v>217</v>
      </c>
      <c r="F179" s="617" t="s">
        <v>218</v>
      </c>
      <c r="G179" s="616" t="s">
        <v>219</v>
      </c>
      <c r="H179" s="617"/>
      <c r="I179" s="617"/>
      <c r="J179" s="617" t="s">
        <v>408</v>
      </c>
      <c r="K179" s="618"/>
      <c r="L179" s="616"/>
      <c r="M179" s="616"/>
      <c r="N179" s="617"/>
      <c r="O179" s="617"/>
      <c r="P179" s="617"/>
      <c r="Q179" s="617"/>
      <c r="R179" s="619"/>
      <c r="S179" s="617"/>
      <c r="T179" s="616" t="s">
        <v>221</v>
      </c>
    </row>
    <row r="180" ht="34.5">
      <c r="A180" s="616" t="s">
        <v>213</v>
      </c>
      <c r="B180" s="616" t="s">
        <v>214</v>
      </c>
      <c r="C180" s="616" t="s">
        <v>398</v>
      </c>
      <c r="D180" s="616" t="s">
        <v>216</v>
      </c>
      <c r="E180" s="616" t="s">
        <v>217</v>
      </c>
      <c r="F180" s="617" t="s">
        <v>218</v>
      </c>
      <c r="G180" s="616" t="s">
        <v>219</v>
      </c>
      <c r="H180" s="617"/>
      <c r="I180" s="617"/>
      <c r="J180" s="617" t="s">
        <v>409</v>
      </c>
      <c r="K180" s="618"/>
      <c r="L180" s="616"/>
      <c r="M180" s="616"/>
      <c r="N180" s="617"/>
      <c r="O180" s="617"/>
      <c r="P180" s="617"/>
      <c r="Q180" s="617"/>
      <c r="R180" s="619"/>
      <c r="S180" s="617"/>
      <c r="T180" s="616" t="s">
        <v>221</v>
      </c>
    </row>
    <row r="181" ht="34.5">
      <c r="A181" s="616" t="s">
        <v>213</v>
      </c>
      <c r="B181" s="616" t="s">
        <v>214</v>
      </c>
      <c r="C181" s="616" t="s">
        <v>398</v>
      </c>
      <c r="D181" s="616" t="s">
        <v>216</v>
      </c>
      <c r="E181" s="616" t="s">
        <v>217</v>
      </c>
      <c r="F181" s="617" t="s">
        <v>218</v>
      </c>
      <c r="G181" s="616" t="s">
        <v>219</v>
      </c>
      <c r="H181" s="617"/>
      <c r="I181" s="617"/>
      <c r="J181" s="617" t="s">
        <v>410</v>
      </c>
      <c r="K181" s="618"/>
      <c r="L181" s="616"/>
      <c r="M181" s="616"/>
      <c r="N181" s="617"/>
      <c r="O181" s="617"/>
      <c r="P181" s="617"/>
      <c r="Q181" s="617"/>
      <c r="R181" s="619"/>
      <c r="S181" s="617"/>
      <c r="T181" s="616" t="s">
        <v>221</v>
      </c>
    </row>
    <row r="182" ht="34.5">
      <c r="A182" s="616" t="s">
        <v>213</v>
      </c>
      <c r="B182" s="616" t="s">
        <v>214</v>
      </c>
      <c r="C182" s="616" t="s">
        <v>398</v>
      </c>
      <c r="D182" s="616" t="s">
        <v>216</v>
      </c>
      <c r="E182" s="616" t="s">
        <v>217</v>
      </c>
      <c r="F182" s="617" t="s">
        <v>218</v>
      </c>
      <c r="G182" s="616" t="s">
        <v>219</v>
      </c>
      <c r="H182" s="617"/>
      <c r="I182" s="617"/>
      <c r="J182" s="617" t="s">
        <v>411</v>
      </c>
      <c r="K182" s="618"/>
      <c r="L182" s="616"/>
      <c r="M182" s="616"/>
      <c r="N182" s="617"/>
      <c r="O182" s="617"/>
      <c r="P182" s="617"/>
      <c r="Q182" s="617"/>
      <c r="R182" s="619"/>
      <c r="S182" s="617"/>
      <c r="T182" s="616" t="s">
        <v>221</v>
      </c>
    </row>
    <row r="183" ht="34.5">
      <c r="A183" s="616" t="s">
        <v>213</v>
      </c>
      <c r="B183" s="616" t="s">
        <v>214</v>
      </c>
      <c r="C183" s="616" t="s">
        <v>398</v>
      </c>
      <c r="D183" s="616" t="s">
        <v>216</v>
      </c>
      <c r="E183" s="616" t="s">
        <v>217</v>
      </c>
      <c r="F183" s="617" t="s">
        <v>218</v>
      </c>
      <c r="G183" s="616" t="s">
        <v>219</v>
      </c>
      <c r="H183" s="617"/>
      <c r="I183" s="617"/>
      <c r="J183" s="617" t="s">
        <v>412</v>
      </c>
      <c r="K183" s="618"/>
      <c r="L183" s="616"/>
      <c r="M183" s="616"/>
      <c r="N183" s="617"/>
      <c r="O183" s="617"/>
      <c r="P183" s="617"/>
      <c r="Q183" s="617"/>
      <c r="R183" s="619"/>
      <c r="S183" s="617"/>
      <c r="T183" s="616" t="s">
        <v>221</v>
      </c>
    </row>
    <row r="184" ht="34.5">
      <c r="A184" s="616" t="s">
        <v>213</v>
      </c>
      <c r="B184" s="616" t="s">
        <v>214</v>
      </c>
      <c r="C184" s="616" t="s">
        <v>413</v>
      </c>
      <c r="D184" s="616" t="s">
        <v>216</v>
      </c>
      <c r="E184" s="616" t="s">
        <v>217</v>
      </c>
      <c r="F184" s="617" t="s">
        <v>218</v>
      </c>
      <c r="G184" s="616" t="s">
        <v>219</v>
      </c>
      <c r="H184" s="617"/>
      <c r="I184" s="617"/>
      <c r="J184" s="617" t="s">
        <v>414</v>
      </c>
      <c r="K184" s="618"/>
      <c r="L184" s="616"/>
      <c r="M184" s="616"/>
      <c r="N184" s="617"/>
      <c r="O184" s="617"/>
      <c r="P184" s="617"/>
      <c r="Q184" s="617"/>
      <c r="R184" s="619"/>
      <c r="S184" s="617"/>
      <c r="T184" s="616" t="s">
        <v>221</v>
      </c>
    </row>
    <row r="185" ht="34.5">
      <c r="A185" s="616" t="s">
        <v>213</v>
      </c>
      <c r="B185" s="616" t="s">
        <v>214</v>
      </c>
      <c r="C185" s="616" t="s">
        <v>413</v>
      </c>
      <c r="D185" s="616" t="s">
        <v>216</v>
      </c>
      <c r="E185" s="616" t="s">
        <v>217</v>
      </c>
      <c r="F185" s="617" t="s">
        <v>218</v>
      </c>
      <c r="G185" s="616" t="s">
        <v>219</v>
      </c>
      <c r="H185" s="617"/>
      <c r="I185" s="617"/>
      <c r="J185" s="617" t="s">
        <v>415</v>
      </c>
      <c r="K185" s="618"/>
      <c r="L185" s="616"/>
      <c r="M185" s="616"/>
      <c r="N185" s="617"/>
      <c r="O185" s="617"/>
      <c r="P185" s="617"/>
      <c r="Q185" s="617"/>
      <c r="R185" s="619"/>
      <c r="S185" s="617"/>
      <c r="T185" s="616" t="s">
        <v>221</v>
      </c>
    </row>
    <row r="186" ht="34.5">
      <c r="A186" s="616" t="s">
        <v>213</v>
      </c>
      <c r="B186" s="616" t="s">
        <v>214</v>
      </c>
      <c r="C186" s="616" t="s">
        <v>413</v>
      </c>
      <c r="D186" s="616" t="s">
        <v>216</v>
      </c>
      <c r="E186" s="616" t="s">
        <v>217</v>
      </c>
      <c r="F186" s="617" t="s">
        <v>218</v>
      </c>
      <c r="G186" s="616" t="s">
        <v>219</v>
      </c>
      <c r="H186" s="617"/>
      <c r="I186" s="617"/>
      <c r="J186" s="617" t="s">
        <v>416</v>
      </c>
      <c r="K186" s="618"/>
      <c r="L186" s="616"/>
      <c r="M186" s="616"/>
      <c r="N186" s="617"/>
      <c r="O186" s="617"/>
      <c r="P186" s="617"/>
      <c r="Q186" s="617"/>
      <c r="R186" s="619"/>
      <c r="S186" s="617"/>
      <c r="T186" s="616" t="s">
        <v>221</v>
      </c>
    </row>
    <row r="187" ht="34.5">
      <c r="A187" s="616" t="s">
        <v>213</v>
      </c>
      <c r="B187" s="616" t="s">
        <v>214</v>
      </c>
      <c r="C187" s="616" t="s">
        <v>413</v>
      </c>
      <c r="D187" s="616" t="s">
        <v>216</v>
      </c>
      <c r="E187" s="616" t="s">
        <v>217</v>
      </c>
      <c r="F187" s="617" t="s">
        <v>218</v>
      </c>
      <c r="G187" s="616" t="s">
        <v>219</v>
      </c>
      <c r="H187" s="617"/>
      <c r="I187" s="617"/>
      <c r="J187" s="617" t="s">
        <v>417</v>
      </c>
      <c r="K187" s="618"/>
      <c r="L187" s="616"/>
      <c r="M187" s="616"/>
      <c r="N187" s="617"/>
      <c r="O187" s="617"/>
      <c r="P187" s="617"/>
      <c r="Q187" s="617"/>
      <c r="R187" s="619"/>
      <c r="S187" s="617"/>
      <c r="T187" s="616" t="s">
        <v>221</v>
      </c>
    </row>
    <row r="188" ht="34.5">
      <c r="A188" s="616" t="s">
        <v>213</v>
      </c>
      <c r="B188" s="616" t="s">
        <v>214</v>
      </c>
      <c r="C188" s="616" t="s">
        <v>413</v>
      </c>
      <c r="D188" s="616" t="s">
        <v>216</v>
      </c>
      <c r="E188" s="616" t="s">
        <v>217</v>
      </c>
      <c r="F188" s="617" t="s">
        <v>218</v>
      </c>
      <c r="G188" s="616" t="s">
        <v>219</v>
      </c>
      <c r="H188" s="617"/>
      <c r="I188" s="617"/>
      <c r="J188" s="617" t="s">
        <v>418</v>
      </c>
      <c r="K188" s="618"/>
      <c r="L188" s="616"/>
      <c r="M188" s="616"/>
      <c r="N188" s="617"/>
      <c r="O188" s="617"/>
      <c r="P188" s="617"/>
      <c r="Q188" s="617"/>
      <c r="R188" s="619"/>
      <c r="S188" s="617"/>
      <c r="T188" s="616" t="s">
        <v>221</v>
      </c>
    </row>
    <row r="189" ht="34.5">
      <c r="A189" s="616" t="s">
        <v>213</v>
      </c>
      <c r="B189" s="616" t="s">
        <v>214</v>
      </c>
      <c r="C189" s="616" t="s">
        <v>413</v>
      </c>
      <c r="D189" s="616" t="s">
        <v>216</v>
      </c>
      <c r="E189" s="616" t="s">
        <v>217</v>
      </c>
      <c r="F189" s="617" t="s">
        <v>218</v>
      </c>
      <c r="G189" s="616" t="s">
        <v>219</v>
      </c>
      <c r="H189" s="617"/>
      <c r="I189" s="617"/>
      <c r="J189" s="617" t="s">
        <v>419</v>
      </c>
      <c r="K189" s="618"/>
      <c r="L189" s="616"/>
      <c r="M189" s="616"/>
      <c r="N189" s="617"/>
      <c r="O189" s="617"/>
      <c r="P189" s="617"/>
      <c r="Q189" s="617"/>
      <c r="R189" s="619"/>
      <c r="S189" s="617"/>
      <c r="T189" s="616" t="s">
        <v>221</v>
      </c>
    </row>
    <row r="190" ht="34.5">
      <c r="A190" s="616" t="s">
        <v>213</v>
      </c>
      <c r="B190" s="616" t="s">
        <v>214</v>
      </c>
      <c r="C190" s="616" t="s">
        <v>413</v>
      </c>
      <c r="D190" s="616" t="s">
        <v>216</v>
      </c>
      <c r="E190" s="616" t="s">
        <v>217</v>
      </c>
      <c r="F190" s="617" t="s">
        <v>218</v>
      </c>
      <c r="G190" s="616" t="s">
        <v>219</v>
      </c>
      <c r="H190" s="617"/>
      <c r="I190" s="617"/>
      <c r="J190" s="617" t="s">
        <v>420</v>
      </c>
      <c r="K190" s="618"/>
      <c r="L190" s="616"/>
      <c r="M190" s="616"/>
      <c r="N190" s="617"/>
      <c r="O190" s="617"/>
      <c r="P190" s="617"/>
      <c r="Q190" s="617"/>
      <c r="R190" s="619"/>
      <c r="S190" s="617"/>
      <c r="T190" s="616" t="s">
        <v>221</v>
      </c>
    </row>
    <row r="191" ht="34.5">
      <c r="A191" s="616" t="s">
        <v>213</v>
      </c>
      <c r="B191" s="616" t="s">
        <v>214</v>
      </c>
      <c r="C191" s="616" t="s">
        <v>413</v>
      </c>
      <c r="D191" s="616" t="s">
        <v>216</v>
      </c>
      <c r="E191" s="616" t="s">
        <v>217</v>
      </c>
      <c r="F191" s="617" t="s">
        <v>218</v>
      </c>
      <c r="G191" s="616" t="s">
        <v>219</v>
      </c>
      <c r="H191" s="617"/>
      <c r="I191" s="617"/>
      <c r="J191" s="617" t="s">
        <v>421</v>
      </c>
      <c r="K191" s="618"/>
      <c r="L191" s="616"/>
      <c r="M191" s="616"/>
      <c r="N191" s="617"/>
      <c r="O191" s="617"/>
      <c r="P191" s="617"/>
      <c r="Q191" s="617"/>
      <c r="R191" s="619"/>
      <c r="S191" s="617"/>
      <c r="T191" s="616" t="s">
        <v>221</v>
      </c>
    </row>
    <row r="192" ht="34.5">
      <c r="A192" s="616" t="s">
        <v>213</v>
      </c>
      <c r="B192" s="616" t="s">
        <v>214</v>
      </c>
      <c r="C192" s="616" t="s">
        <v>413</v>
      </c>
      <c r="D192" s="616" t="s">
        <v>216</v>
      </c>
      <c r="E192" s="616" t="s">
        <v>217</v>
      </c>
      <c r="F192" s="617" t="s">
        <v>218</v>
      </c>
      <c r="G192" s="616" t="s">
        <v>219</v>
      </c>
      <c r="H192" s="617"/>
      <c r="I192" s="617"/>
      <c r="J192" s="617" t="s">
        <v>422</v>
      </c>
      <c r="K192" s="618"/>
      <c r="L192" s="616"/>
      <c r="M192" s="616"/>
      <c r="N192" s="617"/>
      <c r="O192" s="617"/>
      <c r="P192" s="617"/>
      <c r="Q192" s="617"/>
      <c r="R192" s="619"/>
      <c r="S192" s="617"/>
      <c r="T192" s="616" t="s">
        <v>221</v>
      </c>
    </row>
    <row r="193" ht="34.5">
      <c r="A193" s="616" t="s">
        <v>213</v>
      </c>
      <c r="B193" s="616" t="s">
        <v>214</v>
      </c>
      <c r="C193" s="616" t="s">
        <v>413</v>
      </c>
      <c r="D193" s="616" t="s">
        <v>216</v>
      </c>
      <c r="E193" s="616" t="s">
        <v>217</v>
      </c>
      <c r="F193" s="617" t="s">
        <v>218</v>
      </c>
      <c r="G193" s="616" t="s">
        <v>219</v>
      </c>
      <c r="H193" s="617"/>
      <c r="I193" s="617"/>
      <c r="J193" s="617" t="s">
        <v>423</v>
      </c>
      <c r="K193" s="618"/>
      <c r="L193" s="616"/>
      <c r="M193" s="616"/>
      <c r="N193" s="617"/>
      <c r="O193" s="617"/>
      <c r="P193" s="617"/>
      <c r="Q193" s="617"/>
      <c r="R193" s="619"/>
      <c r="S193" s="617"/>
      <c r="T193" s="616" t="s">
        <v>221</v>
      </c>
    </row>
    <row r="194" ht="34.5">
      <c r="A194" s="616" t="s">
        <v>213</v>
      </c>
      <c r="B194" s="616" t="s">
        <v>214</v>
      </c>
      <c r="C194" s="616" t="s">
        <v>424</v>
      </c>
      <c r="D194" s="616" t="s">
        <v>216</v>
      </c>
      <c r="E194" s="616" t="s">
        <v>217</v>
      </c>
      <c r="F194" s="617" t="s">
        <v>218</v>
      </c>
      <c r="G194" s="616" t="s">
        <v>219</v>
      </c>
      <c r="H194" s="617"/>
      <c r="I194" s="617"/>
      <c r="J194" s="617" t="s">
        <v>425</v>
      </c>
      <c r="K194" s="618"/>
      <c r="L194" s="616"/>
      <c r="M194" s="616"/>
      <c r="N194" s="617"/>
      <c r="O194" s="617"/>
      <c r="P194" s="617"/>
      <c r="Q194" s="617"/>
      <c r="R194" s="619"/>
      <c r="S194" s="617"/>
      <c r="T194" s="616" t="s">
        <v>221</v>
      </c>
    </row>
    <row r="195" ht="34.5">
      <c r="A195" s="616" t="s">
        <v>213</v>
      </c>
      <c r="B195" s="616" t="s">
        <v>214</v>
      </c>
      <c r="C195" s="616" t="s">
        <v>424</v>
      </c>
      <c r="D195" s="616" t="s">
        <v>216</v>
      </c>
      <c r="E195" s="616" t="s">
        <v>217</v>
      </c>
      <c r="F195" s="617" t="s">
        <v>218</v>
      </c>
      <c r="G195" s="616" t="s">
        <v>219</v>
      </c>
      <c r="H195" s="617"/>
      <c r="I195" s="617"/>
      <c r="J195" s="617" t="s">
        <v>426</v>
      </c>
      <c r="K195" s="618"/>
      <c r="L195" s="616"/>
      <c r="M195" s="616"/>
      <c r="N195" s="617"/>
      <c r="O195" s="617"/>
      <c r="P195" s="617"/>
      <c r="Q195" s="617"/>
      <c r="R195" s="619"/>
      <c r="S195" s="617"/>
      <c r="T195" s="616" t="s">
        <v>221</v>
      </c>
    </row>
    <row r="196" ht="34.5">
      <c r="A196" s="616" t="s">
        <v>213</v>
      </c>
      <c r="B196" s="616" t="s">
        <v>214</v>
      </c>
      <c r="C196" s="616" t="s">
        <v>424</v>
      </c>
      <c r="D196" s="616" t="s">
        <v>216</v>
      </c>
      <c r="E196" s="616" t="s">
        <v>217</v>
      </c>
      <c r="F196" s="617" t="s">
        <v>218</v>
      </c>
      <c r="G196" s="616" t="s">
        <v>219</v>
      </c>
      <c r="H196" s="617"/>
      <c r="I196" s="617"/>
      <c r="J196" s="617" t="s">
        <v>427</v>
      </c>
      <c r="K196" s="618"/>
      <c r="L196" s="616"/>
      <c r="M196" s="616"/>
      <c r="N196" s="617"/>
      <c r="O196" s="617"/>
      <c r="P196" s="617"/>
      <c r="Q196" s="617"/>
      <c r="R196" s="619"/>
      <c r="S196" s="617"/>
      <c r="T196" s="616" t="s">
        <v>221</v>
      </c>
    </row>
    <row r="197" ht="34.5">
      <c r="A197" s="616" t="s">
        <v>213</v>
      </c>
      <c r="B197" s="616" t="s">
        <v>214</v>
      </c>
      <c r="C197" s="616" t="s">
        <v>424</v>
      </c>
      <c r="D197" s="616" t="s">
        <v>216</v>
      </c>
      <c r="E197" s="616" t="s">
        <v>217</v>
      </c>
      <c r="F197" s="617" t="s">
        <v>218</v>
      </c>
      <c r="G197" s="616" t="s">
        <v>219</v>
      </c>
      <c r="H197" s="617"/>
      <c r="I197" s="617"/>
      <c r="J197" s="617" t="s">
        <v>428</v>
      </c>
      <c r="K197" s="618"/>
      <c r="L197" s="616"/>
      <c r="M197" s="616"/>
      <c r="N197" s="617"/>
      <c r="O197" s="617"/>
      <c r="P197" s="617"/>
      <c r="Q197" s="617"/>
      <c r="R197" s="619"/>
      <c r="S197" s="617"/>
      <c r="T197" s="616" t="s">
        <v>221</v>
      </c>
    </row>
    <row r="198" ht="34.5">
      <c r="A198" s="616" t="s">
        <v>213</v>
      </c>
      <c r="B198" s="616" t="s">
        <v>214</v>
      </c>
      <c r="C198" s="616" t="s">
        <v>424</v>
      </c>
      <c r="D198" s="616" t="s">
        <v>216</v>
      </c>
      <c r="E198" s="616" t="s">
        <v>217</v>
      </c>
      <c r="F198" s="617" t="s">
        <v>218</v>
      </c>
      <c r="G198" s="616" t="s">
        <v>219</v>
      </c>
      <c r="H198" s="617"/>
      <c r="I198" s="617"/>
      <c r="J198" s="617" t="s">
        <v>429</v>
      </c>
      <c r="K198" s="618"/>
      <c r="L198" s="616"/>
      <c r="M198" s="616"/>
      <c r="N198" s="617"/>
      <c r="O198" s="617"/>
      <c r="P198" s="617"/>
      <c r="Q198" s="617"/>
      <c r="R198" s="619"/>
      <c r="S198" s="617"/>
      <c r="T198" s="616" t="s">
        <v>221</v>
      </c>
    </row>
    <row r="199" ht="34.5">
      <c r="A199" s="616" t="s">
        <v>213</v>
      </c>
      <c r="B199" s="616" t="s">
        <v>214</v>
      </c>
      <c r="C199" s="616" t="s">
        <v>424</v>
      </c>
      <c r="D199" s="616" t="s">
        <v>430</v>
      </c>
      <c r="E199" s="616" t="s">
        <v>217</v>
      </c>
      <c r="F199" s="617" t="s">
        <v>218</v>
      </c>
      <c r="G199" s="616" t="s">
        <v>219</v>
      </c>
      <c r="H199" s="617"/>
      <c r="I199" s="617"/>
      <c r="J199" s="617" t="s">
        <v>431</v>
      </c>
      <c r="K199" s="618"/>
      <c r="L199" s="616"/>
      <c r="M199" s="616"/>
      <c r="N199" s="617"/>
      <c r="O199" s="617"/>
      <c r="P199" s="617"/>
      <c r="Q199" s="617"/>
      <c r="R199" s="619"/>
      <c r="S199" s="617"/>
      <c r="T199" s="616" t="s">
        <v>221</v>
      </c>
    </row>
    <row r="200" ht="34.5">
      <c r="A200" s="616" t="s">
        <v>213</v>
      </c>
      <c r="B200" s="616" t="s">
        <v>214</v>
      </c>
      <c r="C200" s="616" t="s">
        <v>424</v>
      </c>
      <c r="D200" s="616" t="s">
        <v>216</v>
      </c>
      <c r="E200" s="616" t="s">
        <v>217</v>
      </c>
      <c r="F200" s="617" t="s">
        <v>218</v>
      </c>
      <c r="G200" s="616" t="s">
        <v>219</v>
      </c>
      <c r="H200" s="617"/>
      <c r="I200" s="617"/>
      <c r="J200" s="617" t="s">
        <v>432</v>
      </c>
      <c r="K200" s="618"/>
      <c r="L200" s="616"/>
      <c r="M200" s="616"/>
      <c r="N200" s="617"/>
      <c r="O200" s="617"/>
      <c r="P200" s="617"/>
      <c r="Q200" s="617"/>
      <c r="R200" s="619"/>
      <c r="S200" s="617"/>
      <c r="T200" s="616" t="s">
        <v>221</v>
      </c>
    </row>
    <row r="201" ht="34.5">
      <c r="A201" s="616" t="s">
        <v>213</v>
      </c>
      <c r="B201" s="616" t="s">
        <v>214</v>
      </c>
      <c r="C201" s="616" t="s">
        <v>424</v>
      </c>
      <c r="D201" s="616" t="s">
        <v>216</v>
      </c>
      <c r="E201" s="616" t="s">
        <v>217</v>
      </c>
      <c r="F201" s="617" t="s">
        <v>218</v>
      </c>
      <c r="G201" s="616" t="s">
        <v>219</v>
      </c>
      <c r="H201" s="617"/>
      <c r="I201" s="617"/>
      <c r="J201" s="617" t="s">
        <v>433</v>
      </c>
      <c r="K201" s="618"/>
      <c r="L201" s="616"/>
      <c r="M201" s="616"/>
      <c r="N201" s="617"/>
      <c r="O201" s="617"/>
      <c r="P201" s="617"/>
      <c r="Q201" s="617"/>
      <c r="R201" s="619"/>
      <c r="S201" s="617"/>
      <c r="T201" s="616" t="s">
        <v>221</v>
      </c>
    </row>
    <row r="202" ht="34.5">
      <c r="A202" s="616" t="s">
        <v>213</v>
      </c>
      <c r="B202" s="616" t="s">
        <v>214</v>
      </c>
      <c r="C202" s="616" t="s">
        <v>424</v>
      </c>
      <c r="D202" s="616" t="s">
        <v>216</v>
      </c>
      <c r="E202" s="616" t="s">
        <v>217</v>
      </c>
      <c r="F202" s="617" t="s">
        <v>218</v>
      </c>
      <c r="G202" s="616" t="s">
        <v>219</v>
      </c>
      <c r="H202" s="617"/>
      <c r="I202" s="617"/>
      <c r="J202" s="617" t="s">
        <v>434</v>
      </c>
      <c r="K202" s="618"/>
      <c r="L202" s="616"/>
      <c r="M202" s="616"/>
      <c r="N202" s="617"/>
      <c r="O202" s="617"/>
      <c r="P202" s="617"/>
      <c r="Q202" s="617"/>
      <c r="R202" s="619"/>
      <c r="S202" s="617"/>
      <c r="T202" s="616" t="s">
        <v>221</v>
      </c>
    </row>
    <row r="203" ht="34.5">
      <c r="A203" s="616" t="s">
        <v>213</v>
      </c>
      <c r="B203" s="616" t="s">
        <v>214</v>
      </c>
      <c r="C203" s="616" t="s">
        <v>424</v>
      </c>
      <c r="D203" s="616" t="s">
        <v>216</v>
      </c>
      <c r="E203" s="616" t="s">
        <v>217</v>
      </c>
      <c r="F203" s="617" t="s">
        <v>218</v>
      </c>
      <c r="G203" s="616" t="s">
        <v>219</v>
      </c>
      <c r="H203" s="617"/>
      <c r="I203" s="617"/>
      <c r="J203" s="617" t="s">
        <v>435</v>
      </c>
      <c r="K203" s="618"/>
      <c r="L203" s="616"/>
      <c r="M203" s="616"/>
      <c r="N203" s="617"/>
      <c r="O203" s="617"/>
      <c r="P203" s="617"/>
      <c r="Q203" s="617"/>
      <c r="R203" s="619"/>
      <c r="S203" s="617"/>
      <c r="T203" s="616" t="s">
        <v>221</v>
      </c>
    </row>
    <row r="204" ht="34.5">
      <c r="A204" s="616" t="s">
        <v>213</v>
      </c>
      <c r="B204" s="616" t="s">
        <v>214</v>
      </c>
      <c r="C204" s="616" t="s">
        <v>424</v>
      </c>
      <c r="D204" s="616" t="s">
        <v>216</v>
      </c>
      <c r="E204" s="616" t="s">
        <v>217</v>
      </c>
      <c r="F204" s="617" t="s">
        <v>218</v>
      </c>
      <c r="G204" s="616" t="s">
        <v>219</v>
      </c>
      <c r="H204" s="617"/>
      <c r="I204" s="617"/>
      <c r="J204" s="617" t="s">
        <v>436</v>
      </c>
      <c r="K204" s="618"/>
      <c r="L204" s="616"/>
      <c r="M204" s="616"/>
      <c r="N204" s="617"/>
      <c r="O204" s="617"/>
      <c r="P204" s="617"/>
      <c r="Q204" s="617"/>
      <c r="R204" s="619"/>
      <c r="S204" s="617"/>
      <c r="T204" s="616" t="s">
        <v>221</v>
      </c>
    </row>
    <row r="205" ht="34.5">
      <c r="A205" s="616" t="s">
        <v>213</v>
      </c>
      <c r="B205" s="616" t="s">
        <v>214</v>
      </c>
      <c r="C205" s="616" t="s">
        <v>424</v>
      </c>
      <c r="D205" s="616" t="s">
        <v>216</v>
      </c>
      <c r="E205" s="616" t="s">
        <v>217</v>
      </c>
      <c r="F205" s="617" t="s">
        <v>218</v>
      </c>
      <c r="G205" s="616" t="s">
        <v>219</v>
      </c>
      <c r="H205" s="617"/>
      <c r="I205" s="617"/>
      <c r="J205" s="617" t="s">
        <v>437</v>
      </c>
      <c r="K205" s="618"/>
      <c r="L205" s="616"/>
      <c r="M205" s="616"/>
      <c r="N205" s="617"/>
      <c r="O205" s="617"/>
      <c r="P205" s="617"/>
      <c r="Q205" s="617"/>
      <c r="R205" s="619"/>
      <c r="S205" s="617"/>
      <c r="T205" s="616" t="s">
        <v>221</v>
      </c>
    </row>
    <row r="206" ht="34.5">
      <c r="A206" s="616" t="s">
        <v>213</v>
      </c>
      <c r="B206" s="616" t="s">
        <v>214</v>
      </c>
      <c r="C206" s="616" t="s">
        <v>424</v>
      </c>
      <c r="D206" s="616" t="s">
        <v>216</v>
      </c>
      <c r="E206" s="616" t="s">
        <v>217</v>
      </c>
      <c r="F206" s="617" t="s">
        <v>218</v>
      </c>
      <c r="G206" s="616" t="s">
        <v>219</v>
      </c>
      <c r="H206" s="617"/>
      <c r="I206" s="617"/>
      <c r="J206" s="617" t="s">
        <v>438</v>
      </c>
      <c r="K206" s="618"/>
      <c r="L206" s="616"/>
      <c r="M206" s="616"/>
      <c r="N206" s="617"/>
      <c r="O206" s="617"/>
      <c r="P206" s="617"/>
      <c r="Q206" s="617"/>
      <c r="R206" s="619"/>
      <c r="S206" s="617"/>
      <c r="T206" s="616" t="s">
        <v>221</v>
      </c>
    </row>
    <row r="207" ht="34.5">
      <c r="A207" s="616" t="s">
        <v>213</v>
      </c>
      <c r="B207" s="616" t="s">
        <v>214</v>
      </c>
      <c r="C207" s="616" t="s">
        <v>424</v>
      </c>
      <c r="D207" s="616" t="s">
        <v>216</v>
      </c>
      <c r="E207" s="616" t="s">
        <v>217</v>
      </c>
      <c r="F207" s="617" t="s">
        <v>218</v>
      </c>
      <c r="G207" s="616" t="s">
        <v>219</v>
      </c>
      <c r="H207" s="617"/>
      <c r="I207" s="617"/>
      <c r="J207" s="617" t="s">
        <v>439</v>
      </c>
      <c r="K207" s="618"/>
      <c r="L207" s="616"/>
      <c r="M207" s="616"/>
      <c r="N207" s="617"/>
      <c r="O207" s="617"/>
      <c r="P207" s="617"/>
      <c r="Q207" s="617"/>
      <c r="R207" s="619"/>
      <c r="S207" s="617"/>
      <c r="T207" s="616" t="s">
        <v>221</v>
      </c>
    </row>
    <row r="208" ht="34.5">
      <c r="A208" s="616" t="s">
        <v>213</v>
      </c>
      <c r="B208" s="616" t="s">
        <v>214</v>
      </c>
      <c r="C208" s="616" t="s">
        <v>440</v>
      </c>
      <c r="D208" s="616" t="s">
        <v>216</v>
      </c>
      <c r="E208" s="616" t="s">
        <v>217</v>
      </c>
      <c r="F208" s="617" t="s">
        <v>218</v>
      </c>
      <c r="G208" s="616" t="s">
        <v>219</v>
      </c>
      <c r="H208" s="617"/>
      <c r="I208" s="617"/>
      <c r="J208" s="617" t="s">
        <v>441</v>
      </c>
      <c r="K208" s="618"/>
      <c r="L208" s="616"/>
      <c r="M208" s="616"/>
      <c r="N208" s="617"/>
      <c r="O208" s="617"/>
      <c r="P208" s="617"/>
      <c r="Q208" s="617"/>
      <c r="R208" s="619"/>
      <c r="S208" s="617"/>
      <c r="T208" s="616" t="s">
        <v>221</v>
      </c>
    </row>
    <row r="209" ht="34.5">
      <c r="A209" s="616" t="s">
        <v>213</v>
      </c>
      <c r="B209" s="616" t="s">
        <v>214</v>
      </c>
      <c r="C209" s="616" t="s">
        <v>440</v>
      </c>
      <c r="D209" s="616" t="s">
        <v>216</v>
      </c>
      <c r="E209" s="616" t="s">
        <v>217</v>
      </c>
      <c r="F209" s="617" t="s">
        <v>218</v>
      </c>
      <c r="G209" s="616" t="s">
        <v>219</v>
      </c>
      <c r="H209" s="617"/>
      <c r="I209" s="617"/>
      <c r="J209" s="617" t="s">
        <v>442</v>
      </c>
      <c r="K209" s="618"/>
      <c r="L209" s="616"/>
      <c r="M209" s="616"/>
      <c r="N209" s="617"/>
      <c r="O209" s="617"/>
      <c r="P209" s="617"/>
      <c r="Q209" s="617"/>
      <c r="R209" s="619"/>
      <c r="S209" s="617"/>
      <c r="T209" s="616" t="s">
        <v>221</v>
      </c>
    </row>
    <row r="210" ht="34.5">
      <c r="A210" s="616" t="s">
        <v>213</v>
      </c>
      <c r="B210" s="616" t="s">
        <v>214</v>
      </c>
      <c r="C210" s="616" t="s">
        <v>440</v>
      </c>
      <c r="D210" s="616" t="s">
        <v>216</v>
      </c>
      <c r="E210" s="616" t="s">
        <v>217</v>
      </c>
      <c r="F210" s="617" t="s">
        <v>218</v>
      </c>
      <c r="G210" s="616" t="s">
        <v>219</v>
      </c>
      <c r="H210" s="617"/>
      <c r="I210" s="617"/>
      <c r="J210" s="617" t="s">
        <v>443</v>
      </c>
      <c r="K210" s="618"/>
      <c r="L210" s="616"/>
      <c r="M210" s="616"/>
      <c r="N210" s="617"/>
      <c r="O210" s="617"/>
      <c r="P210" s="617"/>
      <c r="Q210" s="617"/>
      <c r="R210" s="619"/>
      <c r="S210" s="617"/>
      <c r="T210" s="616" t="s">
        <v>221</v>
      </c>
    </row>
    <row r="211" ht="34.5">
      <c r="A211" s="616" t="s">
        <v>213</v>
      </c>
      <c r="B211" s="616" t="s">
        <v>214</v>
      </c>
      <c r="C211" s="616" t="s">
        <v>440</v>
      </c>
      <c r="D211" s="616" t="s">
        <v>216</v>
      </c>
      <c r="E211" s="616" t="s">
        <v>217</v>
      </c>
      <c r="F211" s="617" t="s">
        <v>218</v>
      </c>
      <c r="G211" s="616" t="s">
        <v>219</v>
      </c>
      <c r="H211" s="617"/>
      <c r="I211" s="617"/>
      <c r="J211" s="617" t="s">
        <v>444</v>
      </c>
      <c r="K211" s="618"/>
      <c r="L211" s="616"/>
      <c r="M211" s="616"/>
      <c r="N211" s="617"/>
      <c r="O211" s="617"/>
      <c r="P211" s="617"/>
      <c r="Q211" s="617"/>
      <c r="R211" s="619"/>
      <c r="S211" s="617"/>
      <c r="T211" s="616" t="s">
        <v>221</v>
      </c>
    </row>
    <row r="212" ht="34.5">
      <c r="A212" s="616" t="s">
        <v>213</v>
      </c>
      <c r="B212" s="616" t="s">
        <v>214</v>
      </c>
      <c r="C212" s="616" t="s">
        <v>440</v>
      </c>
      <c r="D212" s="616" t="s">
        <v>216</v>
      </c>
      <c r="E212" s="616" t="s">
        <v>217</v>
      </c>
      <c r="F212" s="617" t="s">
        <v>218</v>
      </c>
      <c r="G212" s="616" t="s">
        <v>219</v>
      </c>
      <c r="H212" s="617"/>
      <c r="I212" s="617"/>
      <c r="J212" s="617" t="s">
        <v>445</v>
      </c>
      <c r="K212" s="618"/>
      <c r="L212" s="616"/>
      <c r="M212" s="616"/>
      <c r="N212" s="617"/>
      <c r="O212" s="617"/>
      <c r="P212" s="617"/>
      <c r="Q212" s="617"/>
      <c r="R212" s="619"/>
      <c r="S212" s="617"/>
      <c r="T212" s="616" t="s">
        <v>221</v>
      </c>
    </row>
    <row r="213" ht="34.5">
      <c r="A213" s="616" t="s">
        <v>213</v>
      </c>
      <c r="B213" s="616" t="s">
        <v>214</v>
      </c>
      <c r="C213" s="616" t="s">
        <v>440</v>
      </c>
      <c r="D213" s="616" t="s">
        <v>216</v>
      </c>
      <c r="E213" s="616" t="s">
        <v>217</v>
      </c>
      <c r="F213" s="617" t="s">
        <v>218</v>
      </c>
      <c r="G213" s="616" t="s">
        <v>219</v>
      </c>
      <c r="H213" s="617"/>
      <c r="I213" s="617"/>
      <c r="J213" s="617" t="s">
        <v>446</v>
      </c>
      <c r="K213" s="618"/>
      <c r="L213" s="616"/>
      <c r="M213" s="616"/>
      <c r="N213" s="617"/>
      <c r="O213" s="617"/>
      <c r="P213" s="617"/>
      <c r="Q213" s="617"/>
      <c r="R213" s="619"/>
      <c r="S213" s="617"/>
      <c r="T213" s="616" t="s">
        <v>221</v>
      </c>
    </row>
    <row r="214" ht="34.5">
      <c r="A214" s="616" t="s">
        <v>213</v>
      </c>
      <c r="B214" s="616" t="s">
        <v>214</v>
      </c>
      <c r="C214" s="616" t="s">
        <v>440</v>
      </c>
      <c r="D214" s="616" t="s">
        <v>216</v>
      </c>
      <c r="E214" s="616" t="s">
        <v>217</v>
      </c>
      <c r="F214" s="617" t="s">
        <v>218</v>
      </c>
      <c r="G214" s="616" t="s">
        <v>219</v>
      </c>
      <c r="H214" s="617"/>
      <c r="I214" s="617"/>
      <c r="J214" s="617" t="s">
        <v>447</v>
      </c>
      <c r="K214" s="618"/>
      <c r="L214" s="616"/>
      <c r="M214" s="616"/>
      <c r="N214" s="617"/>
      <c r="O214" s="617"/>
      <c r="P214" s="617"/>
      <c r="Q214" s="617"/>
      <c r="R214" s="619"/>
      <c r="S214" s="617"/>
      <c r="T214" s="616" t="s">
        <v>221</v>
      </c>
    </row>
    <row r="215" ht="34.5">
      <c r="A215" s="616" t="s">
        <v>213</v>
      </c>
      <c r="B215" s="616" t="s">
        <v>214</v>
      </c>
      <c r="C215" s="616" t="s">
        <v>440</v>
      </c>
      <c r="D215" s="616" t="s">
        <v>216</v>
      </c>
      <c r="E215" s="616" t="s">
        <v>217</v>
      </c>
      <c r="F215" s="617" t="s">
        <v>218</v>
      </c>
      <c r="G215" s="616" t="s">
        <v>219</v>
      </c>
      <c r="H215" s="617"/>
      <c r="I215" s="617"/>
      <c r="J215" s="617" t="s">
        <v>448</v>
      </c>
      <c r="K215" s="618"/>
      <c r="L215" s="616"/>
      <c r="M215" s="616"/>
      <c r="N215" s="617"/>
      <c r="O215" s="617"/>
      <c r="P215" s="617"/>
      <c r="Q215" s="617"/>
      <c r="R215" s="619"/>
      <c r="S215" s="617"/>
      <c r="T215" s="616" t="s">
        <v>221</v>
      </c>
    </row>
    <row r="216" ht="34.5">
      <c r="A216" s="616" t="s">
        <v>213</v>
      </c>
      <c r="B216" s="616" t="s">
        <v>214</v>
      </c>
      <c r="C216" s="616" t="s">
        <v>440</v>
      </c>
      <c r="D216" s="616" t="s">
        <v>216</v>
      </c>
      <c r="E216" s="616" t="s">
        <v>217</v>
      </c>
      <c r="F216" s="617" t="s">
        <v>218</v>
      </c>
      <c r="G216" s="616" t="s">
        <v>219</v>
      </c>
      <c r="H216" s="617"/>
      <c r="I216" s="617"/>
      <c r="J216" s="617" t="s">
        <v>449</v>
      </c>
      <c r="K216" s="618"/>
      <c r="L216" s="616"/>
      <c r="M216" s="616"/>
      <c r="N216" s="617"/>
      <c r="O216" s="617"/>
      <c r="P216" s="617"/>
      <c r="Q216" s="617"/>
      <c r="R216" s="619"/>
      <c r="S216" s="617"/>
      <c r="T216" s="616" t="s">
        <v>221</v>
      </c>
    </row>
    <row r="217" ht="34.5">
      <c r="A217" s="616" t="s">
        <v>213</v>
      </c>
      <c r="B217" s="616" t="s">
        <v>214</v>
      </c>
      <c r="C217" s="616" t="s">
        <v>440</v>
      </c>
      <c r="D217" s="616" t="s">
        <v>216</v>
      </c>
      <c r="E217" s="616" t="s">
        <v>217</v>
      </c>
      <c r="F217" s="617" t="s">
        <v>218</v>
      </c>
      <c r="G217" s="616" t="s">
        <v>219</v>
      </c>
      <c r="H217" s="617"/>
      <c r="I217" s="617"/>
      <c r="J217" s="617" t="s">
        <v>450</v>
      </c>
      <c r="K217" s="618"/>
      <c r="L217" s="616"/>
      <c r="M217" s="616"/>
      <c r="N217" s="617"/>
      <c r="O217" s="617"/>
      <c r="P217" s="617"/>
      <c r="Q217" s="617"/>
      <c r="R217" s="619"/>
      <c r="S217" s="617"/>
      <c r="T217" s="616" t="s">
        <v>221</v>
      </c>
    </row>
    <row r="218" ht="34.5">
      <c r="A218" s="616" t="s">
        <v>213</v>
      </c>
      <c r="B218" s="616" t="s">
        <v>214</v>
      </c>
      <c r="C218" s="616" t="s">
        <v>440</v>
      </c>
      <c r="D218" s="616" t="s">
        <v>216</v>
      </c>
      <c r="E218" s="616" t="s">
        <v>217</v>
      </c>
      <c r="F218" s="617" t="s">
        <v>218</v>
      </c>
      <c r="G218" s="616" t="s">
        <v>219</v>
      </c>
      <c r="H218" s="617"/>
      <c r="I218" s="617"/>
      <c r="J218" s="617" t="s">
        <v>451</v>
      </c>
      <c r="K218" s="618"/>
      <c r="L218" s="616"/>
      <c r="M218" s="616"/>
      <c r="N218" s="617"/>
      <c r="O218" s="617"/>
      <c r="P218" s="617"/>
      <c r="Q218" s="617"/>
      <c r="R218" s="619"/>
      <c r="S218" s="617"/>
      <c r="T218" s="616" t="s">
        <v>221</v>
      </c>
    </row>
    <row r="219" ht="34.5">
      <c r="A219" s="616" t="s">
        <v>213</v>
      </c>
      <c r="B219" s="616" t="s">
        <v>214</v>
      </c>
      <c r="C219" s="616" t="s">
        <v>452</v>
      </c>
      <c r="D219" s="616" t="s">
        <v>216</v>
      </c>
      <c r="E219" s="616" t="s">
        <v>217</v>
      </c>
      <c r="F219" s="617" t="s">
        <v>218</v>
      </c>
      <c r="G219" s="616" t="s">
        <v>219</v>
      </c>
      <c r="H219" s="617"/>
      <c r="I219" s="617"/>
      <c r="J219" s="617" t="s">
        <v>453</v>
      </c>
      <c r="K219" s="618"/>
      <c r="L219" s="616"/>
      <c r="M219" s="616"/>
      <c r="N219" s="617"/>
      <c r="O219" s="617"/>
      <c r="P219" s="617"/>
      <c r="Q219" s="617"/>
      <c r="R219" s="619"/>
      <c r="S219" s="617"/>
      <c r="T219" s="616" t="s">
        <v>221</v>
      </c>
    </row>
    <row r="220" ht="34.5">
      <c r="A220" s="616" t="s">
        <v>213</v>
      </c>
      <c r="B220" s="616" t="s">
        <v>214</v>
      </c>
      <c r="C220" s="616" t="s">
        <v>452</v>
      </c>
      <c r="D220" s="616" t="s">
        <v>216</v>
      </c>
      <c r="E220" s="616" t="s">
        <v>217</v>
      </c>
      <c r="F220" s="617" t="s">
        <v>218</v>
      </c>
      <c r="G220" s="616" t="s">
        <v>219</v>
      </c>
      <c r="H220" s="617"/>
      <c r="I220" s="617"/>
      <c r="J220" s="617" t="s">
        <v>454</v>
      </c>
      <c r="K220" s="618"/>
      <c r="L220" s="616"/>
      <c r="M220" s="616"/>
      <c r="N220" s="617"/>
      <c r="O220" s="617"/>
      <c r="P220" s="617"/>
      <c r="Q220" s="617"/>
      <c r="R220" s="619"/>
      <c r="S220" s="617"/>
      <c r="T220" s="616" t="s">
        <v>221</v>
      </c>
    </row>
    <row r="221" ht="34.5">
      <c r="A221" s="616" t="s">
        <v>213</v>
      </c>
      <c r="B221" s="616" t="s">
        <v>214</v>
      </c>
      <c r="C221" s="616" t="s">
        <v>452</v>
      </c>
      <c r="D221" s="616" t="s">
        <v>216</v>
      </c>
      <c r="E221" s="616" t="s">
        <v>217</v>
      </c>
      <c r="F221" s="617" t="s">
        <v>218</v>
      </c>
      <c r="G221" s="616" t="s">
        <v>219</v>
      </c>
      <c r="H221" s="617"/>
      <c r="I221" s="617"/>
      <c r="J221" s="617" t="s">
        <v>455</v>
      </c>
      <c r="K221" s="618"/>
      <c r="L221" s="616"/>
      <c r="M221" s="616"/>
      <c r="N221" s="617"/>
      <c r="O221" s="617"/>
      <c r="P221" s="617"/>
      <c r="Q221" s="617"/>
      <c r="R221" s="619"/>
      <c r="S221" s="617"/>
      <c r="T221" s="616" t="s">
        <v>221</v>
      </c>
    </row>
    <row r="222" ht="34.5">
      <c r="A222" s="616" t="s">
        <v>213</v>
      </c>
      <c r="B222" s="616" t="s">
        <v>214</v>
      </c>
      <c r="C222" s="616" t="s">
        <v>452</v>
      </c>
      <c r="D222" s="616" t="s">
        <v>216</v>
      </c>
      <c r="E222" s="616" t="s">
        <v>217</v>
      </c>
      <c r="F222" s="617" t="s">
        <v>218</v>
      </c>
      <c r="G222" s="616" t="s">
        <v>219</v>
      </c>
      <c r="H222" s="617"/>
      <c r="I222" s="617"/>
      <c r="J222" s="617" t="s">
        <v>456</v>
      </c>
      <c r="K222" s="618"/>
      <c r="L222" s="616"/>
      <c r="M222" s="616"/>
      <c r="N222" s="617"/>
      <c r="O222" s="617"/>
      <c r="P222" s="617"/>
      <c r="Q222" s="617"/>
      <c r="R222" s="619"/>
      <c r="S222" s="617"/>
      <c r="T222" s="616" t="s">
        <v>221</v>
      </c>
    </row>
    <row r="223" ht="34.5">
      <c r="A223" s="616" t="s">
        <v>213</v>
      </c>
      <c r="B223" s="616" t="s">
        <v>214</v>
      </c>
      <c r="C223" s="616" t="s">
        <v>452</v>
      </c>
      <c r="D223" s="616" t="s">
        <v>216</v>
      </c>
      <c r="E223" s="616" t="s">
        <v>217</v>
      </c>
      <c r="F223" s="617" t="s">
        <v>218</v>
      </c>
      <c r="G223" s="616" t="s">
        <v>219</v>
      </c>
      <c r="H223" s="617"/>
      <c r="I223" s="617"/>
      <c r="J223" s="617" t="s">
        <v>457</v>
      </c>
      <c r="K223" s="618"/>
      <c r="L223" s="616"/>
      <c r="M223" s="616"/>
      <c r="N223" s="617"/>
      <c r="O223" s="617"/>
      <c r="P223" s="617"/>
      <c r="Q223" s="617"/>
      <c r="R223" s="619"/>
      <c r="S223" s="617"/>
      <c r="T223" s="616" t="s">
        <v>221</v>
      </c>
    </row>
    <row r="224" ht="34.5">
      <c r="A224" s="616" t="s">
        <v>213</v>
      </c>
      <c r="B224" s="616" t="s">
        <v>214</v>
      </c>
      <c r="C224" s="616" t="s">
        <v>452</v>
      </c>
      <c r="D224" s="616" t="s">
        <v>216</v>
      </c>
      <c r="E224" s="616" t="s">
        <v>217</v>
      </c>
      <c r="F224" s="617" t="s">
        <v>218</v>
      </c>
      <c r="G224" s="616" t="s">
        <v>219</v>
      </c>
      <c r="H224" s="617"/>
      <c r="I224" s="617"/>
      <c r="J224" s="617" t="s">
        <v>458</v>
      </c>
      <c r="K224" s="618"/>
      <c r="L224" s="616"/>
      <c r="M224" s="616"/>
      <c r="N224" s="617"/>
      <c r="O224" s="617"/>
      <c r="P224" s="617"/>
      <c r="Q224" s="617"/>
      <c r="R224" s="619"/>
      <c r="S224" s="617"/>
      <c r="T224" s="616" t="s">
        <v>221</v>
      </c>
    </row>
    <row r="225" ht="34.5">
      <c r="A225" s="616" t="s">
        <v>213</v>
      </c>
      <c r="B225" s="616" t="s">
        <v>214</v>
      </c>
      <c r="C225" s="616" t="s">
        <v>452</v>
      </c>
      <c r="D225" s="616" t="s">
        <v>216</v>
      </c>
      <c r="E225" s="616" t="s">
        <v>217</v>
      </c>
      <c r="F225" s="617" t="s">
        <v>218</v>
      </c>
      <c r="G225" s="616" t="s">
        <v>219</v>
      </c>
      <c r="H225" s="617"/>
      <c r="I225" s="617"/>
      <c r="J225" s="617" t="s">
        <v>459</v>
      </c>
      <c r="K225" s="618"/>
      <c r="L225" s="616"/>
      <c r="M225" s="616"/>
      <c r="N225" s="617"/>
      <c r="O225" s="617"/>
      <c r="P225" s="617"/>
      <c r="Q225" s="617"/>
      <c r="R225" s="619"/>
      <c r="S225" s="617"/>
      <c r="T225" s="616" t="s">
        <v>221</v>
      </c>
    </row>
    <row r="226" ht="34.5">
      <c r="A226" s="616" t="s">
        <v>213</v>
      </c>
      <c r="B226" s="616" t="s">
        <v>214</v>
      </c>
      <c r="C226" s="616" t="s">
        <v>452</v>
      </c>
      <c r="D226" s="616" t="s">
        <v>216</v>
      </c>
      <c r="E226" s="616" t="s">
        <v>217</v>
      </c>
      <c r="F226" s="617" t="s">
        <v>218</v>
      </c>
      <c r="G226" s="616" t="s">
        <v>219</v>
      </c>
      <c r="H226" s="617"/>
      <c r="I226" s="617"/>
      <c r="J226" s="617" t="s">
        <v>460</v>
      </c>
      <c r="K226" s="618"/>
      <c r="L226" s="616"/>
      <c r="M226" s="616"/>
      <c r="N226" s="617"/>
      <c r="O226" s="617"/>
      <c r="P226" s="617"/>
      <c r="Q226" s="617"/>
      <c r="R226" s="619"/>
      <c r="S226" s="617"/>
      <c r="T226" s="616" t="s">
        <v>221</v>
      </c>
    </row>
    <row r="227" ht="34.5">
      <c r="A227" s="616" t="s">
        <v>213</v>
      </c>
      <c r="B227" s="616" t="s">
        <v>214</v>
      </c>
      <c r="C227" s="616" t="s">
        <v>452</v>
      </c>
      <c r="D227" s="616" t="s">
        <v>216</v>
      </c>
      <c r="E227" s="616" t="s">
        <v>217</v>
      </c>
      <c r="F227" s="617" t="s">
        <v>218</v>
      </c>
      <c r="G227" s="616" t="s">
        <v>219</v>
      </c>
      <c r="H227" s="617"/>
      <c r="I227" s="617"/>
      <c r="J227" s="617" t="s">
        <v>461</v>
      </c>
      <c r="K227" s="618"/>
      <c r="L227" s="616"/>
      <c r="M227" s="616"/>
      <c r="N227" s="617"/>
      <c r="O227" s="617"/>
      <c r="P227" s="617"/>
      <c r="Q227" s="617"/>
      <c r="R227" s="619"/>
      <c r="S227" s="617"/>
      <c r="T227" s="616" t="s">
        <v>221</v>
      </c>
    </row>
    <row r="228" ht="34.5">
      <c r="A228" s="616" t="s">
        <v>213</v>
      </c>
      <c r="B228" s="616" t="s">
        <v>214</v>
      </c>
      <c r="C228" s="616" t="s">
        <v>452</v>
      </c>
      <c r="D228" s="616" t="s">
        <v>216</v>
      </c>
      <c r="E228" s="616" t="s">
        <v>217</v>
      </c>
      <c r="F228" s="617" t="s">
        <v>218</v>
      </c>
      <c r="G228" s="616" t="s">
        <v>219</v>
      </c>
      <c r="H228" s="617"/>
      <c r="I228" s="617"/>
      <c r="J228" s="617" t="s">
        <v>462</v>
      </c>
      <c r="K228" s="618"/>
      <c r="L228" s="616"/>
      <c r="M228" s="616"/>
      <c r="N228" s="617"/>
      <c r="O228" s="617"/>
      <c r="P228" s="617"/>
      <c r="Q228" s="617"/>
      <c r="R228" s="619"/>
      <c r="S228" s="617"/>
      <c r="T228" s="616" t="s">
        <v>221</v>
      </c>
    </row>
    <row r="229" ht="34.5">
      <c r="A229" s="616" t="s">
        <v>213</v>
      </c>
      <c r="B229" s="616" t="s">
        <v>214</v>
      </c>
      <c r="C229" s="616" t="s">
        <v>452</v>
      </c>
      <c r="D229" s="616" t="s">
        <v>216</v>
      </c>
      <c r="E229" s="616" t="s">
        <v>217</v>
      </c>
      <c r="F229" s="617" t="s">
        <v>218</v>
      </c>
      <c r="G229" s="616" t="s">
        <v>219</v>
      </c>
      <c r="H229" s="617"/>
      <c r="I229" s="617"/>
      <c r="J229" s="617" t="s">
        <v>463</v>
      </c>
      <c r="K229" s="618"/>
      <c r="L229" s="616"/>
      <c r="M229" s="616"/>
      <c r="N229" s="617"/>
      <c r="O229" s="617"/>
      <c r="P229" s="617"/>
      <c r="Q229" s="617"/>
      <c r="R229" s="619"/>
      <c r="S229" s="617"/>
      <c r="T229" s="616" t="s">
        <v>221</v>
      </c>
    </row>
    <row r="230" ht="34.5">
      <c r="A230" s="616" t="s">
        <v>213</v>
      </c>
      <c r="B230" s="616" t="s">
        <v>214</v>
      </c>
      <c r="C230" s="616" t="s">
        <v>452</v>
      </c>
      <c r="D230" s="616" t="s">
        <v>216</v>
      </c>
      <c r="E230" s="616" t="s">
        <v>217</v>
      </c>
      <c r="F230" s="617" t="s">
        <v>218</v>
      </c>
      <c r="G230" s="616" t="s">
        <v>219</v>
      </c>
      <c r="H230" s="617"/>
      <c r="I230" s="617"/>
      <c r="J230" s="617" t="s">
        <v>464</v>
      </c>
      <c r="K230" s="618"/>
      <c r="L230" s="616"/>
      <c r="M230" s="616"/>
      <c r="N230" s="617"/>
      <c r="O230" s="617"/>
      <c r="P230" s="617"/>
      <c r="Q230" s="617"/>
      <c r="R230" s="619"/>
      <c r="S230" s="617"/>
      <c r="T230" s="616" t="s">
        <v>221</v>
      </c>
    </row>
    <row r="231" ht="34.5">
      <c r="A231" s="616" t="s">
        <v>213</v>
      </c>
      <c r="B231" s="616" t="s">
        <v>214</v>
      </c>
      <c r="C231" s="616" t="s">
        <v>452</v>
      </c>
      <c r="D231" s="616" t="s">
        <v>216</v>
      </c>
      <c r="E231" s="616" t="s">
        <v>217</v>
      </c>
      <c r="F231" s="617" t="s">
        <v>218</v>
      </c>
      <c r="G231" s="616" t="s">
        <v>219</v>
      </c>
      <c r="H231" s="617"/>
      <c r="I231" s="617"/>
      <c r="J231" s="617" t="s">
        <v>465</v>
      </c>
      <c r="K231" s="618"/>
      <c r="L231" s="616"/>
      <c r="M231" s="616"/>
      <c r="N231" s="617"/>
      <c r="O231" s="617"/>
      <c r="P231" s="617"/>
      <c r="Q231" s="617"/>
      <c r="R231" s="619"/>
      <c r="S231" s="617"/>
      <c r="T231" s="616" t="s">
        <v>221</v>
      </c>
    </row>
    <row r="232" ht="34.5">
      <c r="A232" s="616" t="s">
        <v>213</v>
      </c>
      <c r="B232" s="616" t="s">
        <v>214</v>
      </c>
      <c r="C232" s="616" t="s">
        <v>452</v>
      </c>
      <c r="D232" s="616" t="s">
        <v>216</v>
      </c>
      <c r="E232" s="616" t="s">
        <v>217</v>
      </c>
      <c r="F232" s="617" t="s">
        <v>218</v>
      </c>
      <c r="G232" s="616" t="s">
        <v>219</v>
      </c>
      <c r="H232" s="617"/>
      <c r="I232" s="617"/>
      <c r="J232" s="617" t="s">
        <v>466</v>
      </c>
      <c r="K232" s="618"/>
      <c r="L232" s="616"/>
      <c r="M232" s="616"/>
      <c r="N232" s="617"/>
      <c r="O232" s="617"/>
      <c r="P232" s="617"/>
      <c r="Q232" s="617"/>
      <c r="R232" s="619"/>
      <c r="S232" s="617"/>
      <c r="T232" s="616" t="s">
        <v>221</v>
      </c>
    </row>
    <row r="233" ht="34.5">
      <c r="A233" s="616" t="s">
        <v>213</v>
      </c>
      <c r="B233" s="616" t="s">
        <v>214</v>
      </c>
      <c r="C233" s="616" t="s">
        <v>467</v>
      </c>
      <c r="D233" s="616" t="s">
        <v>216</v>
      </c>
      <c r="E233" s="616" t="s">
        <v>217</v>
      </c>
      <c r="F233" s="617" t="s">
        <v>218</v>
      </c>
      <c r="G233" s="616" t="s">
        <v>219</v>
      </c>
      <c r="H233" s="617"/>
      <c r="I233" s="617"/>
      <c r="J233" s="617" t="s">
        <v>468</v>
      </c>
      <c r="K233" s="618"/>
      <c r="L233" s="616"/>
      <c r="M233" s="616"/>
      <c r="N233" s="617"/>
      <c r="O233" s="617"/>
      <c r="P233" s="617"/>
      <c r="Q233" s="617"/>
      <c r="R233" s="619"/>
      <c r="S233" s="617"/>
      <c r="T233" s="616" t="s">
        <v>221</v>
      </c>
    </row>
    <row r="234" ht="34.5">
      <c r="A234" s="616" t="s">
        <v>213</v>
      </c>
      <c r="B234" s="616" t="s">
        <v>214</v>
      </c>
      <c r="C234" s="616" t="s">
        <v>467</v>
      </c>
      <c r="D234" s="616" t="s">
        <v>216</v>
      </c>
      <c r="E234" s="616" t="s">
        <v>217</v>
      </c>
      <c r="F234" s="617" t="s">
        <v>218</v>
      </c>
      <c r="G234" s="616" t="s">
        <v>219</v>
      </c>
      <c r="H234" s="617"/>
      <c r="I234" s="617"/>
      <c r="J234" s="617" t="s">
        <v>469</v>
      </c>
      <c r="K234" s="618"/>
      <c r="L234" s="616"/>
      <c r="M234" s="616"/>
      <c r="N234" s="617"/>
      <c r="O234" s="617"/>
      <c r="P234" s="617"/>
      <c r="Q234" s="617"/>
      <c r="R234" s="619"/>
      <c r="S234" s="617"/>
      <c r="T234" s="616" t="s">
        <v>221</v>
      </c>
    </row>
    <row r="235" ht="34.5">
      <c r="A235" s="616" t="s">
        <v>213</v>
      </c>
      <c r="B235" s="616" t="s">
        <v>214</v>
      </c>
      <c r="C235" s="616" t="s">
        <v>467</v>
      </c>
      <c r="D235" s="616" t="s">
        <v>216</v>
      </c>
      <c r="E235" s="616" t="s">
        <v>217</v>
      </c>
      <c r="F235" s="617" t="s">
        <v>218</v>
      </c>
      <c r="G235" s="616" t="s">
        <v>219</v>
      </c>
      <c r="H235" s="617"/>
      <c r="I235" s="617"/>
      <c r="J235" s="617" t="s">
        <v>470</v>
      </c>
      <c r="K235" s="618"/>
      <c r="L235" s="616"/>
      <c r="M235" s="616"/>
      <c r="N235" s="617"/>
      <c r="O235" s="617"/>
      <c r="P235" s="617"/>
      <c r="Q235" s="617"/>
      <c r="R235" s="619"/>
      <c r="S235" s="617"/>
      <c r="T235" s="616" t="s">
        <v>221</v>
      </c>
    </row>
    <row r="236" ht="34.5">
      <c r="A236" s="616" t="s">
        <v>213</v>
      </c>
      <c r="B236" s="616" t="s">
        <v>214</v>
      </c>
      <c r="C236" s="616" t="s">
        <v>467</v>
      </c>
      <c r="D236" s="616" t="s">
        <v>216</v>
      </c>
      <c r="E236" s="616" t="s">
        <v>217</v>
      </c>
      <c r="F236" s="617" t="s">
        <v>218</v>
      </c>
      <c r="G236" s="616" t="s">
        <v>219</v>
      </c>
      <c r="H236" s="617"/>
      <c r="I236" s="617"/>
      <c r="J236" s="617" t="s">
        <v>471</v>
      </c>
      <c r="K236" s="618"/>
      <c r="L236" s="616"/>
      <c r="M236" s="616"/>
      <c r="N236" s="617"/>
      <c r="O236" s="617"/>
      <c r="P236" s="617"/>
      <c r="Q236" s="617"/>
      <c r="R236" s="619"/>
      <c r="S236" s="617"/>
      <c r="T236" s="616" t="s">
        <v>221</v>
      </c>
    </row>
    <row r="237" ht="34.5">
      <c r="A237" s="616" t="s">
        <v>213</v>
      </c>
      <c r="B237" s="616" t="s">
        <v>214</v>
      </c>
      <c r="C237" s="616" t="s">
        <v>467</v>
      </c>
      <c r="D237" s="616" t="s">
        <v>216</v>
      </c>
      <c r="E237" s="616" t="s">
        <v>217</v>
      </c>
      <c r="F237" s="617" t="s">
        <v>218</v>
      </c>
      <c r="G237" s="616" t="s">
        <v>219</v>
      </c>
      <c r="H237" s="617"/>
      <c r="I237" s="617"/>
      <c r="J237" s="617" t="s">
        <v>472</v>
      </c>
      <c r="K237" s="618"/>
      <c r="L237" s="616"/>
      <c r="M237" s="616"/>
      <c r="N237" s="617"/>
      <c r="O237" s="617"/>
      <c r="P237" s="617"/>
      <c r="Q237" s="617"/>
      <c r="R237" s="619"/>
      <c r="S237" s="617"/>
      <c r="T237" s="616" t="s">
        <v>221</v>
      </c>
    </row>
    <row r="238" ht="34.5">
      <c r="A238" s="616" t="s">
        <v>213</v>
      </c>
      <c r="B238" s="616" t="s">
        <v>214</v>
      </c>
      <c r="C238" s="616" t="s">
        <v>467</v>
      </c>
      <c r="D238" s="616" t="s">
        <v>216</v>
      </c>
      <c r="E238" s="616" t="s">
        <v>217</v>
      </c>
      <c r="F238" s="617" t="s">
        <v>218</v>
      </c>
      <c r="G238" s="616" t="s">
        <v>219</v>
      </c>
      <c r="H238" s="617"/>
      <c r="I238" s="617"/>
      <c r="J238" s="617" t="s">
        <v>473</v>
      </c>
      <c r="K238" s="618"/>
      <c r="L238" s="616"/>
      <c r="M238" s="616"/>
      <c r="N238" s="617"/>
      <c r="O238" s="617"/>
      <c r="P238" s="617"/>
      <c r="Q238" s="617"/>
      <c r="R238" s="619"/>
      <c r="S238" s="617"/>
      <c r="T238" s="616" t="s">
        <v>221</v>
      </c>
    </row>
    <row r="239" ht="34.5">
      <c r="A239" s="616" t="s">
        <v>213</v>
      </c>
      <c r="B239" s="616" t="s">
        <v>214</v>
      </c>
      <c r="C239" s="616" t="s">
        <v>467</v>
      </c>
      <c r="D239" s="616" t="s">
        <v>216</v>
      </c>
      <c r="E239" s="616" t="s">
        <v>217</v>
      </c>
      <c r="F239" s="617" t="s">
        <v>218</v>
      </c>
      <c r="G239" s="616" t="s">
        <v>219</v>
      </c>
      <c r="H239" s="617"/>
      <c r="I239" s="617"/>
      <c r="J239" s="617" t="s">
        <v>474</v>
      </c>
      <c r="K239" s="618"/>
      <c r="L239" s="616"/>
      <c r="M239" s="616"/>
      <c r="N239" s="617"/>
      <c r="O239" s="617"/>
      <c r="P239" s="617"/>
      <c r="Q239" s="617"/>
      <c r="R239" s="619"/>
      <c r="S239" s="617"/>
      <c r="T239" s="616" t="s">
        <v>221</v>
      </c>
    </row>
    <row r="240" ht="34.5">
      <c r="A240" s="616" t="s">
        <v>213</v>
      </c>
      <c r="B240" s="616" t="s">
        <v>214</v>
      </c>
      <c r="C240" s="616" t="s">
        <v>467</v>
      </c>
      <c r="D240" s="616" t="s">
        <v>216</v>
      </c>
      <c r="E240" s="616" t="s">
        <v>217</v>
      </c>
      <c r="F240" s="617" t="s">
        <v>218</v>
      </c>
      <c r="G240" s="616" t="s">
        <v>219</v>
      </c>
      <c r="H240" s="617"/>
      <c r="I240" s="617"/>
      <c r="J240" s="617" t="s">
        <v>475</v>
      </c>
      <c r="K240" s="618"/>
      <c r="L240" s="616"/>
      <c r="M240" s="616"/>
      <c r="N240" s="617"/>
      <c r="O240" s="617"/>
      <c r="P240" s="617"/>
      <c r="Q240" s="617"/>
      <c r="R240" s="619"/>
      <c r="S240" s="617"/>
      <c r="T240" s="616" t="s">
        <v>221</v>
      </c>
    </row>
    <row r="241" ht="34.5">
      <c r="A241" s="616" t="s">
        <v>213</v>
      </c>
      <c r="B241" s="616" t="s">
        <v>214</v>
      </c>
      <c r="C241" s="616" t="s">
        <v>467</v>
      </c>
      <c r="D241" s="616" t="s">
        <v>216</v>
      </c>
      <c r="E241" s="616" t="s">
        <v>217</v>
      </c>
      <c r="F241" s="617" t="s">
        <v>218</v>
      </c>
      <c r="G241" s="616" t="s">
        <v>219</v>
      </c>
      <c r="H241" s="617"/>
      <c r="I241" s="617"/>
      <c r="J241" s="617" t="s">
        <v>476</v>
      </c>
      <c r="K241" s="618"/>
      <c r="L241" s="616"/>
      <c r="M241" s="616"/>
      <c r="N241" s="617"/>
      <c r="O241" s="617"/>
      <c r="P241" s="617"/>
      <c r="Q241" s="617"/>
      <c r="R241" s="619"/>
      <c r="S241" s="617"/>
      <c r="T241" s="616" t="s">
        <v>221</v>
      </c>
    </row>
    <row r="242" ht="34.5">
      <c r="A242" s="616" t="s">
        <v>213</v>
      </c>
      <c r="B242" s="616" t="s">
        <v>214</v>
      </c>
      <c r="C242" s="616" t="s">
        <v>467</v>
      </c>
      <c r="D242" s="616" t="s">
        <v>216</v>
      </c>
      <c r="E242" s="616" t="s">
        <v>217</v>
      </c>
      <c r="F242" s="617" t="s">
        <v>218</v>
      </c>
      <c r="G242" s="616" t="s">
        <v>219</v>
      </c>
      <c r="H242" s="617"/>
      <c r="I242" s="617"/>
      <c r="J242" s="617" t="s">
        <v>477</v>
      </c>
      <c r="K242" s="618"/>
      <c r="L242" s="616"/>
      <c r="M242" s="616"/>
      <c r="N242" s="617"/>
      <c r="O242" s="617"/>
      <c r="P242" s="617"/>
      <c r="Q242" s="617"/>
      <c r="R242" s="619"/>
      <c r="S242" s="617"/>
      <c r="T242" s="616" t="s">
        <v>221</v>
      </c>
    </row>
    <row r="243" ht="34.5">
      <c r="A243" s="616" t="s">
        <v>213</v>
      </c>
      <c r="B243" s="616" t="s">
        <v>214</v>
      </c>
      <c r="C243" s="616" t="s">
        <v>467</v>
      </c>
      <c r="D243" s="616" t="s">
        <v>216</v>
      </c>
      <c r="E243" s="616" t="s">
        <v>217</v>
      </c>
      <c r="F243" s="617" t="s">
        <v>218</v>
      </c>
      <c r="G243" s="616" t="s">
        <v>219</v>
      </c>
      <c r="H243" s="617"/>
      <c r="I243" s="617"/>
      <c r="J243" s="617" t="s">
        <v>478</v>
      </c>
      <c r="K243" s="618"/>
      <c r="L243" s="616"/>
      <c r="M243" s="616"/>
      <c r="N243" s="617"/>
      <c r="O243" s="617"/>
      <c r="P243" s="617"/>
      <c r="Q243" s="617"/>
      <c r="R243" s="619"/>
      <c r="S243" s="617"/>
      <c r="T243" s="616" t="s">
        <v>221</v>
      </c>
    </row>
    <row r="244" ht="34.5">
      <c r="A244" s="616" t="s">
        <v>213</v>
      </c>
      <c r="B244" s="616" t="s">
        <v>214</v>
      </c>
      <c r="C244" s="616" t="s">
        <v>467</v>
      </c>
      <c r="D244" s="616" t="s">
        <v>216</v>
      </c>
      <c r="E244" s="616" t="s">
        <v>217</v>
      </c>
      <c r="F244" s="617" t="s">
        <v>218</v>
      </c>
      <c r="G244" s="616" t="s">
        <v>219</v>
      </c>
      <c r="H244" s="617"/>
      <c r="I244" s="617"/>
      <c r="J244" s="617" t="s">
        <v>479</v>
      </c>
      <c r="K244" s="618"/>
      <c r="L244" s="616"/>
      <c r="M244" s="616"/>
      <c r="N244" s="617"/>
      <c r="O244" s="617"/>
      <c r="P244" s="617"/>
      <c r="Q244" s="617"/>
      <c r="R244" s="619"/>
      <c r="S244" s="617"/>
      <c r="T244" s="616" t="s">
        <v>221</v>
      </c>
    </row>
    <row r="245" ht="34.5">
      <c r="A245" s="616" t="s">
        <v>213</v>
      </c>
      <c r="B245" s="616" t="s">
        <v>214</v>
      </c>
      <c r="C245" s="616" t="s">
        <v>467</v>
      </c>
      <c r="D245" s="616" t="s">
        <v>216</v>
      </c>
      <c r="E245" s="616" t="s">
        <v>217</v>
      </c>
      <c r="F245" s="617" t="s">
        <v>218</v>
      </c>
      <c r="G245" s="616" t="s">
        <v>219</v>
      </c>
      <c r="H245" s="617"/>
      <c r="I245" s="617"/>
      <c r="J245" s="617" t="s">
        <v>480</v>
      </c>
      <c r="K245" s="618"/>
      <c r="L245" s="616"/>
      <c r="M245" s="616"/>
      <c r="N245" s="617"/>
      <c r="O245" s="617"/>
      <c r="P245" s="617"/>
      <c r="Q245" s="617"/>
      <c r="R245" s="619"/>
      <c r="S245" s="617"/>
      <c r="T245" s="616" t="s">
        <v>221</v>
      </c>
    </row>
    <row r="246" ht="34.5">
      <c r="A246" s="616" t="s">
        <v>213</v>
      </c>
      <c r="B246" s="616" t="s">
        <v>214</v>
      </c>
      <c r="C246" s="616" t="s">
        <v>467</v>
      </c>
      <c r="D246" s="616" t="s">
        <v>216</v>
      </c>
      <c r="E246" s="616" t="s">
        <v>217</v>
      </c>
      <c r="F246" s="617" t="s">
        <v>218</v>
      </c>
      <c r="G246" s="616" t="s">
        <v>219</v>
      </c>
      <c r="H246" s="617"/>
      <c r="I246" s="617"/>
      <c r="J246" s="617" t="s">
        <v>481</v>
      </c>
      <c r="K246" s="618"/>
      <c r="L246" s="616"/>
      <c r="M246" s="616"/>
      <c r="N246" s="617"/>
      <c r="O246" s="617"/>
      <c r="P246" s="617"/>
      <c r="Q246" s="617"/>
      <c r="R246" s="619"/>
      <c r="S246" s="617"/>
      <c r="T246" s="616" t="s">
        <v>221</v>
      </c>
    </row>
    <row r="247" ht="34.5">
      <c r="A247" s="616" t="s">
        <v>213</v>
      </c>
      <c r="B247" s="616" t="s">
        <v>214</v>
      </c>
      <c r="C247" s="616" t="s">
        <v>467</v>
      </c>
      <c r="D247" s="616" t="s">
        <v>216</v>
      </c>
      <c r="E247" s="616" t="s">
        <v>217</v>
      </c>
      <c r="F247" s="617" t="s">
        <v>218</v>
      </c>
      <c r="G247" s="616" t="s">
        <v>219</v>
      </c>
      <c r="H247" s="617"/>
      <c r="I247" s="617"/>
      <c r="J247" s="617" t="s">
        <v>482</v>
      </c>
      <c r="K247" s="618"/>
      <c r="L247" s="616"/>
      <c r="M247" s="616"/>
      <c r="N247" s="617"/>
      <c r="O247" s="617"/>
      <c r="P247" s="617"/>
      <c r="Q247" s="617"/>
      <c r="R247" s="619"/>
      <c r="S247" s="617"/>
      <c r="T247" s="616" t="s">
        <v>221</v>
      </c>
    </row>
    <row r="248" ht="34.5">
      <c r="A248" s="616" t="s">
        <v>213</v>
      </c>
      <c r="B248" s="616" t="s">
        <v>214</v>
      </c>
      <c r="C248" s="616" t="s">
        <v>483</v>
      </c>
      <c r="D248" s="616" t="s">
        <v>216</v>
      </c>
      <c r="E248" s="616" t="s">
        <v>217</v>
      </c>
      <c r="F248" s="617" t="s">
        <v>218</v>
      </c>
      <c r="G248" s="616" t="s">
        <v>219</v>
      </c>
      <c r="H248" s="617"/>
      <c r="I248" s="617"/>
      <c r="J248" s="617" t="s">
        <v>484</v>
      </c>
      <c r="K248" s="618"/>
      <c r="L248" s="616"/>
      <c r="M248" s="616"/>
      <c r="N248" s="617"/>
      <c r="O248" s="617"/>
      <c r="P248" s="617"/>
      <c r="Q248" s="617"/>
      <c r="R248" s="619"/>
      <c r="S248" s="617"/>
      <c r="T248" s="616" t="s">
        <v>221</v>
      </c>
    </row>
    <row r="249" ht="34.5">
      <c r="A249" s="616" t="s">
        <v>213</v>
      </c>
      <c r="B249" s="616" t="s">
        <v>214</v>
      </c>
      <c r="C249" s="616" t="s">
        <v>483</v>
      </c>
      <c r="D249" s="616" t="s">
        <v>216</v>
      </c>
      <c r="E249" s="616" t="s">
        <v>217</v>
      </c>
      <c r="F249" s="617" t="s">
        <v>218</v>
      </c>
      <c r="G249" s="616" t="s">
        <v>219</v>
      </c>
      <c r="H249" s="617"/>
      <c r="I249" s="617"/>
      <c r="J249" s="617" t="s">
        <v>485</v>
      </c>
      <c r="K249" s="618"/>
      <c r="L249" s="616"/>
      <c r="M249" s="616"/>
      <c r="N249" s="617"/>
      <c r="O249" s="617"/>
      <c r="P249" s="617"/>
      <c r="Q249" s="617"/>
      <c r="R249" s="619"/>
      <c r="S249" s="617"/>
      <c r="T249" s="616" t="s">
        <v>221</v>
      </c>
    </row>
    <row r="250" ht="34.5">
      <c r="A250" s="616" t="s">
        <v>213</v>
      </c>
      <c r="B250" s="616" t="s">
        <v>214</v>
      </c>
      <c r="C250" s="616" t="s">
        <v>483</v>
      </c>
      <c r="D250" s="616" t="s">
        <v>216</v>
      </c>
      <c r="E250" s="616" t="s">
        <v>217</v>
      </c>
      <c r="F250" s="617" t="s">
        <v>218</v>
      </c>
      <c r="G250" s="616" t="s">
        <v>219</v>
      </c>
      <c r="H250" s="617"/>
      <c r="I250" s="617"/>
      <c r="J250" s="617" t="s">
        <v>486</v>
      </c>
      <c r="K250" s="618"/>
      <c r="L250" s="616"/>
      <c r="M250" s="616"/>
      <c r="N250" s="617"/>
      <c r="O250" s="617"/>
      <c r="P250" s="617"/>
      <c r="Q250" s="617"/>
      <c r="R250" s="619"/>
      <c r="S250" s="617"/>
      <c r="T250" s="616" t="s">
        <v>221</v>
      </c>
    </row>
    <row r="251" ht="34.5">
      <c r="A251" s="616" t="s">
        <v>213</v>
      </c>
      <c r="B251" s="616" t="s">
        <v>214</v>
      </c>
      <c r="C251" s="616" t="s">
        <v>483</v>
      </c>
      <c r="D251" s="616" t="s">
        <v>216</v>
      </c>
      <c r="E251" s="616" t="s">
        <v>217</v>
      </c>
      <c r="F251" s="617" t="s">
        <v>218</v>
      </c>
      <c r="G251" s="616" t="s">
        <v>219</v>
      </c>
      <c r="H251" s="617"/>
      <c r="I251" s="617"/>
      <c r="J251" s="617" t="s">
        <v>487</v>
      </c>
      <c r="K251" s="618"/>
      <c r="L251" s="616"/>
      <c r="M251" s="616"/>
      <c r="N251" s="617"/>
      <c r="O251" s="617"/>
      <c r="P251" s="617"/>
      <c r="Q251" s="617"/>
      <c r="R251" s="619"/>
      <c r="S251" s="617"/>
      <c r="T251" s="616" t="s">
        <v>221</v>
      </c>
    </row>
    <row r="252" ht="34.5">
      <c r="A252" s="616" t="s">
        <v>213</v>
      </c>
      <c r="B252" s="616" t="s">
        <v>214</v>
      </c>
      <c r="C252" s="616" t="s">
        <v>483</v>
      </c>
      <c r="D252" s="616" t="s">
        <v>216</v>
      </c>
      <c r="E252" s="616" t="s">
        <v>217</v>
      </c>
      <c r="F252" s="617" t="s">
        <v>218</v>
      </c>
      <c r="G252" s="616" t="s">
        <v>219</v>
      </c>
      <c r="H252" s="617"/>
      <c r="I252" s="617"/>
      <c r="J252" s="617" t="s">
        <v>488</v>
      </c>
      <c r="K252" s="618"/>
      <c r="L252" s="616"/>
      <c r="M252" s="616"/>
      <c r="N252" s="617"/>
      <c r="O252" s="617"/>
      <c r="P252" s="617"/>
      <c r="Q252" s="617"/>
      <c r="R252" s="619"/>
      <c r="S252" s="617"/>
      <c r="T252" s="616" t="s">
        <v>221</v>
      </c>
    </row>
    <row r="253" ht="34.5">
      <c r="A253" s="616" t="s">
        <v>213</v>
      </c>
      <c r="B253" s="616" t="s">
        <v>214</v>
      </c>
      <c r="C253" s="616" t="s">
        <v>483</v>
      </c>
      <c r="D253" s="616" t="s">
        <v>216</v>
      </c>
      <c r="E253" s="616" t="s">
        <v>217</v>
      </c>
      <c r="F253" s="617" t="s">
        <v>218</v>
      </c>
      <c r="G253" s="616" t="s">
        <v>219</v>
      </c>
      <c r="H253" s="617"/>
      <c r="I253" s="617"/>
      <c r="J253" s="617" t="s">
        <v>489</v>
      </c>
      <c r="K253" s="618"/>
      <c r="L253" s="616"/>
      <c r="M253" s="616"/>
      <c r="N253" s="617"/>
      <c r="O253" s="617"/>
      <c r="P253" s="617"/>
      <c r="Q253" s="617"/>
      <c r="R253" s="619"/>
      <c r="S253" s="617"/>
      <c r="T253" s="616" t="s">
        <v>221</v>
      </c>
    </row>
    <row r="254" ht="34.5">
      <c r="A254" s="616" t="s">
        <v>213</v>
      </c>
      <c r="B254" s="616" t="s">
        <v>214</v>
      </c>
      <c r="C254" s="616" t="s">
        <v>483</v>
      </c>
      <c r="D254" s="616" t="s">
        <v>216</v>
      </c>
      <c r="E254" s="616" t="s">
        <v>217</v>
      </c>
      <c r="F254" s="617" t="s">
        <v>218</v>
      </c>
      <c r="G254" s="616" t="s">
        <v>219</v>
      </c>
      <c r="H254" s="617"/>
      <c r="I254" s="617"/>
      <c r="J254" s="617" t="s">
        <v>490</v>
      </c>
      <c r="K254" s="618"/>
      <c r="L254" s="616"/>
      <c r="M254" s="616"/>
      <c r="N254" s="617"/>
      <c r="O254" s="617"/>
      <c r="P254" s="617"/>
      <c r="Q254" s="617"/>
      <c r="R254" s="619"/>
      <c r="S254" s="617"/>
      <c r="T254" s="616" t="s">
        <v>221</v>
      </c>
    </row>
    <row r="255" ht="34.5">
      <c r="A255" s="616" t="s">
        <v>213</v>
      </c>
      <c r="B255" s="616" t="s">
        <v>214</v>
      </c>
      <c r="C255" s="616" t="s">
        <v>483</v>
      </c>
      <c r="D255" s="616" t="s">
        <v>216</v>
      </c>
      <c r="E255" s="616" t="s">
        <v>217</v>
      </c>
      <c r="F255" s="617" t="s">
        <v>218</v>
      </c>
      <c r="G255" s="616" t="s">
        <v>219</v>
      </c>
      <c r="H255" s="617"/>
      <c r="I255" s="617"/>
      <c r="J255" s="617" t="s">
        <v>491</v>
      </c>
      <c r="K255" s="618"/>
      <c r="L255" s="616"/>
      <c r="M255" s="616"/>
      <c r="N255" s="617"/>
      <c r="O255" s="617"/>
      <c r="P255" s="617"/>
      <c r="Q255" s="617"/>
      <c r="R255" s="619"/>
      <c r="S255" s="617"/>
      <c r="T255" s="616" t="s">
        <v>221</v>
      </c>
    </row>
    <row r="256" ht="34.5">
      <c r="A256" s="616" t="s">
        <v>213</v>
      </c>
      <c r="B256" s="616" t="s">
        <v>214</v>
      </c>
      <c r="C256" s="616" t="s">
        <v>483</v>
      </c>
      <c r="D256" s="616" t="s">
        <v>216</v>
      </c>
      <c r="E256" s="616" t="s">
        <v>217</v>
      </c>
      <c r="F256" s="617" t="s">
        <v>218</v>
      </c>
      <c r="G256" s="616" t="s">
        <v>219</v>
      </c>
      <c r="H256" s="617"/>
      <c r="I256" s="617"/>
      <c r="J256" s="617" t="s">
        <v>492</v>
      </c>
      <c r="K256" s="618"/>
      <c r="L256" s="616"/>
      <c r="M256" s="616"/>
      <c r="N256" s="617"/>
      <c r="O256" s="617"/>
      <c r="P256" s="617"/>
      <c r="Q256" s="617"/>
      <c r="R256" s="619"/>
      <c r="S256" s="617"/>
      <c r="T256" s="616" t="s">
        <v>221</v>
      </c>
    </row>
    <row r="257" ht="34.5">
      <c r="A257" s="616" t="s">
        <v>213</v>
      </c>
      <c r="B257" s="616" t="s">
        <v>214</v>
      </c>
      <c r="C257" s="616" t="s">
        <v>483</v>
      </c>
      <c r="D257" s="616" t="s">
        <v>216</v>
      </c>
      <c r="E257" s="616" t="s">
        <v>217</v>
      </c>
      <c r="F257" s="617" t="s">
        <v>218</v>
      </c>
      <c r="G257" s="616" t="s">
        <v>219</v>
      </c>
      <c r="H257" s="617"/>
      <c r="I257" s="617"/>
      <c r="J257" s="617" t="s">
        <v>493</v>
      </c>
      <c r="K257" s="618"/>
      <c r="L257" s="616"/>
      <c r="M257" s="616"/>
      <c r="N257" s="617"/>
      <c r="O257" s="617"/>
      <c r="P257" s="617"/>
      <c r="Q257" s="617"/>
      <c r="R257" s="619"/>
      <c r="S257" s="617"/>
      <c r="T257" s="616" t="s">
        <v>221</v>
      </c>
    </row>
    <row r="258" ht="34.5">
      <c r="A258" s="616" t="s">
        <v>213</v>
      </c>
      <c r="B258" s="616" t="s">
        <v>214</v>
      </c>
      <c r="C258" s="616" t="s">
        <v>483</v>
      </c>
      <c r="D258" s="616" t="s">
        <v>216</v>
      </c>
      <c r="E258" s="616" t="s">
        <v>217</v>
      </c>
      <c r="F258" s="617" t="s">
        <v>218</v>
      </c>
      <c r="G258" s="616" t="s">
        <v>219</v>
      </c>
      <c r="H258" s="617"/>
      <c r="I258" s="617"/>
      <c r="J258" s="617" t="s">
        <v>494</v>
      </c>
      <c r="K258" s="618"/>
      <c r="L258" s="616"/>
      <c r="M258" s="616"/>
      <c r="N258" s="617"/>
      <c r="O258" s="617"/>
      <c r="P258" s="617"/>
      <c r="Q258" s="617"/>
      <c r="R258" s="619"/>
      <c r="S258" s="617"/>
      <c r="T258" s="616" t="s">
        <v>221</v>
      </c>
    </row>
    <row r="259" ht="34.5">
      <c r="A259" s="616" t="s">
        <v>213</v>
      </c>
      <c r="B259" s="616" t="s">
        <v>214</v>
      </c>
      <c r="C259" s="616" t="s">
        <v>495</v>
      </c>
      <c r="D259" s="616" t="s">
        <v>216</v>
      </c>
      <c r="E259" s="616" t="s">
        <v>217</v>
      </c>
      <c r="F259" s="617" t="s">
        <v>218</v>
      </c>
      <c r="G259" s="616" t="s">
        <v>219</v>
      </c>
      <c r="H259" s="617"/>
      <c r="I259" s="617"/>
      <c r="J259" s="617" t="s">
        <v>496</v>
      </c>
      <c r="K259" s="618"/>
      <c r="L259" s="616"/>
      <c r="M259" s="616"/>
      <c r="N259" s="617"/>
      <c r="O259" s="617"/>
      <c r="P259" s="617"/>
      <c r="Q259" s="617"/>
      <c r="R259" s="619"/>
      <c r="S259" s="617"/>
      <c r="T259" s="616" t="s">
        <v>221</v>
      </c>
    </row>
    <row r="260" ht="34.5">
      <c r="A260" s="616" t="s">
        <v>213</v>
      </c>
      <c r="B260" s="616" t="s">
        <v>214</v>
      </c>
      <c r="C260" s="616" t="s">
        <v>495</v>
      </c>
      <c r="D260" s="616" t="s">
        <v>216</v>
      </c>
      <c r="E260" s="616" t="s">
        <v>217</v>
      </c>
      <c r="F260" s="617" t="s">
        <v>218</v>
      </c>
      <c r="G260" s="616" t="s">
        <v>219</v>
      </c>
      <c r="H260" s="617"/>
      <c r="I260" s="617"/>
      <c r="J260" s="617" t="s">
        <v>497</v>
      </c>
      <c r="K260" s="618"/>
      <c r="L260" s="616"/>
      <c r="M260" s="616"/>
      <c r="N260" s="617"/>
      <c r="O260" s="617"/>
      <c r="P260" s="617"/>
      <c r="Q260" s="617"/>
      <c r="R260" s="619"/>
      <c r="S260" s="617"/>
      <c r="T260" s="616" t="s">
        <v>221</v>
      </c>
    </row>
    <row r="261" ht="34.5">
      <c r="A261" s="616" t="s">
        <v>213</v>
      </c>
      <c r="B261" s="616" t="s">
        <v>214</v>
      </c>
      <c r="C261" s="616" t="s">
        <v>495</v>
      </c>
      <c r="D261" s="616" t="s">
        <v>216</v>
      </c>
      <c r="E261" s="616" t="s">
        <v>217</v>
      </c>
      <c r="F261" s="617" t="s">
        <v>218</v>
      </c>
      <c r="G261" s="616" t="s">
        <v>219</v>
      </c>
      <c r="H261" s="617"/>
      <c r="I261" s="617"/>
      <c r="J261" s="617" t="s">
        <v>498</v>
      </c>
      <c r="K261" s="618"/>
      <c r="L261" s="616"/>
      <c r="M261" s="616"/>
      <c r="N261" s="617"/>
      <c r="O261" s="617"/>
      <c r="P261" s="617"/>
      <c r="Q261" s="617"/>
      <c r="R261" s="619"/>
      <c r="S261" s="617"/>
      <c r="T261" s="616" t="s">
        <v>221</v>
      </c>
    </row>
    <row r="262" ht="34.5">
      <c r="A262" s="616" t="s">
        <v>213</v>
      </c>
      <c r="B262" s="616" t="s">
        <v>214</v>
      </c>
      <c r="C262" s="616" t="s">
        <v>495</v>
      </c>
      <c r="D262" s="616" t="s">
        <v>216</v>
      </c>
      <c r="E262" s="616" t="s">
        <v>217</v>
      </c>
      <c r="F262" s="617" t="s">
        <v>218</v>
      </c>
      <c r="G262" s="616" t="s">
        <v>219</v>
      </c>
      <c r="H262" s="617"/>
      <c r="I262" s="617"/>
      <c r="J262" s="617" t="s">
        <v>499</v>
      </c>
      <c r="K262" s="618"/>
      <c r="L262" s="616"/>
      <c r="M262" s="616"/>
      <c r="N262" s="617"/>
      <c r="O262" s="617"/>
      <c r="P262" s="617"/>
      <c r="Q262" s="617"/>
      <c r="R262" s="619"/>
      <c r="S262" s="617"/>
      <c r="T262" s="616" t="s">
        <v>221</v>
      </c>
    </row>
    <row r="263" ht="34.5">
      <c r="A263" s="616" t="s">
        <v>213</v>
      </c>
      <c r="B263" s="616" t="s">
        <v>214</v>
      </c>
      <c r="C263" s="616" t="s">
        <v>495</v>
      </c>
      <c r="D263" s="616" t="s">
        <v>216</v>
      </c>
      <c r="E263" s="616" t="s">
        <v>217</v>
      </c>
      <c r="F263" s="617" t="s">
        <v>218</v>
      </c>
      <c r="G263" s="616" t="s">
        <v>219</v>
      </c>
      <c r="H263" s="617"/>
      <c r="I263" s="617"/>
      <c r="J263" s="617" t="s">
        <v>500</v>
      </c>
      <c r="K263" s="618"/>
      <c r="L263" s="616"/>
      <c r="M263" s="616"/>
      <c r="N263" s="617"/>
      <c r="O263" s="617"/>
      <c r="P263" s="617"/>
      <c r="Q263" s="617"/>
      <c r="R263" s="619"/>
      <c r="S263" s="617"/>
      <c r="T263" s="616" t="s">
        <v>221</v>
      </c>
    </row>
    <row r="264" ht="34.5">
      <c r="A264" s="616" t="s">
        <v>213</v>
      </c>
      <c r="B264" s="616" t="s">
        <v>214</v>
      </c>
      <c r="C264" s="616" t="s">
        <v>495</v>
      </c>
      <c r="D264" s="616" t="s">
        <v>216</v>
      </c>
      <c r="E264" s="616" t="s">
        <v>217</v>
      </c>
      <c r="F264" s="617" t="s">
        <v>218</v>
      </c>
      <c r="G264" s="616" t="s">
        <v>219</v>
      </c>
      <c r="H264" s="617"/>
      <c r="I264" s="617"/>
      <c r="J264" s="617" t="s">
        <v>501</v>
      </c>
      <c r="K264" s="618"/>
      <c r="L264" s="616"/>
      <c r="M264" s="616"/>
      <c r="N264" s="617"/>
      <c r="O264" s="617"/>
      <c r="P264" s="617"/>
      <c r="Q264" s="617"/>
      <c r="R264" s="619"/>
      <c r="S264" s="617"/>
      <c r="T264" s="616" t="s">
        <v>221</v>
      </c>
    </row>
    <row r="265" ht="34.5">
      <c r="A265" s="616" t="s">
        <v>213</v>
      </c>
      <c r="B265" s="616" t="s">
        <v>214</v>
      </c>
      <c r="C265" s="616" t="s">
        <v>495</v>
      </c>
      <c r="D265" s="616" t="s">
        <v>216</v>
      </c>
      <c r="E265" s="616" t="s">
        <v>217</v>
      </c>
      <c r="F265" s="617" t="s">
        <v>218</v>
      </c>
      <c r="G265" s="616" t="s">
        <v>219</v>
      </c>
      <c r="H265" s="617"/>
      <c r="I265" s="617"/>
      <c r="J265" s="617" t="s">
        <v>502</v>
      </c>
      <c r="K265" s="618"/>
      <c r="L265" s="616"/>
      <c r="M265" s="616"/>
      <c r="N265" s="617"/>
      <c r="O265" s="617"/>
      <c r="P265" s="617"/>
      <c r="Q265" s="617"/>
      <c r="R265" s="619"/>
      <c r="S265" s="617"/>
      <c r="T265" s="616" t="s">
        <v>221</v>
      </c>
    </row>
    <row r="266" ht="34.5">
      <c r="A266" s="616" t="s">
        <v>213</v>
      </c>
      <c r="B266" s="616" t="s">
        <v>214</v>
      </c>
      <c r="C266" s="616" t="s">
        <v>495</v>
      </c>
      <c r="D266" s="616" t="s">
        <v>216</v>
      </c>
      <c r="E266" s="616" t="s">
        <v>503</v>
      </c>
      <c r="F266" s="617" t="s">
        <v>504</v>
      </c>
      <c r="G266" s="616" t="s">
        <v>505</v>
      </c>
      <c r="H266" s="617"/>
      <c r="I266" s="617"/>
      <c r="J266" s="617" t="s">
        <v>506</v>
      </c>
      <c r="K266" s="618"/>
      <c r="L266" s="616"/>
      <c r="M266" s="616"/>
      <c r="N266" s="617"/>
      <c r="O266" s="617"/>
      <c r="P266" s="617"/>
      <c r="Q266" s="617"/>
      <c r="R266" s="619"/>
      <c r="S266" s="617"/>
      <c r="T266" s="616" t="s">
        <v>221</v>
      </c>
    </row>
    <row r="267" ht="34.5">
      <c r="A267" s="616" t="s">
        <v>213</v>
      </c>
      <c r="B267" s="616" t="s">
        <v>214</v>
      </c>
      <c r="C267" s="616" t="s">
        <v>495</v>
      </c>
      <c r="D267" s="616" t="s">
        <v>216</v>
      </c>
      <c r="E267" s="616" t="s">
        <v>503</v>
      </c>
      <c r="F267" s="617" t="s">
        <v>504</v>
      </c>
      <c r="G267" s="616" t="s">
        <v>505</v>
      </c>
      <c r="H267" s="617"/>
      <c r="I267" s="617"/>
      <c r="J267" s="617" t="s">
        <v>507</v>
      </c>
      <c r="K267" s="618"/>
      <c r="L267" s="616"/>
      <c r="M267" s="616"/>
      <c r="N267" s="617"/>
      <c r="O267" s="617"/>
      <c r="P267" s="617"/>
      <c r="Q267" s="617"/>
      <c r="R267" s="619"/>
      <c r="S267" s="617"/>
      <c r="T267" s="616" t="s">
        <v>221</v>
      </c>
    </row>
    <row r="268" ht="34.5">
      <c r="A268" s="616" t="s">
        <v>213</v>
      </c>
      <c r="B268" s="616" t="s">
        <v>214</v>
      </c>
      <c r="C268" s="616" t="s">
        <v>495</v>
      </c>
      <c r="D268" s="616" t="s">
        <v>216</v>
      </c>
      <c r="E268" s="616" t="s">
        <v>503</v>
      </c>
      <c r="F268" s="617" t="s">
        <v>504</v>
      </c>
      <c r="G268" s="616" t="s">
        <v>505</v>
      </c>
      <c r="H268" s="617"/>
      <c r="I268" s="617"/>
      <c r="J268" s="617" t="s">
        <v>508</v>
      </c>
      <c r="K268" s="618"/>
      <c r="L268" s="616"/>
      <c r="M268" s="616"/>
      <c r="N268" s="617"/>
      <c r="O268" s="617"/>
      <c r="P268" s="617"/>
      <c r="Q268" s="617"/>
      <c r="R268" s="619"/>
      <c r="S268" s="617"/>
      <c r="T268" s="616" t="s">
        <v>221</v>
      </c>
    </row>
    <row r="269" ht="34.5">
      <c r="A269" s="616" t="s">
        <v>213</v>
      </c>
      <c r="B269" s="616" t="s">
        <v>214</v>
      </c>
      <c r="C269" s="616" t="s">
        <v>495</v>
      </c>
      <c r="D269" s="616" t="s">
        <v>216</v>
      </c>
      <c r="E269" s="616" t="s">
        <v>503</v>
      </c>
      <c r="F269" s="617" t="s">
        <v>504</v>
      </c>
      <c r="G269" s="616" t="s">
        <v>505</v>
      </c>
      <c r="H269" s="617"/>
      <c r="I269" s="617"/>
      <c r="J269" s="617" t="s">
        <v>509</v>
      </c>
      <c r="K269" s="618"/>
      <c r="L269" s="616"/>
      <c r="M269" s="616"/>
      <c r="N269" s="617"/>
      <c r="O269" s="617"/>
      <c r="P269" s="617"/>
      <c r="Q269" s="617"/>
      <c r="R269" s="619"/>
      <c r="S269" s="617"/>
      <c r="T269" s="616" t="s">
        <v>221</v>
      </c>
    </row>
    <row r="270" ht="34.5">
      <c r="A270" s="616" t="s">
        <v>213</v>
      </c>
      <c r="B270" s="616" t="s">
        <v>214</v>
      </c>
      <c r="C270" s="616" t="s">
        <v>510</v>
      </c>
      <c r="D270" s="616" t="s">
        <v>216</v>
      </c>
      <c r="E270" s="616" t="s">
        <v>503</v>
      </c>
      <c r="F270" s="617" t="s">
        <v>504</v>
      </c>
      <c r="G270" s="616" t="s">
        <v>505</v>
      </c>
      <c r="H270" s="617"/>
      <c r="I270" s="617"/>
      <c r="J270" s="617" t="s">
        <v>511</v>
      </c>
      <c r="K270" s="618"/>
      <c r="L270" s="616"/>
      <c r="M270" s="616"/>
      <c r="N270" s="617"/>
      <c r="O270" s="617"/>
      <c r="P270" s="617"/>
      <c r="Q270" s="617"/>
      <c r="R270" s="619"/>
      <c r="S270" s="617"/>
      <c r="T270" s="616" t="s">
        <v>221</v>
      </c>
    </row>
    <row r="271" ht="34.5">
      <c r="A271" s="616" t="s">
        <v>213</v>
      </c>
      <c r="B271" s="616" t="s">
        <v>214</v>
      </c>
      <c r="C271" s="616" t="s">
        <v>510</v>
      </c>
      <c r="D271" s="616" t="s">
        <v>216</v>
      </c>
      <c r="E271" s="616" t="s">
        <v>503</v>
      </c>
      <c r="F271" s="617" t="s">
        <v>504</v>
      </c>
      <c r="G271" s="616" t="s">
        <v>505</v>
      </c>
      <c r="H271" s="617"/>
      <c r="I271" s="617"/>
      <c r="J271" s="617" t="s">
        <v>512</v>
      </c>
      <c r="K271" s="618"/>
      <c r="L271" s="616"/>
      <c r="M271" s="616"/>
      <c r="N271" s="617"/>
      <c r="O271" s="617"/>
      <c r="P271" s="617"/>
      <c r="Q271" s="617"/>
      <c r="R271" s="619"/>
      <c r="S271" s="617"/>
      <c r="T271" s="616" t="s">
        <v>221</v>
      </c>
    </row>
    <row r="272" ht="34.5">
      <c r="A272" s="616" t="s">
        <v>213</v>
      </c>
      <c r="B272" s="616" t="s">
        <v>214</v>
      </c>
      <c r="C272" s="616" t="s">
        <v>510</v>
      </c>
      <c r="D272" s="616" t="s">
        <v>216</v>
      </c>
      <c r="E272" s="616" t="s">
        <v>503</v>
      </c>
      <c r="F272" s="617" t="s">
        <v>504</v>
      </c>
      <c r="G272" s="616" t="s">
        <v>505</v>
      </c>
      <c r="H272" s="617"/>
      <c r="I272" s="617"/>
      <c r="J272" s="617" t="s">
        <v>513</v>
      </c>
      <c r="K272" s="618"/>
      <c r="L272" s="616"/>
      <c r="M272" s="616"/>
      <c r="N272" s="617"/>
      <c r="O272" s="617"/>
      <c r="P272" s="617"/>
      <c r="Q272" s="617"/>
      <c r="R272" s="619"/>
      <c r="S272" s="617"/>
      <c r="T272" s="616" t="s">
        <v>221</v>
      </c>
    </row>
    <row r="273" ht="34.5">
      <c r="A273" s="616" t="s">
        <v>213</v>
      </c>
      <c r="B273" s="616" t="s">
        <v>214</v>
      </c>
      <c r="C273" s="616" t="s">
        <v>510</v>
      </c>
      <c r="D273" s="616" t="s">
        <v>216</v>
      </c>
      <c r="E273" s="616" t="s">
        <v>503</v>
      </c>
      <c r="F273" s="617" t="s">
        <v>504</v>
      </c>
      <c r="G273" s="616" t="s">
        <v>505</v>
      </c>
      <c r="H273" s="617"/>
      <c r="I273" s="617"/>
      <c r="J273" s="617" t="s">
        <v>514</v>
      </c>
      <c r="K273" s="618"/>
      <c r="L273" s="616"/>
      <c r="M273" s="616"/>
      <c r="N273" s="617"/>
      <c r="O273" s="617"/>
      <c r="P273" s="617"/>
      <c r="Q273" s="617"/>
      <c r="R273" s="619"/>
      <c r="S273" s="617"/>
      <c r="T273" s="616" t="s">
        <v>221</v>
      </c>
    </row>
    <row r="274" ht="34.5">
      <c r="A274" s="616" t="s">
        <v>213</v>
      </c>
      <c r="B274" s="616" t="s">
        <v>214</v>
      </c>
      <c r="C274" s="616" t="s">
        <v>510</v>
      </c>
      <c r="D274" s="616" t="s">
        <v>216</v>
      </c>
      <c r="E274" s="616" t="s">
        <v>503</v>
      </c>
      <c r="F274" s="617" t="s">
        <v>504</v>
      </c>
      <c r="G274" s="616" t="s">
        <v>505</v>
      </c>
      <c r="H274" s="617"/>
      <c r="I274" s="617"/>
      <c r="J274" s="617" t="s">
        <v>515</v>
      </c>
      <c r="K274" s="618"/>
      <c r="L274" s="616"/>
      <c r="M274" s="616"/>
      <c r="N274" s="617"/>
      <c r="O274" s="617"/>
      <c r="P274" s="617"/>
      <c r="Q274" s="617"/>
      <c r="R274" s="619"/>
      <c r="S274" s="617"/>
      <c r="T274" s="616" t="s">
        <v>221</v>
      </c>
    </row>
    <row r="275" ht="34.5">
      <c r="A275" s="616" t="s">
        <v>213</v>
      </c>
      <c r="B275" s="616" t="s">
        <v>214</v>
      </c>
      <c r="C275" s="616" t="s">
        <v>510</v>
      </c>
      <c r="D275" s="616" t="s">
        <v>216</v>
      </c>
      <c r="E275" s="616" t="s">
        <v>503</v>
      </c>
      <c r="F275" s="617" t="s">
        <v>504</v>
      </c>
      <c r="G275" s="616" t="s">
        <v>505</v>
      </c>
      <c r="H275" s="617"/>
      <c r="I275" s="617"/>
      <c r="J275" s="617" t="s">
        <v>516</v>
      </c>
      <c r="K275" s="618"/>
      <c r="L275" s="616"/>
      <c r="M275" s="616"/>
      <c r="N275" s="617"/>
      <c r="O275" s="617"/>
      <c r="P275" s="617"/>
      <c r="Q275" s="617"/>
      <c r="R275" s="619"/>
      <c r="S275" s="617"/>
      <c r="T275" s="616" t="s">
        <v>221</v>
      </c>
    </row>
    <row r="276" ht="34.5">
      <c r="A276" s="616" t="s">
        <v>213</v>
      </c>
      <c r="B276" s="616" t="s">
        <v>214</v>
      </c>
      <c r="C276" s="616" t="s">
        <v>510</v>
      </c>
      <c r="D276" s="616" t="s">
        <v>216</v>
      </c>
      <c r="E276" s="616" t="s">
        <v>503</v>
      </c>
      <c r="F276" s="617" t="s">
        <v>504</v>
      </c>
      <c r="G276" s="616" t="s">
        <v>505</v>
      </c>
      <c r="H276" s="617"/>
      <c r="I276" s="617"/>
      <c r="J276" s="617" t="s">
        <v>517</v>
      </c>
      <c r="K276" s="618"/>
      <c r="L276" s="616"/>
      <c r="M276" s="616"/>
      <c r="N276" s="617"/>
      <c r="O276" s="617"/>
      <c r="P276" s="617"/>
      <c r="Q276" s="617"/>
      <c r="R276" s="619"/>
      <c r="S276" s="617"/>
      <c r="T276" s="616" t="s">
        <v>221</v>
      </c>
    </row>
    <row r="277" ht="34.5">
      <c r="A277" s="616" t="s">
        <v>213</v>
      </c>
      <c r="B277" s="616" t="s">
        <v>214</v>
      </c>
      <c r="C277" s="616" t="s">
        <v>510</v>
      </c>
      <c r="D277" s="616" t="s">
        <v>216</v>
      </c>
      <c r="E277" s="616" t="s">
        <v>503</v>
      </c>
      <c r="F277" s="617" t="s">
        <v>504</v>
      </c>
      <c r="G277" s="616" t="s">
        <v>505</v>
      </c>
      <c r="H277" s="617"/>
      <c r="I277" s="617"/>
      <c r="J277" s="617" t="s">
        <v>518</v>
      </c>
      <c r="K277" s="618"/>
      <c r="L277" s="616"/>
      <c r="M277" s="616"/>
      <c r="N277" s="617"/>
      <c r="O277" s="617"/>
      <c r="P277" s="617"/>
      <c r="Q277" s="617"/>
      <c r="R277" s="619"/>
      <c r="S277" s="617"/>
      <c r="T277" s="616" t="s">
        <v>221</v>
      </c>
    </row>
    <row r="278" ht="34.5">
      <c r="A278" s="616" t="s">
        <v>213</v>
      </c>
      <c r="B278" s="616" t="s">
        <v>214</v>
      </c>
      <c r="C278" s="616" t="s">
        <v>510</v>
      </c>
      <c r="D278" s="616" t="s">
        <v>216</v>
      </c>
      <c r="E278" s="616" t="s">
        <v>503</v>
      </c>
      <c r="F278" s="617" t="s">
        <v>504</v>
      </c>
      <c r="G278" s="616" t="s">
        <v>505</v>
      </c>
      <c r="H278" s="617"/>
      <c r="I278" s="617"/>
      <c r="J278" s="617" t="s">
        <v>519</v>
      </c>
      <c r="K278" s="618"/>
      <c r="L278" s="616"/>
      <c r="M278" s="616"/>
      <c r="N278" s="617"/>
      <c r="O278" s="617"/>
      <c r="P278" s="617"/>
      <c r="Q278" s="617"/>
      <c r="R278" s="619"/>
      <c r="S278" s="617"/>
      <c r="T278" s="616" t="s">
        <v>221</v>
      </c>
    </row>
    <row r="279" ht="34.5">
      <c r="A279" s="616" t="s">
        <v>213</v>
      </c>
      <c r="B279" s="616" t="s">
        <v>214</v>
      </c>
      <c r="C279" s="616" t="s">
        <v>510</v>
      </c>
      <c r="D279" s="616" t="s">
        <v>216</v>
      </c>
      <c r="E279" s="616" t="s">
        <v>503</v>
      </c>
      <c r="F279" s="617" t="s">
        <v>504</v>
      </c>
      <c r="G279" s="616" t="s">
        <v>505</v>
      </c>
      <c r="H279" s="617"/>
      <c r="I279" s="617"/>
      <c r="J279" s="617" t="s">
        <v>520</v>
      </c>
      <c r="K279" s="618"/>
      <c r="L279" s="616"/>
      <c r="M279" s="616"/>
      <c r="N279" s="617"/>
      <c r="O279" s="617"/>
      <c r="P279" s="617"/>
      <c r="Q279" s="617"/>
      <c r="R279" s="619"/>
      <c r="S279" s="617"/>
      <c r="T279" s="616" t="s">
        <v>221</v>
      </c>
    </row>
    <row r="280" ht="34.5">
      <c r="A280" s="616" t="s">
        <v>213</v>
      </c>
      <c r="B280" s="616" t="s">
        <v>214</v>
      </c>
      <c r="C280" s="616" t="s">
        <v>510</v>
      </c>
      <c r="D280" s="616" t="s">
        <v>216</v>
      </c>
      <c r="E280" s="616" t="s">
        <v>503</v>
      </c>
      <c r="F280" s="617" t="s">
        <v>504</v>
      </c>
      <c r="G280" s="616" t="s">
        <v>505</v>
      </c>
      <c r="H280" s="617"/>
      <c r="I280" s="617"/>
      <c r="J280" s="617" t="s">
        <v>521</v>
      </c>
      <c r="K280" s="618"/>
      <c r="L280" s="616"/>
      <c r="M280" s="616"/>
      <c r="N280" s="617"/>
      <c r="O280" s="617"/>
      <c r="P280" s="617"/>
      <c r="Q280" s="617"/>
      <c r="R280" s="619"/>
      <c r="S280" s="617"/>
      <c r="T280" s="616" t="s">
        <v>221</v>
      </c>
    </row>
    <row r="281" ht="34.5">
      <c r="A281" s="616" t="s">
        <v>213</v>
      </c>
      <c r="B281" s="616" t="s">
        <v>214</v>
      </c>
      <c r="C281" s="616" t="s">
        <v>510</v>
      </c>
      <c r="D281" s="616" t="s">
        <v>216</v>
      </c>
      <c r="E281" s="616" t="s">
        <v>503</v>
      </c>
      <c r="F281" s="617" t="s">
        <v>504</v>
      </c>
      <c r="G281" s="616" t="s">
        <v>505</v>
      </c>
      <c r="H281" s="617"/>
      <c r="I281" s="617"/>
      <c r="J281" s="617" t="s">
        <v>522</v>
      </c>
      <c r="K281" s="618"/>
      <c r="L281" s="616"/>
      <c r="M281" s="616"/>
      <c r="N281" s="617"/>
      <c r="O281" s="617"/>
      <c r="P281" s="617"/>
      <c r="Q281" s="617"/>
      <c r="R281" s="619"/>
      <c r="S281" s="617"/>
      <c r="T281" s="616" t="s">
        <v>221</v>
      </c>
    </row>
    <row r="282" ht="34.5">
      <c r="A282" s="616" t="s">
        <v>213</v>
      </c>
      <c r="B282" s="616" t="s">
        <v>214</v>
      </c>
      <c r="C282" s="616" t="s">
        <v>510</v>
      </c>
      <c r="D282" s="616" t="s">
        <v>216</v>
      </c>
      <c r="E282" s="616" t="s">
        <v>503</v>
      </c>
      <c r="F282" s="617" t="s">
        <v>504</v>
      </c>
      <c r="G282" s="616" t="s">
        <v>505</v>
      </c>
      <c r="H282" s="617"/>
      <c r="I282" s="617"/>
      <c r="J282" s="617" t="s">
        <v>523</v>
      </c>
      <c r="K282" s="618"/>
      <c r="L282" s="616"/>
      <c r="M282" s="616"/>
      <c r="N282" s="617"/>
      <c r="O282" s="617"/>
      <c r="P282" s="617"/>
      <c r="Q282" s="617"/>
      <c r="R282" s="619"/>
      <c r="S282" s="617"/>
      <c r="T282" s="616" t="s">
        <v>221</v>
      </c>
    </row>
    <row r="283" ht="34.5">
      <c r="A283" s="616" t="s">
        <v>213</v>
      </c>
      <c r="B283" s="616" t="s">
        <v>214</v>
      </c>
      <c r="C283" s="616" t="s">
        <v>510</v>
      </c>
      <c r="D283" s="616" t="s">
        <v>216</v>
      </c>
      <c r="E283" s="616" t="s">
        <v>503</v>
      </c>
      <c r="F283" s="617" t="s">
        <v>504</v>
      </c>
      <c r="G283" s="616" t="s">
        <v>505</v>
      </c>
      <c r="H283" s="617"/>
      <c r="I283" s="617"/>
      <c r="J283" s="617" t="s">
        <v>524</v>
      </c>
      <c r="K283" s="618"/>
      <c r="L283" s="616"/>
      <c r="M283" s="616"/>
      <c r="N283" s="617"/>
      <c r="O283" s="617"/>
      <c r="P283" s="617"/>
      <c r="Q283" s="617"/>
      <c r="R283" s="619"/>
      <c r="S283" s="617"/>
      <c r="T283" s="616" t="s">
        <v>221</v>
      </c>
    </row>
    <row r="284" ht="34.5">
      <c r="A284" s="616" t="s">
        <v>213</v>
      </c>
      <c r="B284" s="616" t="s">
        <v>214</v>
      </c>
      <c r="C284" s="616" t="s">
        <v>510</v>
      </c>
      <c r="D284" s="616" t="s">
        <v>216</v>
      </c>
      <c r="E284" s="616" t="s">
        <v>503</v>
      </c>
      <c r="F284" s="617" t="s">
        <v>504</v>
      </c>
      <c r="G284" s="616" t="s">
        <v>505</v>
      </c>
      <c r="H284" s="617"/>
      <c r="I284" s="617"/>
      <c r="J284" s="617" t="s">
        <v>525</v>
      </c>
      <c r="K284" s="618"/>
      <c r="L284" s="616"/>
      <c r="M284" s="616"/>
      <c r="N284" s="617"/>
      <c r="O284" s="617"/>
      <c r="P284" s="617"/>
      <c r="Q284" s="617"/>
      <c r="R284" s="619"/>
      <c r="S284" s="617"/>
      <c r="T284" s="616" t="s">
        <v>221</v>
      </c>
    </row>
    <row r="285" ht="34.5">
      <c r="A285" s="616" t="s">
        <v>213</v>
      </c>
      <c r="B285" s="616" t="s">
        <v>214</v>
      </c>
      <c r="C285" s="616" t="s">
        <v>510</v>
      </c>
      <c r="D285" s="616" t="s">
        <v>216</v>
      </c>
      <c r="E285" s="616" t="s">
        <v>503</v>
      </c>
      <c r="F285" s="617" t="s">
        <v>504</v>
      </c>
      <c r="G285" s="616" t="s">
        <v>505</v>
      </c>
      <c r="H285" s="617"/>
      <c r="I285" s="617"/>
      <c r="J285" s="617" t="s">
        <v>526</v>
      </c>
      <c r="K285" s="618"/>
      <c r="L285" s="616"/>
      <c r="M285" s="616"/>
      <c r="N285" s="617"/>
      <c r="O285" s="617"/>
      <c r="P285" s="617"/>
      <c r="Q285" s="617"/>
      <c r="R285" s="619"/>
      <c r="S285" s="617"/>
      <c r="T285" s="616" t="s">
        <v>221</v>
      </c>
    </row>
    <row r="286" ht="34.5">
      <c r="A286" s="616" t="s">
        <v>213</v>
      </c>
      <c r="B286" s="616" t="s">
        <v>214</v>
      </c>
      <c r="C286" s="616" t="s">
        <v>527</v>
      </c>
      <c r="D286" s="616" t="s">
        <v>216</v>
      </c>
      <c r="E286" s="616" t="s">
        <v>503</v>
      </c>
      <c r="F286" s="617" t="s">
        <v>504</v>
      </c>
      <c r="G286" s="616" t="s">
        <v>505</v>
      </c>
      <c r="H286" s="617"/>
      <c r="I286" s="617"/>
      <c r="J286" s="617" t="s">
        <v>528</v>
      </c>
      <c r="K286" s="618"/>
      <c r="L286" s="616"/>
      <c r="M286" s="616"/>
      <c r="N286" s="617"/>
      <c r="O286" s="617"/>
      <c r="P286" s="617"/>
      <c r="Q286" s="617"/>
      <c r="R286" s="619"/>
      <c r="S286" s="617"/>
      <c r="T286" s="616" t="s">
        <v>221</v>
      </c>
    </row>
    <row r="287" ht="34.5">
      <c r="A287" s="616" t="s">
        <v>213</v>
      </c>
      <c r="B287" s="616" t="s">
        <v>214</v>
      </c>
      <c r="C287" s="616" t="s">
        <v>527</v>
      </c>
      <c r="D287" s="616" t="s">
        <v>216</v>
      </c>
      <c r="E287" s="616" t="s">
        <v>503</v>
      </c>
      <c r="F287" s="617" t="s">
        <v>504</v>
      </c>
      <c r="G287" s="616" t="s">
        <v>505</v>
      </c>
      <c r="H287" s="617"/>
      <c r="I287" s="617"/>
      <c r="J287" s="617" t="s">
        <v>529</v>
      </c>
      <c r="K287" s="618"/>
      <c r="L287" s="616"/>
      <c r="M287" s="616"/>
      <c r="N287" s="617"/>
      <c r="O287" s="617"/>
      <c r="P287" s="617"/>
      <c r="Q287" s="617"/>
      <c r="R287" s="619"/>
      <c r="S287" s="617"/>
      <c r="T287" s="616" t="s">
        <v>221</v>
      </c>
    </row>
    <row r="288" ht="34.5">
      <c r="A288" s="616" t="s">
        <v>213</v>
      </c>
      <c r="B288" s="616" t="s">
        <v>214</v>
      </c>
      <c r="C288" s="616" t="s">
        <v>527</v>
      </c>
      <c r="D288" s="616" t="s">
        <v>216</v>
      </c>
      <c r="E288" s="616" t="s">
        <v>503</v>
      </c>
      <c r="F288" s="617" t="s">
        <v>504</v>
      </c>
      <c r="G288" s="616" t="s">
        <v>505</v>
      </c>
      <c r="H288" s="617"/>
      <c r="I288" s="617"/>
      <c r="J288" s="617" t="s">
        <v>530</v>
      </c>
      <c r="K288" s="618"/>
      <c r="L288" s="616"/>
      <c r="M288" s="616"/>
      <c r="N288" s="617"/>
      <c r="O288" s="617"/>
      <c r="P288" s="617"/>
      <c r="Q288" s="617"/>
      <c r="R288" s="619"/>
      <c r="S288" s="617"/>
      <c r="T288" s="616" t="s">
        <v>221</v>
      </c>
    </row>
    <row r="289" ht="34.5">
      <c r="A289" s="616" t="s">
        <v>213</v>
      </c>
      <c r="B289" s="616" t="s">
        <v>214</v>
      </c>
      <c r="C289" s="616" t="s">
        <v>527</v>
      </c>
      <c r="D289" s="616" t="s">
        <v>216</v>
      </c>
      <c r="E289" s="616" t="s">
        <v>503</v>
      </c>
      <c r="F289" s="617" t="s">
        <v>504</v>
      </c>
      <c r="G289" s="616" t="s">
        <v>505</v>
      </c>
      <c r="H289" s="617"/>
      <c r="I289" s="617"/>
      <c r="J289" s="617" t="s">
        <v>531</v>
      </c>
      <c r="K289" s="618"/>
      <c r="L289" s="616"/>
      <c r="M289" s="616"/>
      <c r="N289" s="617"/>
      <c r="O289" s="617"/>
      <c r="P289" s="617"/>
      <c r="Q289" s="617"/>
      <c r="R289" s="619"/>
      <c r="S289" s="617"/>
      <c r="T289" s="616" t="s">
        <v>221</v>
      </c>
    </row>
    <row r="290" ht="34.5">
      <c r="A290" s="616" t="s">
        <v>213</v>
      </c>
      <c r="B290" s="616" t="s">
        <v>214</v>
      </c>
      <c r="C290" s="616" t="s">
        <v>527</v>
      </c>
      <c r="D290" s="616" t="s">
        <v>216</v>
      </c>
      <c r="E290" s="616" t="s">
        <v>503</v>
      </c>
      <c r="F290" s="617" t="s">
        <v>504</v>
      </c>
      <c r="G290" s="616" t="s">
        <v>505</v>
      </c>
      <c r="H290" s="617"/>
      <c r="I290" s="617"/>
      <c r="J290" s="617" t="s">
        <v>532</v>
      </c>
      <c r="K290" s="618"/>
      <c r="L290" s="616"/>
      <c r="M290" s="616"/>
      <c r="N290" s="617"/>
      <c r="O290" s="617"/>
      <c r="P290" s="617"/>
      <c r="Q290" s="617"/>
      <c r="R290" s="619"/>
      <c r="S290" s="617"/>
      <c r="T290" s="616" t="s">
        <v>221</v>
      </c>
    </row>
    <row r="291" ht="34.5">
      <c r="A291" s="616" t="s">
        <v>213</v>
      </c>
      <c r="B291" s="616" t="s">
        <v>214</v>
      </c>
      <c r="C291" s="616" t="s">
        <v>527</v>
      </c>
      <c r="D291" s="616" t="s">
        <v>216</v>
      </c>
      <c r="E291" s="616" t="s">
        <v>503</v>
      </c>
      <c r="F291" s="617" t="s">
        <v>504</v>
      </c>
      <c r="G291" s="616" t="s">
        <v>505</v>
      </c>
      <c r="H291" s="617"/>
      <c r="I291" s="617"/>
      <c r="J291" s="617" t="s">
        <v>533</v>
      </c>
      <c r="K291" s="618"/>
      <c r="L291" s="616"/>
      <c r="M291" s="616"/>
      <c r="N291" s="617"/>
      <c r="O291" s="617"/>
      <c r="P291" s="617"/>
      <c r="Q291" s="617"/>
      <c r="R291" s="619"/>
      <c r="S291" s="617"/>
      <c r="T291" s="616" t="s">
        <v>221</v>
      </c>
    </row>
    <row r="292" ht="34.5">
      <c r="A292" s="616" t="s">
        <v>213</v>
      </c>
      <c r="B292" s="616" t="s">
        <v>214</v>
      </c>
      <c r="C292" s="616" t="s">
        <v>527</v>
      </c>
      <c r="D292" s="616" t="s">
        <v>216</v>
      </c>
      <c r="E292" s="616" t="s">
        <v>503</v>
      </c>
      <c r="F292" s="617" t="s">
        <v>504</v>
      </c>
      <c r="G292" s="616" t="s">
        <v>505</v>
      </c>
      <c r="H292" s="617"/>
      <c r="I292" s="617"/>
      <c r="J292" s="617" t="s">
        <v>534</v>
      </c>
      <c r="K292" s="618"/>
      <c r="L292" s="616"/>
      <c r="M292" s="616"/>
      <c r="N292" s="617"/>
      <c r="O292" s="617"/>
      <c r="P292" s="617"/>
      <c r="Q292" s="617"/>
      <c r="R292" s="619"/>
      <c r="S292" s="617"/>
      <c r="T292" s="616" t="s">
        <v>221</v>
      </c>
    </row>
    <row r="293" ht="34.5">
      <c r="A293" s="616" t="s">
        <v>213</v>
      </c>
      <c r="B293" s="616" t="s">
        <v>214</v>
      </c>
      <c r="C293" s="616" t="s">
        <v>527</v>
      </c>
      <c r="D293" s="616" t="s">
        <v>216</v>
      </c>
      <c r="E293" s="616" t="s">
        <v>503</v>
      </c>
      <c r="F293" s="617" t="s">
        <v>504</v>
      </c>
      <c r="G293" s="616" t="s">
        <v>505</v>
      </c>
      <c r="H293" s="617"/>
      <c r="I293" s="617"/>
      <c r="J293" s="617" t="s">
        <v>535</v>
      </c>
      <c r="K293" s="618"/>
      <c r="L293" s="616"/>
      <c r="M293" s="616"/>
      <c r="N293" s="617"/>
      <c r="O293" s="617"/>
      <c r="P293" s="617"/>
      <c r="Q293" s="617"/>
      <c r="R293" s="619"/>
      <c r="S293" s="617"/>
      <c r="T293" s="616" t="s">
        <v>221</v>
      </c>
    </row>
    <row r="294" ht="34.5">
      <c r="A294" s="616" t="s">
        <v>213</v>
      </c>
      <c r="B294" s="616" t="s">
        <v>214</v>
      </c>
      <c r="C294" s="616" t="s">
        <v>527</v>
      </c>
      <c r="D294" s="616" t="s">
        <v>216</v>
      </c>
      <c r="E294" s="616" t="s">
        <v>503</v>
      </c>
      <c r="F294" s="617" t="s">
        <v>504</v>
      </c>
      <c r="G294" s="616" t="s">
        <v>505</v>
      </c>
      <c r="H294" s="617"/>
      <c r="I294" s="617"/>
      <c r="J294" s="617" t="s">
        <v>536</v>
      </c>
      <c r="K294" s="618"/>
      <c r="L294" s="616"/>
      <c r="M294" s="616"/>
      <c r="N294" s="617"/>
      <c r="O294" s="617"/>
      <c r="P294" s="617"/>
      <c r="Q294" s="617"/>
      <c r="R294" s="619"/>
      <c r="S294" s="617"/>
      <c r="T294" s="616" t="s">
        <v>221</v>
      </c>
    </row>
    <row r="295" ht="34.5">
      <c r="A295" s="616" t="s">
        <v>213</v>
      </c>
      <c r="B295" s="616" t="s">
        <v>214</v>
      </c>
      <c r="C295" s="616" t="s">
        <v>527</v>
      </c>
      <c r="D295" s="616" t="s">
        <v>216</v>
      </c>
      <c r="E295" s="616" t="s">
        <v>503</v>
      </c>
      <c r="F295" s="617" t="s">
        <v>504</v>
      </c>
      <c r="G295" s="616" t="s">
        <v>505</v>
      </c>
      <c r="H295" s="617"/>
      <c r="I295" s="617"/>
      <c r="J295" s="617" t="s">
        <v>537</v>
      </c>
      <c r="K295" s="618"/>
      <c r="L295" s="616"/>
      <c r="M295" s="616"/>
      <c r="N295" s="617"/>
      <c r="O295" s="617"/>
      <c r="P295" s="617"/>
      <c r="Q295" s="617"/>
      <c r="R295" s="619"/>
      <c r="S295" s="617"/>
      <c r="T295" s="616" t="s">
        <v>221</v>
      </c>
    </row>
    <row r="296" ht="34.5">
      <c r="A296" s="616" t="s">
        <v>213</v>
      </c>
      <c r="B296" s="616" t="s">
        <v>214</v>
      </c>
      <c r="C296" s="616" t="s">
        <v>527</v>
      </c>
      <c r="D296" s="616" t="s">
        <v>216</v>
      </c>
      <c r="E296" s="616" t="s">
        <v>503</v>
      </c>
      <c r="F296" s="617" t="s">
        <v>504</v>
      </c>
      <c r="G296" s="616" t="s">
        <v>505</v>
      </c>
      <c r="H296" s="617"/>
      <c r="I296" s="617"/>
      <c r="J296" s="617" t="s">
        <v>538</v>
      </c>
      <c r="K296" s="618"/>
      <c r="L296" s="616"/>
      <c r="M296" s="616"/>
      <c r="N296" s="617"/>
      <c r="O296" s="617"/>
      <c r="P296" s="617"/>
      <c r="Q296" s="617"/>
      <c r="R296" s="619"/>
      <c r="S296" s="617"/>
      <c r="T296" s="616" t="s">
        <v>221</v>
      </c>
    </row>
    <row r="297" ht="34.5">
      <c r="A297" s="616" t="s">
        <v>213</v>
      </c>
      <c r="B297" s="616" t="s">
        <v>214</v>
      </c>
      <c r="C297" s="616" t="s">
        <v>527</v>
      </c>
      <c r="D297" s="616" t="s">
        <v>216</v>
      </c>
      <c r="E297" s="616" t="s">
        <v>503</v>
      </c>
      <c r="F297" s="617" t="s">
        <v>504</v>
      </c>
      <c r="G297" s="616" t="s">
        <v>505</v>
      </c>
      <c r="H297" s="617"/>
      <c r="I297" s="617"/>
      <c r="J297" s="617" t="s">
        <v>539</v>
      </c>
      <c r="K297" s="618"/>
      <c r="L297" s="616"/>
      <c r="M297" s="616"/>
      <c r="N297" s="617"/>
      <c r="O297" s="617"/>
      <c r="P297" s="617"/>
      <c r="Q297" s="617"/>
      <c r="R297" s="619"/>
      <c r="S297" s="617"/>
      <c r="T297" s="616" t="s">
        <v>221</v>
      </c>
    </row>
    <row r="298" ht="34.5">
      <c r="A298" s="616" t="s">
        <v>213</v>
      </c>
      <c r="B298" s="616" t="s">
        <v>214</v>
      </c>
      <c r="C298" s="616" t="s">
        <v>527</v>
      </c>
      <c r="D298" s="616" t="s">
        <v>216</v>
      </c>
      <c r="E298" s="616" t="s">
        <v>503</v>
      </c>
      <c r="F298" s="617" t="s">
        <v>504</v>
      </c>
      <c r="G298" s="616" t="s">
        <v>505</v>
      </c>
      <c r="H298" s="617"/>
      <c r="I298" s="617"/>
      <c r="J298" s="617" t="s">
        <v>540</v>
      </c>
      <c r="K298" s="618"/>
      <c r="L298" s="616"/>
      <c r="M298" s="616"/>
      <c r="N298" s="617"/>
      <c r="O298" s="617"/>
      <c r="P298" s="617"/>
      <c r="Q298" s="617"/>
      <c r="R298" s="619"/>
      <c r="S298" s="617"/>
      <c r="T298" s="616" t="s">
        <v>221</v>
      </c>
    </row>
    <row r="299" ht="34.5">
      <c r="A299" s="616" t="s">
        <v>213</v>
      </c>
      <c r="B299" s="616" t="s">
        <v>214</v>
      </c>
      <c r="C299" s="616" t="s">
        <v>541</v>
      </c>
      <c r="D299" s="616" t="s">
        <v>216</v>
      </c>
      <c r="E299" s="616" t="s">
        <v>503</v>
      </c>
      <c r="F299" s="617" t="s">
        <v>504</v>
      </c>
      <c r="G299" s="616" t="s">
        <v>505</v>
      </c>
      <c r="H299" s="617"/>
      <c r="I299" s="617"/>
      <c r="J299" s="617" t="s">
        <v>542</v>
      </c>
      <c r="K299" s="618"/>
      <c r="L299" s="616"/>
      <c r="M299" s="616"/>
      <c r="N299" s="617"/>
      <c r="O299" s="617"/>
      <c r="P299" s="617"/>
      <c r="Q299" s="617"/>
      <c r="R299" s="619"/>
      <c r="S299" s="617"/>
      <c r="T299" s="616" t="s">
        <v>221</v>
      </c>
    </row>
    <row r="300" ht="34.5">
      <c r="A300" s="616" t="s">
        <v>213</v>
      </c>
      <c r="B300" s="616" t="s">
        <v>214</v>
      </c>
      <c r="C300" s="616" t="s">
        <v>541</v>
      </c>
      <c r="D300" s="616" t="s">
        <v>216</v>
      </c>
      <c r="E300" s="616" t="s">
        <v>503</v>
      </c>
      <c r="F300" s="617" t="s">
        <v>504</v>
      </c>
      <c r="G300" s="616" t="s">
        <v>505</v>
      </c>
      <c r="H300" s="617"/>
      <c r="I300" s="617"/>
      <c r="J300" s="617" t="s">
        <v>543</v>
      </c>
      <c r="K300" s="618"/>
      <c r="L300" s="616"/>
      <c r="M300" s="616"/>
      <c r="N300" s="617"/>
      <c r="O300" s="617"/>
      <c r="P300" s="617"/>
      <c r="Q300" s="617"/>
      <c r="R300" s="619"/>
      <c r="S300" s="617"/>
      <c r="T300" s="616" t="s">
        <v>221</v>
      </c>
    </row>
    <row r="301" ht="34.5">
      <c r="A301" s="616" t="s">
        <v>213</v>
      </c>
      <c r="B301" s="616" t="s">
        <v>214</v>
      </c>
      <c r="C301" s="616" t="s">
        <v>541</v>
      </c>
      <c r="D301" s="616" t="s">
        <v>544</v>
      </c>
      <c r="E301" s="616" t="s">
        <v>503</v>
      </c>
      <c r="F301" s="617" t="s">
        <v>504</v>
      </c>
      <c r="G301" s="616" t="s">
        <v>505</v>
      </c>
      <c r="H301" s="617"/>
      <c r="I301" s="617"/>
      <c r="J301" s="617" t="s">
        <v>545</v>
      </c>
      <c r="K301" s="618"/>
      <c r="L301" s="616"/>
      <c r="M301" s="616"/>
      <c r="N301" s="617"/>
      <c r="O301" s="617"/>
      <c r="P301" s="617"/>
      <c r="Q301" s="617"/>
      <c r="R301" s="619"/>
      <c r="S301" s="617"/>
      <c r="T301" s="616" t="s">
        <v>221</v>
      </c>
    </row>
    <row r="302" ht="34.5">
      <c r="A302" s="616" t="s">
        <v>213</v>
      </c>
      <c r="B302" s="616" t="s">
        <v>214</v>
      </c>
      <c r="C302" s="616" t="s">
        <v>541</v>
      </c>
      <c r="D302" s="616" t="s">
        <v>216</v>
      </c>
      <c r="E302" s="616" t="s">
        <v>503</v>
      </c>
      <c r="F302" s="617" t="s">
        <v>504</v>
      </c>
      <c r="G302" s="616" t="s">
        <v>505</v>
      </c>
      <c r="H302" s="617"/>
      <c r="I302" s="617"/>
      <c r="J302" s="617" t="s">
        <v>546</v>
      </c>
      <c r="K302" s="618"/>
      <c r="L302" s="616"/>
      <c r="M302" s="616"/>
      <c r="N302" s="617"/>
      <c r="O302" s="617"/>
      <c r="P302" s="617"/>
      <c r="Q302" s="617"/>
      <c r="R302" s="619"/>
      <c r="S302" s="617"/>
      <c r="T302" s="616" t="s">
        <v>221</v>
      </c>
    </row>
    <row r="303" ht="34.5">
      <c r="A303" s="616" t="s">
        <v>213</v>
      </c>
      <c r="B303" s="616" t="s">
        <v>214</v>
      </c>
      <c r="C303" s="616" t="s">
        <v>547</v>
      </c>
      <c r="D303" s="616" t="s">
        <v>216</v>
      </c>
      <c r="E303" s="616" t="s">
        <v>503</v>
      </c>
      <c r="F303" s="617" t="s">
        <v>504</v>
      </c>
      <c r="G303" s="616" t="s">
        <v>505</v>
      </c>
      <c r="H303" s="617"/>
      <c r="I303" s="617"/>
      <c r="J303" s="617" t="s">
        <v>548</v>
      </c>
      <c r="K303" s="618"/>
      <c r="L303" s="616"/>
      <c r="M303" s="616"/>
      <c r="N303" s="617"/>
      <c r="O303" s="617"/>
      <c r="P303" s="617"/>
      <c r="Q303" s="617"/>
      <c r="R303" s="619"/>
      <c r="S303" s="617"/>
      <c r="T303" s="616" t="s">
        <v>221</v>
      </c>
    </row>
    <row r="304" ht="34.5">
      <c r="A304" s="616" t="s">
        <v>213</v>
      </c>
      <c r="B304" s="616" t="s">
        <v>214</v>
      </c>
      <c r="C304" s="616" t="s">
        <v>547</v>
      </c>
      <c r="D304" s="616" t="s">
        <v>549</v>
      </c>
      <c r="E304" s="616" t="s">
        <v>503</v>
      </c>
      <c r="F304" s="617" t="s">
        <v>504</v>
      </c>
      <c r="G304" s="616" t="s">
        <v>505</v>
      </c>
      <c r="H304" s="617"/>
      <c r="I304" s="617"/>
      <c r="J304" s="617" t="s">
        <v>550</v>
      </c>
      <c r="K304" s="618"/>
      <c r="L304" s="616"/>
      <c r="M304" s="616"/>
      <c r="N304" s="617"/>
      <c r="O304" s="617"/>
      <c r="P304" s="617"/>
      <c r="Q304" s="617"/>
      <c r="R304" s="619"/>
      <c r="S304" s="617"/>
      <c r="T304" s="616" t="s">
        <v>221</v>
      </c>
    </row>
    <row r="305" ht="34.5">
      <c r="A305" s="616" t="s">
        <v>213</v>
      </c>
      <c r="B305" s="616" t="s">
        <v>214</v>
      </c>
      <c r="C305" s="616" t="s">
        <v>547</v>
      </c>
      <c r="D305" s="616" t="s">
        <v>216</v>
      </c>
      <c r="E305" s="616" t="s">
        <v>503</v>
      </c>
      <c r="F305" s="617" t="s">
        <v>504</v>
      </c>
      <c r="G305" s="616" t="s">
        <v>505</v>
      </c>
      <c r="H305" s="617"/>
      <c r="I305" s="617"/>
      <c r="J305" s="617" t="s">
        <v>551</v>
      </c>
      <c r="K305" s="618"/>
      <c r="L305" s="616"/>
      <c r="M305" s="616"/>
      <c r="N305" s="617"/>
      <c r="O305" s="617"/>
      <c r="P305" s="617"/>
      <c r="Q305" s="617"/>
      <c r="R305" s="619"/>
      <c r="S305" s="617"/>
      <c r="T305" s="616" t="s">
        <v>221</v>
      </c>
    </row>
    <row r="306" ht="34.5">
      <c r="A306" s="616" t="s">
        <v>213</v>
      </c>
      <c r="B306" s="616" t="s">
        <v>214</v>
      </c>
      <c r="C306" s="616" t="s">
        <v>547</v>
      </c>
      <c r="D306" s="616" t="s">
        <v>216</v>
      </c>
      <c r="E306" s="616" t="s">
        <v>503</v>
      </c>
      <c r="F306" s="617" t="s">
        <v>504</v>
      </c>
      <c r="G306" s="616" t="s">
        <v>505</v>
      </c>
      <c r="H306" s="617"/>
      <c r="I306" s="617"/>
      <c r="J306" s="617" t="s">
        <v>552</v>
      </c>
      <c r="K306" s="618"/>
      <c r="L306" s="616"/>
      <c r="M306" s="616"/>
      <c r="N306" s="617"/>
      <c r="O306" s="617"/>
      <c r="P306" s="617"/>
      <c r="Q306" s="617"/>
      <c r="R306" s="619"/>
      <c r="S306" s="617"/>
      <c r="T306" s="616" t="s">
        <v>221</v>
      </c>
    </row>
    <row r="307" ht="34.5">
      <c r="A307" s="616" t="s">
        <v>213</v>
      </c>
      <c r="B307" s="616" t="s">
        <v>214</v>
      </c>
      <c r="C307" s="616" t="s">
        <v>547</v>
      </c>
      <c r="D307" s="616" t="s">
        <v>216</v>
      </c>
      <c r="E307" s="616" t="s">
        <v>503</v>
      </c>
      <c r="F307" s="617" t="s">
        <v>504</v>
      </c>
      <c r="G307" s="616" t="s">
        <v>505</v>
      </c>
      <c r="H307" s="617"/>
      <c r="I307" s="617"/>
      <c r="J307" s="617" t="s">
        <v>553</v>
      </c>
      <c r="K307" s="618"/>
      <c r="L307" s="616"/>
      <c r="M307" s="616"/>
      <c r="N307" s="617"/>
      <c r="O307" s="617"/>
      <c r="P307" s="617"/>
      <c r="Q307" s="617"/>
      <c r="R307" s="619"/>
      <c r="S307" s="617"/>
      <c r="T307" s="616" t="s">
        <v>221</v>
      </c>
    </row>
    <row r="308" ht="34.5">
      <c r="A308" s="616" t="s">
        <v>213</v>
      </c>
      <c r="B308" s="616" t="s">
        <v>214</v>
      </c>
      <c r="C308" s="616" t="s">
        <v>554</v>
      </c>
      <c r="D308" s="616" t="s">
        <v>216</v>
      </c>
      <c r="E308" s="616" t="s">
        <v>503</v>
      </c>
      <c r="F308" s="617" t="s">
        <v>504</v>
      </c>
      <c r="G308" s="616" t="s">
        <v>505</v>
      </c>
      <c r="H308" s="617"/>
      <c r="I308" s="617"/>
      <c r="J308" s="617" t="s">
        <v>555</v>
      </c>
      <c r="K308" s="618"/>
      <c r="L308" s="616"/>
      <c r="M308" s="616"/>
      <c r="N308" s="617"/>
      <c r="O308" s="617"/>
      <c r="P308" s="617"/>
      <c r="Q308" s="617"/>
      <c r="R308" s="619"/>
      <c r="S308" s="617"/>
      <c r="T308" s="616" t="s">
        <v>221</v>
      </c>
    </row>
    <row r="309" ht="34.5">
      <c r="A309" s="616" t="s">
        <v>213</v>
      </c>
      <c r="B309" s="616" t="s">
        <v>214</v>
      </c>
      <c r="C309" s="616" t="s">
        <v>554</v>
      </c>
      <c r="D309" s="616" t="s">
        <v>216</v>
      </c>
      <c r="E309" s="616" t="s">
        <v>503</v>
      </c>
      <c r="F309" s="617" t="s">
        <v>504</v>
      </c>
      <c r="G309" s="616" t="s">
        <v>505</v>
      </c>
      <c r="H309" s="617"/>
      <c r="I309" s="617"/>
      <c r="J309" s="617" t="s">
        <v>556</v>
      </c>
      <c r="K309" s="618"/>
      <c r="L309" s="616"/>
      <c r="M309" s="616"/>
      <c r="N309" s="617"/>
      <c r="O309" s="617"/>
      <c r="P309" s="617"/>
      <c r="Q309" s="617"/>
      <c r="R309" s="619"/>
      <c r="S309" s="617"/>
      <c r="T309" s="616" t="s">
        <v>221</v>
      </c>
    </row>
    <row r="310" ht="34.5">
      <c r="A310" s="616" t="s">
        <v>213</v>
      </c>
      <c r="B310" s="616" t="s">
        <v>214</v>
      </c>
      <c r="C310" s="616" t="s">
        <v>554</v>
      </c>
      <c r="D310" s="616" t="s">
        <v>557</v>
      </c>
      <c r="E310" s="616" t="s">
        <v>503</v>
      </c>
      <c r="F310" s="617" t="s">
        <v>504</v>
      </c>
      <c r="G310" s="616" t="s">
        <v>505</v>
      </c>
      <c r="H310" s="617"/>
      <c r="I310" s="617"/>
      <c r="J310" s="617" t="s">
        <v>558</v>
      </c>
      <c r="K310" s="618"/>
      <c r="L310" s="616"/>
      <c r="M310" s="616"/>
      <c r="N310" s="617"/>
      <c r="O310" s="617"/>
      <c r="P310" s="617"/>
      <c r="Q310" s="617"/>
      <c r="R310" s="619"/>
      <c r="S310" s="617"/>
      <c r="T310" s="616" t="s">
        <v>221</v>
      </c>
    </row>
    <row r="311" ht="34.5">
      <c r="A311" s="616" t="s">
        <v>213</v>
      </c>
      <c r="B311" s="616" t="s">
        <v>214</v>
      </c>
      <c r="C311" s="616" t="s">
        <v>554</v>
      </c>
      <c r="D311" s="616" t="s">
        <v>559</v>
      </c>
      <c r="E311" s="616" t="s">
        <v>503</v>
      </c>
      <c r="F311" s="617" t="s">
        <v>504</v>
      </c>
      <c r="G311" s="616" t="s">
        <v>505</v>
      </c>
      <c r="H311" s="617"/>
      <c r="I311" s="617"/>
      <c r="J311" s="617" t="s">
        <v>560</v>
      </c>
      <c r="K311" s="618"/>
      <c r="L311" s="616"/>
      <c r="M311" s="616"/>
      <c r="N311" s="617"/>
      <c r="O311" s="617"/>
      <c r="P311" s="617"/>
      <c r="Q311" s="617"/>
      <c r="R311" s="619"/>
      <c r="S311" s="617"/>
      <c r="T311" s="616" t="s">
        <v>221</v>
      </c>
    </row>
    <row r="312" ht="34.5">
      <c r="A312" s="616" t="s">
        <v>213</v>
      </c>
      <c r="B312" s="616" t="s">
        <v>214</v>
      </c>
      <c r="C312" s="616" t="s">
        <v>554</v>
      </c>
      <c r="D312" s="616" t="s">
        <v>216</v>
      </c>
      <c r="E312" s="616" t="s">
        <v>503</v>
      </c>
      <c r="F312" s="617" t="s">
        <v>504</v>
      </c>
      <c r="G312" s="616" t="s">
        <v>505</v>
      </c>
      <c r="H312" s="617"/>
      <c r="I312" s="617"/>
      <c r="J312" s="617" t="s">
        <v>561</v>
      </c>
      <c r="K312" s="618"/>
      <c r="L312" s="616"/>
      <c r="M312" s="616"/>
      <c r="N312" s="617"/>
      <c r="O312" s="617"/>
      <c r="P312" s="617"/>
      <c r="Q312" s="617"/>
      <c r="R312" s="619"/>
      <c r="S312" s="617"/>
      <c r="T312" s="616" t="s">
        <v>221</v>
      </c>
    </row>
    <row r="313" ht="34.5">
      <c r="A313" s="616" t="s">
        <v>213</v>
      </c>
      <c r="B313" s="616" t="s">
        <v>214</v>
      </c>
      <c r="C313" s="616" t="s">
        <v>562</v>
      </c>
      <c r="D313" s="616" t="s">
        <v>216</v>
      </c>
      <c r="E313" s="616" t="s">
        <v>503</v>
      </c>
      <c r="F313" s="617" t="s">
        <v>504</v>
      </c>
      <c r="G313" s="616" t="s">
        <v>505</v>
      </c>
      <c r="H313" s="617"/>
      <c r="I313" s="617"/>
      <c r="J313" s="617" t="s">
        <v>563</v>
      </c>
      <c r="K313" s="618"/>
      <c r="L313" s="616"/>
      <c r="M313" s="616"/>
      <c r="N313" s="617"/>
      <c r="O313" s="617"/>
      <c r="P313" s="617"/>
      <c r="Q313" s="617"/>
      <c r="R313" s="619"/>
      <c r="S313" s="617"/>
      <c r="T313" s="616" t="s">
        <v>221</v>
      </c>
    </row>
    <row r="314" ht="34.5">
      <c r="A314" s="616" t="s">
        <v>213</v>
      </c>
      <c r="B314" s="616" t="s">
        <v>214</v>
      </c>
      <c r="C314" s="616" t="s">
        <v>562</v>
      </c>
      <c r="D314" s="616" t="s">
        <v>216</v>
      </c>
      <c r="E314" s="616" t="s">
        <v>503</v>
      </c>
      <c r="F314" s="617" t="s">
        <v>504</v>
      </c>
      <c r="G314" s="616" t="s">
        <v>505</v>
      </c>
      <c r="H314" s="617"/>
      <c r="I314" s="617"/>
      <c r="J314" s="617" t="s">
        <v>564</v>
      </c>
      <c r="K314" s="618"/>
      <c r="L314" s="616"/>
      <c r="M314" s="616"/>
      <c r="N314" s="617"/>
      <c r="O314" s="617"/>
      <c r="P314" s="617"/>
      <c r="Q314" s="617"/>
      <c r="R314" s="619"/>
      <c r="S314" s="617"/>
      <c r="T314" s="616" t="s">
        <v>221</v>
      </c>
    </row>
    <row r="315" ht="34.5">
      <c r="A315" s="616" t="s">
        <v>213</v>
      </c>
      <c r="B315" s="616" t="s">
        <v>214</v>
      </c>
      <c r="C315" s="616" t="s">
        <v>562</v>
      </c>
      <c r="D315" s="616" t="s">
        <v>565</v>
      </c>
      <c r="E315" s="616" t="s">
        <v>503</v>
      </c>
      <c r="F315" s="617" t="s">
        <v>504</v>
      </c>
      <c r="G315" s="616" t="s">
        <v>505</v>
      </c>
      <c r="H315" s="617"/>
      <c r="I315" s="617"/>
      <c r="J315" s="617" t="s">
        <v>566</v>
      </c>
      <c r="K315" s="618"/>
      <c r="L315" s="616"/>
      <c r="M315" s="616"/>
      <c r="N315" s="617"/>
      <c r="O315" s="617"/>
      <c r="P315" s="617"/>
      <c r="Q315" s="617"/>
      <c r="R315" s="619"/>
      <c r="S315" s="617"/>
      <c r="T315" s="616" t="s">
        <v>221</v>
      </c>
    </row>
    <row r="316" ht="34.5">
      <c r="A316" s="616" t="s">
        <v>213</v>
      </c>
      <c r="B316" s="616" t="s">
        <v>214</v>
      </c>
      <c r="C316" s="616" t="s">
        <v>562</v>
      </c>
      <c r="D316" s="616" t="s">
        <v>216</v>
      </c>
      <c r="E316" s="616" t="s">
        <v>503</v>
      </c>
      <c r="F316" s="617" t="s">
        <v>504</v>
      </c>
      <c r="G316" s="616" t="s">
        <v>505</v>
      </c>
      <c r="H316" s="617"/>
      <c r="I316" s="617"/>
      <c r="J316" s="617" t="s">
        <v>567</v>
      </c>
      <c r="K316" s="618"/>
      <c r="L316" s="616"/>
      <c r="M316" s="616"/>
      <c r="N316" s="617"/>
      <c r="O316" s="617"/>
      <c r="P316" s="617"/>
      <c r="Q316" s="617"/>
      <c r="R316" s="619"/>
      <c r="S316" s="617"/>
      <c r="T316" s="616" t="s">
        <v>221</v>
      </c>
    </row>
    <row r="317" ht="34.5">
      <c r="A317" s="616" t="s">
        <v>213</v>
      </c>
      <c r="B317" s="616" t="s">
        <v>214</v>
      </c>
      <c r="C317" s="616" t="s">
        <v>562</v>
      </c>
      <c r="D317" s="616" t="s">
        <v>216</v>
      </c>
      <c r="E317" s="616" t="s">
        <v>503</v>
      </c>
      <c r="F317" s="617" t="s">
        <v>504</v>
      </c>
      <c r="G317" s="616" t="s">
        <v>505</v>
      </c>
      <c r="H317" s="617"/>
      <c r="I317" s="617"/>
      <c r="J317" s="617" t="s">
        <v>568</v>
      </c>
      <c r="K317" s="618"/>
      <c r="L317" s="616"/>
      <c r="M317" s="616"/>
      <c r="N317" s="617"/>
      <c r="O317" s="617"/>
      <c r="P317" s="617"/>
      <c r="Q317" s="617"/>
      <c r="R317" s="619"/>
      <c r="S317" s="617"/>
      <c r="T317" s="616" t="s">
        <v>221</v>
      </c>
    </row>
    <row r="318" ht="34.5">
      <c r="A318" s="616" t="s">
        <v>213</v>
      </c>
      <c r="B318" s="616" t="s">
        <v>214</v>
      </c>
      <c r="C318" s="616" t="s">
        <v>569</v>
      </c>
      <c r="D318" s="616" t="s">
        <v>216</v>
      </c>
      <c r="E318" s="616" t="s">
        <v>503</v>
      </c>
      <c r="F318" s="617" t="s">
        <v>504</v>
      </c>
      <c r="G318" s="616" t="s">
        <v>505</v>
      </c>
      <c r="H318" s="617"/>
      <c r="I318" s="617"/>
      <c r="J318" s="617" t="s">
        <v>570</v>
      </c>
      <c r="K318" s="618"/>
      <c r="L318" s="616"/>
      <c r="M318" s="616"/>
      <c r="N318" s="617"/>
      <c r="O318" s="617"/>
      <c r="P318" s="617"/>
      <c r="Q318" s="617"/>
      <c r="R318" s="619"/>
      <c r="S318" s="617"/>
      <c r="T318" s="616" t="s">
        <v>221</v>
      </c>
    </row>
    <row r="319" ht="34.5">
      <c r="A319" s="616" t="s">
        <v>213</v>
      </c>
      <c r="B319" s="616" t="s">
        <v>214</v>
      </c>
      <c r="C319" s="616" t="s">
        <v>569</v>
      </c>
      <c r="D319" s="616" t="s">
        <v>216</v>
      </c>
      <c r="E319" s="616" t="s">
        <v>503</v>
      </c>
      <c r="F319" s="617" t="s">
        <v>504</v>
      </c>
      <c r="G319" s="616" t="s">
        <v>505</v>
      </c>
      <c r="H319" s="617"/>
      <c r="I319" s="617"/>
      <c r="J319" s="617" t="s">
        <v>571</v>
      </c>
      <c r="K319" s="618"/>
      <c r="L319" s="616"/>
      <c r="M319" s="616"/>
      <c r="N319" s="617"/>
      <c r="O319" s="617"/>
      <c r="P319" s="617"/>
      <c r="Q319" s="617"/>
      <c r="R319" s="619"/>
      <c r="S319" s="617"/>
      <c r="T319" s="616" t="s">
        <v>221</v>
      </c>
    </row>
    <row r="320" ht="34.5">
      <c r="A320" s="616" t="s">
        <v>213</v>
      </c>
      <c r="B320" s="616" t="s">
        <v>214</v>
      </c>
      <c r="C320" s="616" t="s">
        <v>569</v>
      </c>
      <c r="D320" s="616" t="s">
        <v>572</v>
      </c>
      <c r="E320" s="616" t="s">
        <v>503</v>
      </c>
      <c r="F320" s="617" t="s">
        <v>504</v>
      </c>
      <c r="G320" s="616" t="s">
        <v>505</v>
      </c>
      <c r="H320" s="617"/>
      <c r="I320" s="617"/>
      <c r="J320" s="617" t="s">
        <v>573</v>
      </c>
      <c r="K320" s="618"/>
      <c r="L320" s="616"/>
      <c r="M320" s="616"/>
      <c r="N320" s="617"/>
      <c r="O320" s="617"/>
      <c r="P320" s="617"/>
      <c r="Q320" s="617"/>
      <c r="R320" s="619"/>
      <c r="S320" s="617"/>
      <c r="T320" s="616" t="s">
        <v>221</v>
      </c>
    </row>
    <row r="321" ht="34.5">
      <c r="A321" s="616" t="s">
        <v>213</v>
      </c>
      <c r="B321" s="616" t="s">
        <v>214</v>
      </c>
      <c r="C321" s="616" t="s">
        <v>569</v>
      </c>
      <c r="D321" s="616" t="s">
        <v>216</v>
      </c>
      <c r="E321" s="616" t="s">
        <v>503</v>
      </c>
      <c r="F321" s="617" t="s">
        <v>504</v>
      </c>
      <c r="G321" s="616" t="s">
        <v>505</v>
      </c>
      <c r="H321" s="617"/>
      <c r="I321" s="617"/>
      <c r="J321" s="617" t="s">
        <v>574</v>
      </c>
      <c r="K321" s="618"/>
      <c r="L321" s="616"/>
      <c r="M321" s="616"/>
      <c r="N321" s="617"/>
      <c r="O321" s="617"/>
      <c r="P321" s="617"/>
      <c r="Q321" s="617"/>
      <c r="R321" s="619"/>
      <c r="S321" s="617"/>
      <c r="T321" s="616" t="s">
        <v>221</v>
      </c>
    </row>
    <row r="322" ht="34.5">
      <c r="A322" s="616" t="s">
        <v>213</v>
      </c>
      <c r="B322" s="616" t="s">
        <v>214</v>
      </c>
      <c r="C322" s="616" t="s">
        <v>569</v>
      </c>
      <c r="D322" s="616" t="s">
        <v>216</v>
      </c>
      <c r="E322" s="616" t="s">
        <v>503</v>
      </c>
      <c r="F322" s="617" t="s">
        <v>504</v>
      </c>
      <c r="G322" s="616" t="s">
        <v>505</v>
      </c>
      <c r="H322" s="617"/>
      <c r="I322" s="617"/>
      <c r="J322" s="617" t="s">
        <v>575</v>
      </c>
      <c r="K322" s="618"/>
      <c r="L322" s="616"/>
      <c r="M322" s="616"/>
      <c r="N322" s="617"/>
      <c r="O322" s="617"/>
      <c r="P322" s="617"/>
      <c r="Q322" s="617"/>
      <c r="R322" s="619"/>
      <c r="S322" s="617"/>
      <c r="T322" s="616" t="s">
        <v>221</v>
      </c>
    </row>
    <row r="323" ht="34.5">
      <c r="A323" s="616" t="s">
        <v>213</v>
      </c>
      <c r="B323" s="616" t="s">
        <v>214</v>
      </c>
      <c r="C323" s="616" t="s">
        <v>569</v>
      </c>
      <c r="D323" s="616" t="s">
        <v>216</v>
      </c>
      <c r="E323" s="616" t="s">
        <v>503</v>
      </c>
      <c r="F323" s="617" t="s">
        <v>504</v>
      </c>
      <c r="G323" s="616" t="s">
        <v>505</v>
      </c>
      <c r="H323" s="617"/>
      <c r="I323" s="617"/>
      <c r="J323" s="617" t="s">
        <v>576</v>
      </c>
      <c r="K323" s="618"/>
      <c r="L323" s="616"/>
      <c r="M323" s="616"/>
      <c r="N323" s="617"/>
      <c r="O323" s="617"/>
      <c r="P323" s="617"/>
      <c r="Q323" s="617"/>
      <c r="R323" s="619"/>
      <c r="S323" s="617"/>
      <c r="T323" s="616" t="s">
        <v>221</v>
      </c>
    </row>
    <row r="324" ht="34.5">
      <c r="A324" s="616" t="s">
        <v>213</v>
      </c>
      <c r="B324" s="616" t="s">
        <v>214</v>
      </c>
      <c r="C324" s="616" t="s">
        <v>569</v>
      </c>
      <c r="D324" s="616" t="s">
        <v>216</v>
      </c>
      <c r="E324" s="616" t="s">
        <v>503</v>
      </c>
      <c r="F324" s="617" t="s">
        <v>504</v>
      </c>
      <c r="G324" s="616" t="s">
        <v>505</v>
      </c>
      <c r="H324" s="617"/>
      <c r="I324" s="617"/>
      <c r="J324" s="617" t="s">
        <v>577</v>
      </c>
      <c r="K324" s="618"/>
      <c r="L324" s="616"/>
      <c r="M324" s="616"/>
      <c r="N324" s="617"/>
      <c r="O324" s="617"/>
      <c r="P324" s="617"/>
      <c r="Q324" s="617"/>
      <c r="R324" s="619"/>
      <c r="S324" s="617"/>
      <c r="T324" s="616" t="s">
        <v>221</v>
      </c>
    </row>
    <row r="325" ht="34.5">
      <c r="A325" s="616" t="s">
        <v>213</v>
      </c>
      <c r="B325" s="616" t="s">
        <v>214</v>
      </c>
      <c r="C325" s="616" t="s">
        <v>569</v>
      </c>
      <c r="D325" s="616" t="s">
        <v>578</v>
      </c>
      <c r="E325" s="616" t="s">
        <v>503</v>
      </c>
      <c r="F325" s="617" t="s">
        <v>504</v>
      </c>
      <c r="G325" s="616" t="s">
        <v>505</v>
      </c>
      <c r="H325" s="617"/>
      <c r="I325" s="617"/>
      <c r="J325" s="617" t="s">
        <v>579</v>
      </c>
      <c r="K325" s="618"/>
      <c r="L325" s="616"/>
      <c r="M325" s="616"/>
      <c r="N325" s="617"/>
      <c r="O325" s="617"/>
      <c r="P325" s="617"/>
      <c r="Q325" s="617"/>
      <c r="R325" s="619"/>
      <c r="S325" s="617"/>
      <c r="T325" s="616" t="s">
        <v>221</v>
      </c>
    </row>
    <row r="326" ht="34.5">
      <c r="A326" s="616" t="s">
        <v>213</v>
      </c>
      <c r="B326" s="616" t="s">
        <v>214</v>
      </c>
      <c r="C326" s="616" t="s">
        <v>569</v>
      </c>
      <c r="D326" s="616" t="s">
        <v>216</v>
      </c>
      <c r="E326" s="616" t="s">
        <v>503</v>
      </c>
      <c r="F326" s="617" t="s">
        <v>504</v>
      </c>
      <c r="G326" s="616" t="s">
        <v>505</v>
      </c>
      <c r="H326" s="617"/>
      <c r="I326" s="617"/>
      <c r="J326" s="617" t="s">
        <v>580</v>
      </c>
      <c r="K326" s="618"/>
      <c r="L326" s="616"/>
      <c r="M326" s="616"/>
      <c r="N326" s="617"/>
      <c r="O326" s="617"/>
      <c r="P326" s="617"/>
      <c r="Q326" s="617"/>
      <c r="R326" s="619"/>
      <c r="S326" s="617"/>
      <c r="T326" s="616" t="s">
        <v>221</v>
      </c>
    </row>
    <row r="327" ht="34.5">
      <c r="A327" s="616" t="s">
        <v>213</v>
      </c>
      <c r="B327" s="616" t="s">
        <v>214</v>
      </c>
      <c r="C327" s="616" t="s">
        <v>581</v>
      </c>
      <c r="D327" s="616" t="s">
        <v>216</v>
      </c>
      <c r="E327" s="616" t="s">
        <v>503</v>
      </c>
      <c r="F327" s="617" t="s">
        <v>504</v>
      </c>
      <c r="G327" s="616" t="s">
        <v>505</v>
      </c>
      <c r="H327" s="617"/>
      <c r="I327" s="617"/>
      <c r="J327" s="617" t="s">
        <v>582</v>
      </c>
      <c r="K327" s="618"/>
      <c r="L327" s="616"/>
      <c r="M327" s="616"/>
      <c r="N327" s="617"/>
      <c r="O327" s="617"/>
      <c r="P327" s="617"/>
      <c r="Q327" s="617"/>
      <c r="R327" s="619"/>
      <c r="S327" s="617"/>
      <c r="T327" s="616" t="s">
        <v>221</v>
      </c>
    </row>
    <row r="328" ht="34.5">
      <c r="A328" s="616" t="s">
        <v>213</v>
      </c>
      <c r="B328" s="616" t="s">
        <v>214</v>
      </c>
      <c r="C328" s="616" t="s">
        <v>581</v>
      </c>
      <c r="D328" s="616" t="s">
        <v>216</v>
      </c>
      <c r="E328" s="616" t="s">
        <v>503</v>
      </c>
      <c r="F328" s="617" t="s">
        <v>504</v>
      </c>
      <c r="G328" s="616" t="s">
        <v>505</v>
      </c>
      <c r="H328" s="617"/>
      <c r="I328" s="617"/>
      <c r="J328" s="617" t="s">
        <v>583</v>
      </c>
      <c r="K328" s="618"/>
      <c r="L328" s="616"/>
      <c r="M328" s="616"/>
      <c r="N328" s="617"/>
      <c r="O328" s="617"/>
      <c r="P328" s="617"/>
      <c r="Q328" s="617"/>
      <c r="R328" s="619"/>
      <c r="S328" s="617"/>
      <c r="T328" s="616" t="s">
        <v>221</v>
      </c>
    </row>
    <row r="329" ht="34.5">
      <c r="A329" s="616" t="s">
        <v>213</v>
      </c>
      <c r="B329" s="616" t="s">
        <v>214</v>
      </c>
      <c r="C329" s="616" t="s">
        <v>581</v>
      </c>
      <c r="D329" s="616" t="s">
        <v>216</v>
      </c>
      <c r="E329" s="616" t="s">
        <v>503</v>
      </c>
      <c r="F329" s="617" t="s">
        <v>504</v>
      </c>
      <c r="G329" s="616" t="s">
        <v>505</v>
      </c>
      <c r="H329" s="617"/>
      <c r="I329" s="617"/>
      <c r="J329" s="617" t="s">
        <v>584</v>
      </c>
      <c r="K329" s="618"/>
      <c r="L329" s="616"/>
      <c r="M329" s="616"/>
      <c r="N329" s="617"/>
      <c r="O329" s="617"/>
      <c r="P329" s="617"/>
      <c r="Q329" s="617"/>
      <c r="R329" s="619"/>
      <c r="S329" s="617"/>
      <c r="T329" s="616" t="s">
        <v>221</v>
      </c>
    </row>
    <row r="330" ht="34.5">
      <c r="A330" s="616" t="s">
        <v>213</v>
      </c>
      <c r="B330" s="616" t="s">
        <v>214</v>
      </c>
      <c r="C330" s="616" t="s">
        <v>581</v>
      </c>
      <c r="D330" s="616" t="s">
        <v>216</v>
      </c>
      <c r="E330" s="616" t="s">
        <v>503</v>
      </c>
      <c r="F330" s="617" t="s">
        <v>504</v>
      </c>
      <c r="G330" s="616" t="s">
        <v>505</v>
      </c>
      <c r="H330" s="617"/>
      <c r="I330" s="617"/>
      <c r="J330" s="617" t="s">
        <v>585</v>
      </c>
      <c r="K330" s="618"/>
      <c r="L330" s="616"/>
      <c r="M330" s="616"/>
      <c r="N330" s="617"/>
      <c r="O330" s="617"/>
      <c r="P330" s="617"/>
      <c r="Q330" s="617"/>
      <c r="R330" s="619"/>
      <c r="S330" s="617"/>
      <c r="T330" s="616" t="s">
        <v>221</v>
      </c>
    </row>
    <row r="331" ht="34.5">
      <c r="A331" s="616" t="s">
        <v>213</v>
      </c>
      <c r="B331" s="616" t="s">
        <v>214</v>
      </c>
      <c r="C331" s="616" t="s">
        <v>581</v>
      </c>
      <c r="D331" s="616" t="s">
        <v>216</v>
      </c>
      <c r="E331" s="616" t="s">
        <v>503</v>
      </c>
      <c r="F331" s="617" t="s">
        <v>504</v>
      </c>
      <c r="G331" s="616" t="s">
        <v>505</v>
      </c>
      <c r="H331" s="617"/>
      <c r="I331" s="617"/>
      <c r="J331" s="617" t="s">
        <v>586</v>
      </c>
      <c r="K331" s="618"/>
      <c r="L331" s="616"/>
      <c r="M331" s="616"/>
      <c r="N331" s="617"/>
      <c r="O331" s="617"/>
      <c r="P331" s="617"/>
      <c r="Q331" s="617"/>
      <c r="R331" s="619"/>
      <c r="S331" s="617"/>
      <c r="T331" s="616" t="s">
        <v>221</v>
      </c>
    </row>
    <row r="332" ht="34.5">
      <c r="A332" s="616" t="s">
        <v>213</v>
      </c>
      <c r="B332" s="616" t="s">
        <v>214</v>
      </c>
      <c r="C332" s="616" t="s">
        <v>581</v>
      </c>
      <c r="D332" s="616" t="s">
        <v>587</v>
      </c>
      <c r="E332" s="616" t="s">
        <v>503</v>
      </c>
      <c r="F332" s="617" t="s">
        <v>504</v>
      </c>
      <c r="G332" s="616" t="s">
        <v>505</v>
      </c>
      <c r="H332" s="617"/>
      <c r="I332" s="617"/>
      <c r="J332" s="617" t="s">
        <v>588</v>
      </c>
      <c r="K332" s="618"/>
      <c r="L332" s="616"/>
      <c r="M332" s="616"/>
      <c r="N332" s="617"/>
      <c r="O332" s="617"/>
      <c r="P332" s="617"/>
      <c r="Q332" s="617"/>
      <c r="R332" s="619"/>
      <c r="S332" s="617"/>
      <c r="T332" s="616" t="s">
        <v>221</v>
      </c>
    </row>
    <row r="333" ht="34.5">
      <c r="A333" s="616" t="s">
        <v>213</v>
      </c>
      <c r="B333" s="616" t="s">
        <v>214</v>
      </c>
      <c r="C333" s="616" t="s">
        <v>581</v>
      </c>
      <c r="D333" s="616" t="s">
        <v>216</v>
      </c>
      <c r="E333" s="616" t="s">
        <v>503</v>
      </c>
      <c r="F333" s="617" t="s">
        <v>504</v>
      </c>
      <c r="G333" s="616" t="s">
        <v>505</v>
      </c>
      <c r="H333" s="617"/>
      <c r="I333" s="617"/>
      <c r="J333" s="617" t="s">
        <v>589</v>
      </c>
      <c r="K333" s="618"/>
      <c r="L333" s="616"/>
      <c r="M333" s="616"/>
      <c r="N333" s="617"/>
      <c r="O333" s="617"/>
      <c r="P333" s="617"/>
      <c r="Q333" s="617"/>
      <c r="R333" s="619"/>
      <c r="S333" s="617"/>
      <c r="T333" s="616" t="s">
        <v>221</v>
      </c>
    </row>
    <row r="334" ht="34.5">
      <c r="A334" s="616" t="s">
        <v>213</v>
      </c>
      <c r="B334" s="616" t="s">
        <v>214</v>
      </c>
      <c r="C334" s="616" t="s">
        <v>581</v>
      </c>
      <c r="D334" s="616" t="s">
        <v>590</v>
      </c>
      <c r="E334" s="616" t="s">
        <v>503</v>
      </c>
      <c r="F334" s="617" t="s">
        <v>504</v>
      </c>
      <c r="G334" s="616" t="s">
        <v>505</v>
      </c>
      <c r="H334" s="617"/>
      <c r="I334" s="617"/>
      <c r="J334" s="617" t="s">
        <v>591</v>
      </c>
      <c r="K334" s="618"/>
      <c r="L334" s="616"/>
      <c r="M334" s="616"/>
      <c r="N334" s="617"/>
      <c r="O334" s="617"/>
      <c r="P334" s="617"/>
      <c r="Q334" s="617"/>
      <c r="R334" s="619"/>
      <c r="S334" s="617"/>
      <c r="T334" s="616" t="s">
        <v>221</v>
      </c>
    </row>
    <row r="335" ht="34.5">
      <c r="A335" s="616" t="s">
        <v>213</v>
      </c>
      <c r="B335" s="616" t="s">
        <v>214</v>
      </c>
      <c r="C335" s="616" t="s">
        <v>581</v>
      </c>
      <c r="D335" s="616" t="s">
        <v>216</v>
      </c>
      <c r="E335" s="616" t="s">
        <v>503</v>
      </c>
      <c r="F335" s="617" t="s">
        <v>504</v>
      </c>
      <c r="G335" s="616" t="s">
        <v>505</v>
      </c>
      <c r="H335" s="617"/>
      <c r="I335" s="617"/>
      <c r="J335" s="617" t="s">
        <v>592</v>
      </c>
      <c r="K335" s="618"/>
      <c r="L335" s="616"/>
      <c r="M335" s="616"/>
      <c r="N335" s="617"/>
      <c r="O335" s="617"/>
      <c r="P335" s="617"/>
      <c r="Q335" s="617"/>
      <c r="R335" s="619"/>
      <c r="S335" s="617"/>
      <c r="T335" s="616" t="s">
        <v>221</v>
      </c>
    </row>
    <row r="336" ht="34.5">
      <c r="A336" s="616" t="s">
        <v>213</v>
      </c>
      <c r="B336" s="616" t="s">
        <v>214</v>
      </c>
      <c r="C336" s="616" t="s">
        <v>593</v>
      </c>
      <c r="D336" s="616" t="s">
        <v>594</v>
      </c>
      <c r="E336" s="616" t="s">
        <v>503</v>
      </c>
      <c r="F336" s="617" t="s">
        <v>504</v>
      </c>
      <c r="G336" s="616" t="s">
        <v>505</v>
      </c>
      <c r="H336" s="617"/>
      <c r="I336" s="617"/>
      <c r="J336" s="617" t="s">
        <v>595</v>
      </c>
      <c r="K336" s="618"/>
      <c r="L336" s="616"/>
      <c r="M336" s="616"/>
      <c r="N336" s="617"/>
      <c r="O336" s="617"/>
      <c r="P336" s="617"/>
      <c r="Q336" s="617"/>
      <c r="R336" s="619"/>
      <c r="S336" s="617"/>
      <c r="T336" s="616" t="s">
        <v>221</v>
      </c>
    </row>
    <row r="337" ht="34.5">
      <c r="A337" s="616" t="s">
        <v>213</v>
      </c>
      <c r="B337" s="616" t="s">
        <v>214</v>
      </c>
      <c r="C337" s="616" t="s">
        <v>593</v>
      </c>
      <c r="D337" s="616" t="s">
        <v>596</v>
      </c>
      <c r="E337" s="616" t="s">
        <v>503</v>
      </c>
      <c r="F337" s="617" t="s">
        <v>504</v>
      </c>
      <c r="G337" s="616" t="s">
        <v>505</v>
      </c>
      <c r="H337" s="617"/>
      <c r="I337" s="617"/>
      <c r="J337" s="617" t="s">
        <v>597</v>
      </c>
      <c r="K337" s="618"/>
      <c r="L337" s="616"/>
      <c r="M337" s="616"/>
      <c r="N337" s="617"/>
      <c r="O337" s="617"/>
      <c r="P337" s="617"/>
      <c r="Q337" s="617"/>
      <c r="R337" s="619"/>
      <c r="S337" s="617"/>
      <c r="T337" s="616" t="s">
        <v>221</v>
      </c>
    </row>
    <row r="338" ht="34.5">
      <c r="A338" s="616" t="s">
        <v>213</v>
      </c>
      <c r="B338" s="616" t="s">
        <v>214</v>
      </c>
      <c r="C338" s="616" t="s">
        <v>593</v>
      </c>
      <c r="D338" s="616" t="s">
        <v>216</v>
      </c>
      <c r="E338" s="616" t="s">
        <v>503</v>
      </c>
      <c r="F338" s="617" t="s">
        <v>504</v>
      </c>
      <c r="G338" s="616" t="s">
        <v>505</v>
      </c>
      <c r="H338" s="617"/>
      <c r="I338" s="617"/>
      <c r="J338" s="617" t="s">
        <v>598</v>
      </c>
      <c r="K338" s="618"/>
      <c r="L338" s="616"/>
      <c r="M338" s="616"/>
      <c r="N338" s="617"/>
      <c r="O338" s="617"/>
      <c r="P338" s="617"/>
      <c r="Q338" s="617"/>
      <c r="R338" s="619"/>
      <c r="S338" s="617"/>
      <c r="T338" s="616" t="s">
        <v>221</v>
      </c>
    </row>
    <row r="339" ht="34.5">
      <c r="A339" s="616" t="s">
        <v>213</v>
      </c>
      <c r="B339" s="616" t="s">
        <v>214</v>
      </c>
      <c r="C339" s="616" t="s">
        <v>593</v>
      </c>
      <c r="D339" s="616" t="s">
        <v>216</v>
      </c>
      <c r="E339" s="616" t="s">
        <v>503</v>
      </c>
      <c r="F339" s="617" t="s">
        <v>504</v>
      </c>
      <c r="G339" s="616" t="s">
        <v>505</v>
      </c>
      <c r="H339" s="617"/>
      <c r="I339" s="617"/>
      <c r="J339" s="617" t="s">
        <v>599</v>
      </c>
      <c r="K339" s="618"/>
      <c r="L339" s="616"/>
      <c r="M339" s="616"/>
      <c r="N339" s="617"/>
      <c r="O339" s="617"/>
      <c r="P339" s="617"/>
      <c r="Q339" s="617"/>
      <c r="R339" s="619"/>
      <c r="S339" s="617"/>
      <c r="T339" s="616" t="s">
        <v>221</v>
      </c>
    </row>
    <row r="340" ht="34.5">
      <c r="A340" s="616" t="s">
        <v>213</v>
      </c>
      <c r="B340" s="616" t="s">
        <v>214</v>
      </c>
      <c r="C340" s="616" t="s">
        <v>593</v>
      </c>
      <c r="D340" s="616" t="s">
        <v>216</v>
      </c>
      <c r="E340" s="616" t="s">
        <v>503</v>
      </c>
      <c r="F340" s="617" t="s">
        <v>504</v>
      </c>
      <c r="G340" s="616" t="s">
        <v>505</v>
      </c>
      <c r="H340" s="617"/>
      <c r="I340" s="617"/>
      <c r="J340" s="617" t="s">
        <v>600</v>
      </c>
      <c r="K340" s="618"/>
      <c r="L340" s="616"/>
      <c r="M340" s="616"/>
      <c r="N340" s="617"/>
      <c r="O340" s="617"/>
      <c r="P340" s="617"/>
      <c r="Q340" s="617"/>
      <c r="R340" s="619"/>
      <c r="S340" s="617"/>
      <c r="T340" s="616" t="s">
        <v>221</v>
      </c>
    </row>
    <row r="341" ht="34.5">
      <c r="A341" s="616" t="s">
        <v>213</v>
      </c>
      <c r="B341" s="616" t="s">
        <v>214</v>
      </c>
      <c r="C341" s="616" t="s">
        <v>593</v>
      </c>
      <c r="D341" s="616" t="s">
        <v>601</v>
      </c>
      <c r="E341" s="616" t="s">
        <v>503</v>
      </c>
      <c r="F341" s="617" t="s">
        <v>504</v>
      </c>
      <c r="G341" s="616" t="s">
        <v>505</v>
      </c>
      <c r="H341" s="617"/>
      <c r="I341" s="617"/>
      <c r="J341" s="617" t="s">
        <v>602</v>
      </c>
      <c r="K341" s="618"/>
      <c r="L341" s="616"/>
      <c r="M341" s="616"/>
      <c r="N341" s="617"/>
      <c r="O341" s="617"/>
      <c r="P341" s="617"/>
      <c r="Q341" s="617"/>
      <c r="R341" s="619"/>
      <c r="S341" s="617"/>
      <c r="T341" s="616" t="s">
        <v>221</v>
      </c>
    </row>
    <row r="342" ht="34.5">
      <c r="A342" s="616" t="s">
        <v>213</v>
      </c>
      <c r="B342" s="616" t="s">
        <v>214</v>
      </c>
      <c r="C342" s="616" t="s">
        <v>593</v>
      </c>
      <c r="D342" s="616" t="s">
        <v>216</v>
      </c>
      <c r="E342" s="616" t="s">
        <v>503</v>
      </c>
      <c r="F342" s="617" t="s">
        <v>504</v>
      </c>
      <c r="G342" s="616" t="s">
        <v>505</v>
      </c>
      <c r="H342" s="617"/>
      <c r="I342" s="617"/>
      <c r="J342" s="617" t="s">
        <v>603</v>
      </c>
      <c r="K342" s="618"/>
      <c r="L342" s="616"/>
      <c r="M342" s="616"/>
      <c r="N342" s="617"/>
      <c r="O342" s="617"/>
      <c r="P342" s="617"/>
      <c r="Q342" s="617"/>
      <c r="R342" s="619"/>
      <c r="S342" s="617"/>
      <c r="T342" s="616" t="s">
        <v>221</v>
      </c>
    </row>
    <row r="343" ht="34.5">
      <c r="A343" s="616" t="s">
        <v>213</v>
      </c>
      <c r="B343" s="616" t="s">
        <v>214</v>
      </c>
      <c r="C343" s="616" t="s">
        <v>604</v>
      </c>
      <c r="D343" s="616" t="s">
        <v>216</v>
      </c>
      <c r="E343" s="616" t="s">
        <v>503</v>
      </c>
      <c r="F343" s="617" t="s">
        <v>504</v>
      </c>
      <c r="G343" s="616" t="s">
        <v>505</v>
      </c>
      <c r="H343" s="617"/>
      <c r="I343" s="617"/>
      <c r="J343" s="617" t="s">
        <v>605</v>
      </c>
      <c r="K343" s="618"/>
      <c r="L343" s="616"/>
      <c r="M343" s="616"/>
      <c r="N343" s="617"/>
      <c r="O343" s="617"/>
      <c r="P343" s="617"/>
      <c r="Q343" s="617"/>
      <c r="R343" s="619"/>
      <c r="S343" s="617"/>
      <c r="T343" s="616" t="s">
        <v>221</v>
      </c>
    </row>
    <row r="344" ht="34.5">
      <c r="A344" s="616" t="s">
        <v>213</v>
      </c>
      <c r="B344" s="616" t="s">
        <v>214</v>
      </c>
      <c r="C344" s="616" t="s">
        <v>604</v>
      </c>
      <c r="D344" s="616" t="s">
        <v>216</v>
      </c>
      <c r="E344" s="616" t="s">
        <v>503</v>
      </c>
      <c r="F344" s="617" t="s">
        <v>504</v>
      </c>
      <c r="G344" s="616" t="s">
        <v>505</v>
      </c>
      <c r="H344" s="617"/>
      <c r="I344" s="617"/>
      <c r="J344" s="617" t="s">
        <v>606</v>
      </c>
      <c r="K344" s="618"/>
      <c r="L344" s="616"/>
      <c r="M344" s="616"/>
      <c r="N344" s="617"/>
      <c r="O344" s="617"/>
      <c r="P344" s="617"/>
      <c r="Q344" s="617"/>
      <c r="R344" s="619"/>
      <c r="S344" s="617"/>
      <c r="T344" s="616" t="s">
        <v>221</v>
      </c>
    </row>
    <row r="345" ht="34.5">
      <c r="A345" s="616" t="s">
        <v>213</v>
      </c>
      <c r="B345" s="616" t="s">
        <v>214</v>
      </c>
      <c r="C345" s="616" t="s">
        <v>604</v>
      </c>
      <c r="D345" s="616" t="s">
        <v>607</v>
      </c>
      <c r="E345" s="616" t="s">
        <v>503</v>
      </c>
      <c r="F345" s="617" t="s">
        <v>504</v>
      </c>
      <c r="G345" s="616" t="s">
        <v>505</v>
      </c>
      <c r="H345" s="617"/>
      <c r="I345" s="617"/>
      <c r="J345" s="617" t="s">
        <v>608</v>
      </c>
      <c r="K345" s="618"/>
      <c r="L345" s="616"/>
      <c r="M345" s="616"/>
      <c r="N345" s="617"/>
      <c r="O345" s="617"/>
      <c r="P345" s="617"/>
      <c r="Q345" s="617"/>
      <c r="R345" s="619"/>
      <c r="S345" s="617"/>
      <c r="T345" s="616" t="s">
        <v>221</v>
      </c>
    </row>
    <row r="346" ht="34.5">
      <c r="A346" s="616" t="s">
        <v>213</v>
      </c>
      <c r="B346" s="616" t="s">
        <v>214</v>
      </c>
      <c r="C346" s="616" t="s">
        <v>604</v>
      </c>
      <c r="D346" s="616" t="s">
        <v>216</v>
      </c>
      <c r="E346" s="616" t="s">
        <v>503</v>
      </c>
      <c r="F346" s="617" t="s">
        <v>504</v>
      </c>
      <c r="G346" s="616" t="s">
        <v>505</v>
      </c>
      <c r="H346" s="617"/>
      <c r="I346" s="617"/>
      <c r="J346" s="617" t="s">
        <v>609</v>
      </c>
      <c r="K346" s="618"/>
      <c r="L346" s="616"/>
      <c r="M346" s="616"/>
      <c r="N346" s="617"/>
      <c r="O346" s="617"/>
      <c r="P346" s="617"/>
      <c r="Q346" s="617"/>
      <c r="R346" s="619"/>
      <c r="S346" s="617"/>
      <c r="T346" s="616" t="s">
        <v>221</v>
      </c>
    </row>
    <row r="347" ht="34.5">
      <c r="A347" s="616" t="s">
        <v>213</v>
      </c>
      <c r="B347" s="616" t="s">
        <v>214</v>
      </c>
      <c r="C347" s="616" t="s">
        <v>604</v>
      </c>
      <c r="D347" s="616" t="s">
        <v>216</v>
      </c>
      <c r="E347" s="616" t="s">
        <v>503</v>
      </c>
      <c r="F347" s="617" t="s">
        <v>504</v>
      </c>
      <c r="G347" s="616" t="s">
        <v>505</v>
      </c>
      <c r="H347" s="617"/>
      <c r="I347" s="617"/>
      <c r="J347" s="617" t="s">
        <v>610</v>
      </c>
      <c r="K347" s="618">
        <v>292938297</v>
      </c>
      <c r="L347" s="616" t="s">
        <v>611</v>
      </c>
      <c r="M347" s="616"/>
      <c r="N347" s="617"/>
      <c r="O347" s="617"/>
      <c r="P347" s="617"/>
      <c r="Q347" s="617"/>
      <c r="R347" s="619"/>
      <c r="S347" s="617"/>
      <c r="T347" s="616" t="s">
        <v>221</v>
      </c>
    </row>
    <row r="348" ht="34.5">
      <c r="A348" s="616" t="s">
        <v>213</v>
      </c>
      <c r="B348" s="616" t="s">
        <v>214</v>
      </c>
      <c r="C348" s="616" t="s">
        <v>604</v>
      </c>
      <c r="D348" s="616" t="s">
        <v>216</v>
      </c>
      <c r="E348" s="616" t="s">
        <v>503</v>
      </c>
      <c r="F348" s="617" t="s">
        <v>504</v>
      </c>
      <c r="G348" s="616" t="s">
        <v>505</v>
      </c>
      <c r="H348" s="617"/>
      <c r="I348" s="617"/>
      <c r="J348" s="617" t="s">
        <v>612</v>
      </c>
      <c r="K348" s="618"/>
      <c r="L348" s="616"/>
      <c r="M348" s="616"/>
      <c r="N348" s="617"/>
      <c r="O348" s="617"/>
      <c r="P348" s="617"/>
      <c r="Q348" s="617"/>
      <c r="R348" s="619"/>
      <c r="S348" s="617"/>
      <c r="T348" s="616" t="s">
        <v>221</v>
      </c>
    </row>
    <row r="349" ht="34.5">
      <c r="A349" s="616" t="s">
        <v>213</v>
      </c>
      <c r="B349" s="616" t="s">
        <v>214</v>
      </c>
      <c r="C349" s="616" t="s">
        <v>613</v>
      </c>
      <c r="D349" s="616" t="s">
        <v>216</v>
      </c>
      <c r="E349" s="616" t="s">
        <v>503</v>
      </c>
      <c r="F349" s="617" t="s">
        <v>504</v>
      </c>
      <c r="G349" s="616" t="s">
        <v>505</v>
      </c>
      <c r="H349" s="617"/>
      <c r="I349" s="617"/>
      <c r="J349" s="617" t="s">
        <v>614</v>
      </c>
      <c r="K349" s="618"/>
      <c r="L349" s="616"/>
      <c r="M349" s="616"/>
      <c r="N349" s="617"/>
      <c r="O349" s="617"/>
      <c r="P349" s="617"/>
      <c r="Q349" s="617"/>
      <c r="R349" s="619"/>
      <c r="S349" s="617"/>
      <c r="T349" s="616" t="s">
        <v>221</v>
      </c>
    </row>
    <row r="350" ht="34.5">
      <c r="A350" s="616" t="s">
        <v>213</v>
      </c>
      <c r="B350" s="616" t="s">
        <v>214</v>
      </c>
      <c r="C350" s="616" t="s">
        <v>613</v>
      </c>
      <c r="D350" s="616" t="s">
        <v>216</v>
      </c>
      <c r="E350" s="616" t="s">
        <v>503</v>
      </c>
      <c r="F350" s="617" t="s">
        <v>504</v>
      </c>
      <c r="G350" s="616" t="s">
        <v>505</v>
      </c>
      <c r="H350" s="617"/>
      <c r="I350" s="617"/>
      <c r="J350" s="617" t="s">
        <v>615</v>
      </c>
      <c r="K350" s="618"/>
      <c r="L350" s="616"/>
      <c r="M350" s="616"/>
      <c r="N350" s="617"/>
      <c r="O350" s="617"/>
      <c r="P350" s="617"/>
      <c r="Q350" s="617"/>
      <c r="R350" s="619"/>
      <c r="S350" s="617"/>
      <c r="T350" s="616" t="s">
        <v>221</v>
      </c>
    </row>
    <row r="351" ht="34.5">
      <c r="A351" s="616" t="s">
        <v>213</v>
      </c>
      <c r="B351" s="616" t="s">
        <v>214</v>
      </c>
      <c r="C351" s="616" t="s">
        <v>613</v>
      </c>
      <c r="D351" s="616" t="s">
        <v>616</v>
      </c>
      <c r="E351" s="616" t="s">
        <v>503</v>
      </c>
      <c r="F351" s="617" t="s">
        <v>504</v>
      </c>
      <c r="G351" s="616" t="s">
        <v>505</v>
      </c>
      <c r="H351" s="617"/>
      <c r="I351" s="617"/>
      <c r="J351" s="617" t="s">
        <v>617</v>
      </c>
      <c r="K351" s="618"/>
      <c r="L351" s="616"/>
      <c r="M351" s="616"/>
      <c r="N351" s="617"/>
      <c r="O351" s="617"/>
      <c r="P351" s="617"/>
      <c r="Q351" s="617"/>
      <c r="R351" s="619"/>
      <c r="S351" s="617"/>
      <c r="T351" s="616" t="s">
        <v>221</v>
      </c>
    </row>
    <row r="352" ht="34.5">
      <c r="A352" s="616" t="s">
        <v>213</v>
      </c>
      <c r="B352" s="616" t="s">
        <v>214</v>
      </c>
      <c r="C352" s="616" t="s">
        <v>613</v>
      </c>
      <c r="D352" s="616" t="s">
        <v>216</v>
      </c>
      <c r="E352" s="616" t="s">
        <v>503</v>
      </c>
      <c r="F352" s="617" t="s">
        <v>504</v>
      </c>
      <c r="G352" s="616" t="s">
        <v>505</v>
      </c>
      <c r="H352" s="617"/>
      <c r="I352" s="617"/>
      <c r="J352" s="617" t="s">
        <v>618</v>
      </c>
      <c r="K352" s="618"/>
      <c r="L352" s="616"/>
      <c r="M352" s="616"/>
      <c r="N352" s="617"/>
      <c r="O352" s="617"/>
      <c r="P352" s="617"/>
      <c r="Q352" s="617"/>
      <c r="R352" s="619"/>
      <c r="S352" s="617"/>
      <c r="T352" s="616" t="s">
        <v>221</v>
      </c>
    </row>
    <row r="353" ht="34.5">
      <c r="A353" s="616" t="s">
        <v>213</v>
      </c>
      <c r="B353" s="616" t="s">
        <v>214</v>
      </c>
      <c r="C353" s="616" t="s">
        <v>613</v>
      </c>
      <c r="D353" s="616" t="s">
        <v>216</v>
      </c>
      <c r="E353" s="616" t="s">
        <v>503</v>
      </c>
      <c r="F353" s="617" t="s">
        <v>504</v>
      </c>
      <c r="G353" s="616" t="s">
        <v>505</v>
      </c>
      <c r="H353" s="617"/>
      <c r="I353" s="617"/>
      <c r="J353" s="617" t="s">
        <v>619</v>
      </c>
      <c r="K353" s="618"/>
      <c r="L353" s="616"/>
      <c r="M353" s="616"/>
      <c r="N353" s="617"/>
      <c r="O353" s="617"/>
      <c r="P353" s="617"/>
      <c r="Q353" s="617"/>
      <c r="R353" s="619"/>
      <c r="S353" s="617"/>
      <c r="T353" s="616" t="s">
        <v>221</v>
      </c>
    </row>
    <row r="354" ht="34.5">
      <c r="A354" s="616" t="s">
        <v>213</v>
      </c>
      <c r="B354" s="616" t="s">
        <v>214</v>
      </c>
      <c r="C354" s="616" t="s">
        <v>613</v>
      </c>
      <c r="D354" s="616" t="s">
        <v>216</v>
      </c>
      <c r="E354" s="616" t="s">
        <v>503</v>
      </c>
      <c r="F354" s="617" t="s">
        <v>504</v>
      </c>
      <c r="G354" s="616" t="s">
        <v>505</v>
      </c>
      <c r="H354" s="617"/>
      <c r="I354" s="617"/>
      <c r="J354" s="617" t="s">
        <v>620</v>
      </c>
      <c r="K354" s="618"/>
      <c r="L354" s="616"/>
      <c r="M354" s="616"/>
      <c r="N354" s="617"/>
      <c r="O354" s="617"/>
      <c r="P354" s="617"/>
      <c r="Q354" s="617"/>
      <c r="R354" s="619"/>
      <c r="S354" s="617"/>
      <c r="T354" s="616" t="s">
        <v>221</v>
      </c>
    </row>
    <row r="355" ht="34.5">
      <c r="A355" s="616" t="s">
        <v>213</v>
      </c>
      <c r="B355" s="616" t="s">
        <v>214</v>
      </c>
      <c r="C355" s="616" t="s">
        <v>621</v>
      </c>
      <c r="D355" s="616" t="s">
        <v>216</v>
      </c>
      <c r="E355" s="616" t="s">
        <v>503</v>
      </c>
      <c r="F355" s="617" t="s">
        <v>504</v>
      </c>
      <c r="G355" s="616" t="s">
        <v>505</v>
      </c>
      <c r="H355" s="617"/>
      <c r="I355" s="617"/>
      <c r="J355" s="617" t="s">
        <v>622</v>
      </c>
      <c r="K355" s="618"/>
      <c r="L355" s="616"/>
      <c r="M355" s="616"/>
      <c r="N355" s="617"/>
      <c r="O355" s="617"/>
      <c r="P355" s="617"/>
      <c r="Q355" s="617"/>
      <c r="R355" s="619"/>
      <c r="S355" s="617"/>
      <c r="T355" s="616" t="s">
        <v>221</v>
      </c>
    </row>
    <row r="356" ht="34.5">
      <c r="A356" s="616" t="s">
        <v>213</v>
      </c>
      <c r="B356" s="616" t="s">
        <v>214</v>
      </c>
      <c r="C356" s="616" t="s">
        <v>621</v>
      </c>
      <c r="D356" s="616" t="s">
        <v>216</v>
      </c>
      <c r="E356" s="616" t="s">
        <v>503</v>
      </c>
      <c r="F356" s="617" t="s">
        <v>504</v>
      </c>
      <c r="G356" s="616" t="s">
        <v>505</v>
      </c>
      <c r="H356" s="617"/>
      <c r="I356" s="617"/>
      <c r="J356" s="617" t="s">
        <v>623</v>
      </c>
      <c r="K356" s="618"/>
      <c r="L356" s="616"/>
      <c r="M356" s="616"/>
      <c r="N356" s="617"/>
      <c r="O356" s="617"/>
      <c r="P356" s="617"/>
      <c r="Q356" s="617"/>
      <c r="R356" s="619"/>
      <c r="S356" s="617"/>
      <c r="T356" s="616" t="s">
        <v>221</v>
      </c>
    </row>
    <row r="357" ht="34.5">
      <c r="A357" s="616" t="s">
        <v>213</v>
      </c>
      <c r="B357" s="616" t="s">
        <v>214</v>
      </c>
      <c r="C357" s="616" t="s">
        <v>621</v>
      </c>
      <c r="D357" s="616" t="s">
        <v>216</v>
      </c>
      <c r="E357" s="616" t="s">
        <v>503</v>
      </c>
      <c r="F357" s="617" t="s">
        <v>504</v>
      </c>
      <c r="G357" s="616" t="s">
        <v>505</v>
      </c>
      <c r="H357" s="617"/>
      <c r="I357" s="617"/>
      <c r="J357" s="617" t="s">
        <v>624</v>
      </c>
      <c r="K357" s="618"/>
      <c r="L357" s="616"/>
      <c r="M357" s="616"/>
      <c r="N357" s="617"/>
      <c r="O357" s="617"/>
      <c r="P357" s="617"/>
      <c r="Q357" s="617"/>
      <c r="R357" s="619"/>
      <c r="S357" s="617"/>
      <c r="T357" s="616" t="s">
        <v>221</v>
      </c>
    </row>
    <row r="358" ht="34.5">
      <c r="A358" s="616" t="s">
        <v>213</v>
      </c>
      <c r="B358" s="616" t="s">
        <v>214</v>
      </c>
      <c r="C358" s="616" t="s">
        <v>621</v>
      </c>
      <c r="D358" s="616" t="s">
        <v>216</v>
      </c>
      <c r="E358" s="616" t="s">
        <v>503</v>
      </c>
      <c r="F358" s="617" t="s">
        <v>504</v>
      </c>
      <c r="G358" s="616" t="s">
        <v>505</v>
      </c>
      <c r="H358" s="617"/>
      <c r="I358" s="617"/>
      <c r="J358" s="617" t="s">
        <v>625</v>
      </c>
      <c r="K358" s="618"/>
      <c r="L358" s="616"/>
      <c r="M358" s="616"/>
      <c r="N358" s="617"/>
      <c r="O358" s="617"/>
      <c r="P358" s="617"/>
      <c r="Q358" s="617"/>
      <c r="R358" s="619"/>
      <c r="S358" s="617"/>
      <c r="T358" s="616" t="s">
        <v>221</v>
      </c>
    </row>
    <row r="359" ht="34.5">
      <c r="A359" s="616" t="s">
        <v>213</v>
      </c>
      <c r="B359" s="616" t="s">
        <v>214</v>
      </c>
      <c r="C359" s="616" t="s">
        <v>621</v>
      </c>
      <c r="D359" s="616" t="s">
        <v>216</v>
      </c>
      <c r="E359" s="616" t="s">
        <v>503</v>
      </c>
      <c r="F359" s="617" t="s">
        <v>504</v>
      </c>
      <c r="G359" s="616" t="s">
        <v>505</v>
      </c>
      <c r="H359" s="617"/>
      <c r="I359" s="617"/>
      <c r="J359" s="617" t="s">
        <v>626</v>
      </c>
      <c r="K359" s="618"/>
      <c r="L359" s="616"/>
      <c r="M359" s="616"/>
      <c r="N359" s="617"/>
      <c r="O359" s="617"/>
      <c r="P359" s="617"/>
      <c r="Q359" s="617"/>
      <c r="R359" s="619"/>
      <c r="S359" s="617"/>
      <c r="T359" s="616" t="s">
        <v>221</v>
      </c>
    </row>
    <row r="360" ht="34.5">
      <c r="A360" s="616" t="s">
        <v>213</v>
      </c>
      <c r="B360" s="616" t="s">
        <v>214</v>
      </c>
      <c r="C360" s="616" t="s">
        <v>621</v>
      </c>
      <c r="D360" s="616" t="s">
        <v>627</v>
      </c>
      <c r="E360" s="616" t="s">
        <v>503</v>
      </c>
      <c r="F360" s="617" t="s">
        <v>504</v>
      </c>
      <c r="G360" s="616" t="s">
        <v>505</v>
      </c>
      <c r="H360" s="617"/>
      <c r="I360" s="617"/>
      <c r="J360" s="617" t="s">
        <v>628</v>
      </c>
      <c r="K360" s="618"/>
      <c r="L360" s="616"/>
      <c r="M360" s="616"/>
      <c r="N360" s="617"/>
      <c r="O360" s="617"/>
      <c r="P360" s="617"/>
      <c r="Q360" s="617"/>
      <c r="R360" s="619"/>
      <c r="S360" s="617"/>
      <c r="T360" s="616" t="s">
        <v>221</v>
      </c>
    </row>
    <row r="361" ht="34.5">
      <c r="A361" s="616" t="s">
        <v>213</v>
      </c>
      <c r="B361" s="616" t="s">
        <v>214</v>
      </c>
      <c r="C361" s="616" t="s">
        <v>621</v>
      </c>
      <c r="D361" s="616" t="s">
        <v>216</v>
      </c>
      <c r="E361" s="616" t="s">
        <v>503</v>
      </c>
      <c r="F361" s="617" t="s">
        <v>504</v>
      </c>
      <c r="G361" s="616" t="s">
        <v>505</v>
      </c>
      <c r="H361" s="617"/>
      <c r="I361" s="617"/>
      <c r="J361" s="617" t="s">
        <v>629</v>
      </c>
      <c r="K361" s="618"/>
      <c r="L361" s="616"/>
      <c r="M361" s="616"/>
      <c r="N361" s="617"/>
      <c r="O361" s="617"/>
      <c r="P361" s="617"/>
      <c r="Q361" s="617"/>
      <c r="R361" s="619"/>
      <c r="S361" s="617"/>
      <c r="T361" s="616" t="s">
        <v>221</v>
      </c>
    </row>
    <row r="362" ht="34.5">
      <c r="A362" s="616" t="s">
        <v>213</v>
      </c>
      <c r="B362" s="616" t="s">
        <v>214</v>
      </c>
      <c r="C362" s="616" t="s">
        <v>630</v>
      </c>
      <c r="D362" s="616" t="s">
        <v>216</v>
      </c>
      <c r="E362" s="616" t="s">
        <v>503</v>
      </c>
      <c r="F362" s="617" t="s">
        <v>504</v>
      </c>
      <c r="G362" s="616" t="s">
        <v>505</v>
      </c>
      <c r="H362" s="617"/>
      <c r="I362" s="617"/>
      <c r="J362" s="617" t="s">
        <v>631</v>
      </c>
      <c r="K362" s="618"/>
      <c r="L362" s="616"/>
      <c r="M362" s="616"/>
      <c r="N362" s="617"/>
      <c r="O362" s="617"/>
      <c r="P362" s="617"/>
      <c r="Q362" s="617"/>
      <c r="R362" s="619"/>
      <c r="S362" s="617"/>
      <c r="T362" s="616" t="s">
        <v>221</v>
      </c>
    </row>
    <row r="363" ht="34.5">
      <c r="A363" s="616" t="s">
        <v>213</v>
      </c>
      <c r="B363" s="616" t="s">
        <v>214</v>
      </c>
      <c r="C363" s="616" t="s">
        <v>630</v>
      </c>
      <c r="D363" s="616" t="s">
        <v>632</v>
      </c>
      <c r="E363" s="616" t="s">
        <v>503</v>
      </c>
      <c r="F363" s="617" t="s">
        <v>504</v>
      </c>
      <c r="G363" s="616" t="s">
        <v>505</v>
      </c>
      <c r="H363" s="617"/>
      <c r="I363" s="617"/>
      <c r="J363" s="617" t="s">
        <v>633</v>
      </c>
      <c r="K363" s="618"/>
      <c r="L363" s="616"/>
      <c r="M363" s="616"/>
      <c r="N363" s="617"/>
      <c r="O363" s="617"/>
      <c r="P363" s="617"/>
      <c r="Q363" s="617"/>
      <c r="R363" s="619"/>
      <c r="S363" s="617"/>
      <c r="T363" s="616" t="s">
        <v>221</v>
      </c>
    </row>
    <row r="364" ht="34.5">
      <c r="A364" s="616" t="s">
        <v>213</v>
      </c>
      <c r="B364" s="616" t="s">
        <v>214</v>
      </c>
      <c r="C364" s="616" t="s">
        <v>630</v>
      </c>
      <c r="D364" s="616" t="s">
        <v>216</v>
      </c>
      <c r="E364" s="616" t="s">
        <v>503</v>
      </c>
      <c r="F364" s="617" t="s">
        <v>504</v>
      </c>
      <c r="G364" s="616" t="s">
        <v>505</v>
      </c>
      <c r="H364" s="617"/>
      <c r="I364" s="617"/>
      <c r="J364" s="617" t="s">
        <v>634</v>
      </c>
      <c r="K364" s="618"/>
      <c r="L364" s="616"/>
      <c r="M364" s="616"/>
      <c r="N364" s="617"/>
      <c r="O364" s="617"/>
      <c r="P364" s="617"/>
      <c r="Q364" s="617"/>
      <c r="R364" s="619"/>
      <c r="S364" s="617"/>
      <c r="T364" s="616" t="s">
        <v>221</v>
      </c>
    </row>
    <row r="365" ht="34.5">
      <c r="A365" s="616" t="s">
        <v>213</v>
      </c>
      <c r="B365" s="616" t="s">
        <v>214</v>
      </c>
      <c r="C365" s="616" t="s">
        <v>630</v>
      </c>
      <c r="D365" s="616" t="s">
        <v>216</v>
      </c>
      <c r="E365" s="616" t="s">
        <v>503</v>
      </c>
      <c r="F365" s="617" t="s">
        <v>504</v>
      </c>
      <c r="G365" s="616" t="s">
        <v>505</v>
      </c>
      <c r="H365" s="617"/>
      <c r="I365" s="617"/>
      <c r="J365" s="617" t="s">
        <v>635</v>
      </c>
      <c r="K365" s="618"/>
      <c r="L365" s="616"/>
      <c r="M365" s="616"/>
      <c r="N365" s="617"/>
      <c r="O365" s="617"/>
      <c r="P365" s="617"/>
      <c r="Q365" s="617"/>
      <c r="R365" s="619"/>
      <c r="S365" s="617"/>
      <c r="T365" s="616" t="s">
        <v>221</v>
      </c>
    </row>
    <row r="366" ht="34.5">
      <c r="A366" s="616" t="s">
        <v>213</v>
      </c>
      <c r="B366" s="616" t="s">
        <v>214</v>
      </c>
      <c r="C366" s="616" t="s">
        <v>636</v>
      </c>
      <c r="D366" s="616" t="s">
        <v>216</v>
      </c>
      <c r="E366" s="616" t="s">
        <v>503</v>
      </c>
      <c r="F366" s="617" t="s">
        <v>504</v>
      </c>
      <c r="G366" s="616" t="s">
        <v>505</v>
      </c>
      <c r="H366" s="617"/>
      <c r="I366" s="617"/>
      <c r="J366" s="617" t="s">
        <v>637</v>
      </c>
      <c r="K366" s="618"/>
      <c r="L366" s="616"/>
      <c r="M366" s="616"/>
      <c r="N366" s="617"/>
      <c r="O366" s="617"/>
      <c r="P366" s="617"/>
      <c r="Q366" s="617"/>
      <c r="R366" s="619"/>
      <c r="S366" s="617"/>
      <c r="T366" s="616" t="s">
        <v>221</v>
      </c>
    </row>
    <row r="367" ht="34.5">
      <c r="A367" s="616" t="s">
        <v>213</v>
      </c>
      <c r="B367" s="616" t="s">
        <v>214</v>
      </c>
      <c r="C367" s="616" t="s">
        <v>636</v>
      </c>
      <c r="D367" s="616" t="s">
        <v>216</v>
      </c>
      <c r="E367" s="616" t="s">
        <v>503</v>
      </c>
      <c r="F367" s="617" t="s">
        <v>504</v>
      </c>
      <c r="G367" s="616" t="s">
        <v>505</v>
      </c>
      <c r="H367" s="617"/>
      <c r="I367" s="617"/>
      <c r="J367" s="617" t="s">
        <v>638</v>
      </c>
      <c r="K367" s="618"/>
      <c r="L367" s="616"/>
      <c r="M367" s="616"/>
      <c r="N367" s="617"/>
      <c r="O367" s="617"/>
      <c r="P367" s="617"/>
      <c r="Q367" s="617"/>
      <c r="R367" s="619"/>
      <c r="S367" s="617"/>
      <c r="T367" s="616" t="s">
        <v>221</v>
      </c>
    </row>
    <row r="368" ht="34.5">
      <c r="A368" s="616" t="s">
        <v>213</v>
      </c>
      <c r="B368" s="616" t="s">
        <v>214</v>
      </c>
      <c r="C368" s="616" t="s">
        <v>636</v>
      </c>
      <c r="D368" s="616" t="s">
        <v>216</v>
      </c>
      <c r="E368" s="616" t="s">
        <v>503</v>
      </c>
      <c r="F368" s="617" t="s">
        <v>504</v>
      </c>
      <c r="G368" s="616" t="s">
        <v>505</v>
      </c>
      <c r="H368" s="617"/>
      <c r="I368" s="617"/>
      <c r="J368" s="617" t="s">
        <v>639</v>
      </c>
      <c r="K368" s="618"/>
      <c r="L368" s="616"/>
      <c r="M368" s="616"/>
      <c r="N368" s="617"/>
      <c r="O368" s="617"/>
      <c r="P368" s="617"/>
      <c r="Q368" s="617"/>
      <c r="R368" s="619"/>
      <c r="S368" s="617"/>
      <c r="T368" s="616" t="s">
        <v>221</v>
      </c>
    </row>
    <row r="369" ht="34.5">
      <c r="A369" s="616" t="s">
        <v>213</v>
      </c>
      <c r="B369" s="616" t="s">
        <v>214</v>
      </c>
      <c r="C369" s="616" t="s">
        <v>636</v>
      </c>
      <c r="D369" s="616" t="s">
        <v>216</v>
      </c>
      <c r="E369" s="616" t="s">
        <v>503</v>
      </c>
      <c r="F369" s="617" t="s">
        <v>504</v>
      </c>
      <c r="G369" s="616" t="s">
        <v>505</v>
      </c>
      <c r="H369" s="617"/>
      <c r="I369" s="617"/>
      <c r="J369" s="617" t="s">
        <v>640</v>
      </c>
      <c r="K369" s="618"/>
      <c r="L369" s="616"/>
      <c r="M369" s="616"/>
      <c r="N369" s="617"/>
      <c r="O369" s="617"/>
      <c r="P369" s="617"/>
      <c r="Q369" s="617"/>
      <c r="R369" s="619"/>
      <c r="S369" s="617"/>
      <c r="T369" s="616" t="s">
        <v>221</v>
      </c>
    </row>
    <row r="370" ht="34.5">
      <c r="A370" s="616" t="s">
        <v>213</v>
      </c>
      <c r="B370" s="616" t="s">
        <v>214</v>
      </c>
      <c r="C370" s="616" t="s">
        <v>636</v>
      </c>
      <c r="D370" s="616" t="s">
        <v>216</v>
      </c>
      <c r="E370" s="616" t="s">
        <v>503</v>
      </c>
      <c r="F370" s="617" t="s">
        <v>504</v>
      </c>
      <c r="G370" s="616" t="s">
        <v>505</v>
      </c>
      <c r="H370" s="617"/>
      <c r="I370" s="617"/>
      <c r="J370" s="617" t="s">
        <v>641</v>
      </c>
      <c r="K370" s="618"/>
      <c r="L370" s="616"/>
      <c r="M370" s="616"/>
      <c r="N370" s="617"/>
      <c r="O370" s="617"/>
      <c r="P370" s="617"/>
      <c r="Q370" s="617"/>
      <c r="R370" s="619"/>
      <c r="S370" s="617"/>
      <c r="T370" s="616" t="s">
        <v>221</v>
      </c>
    </row>
    <row r="371" ht="34.5">
      <c r="A371" s="616" t="s">
        <v>213</v>
      </c>
      <c r="B371" s="616" t="s">
        <v>214</v>
      </c>
      <c r="C371" s="616" t="s">
        <v>636</v>
      </c>
      <c r="D371" s="616" t="s">
        <v>216</v>
      </c>
      <c r="E371" s="616" t="s">
        <v>503</v>
      </c>
      <c r="F371" s="617" t="s">
        <v>504</v>
      </c>
      <c r="G371" s="616" t="s">
        <v>505</v>
      </c>
      <c r="H371" s="617"/>
      <c r="I371" s="617"/>
      <c r="J371" s="617" t="s">
        <v>642</v>
      </c>
      <c r="K371" s="618"/>
      <c r="L371" s="616"/>
      <c r="M371" s="616"/>
      <c r="N371" s="617"/>
      <c r="O371" s="617"/>
      <c r="P371" s="617"/>
      <c r="Q371" s="617"/>
      <c r="R371" s="619"/>
      <c r="S371" s="617"/>
      <c r="T371" s="616" t="s">
        <v>221</v>
      </c>
    </row>
    <row r="372" ht="34.5">
      <c r="A372" s="616" t="s">
        <v>213</v>
      </c>
      <c r="B372" s="616" t="s">
        <v>214</v>
      </c>
      <c r="C372" s="616" t="s">
        <v>636</v>
      </c>
      <c r="D372" s="616" t="s">
        <v>216</v>
      </c>
      <c r="E372" s="616" t="s">
        <v>503</v>
      </c>
      <c r="F372" s="617" t="s">
        <v>504</v>
      </c>
      <c r="G372" s="616" t="s">
        <v>505</v>
      </c>
      <c r="H372" s="617"/>
      <c r="I372" s="617"/>
      <c r="J372" s="617" t="s">
        <v>643</v>
      </c>
      <c r="K372" s="618"/>
      <c r="L372" s="616"/>
      <c r="M372" s="616"/>
      <c r="N372" s="617"/>
      <c r="O372" s="617"/>
      <c r="P372" s="617"/>
      <c r="Q372" s="617"/>
      <c r="R372" s="619"/>
      <c r="S372" s="617"/>
      <c r="T372" s="616" t="s">
        <v>221</v>
      </c>
    </row>
    <row r="373" ht="34.5">
      <c r="A373" s="616" t="s">
        <v>213</v>
      </c>
      <c r="B373" s="616" t="s">
        <v>214</v>
      </c>
      <c r="C373" s="616" t="s">
        <v>636</v>
      </c>
      <c r="D373" s="616" t="s">
        <v>216</v>
      </c>
      <c r="E373" s="616" t="s">
        <v>503</v>
      </c>
      <c r="F373" s="617" t="s">
        <v>504</v>
      </c>
      <c r="G373" s="616" t="s">
        <v>505</v>
      </c>
      <c r="H373" s="617"/>
      <c r="I373" s="617"/>
      <c r="J373" s="617" t="s">
        <v>644</v>
      </c>
      <c r="K373" s="618"/>
      <c r="L373" s="616"/>
      <c r="M373" s="616"/>
      <c r="N373" s="617"/>
      <c r="O373" s="617"/>
      <c r="P373" s="617"/>
      <c r="Q373" s="617"/>
      <c r="R373" s="619"/>
      <c r="S373" s="617"/>
      <c r="T373" s="616" t="s">
        <v>221</v>
      </c>
    </row>
    <row r="374" ht="34.5">
      <c r="A374" s="616" t="s">
        <v>213</v>
      </c>
      <c r="B374" s="616" t="s">
        <v>214</v>
      </c>
      <c r="C374" s="616" t="s">
        <v>636</v>
      </c>
      <c r="D374" s="616" t="s">
        <v>216</v>
      </c>
      <c r="E374" s="616" t="s">
        <v>503</v>
      </c>
      <c r="F374" s="617" t="s">
        <v>504</v>
      </c>
      <c r="G374" s="616" t="s">
        <v>505</v>
      </c>
      <c r="H374" s="617"/>
      <c r="I374" s="617"/>
      <c r="J374" s="617" t="s">
        <v>645</v>
      </c>
      <c r="K374" s="618"/>
      <c r="L374" s="616"/>
      <c r="M374" s="616"/>
      <c r="N374" s="617"/>
      <c r="O374" s="617"/>
      <c r="P374" s="617"/>
      <c r="Q374" s="617"/>
      <c r="R374" s="619"/>
      <c r="S374" s="617"/>
      <c r="T374" s="616" t="s">
        <v>221</v>
      </c>
    </row>
    <row r="375" ht="34.5">
      <c r="A375" s="616" t="s">
        <v>213</v>
      </c>
      <c r="B375" s="616" t="s">
        <v>214</v>
      </c>
      <c r="C375" s="616" t="s">
        <v>636</v>
      </c>
      <c r="D375" s="616" t="s">
        <v>216</v>
      </c>
      <c r="E375" s="616" t="s">
        <v>503</v>
      </c>
      <c r="F375" s="617" t="s">
        <v>504</v>
      </c>
      <c r="G375" s="616" t="s">
        <v>505</v>
      </c>
      <c r="H375" s="617"/>
      <c r="I375" s="617"/>
      <c r="J375" s="617" t="s">
        <v>646</v>
      </c>
      <c r="K375" s="618"/>
      <c r="L375" s="616"/>
      <c r="M375" s="616"/>
      <c r="N375" s="617"/>
      <c r="O375" s="617"/>
      <c r="P375" s="617"/>
      <c r="Q375" s="617"/>
      <c r="R375" s="619"/>
      <c r="S375" s="617"/>
      <c r="T375" s="616" t="s">
        <v>221</v>
      </c>
    </row>
    <row r="376" ht="34.5">
      <c r="A376" s="616" t="s">
        <v>213</v>
      </c>
      <c r="B376" s="616" t="s">
        <v>214</v>
      </c>
      <c r="C376" s="616" t="s">
        <v>636</v>
      </c>
      <c r="D376" s="616" t="s">
        <v>216</v>
      </c>
      <c r="E376" s="616" t="s">
        <v>503</v>
      </c>
      <c r="F376" s="617" t="s">
        <v>504</v>
      </c>
      <c r="G376" s="616" t="s">
        <v>505</v>
      </c>
      <c r="H376" s="617"/>
      <c r="I376" s="617"/>
      <c r="J376" s="617" t="s">
        <v>647</v>
      </c>
      <c r="K376" s="618"/>
      <c r="L376" s="616"/>
      <c r="M376" s="616"/>
      <c r="N376" s="617"/>
      <c r="O376" s="617"/>
      <c r="P376" s="617"/>
      <c r="Q376" s="617"/>
      <c r="R376" s="619"/>
      <c r="S376" s="617"/>
      <c r="T376" s="616" t="s">
        <v>221</v>
      </c>
    </row>
    <row r="377" ht="34.5">
      <c r="A377" s="616" t="s">
        <v>213</v>
      </c>
      <c r="B377" s="616" t="s">
        <v>214</v>
      </c>
      <c r="C377" s="616" t="s">
        <v>648</v>
      </c>
      <c r="D377" s="616" t="s">
        <v>216</v>
      </c>
      <c r="E377" s="616" t="s">
        <v>503</v>
      </c>
      <c r="F377" s="617" t="s">
        <v>504</v>
      </c>
      <c r="G377" s="616" t="s">
        <v>505</v>
      </c>
      <c r="H377" s="617"/>
      <c r="I377" s="617"/>
      <c r="J377" s="617" t="s">
        <v>649</v>
      </c>
      <c r="K377" s="618"/>
      <c r="L377" s="616"/>
      <c r="M377" s="616"/>
      <c r="N377" s="617"/>
      <c r="O377" s="617"/>
      <c r="P377" s="617"/>
      <c r="Q377" s="617"/>
      <c r="R377" s="619"/>
      <c r="S377" s="617"/>
      <c r="T377" s="616" t="s">
        <v>221</v>
      </c>
    </row>
    <row r="378" ht="34.5">
      <c r="A378" s="616" t="s">
        <v>213</v>
      </c>
      <c r="B378" s="616" t="s">
        <v>214</v>
      </c>
      <c r="C378" s="616" t="s">
        <v>648</v>
      </c>
      <c r="D378" s="616" t="s">
        <v>650</v>
      </c>
      <c r="E378" s="616" t="s">
        <v>503</v>
      </c>
      <c r="F378" s="617" t="s">
        <v>504</v>
      </c>
      <c r="G378" s="616" t="s">
        <v>505</v>
      </c>
      <c r="H378" s="617"/>
      <c r="I378" s="617"/>
      <c r="J378" s="617" t="s">
        <v>651</v>
      </c>
      <c r="K378" s="618"/>
      <c r="L378" s="616"/>
      <c r="M378" s="616"/>
      <c r="N378" s="617"/>
      <c r="O378" s="617"/>
      <c r="P378" s="617"/>
      <c r="Q378" s="617"/>
      <c r="R378" s="619"/>
      <c r="S378" s="617"/>
      <c r="T378" s="616" t="s">
        <v>221</v>
      </c>
    </row>
    <row r="379" ht="34.5">
      <c r="A379" s="616" t="s">
        <v>213</v>
      </c>
      <c r="B379" s="616" t="s">
        <v>214</v>
      </c>
      <c r="C379" s="616" t="s">
        <v>648</v>
      </c>
      <c r="D379" s="616" t="s">
        <v>216</v>
      </c>
      <c r="E379" s="616" t="s">
        <v>503</v>
      </c>
      <c r="F379" s="617" t="s">
        <v>504</v>
      </c>
      <c r="G379" s="616" t="s">
        <v>505</v>
      </c>
      <c r="H379" s="617"/>
      <c r="I379" s="617"/>
      <c r="J379" s="617" t="s">
        <v>652</v>
      </c>
      <c r="K379" s="618"/>
      <c r="L379" s="616"/>
      <c r="M379" s="616"/>
      <c r="N379" s="617"/>
      <c r="O379" s="617"/>
      <c r="P379" s="617"/>
      <c r="Q379" s="617"/>
      <c r="R379" s="619"/>
      <c r="S379" s="617"/>
      <c r="T379" s="616" t="s">
        <v>221</v>
      </c>
    </row>
    <row r="380" ht="34.5">
      <c r="A380" s="616" t="s">
        <v>213</v>
      </c>
      <c r="B380" s="616" t="s">
        <v>214</v>
      </c>
      <c r="C380" s="616" t="s">
        <v>653</v>
      </c>
      <c r="D380" s="616" t="s">
        <v>216</v>
      </c>
      <c r="E380" s="616" t="s">
        <v>503</v>
      </c>
      <c r="F380" s="617" t="s">
        <v>504</v>
      </c>
      <c r="G380" s="616" t="s">
        <v>505</v>
      </c>
      <c r="H380" s="617"/>
      <c r="I380" s="617"/>
      <c r="J380" s="617" t="s">
        <v>654</v>
      </c>
      <c r="K380" s="618"/>
      <c r="L380" s="616"/>
      <c r="M380" s="616"/>
      <c r="N380" s="617"/>
      <c r="O380" s="617"/>
      <c r="P380" s="617"/>
      <c r="Q380" s="617"/>
      <c r="R380" s="619"/>
      <c r="S380" s="617"/>
      <c r="T380" s="616" t="s">
        <v>221</v>
      </c>
    </row>
    <row r="381" ht="34.5">
      <c r="A381" s="616" t="s">
        <v>213</v>
      </c>
      <c r="B381" s="616" t="s">
        <v>214</v>
      </c>
      <c r="C381" s="616" t="s">
        <v>653</v>
      </c>
      <c r="D381" s="616" t="s">
        <v>216</v>
      </c>
      <c r="E381" s="616" t="s">
        <v>503</v>
      </c>
      <c r="F381" s="617" t="s">
        <v>504</v>
      </c>
      <c r="G381" s="616" t="s">
        <v>505</v>
      </c>
      <c r="H381" s="617"/>
      <c r="I381" s="617"/>
      <c r="J381" s="617" t="s">
        <v>655</v>
      </c>
      <c r="K381" s="618"/>
      <c r="L381" s="616"/>
      <c r="M381" s="616"/>
      <c r="N381" s="617"/>
      <c r="O381" s="617"/>
      <c r="P381" s="617"/>
      <c r="Q381" s="617"/>
      <c r="R381" s="619"/>
      <c r="S381" s="617"/>
      <c r="T381" s="616" t="s">
        <v>221</v>
      </c>
    </row>
    <row r="382" ht="34.5">
      <c r="A382" s="616" t="s">
        <v>213</v>
      </c>
      <c r="B382" s="616" t="s">
        <v>214</v>
      </c>
      <c r="C382" s="616" t="s">
        <v>653</v>
      </c>
      <c r="D382" s="616" t="s">
        <v>216</v>
      </c>
      <c r="E382" s="616" t="s">
        <v>503</v>
      </c>
      <c r="F382" s="617" t="s">
        <v>504</v>
      </c>
      <c r="G382" s="616" t="s">
        <v>505</v>
      </c>
      <c r="H382" s="617"/>
      <c r="I382" s="617"/>
      <c r="J382" s="617" t="s">
        <v>656</v>
      </c>
      <c r="K382" s="618"/>
      <c r="L382" s="616"/>
      <c r="M382" s="616"/>
      <c r="N382" s="617"/>
      <c r="O382" s="617"/>
      <c r="P382" s="617"/>
      <c r="Q382" s="617"/>
      <c r="R382" s="619"/>
      <c r="S382" s="617"/>
      <c r="T382" s="616" t="s">
        <v>221</v>
      </c>
    </row>
    <row r="383" ht="34.5">
      <c r="A383" s="616" t="s">
        <v>213</v>
      </c>
      <c r="B383" s="616" t="s">
        <v>214</v>
      </c>
      <c r="C383" s="616" t="s">
        <v>653</v>
      </c>
      <c r="D383" s="616" t="s">
        <v>657</v>
      </c>
      <c r="E383" s="616" t="s">
        <v>503</v>
      </c>
      <c r="F383" s="617" t="s">
        <v>504</v>
      </c>
      <c r="G383" s="616" t="s">
        <v>505</v>
      </c>
      <c r="H383" s="617"/>
      <c r="I383" s="617"/>
      <c r="J383" s="617" t="s">
        <v>658</v>
      </c>
      <c r="K383" s="618"/>
      <c r="L383" s="616"/>
      <c r="M383" s="616"/>
      <c r="N383" s="617"/>
      <c r="O383" s="617"/>
      <c r="P383" s="617"/>
      <c r="Q383" s="617"/>
      <c r="R383" s="619"/>
      <c r="S383" s="617"/>
      <c r="T383" s="616" t="s">
        <v>221</v>
      </c>
    </row>
    <row r="384" ht="34.5">
      <c r="A384" s="616" t="s">
        <v>213</v>
      </c>
      <c r="B384" s="616" t="s">
        <v>214</v>
      </c>
      <c r="C384" s="616" t="s">
        <v>653</v>
      </c>
      <c r="D384" s="616" t="s">
        <v>216</v>
      </c>
      <c r="E384" s="616" t="s">
        <v>503</v>
      </c>
      <c r="F384" s="617" t="s">
        <v>504</v>
      </c>
      <c r="G384" s="616" t="s">
        <v>505</v>
      </c>
      <c r="H384" s="617"/>
      <c r="I384" s="617"/>
      <c r="J384" s="617" t="s">
        <v>659</v>
      </c>
      <c r="K384" s="618"/>
      <c r="L384" s="616"/>
      <c r="M384" s="616"/>
      <c r="N384" s="617"/>
      <c r="O384" s="617"/>
      <c r="P384" s="617"/>
      <c r="Q384" s="617"/>
      <c r="R384" s="619"/>
      <c r="S384" s="617"/>
      <c r="T384" s="616" t="s">
        <v>221</v>
      </c>
    </row>
    <row r="385" ht="34.5">
      <c r="A385" s="616" t="s">
        <v>213</v>
      </c>
      <c r="B385" s="616" t="s">
        <v>214</v>
      </c>
      <c r="C385" s="616" t="s">
        <v>653</v>
      </c>
      <c r="D385" s="616" t="s">
        <v>216</v>
      </c>
      <c r="E385" s="616" t="s">
        <v>503</v>
      </c>
      <c r="F385" s="617" t="s">
        <v>504</v>
      </c>
      <c r="G385" s="616" t="s">
        <v>505</v>
      </c>
      <c r="H385" s="617"/>
      <c r="I385" s="617"/>
      <c r="J385" s="617" t="s">
        <v>660</v>
      </c>
      <c r="K385" s="618"/>
      <c r="L385" s="616"/>
      <c r="M385" s="616"/>
      <c r="N385" s="617"/>
      <c r="O385" s="617"/>
      <c r="P385" s="617"/>
      <c r="Q385" s="617"/>
      <c r="R385" s="619"/>
      <c r="S385" s="617"/>
      <c r="T385" s="616" t="s">
        <v>221</v>
      </c>
    </row>
    <row r="386" ht="34.5">
      <c r="A386" s="616" t="s">
        <v>213</v>
      </c>
      <c r="B386" s="616" t="s">
        <v>214</v>
      </c>
      <c r="C386" s="616" t="s">
        <v>653</v>
      </c>
      <c r="D386" s="616" t="s">
        <v>216</v>
      </c>
      <c r="E386" s="616" t="s">
        <v>503</v>
      </c>
      <c r="F386" s="617" t="s">
        <v>504</v>
      </c>
      <c r="G386" s="616" t="s">
        <v>505</v>
      </c>
      <c r="H386" s="617"/>
      <c r="I386" s="617"/>
      <c r="J386" s="617" t="s">
        <v>661</v>
      </c>
      <c r="K386" s="618"/>
      <c r="L386" s="616"/>
      <c r="M386" s="616"/>
      <c r="N386" s="617"/>
      <c r="O386" s="617"/>
      <c r="P386" s="617"/>
      <c r="Q386" s="617"/>
      <c r="R386" s="619"/>
      <c r="S386" s="617"/>
      <c r="T386" s="616" t="s">
        <v>221</v>
      </c>
    </row>
    <row r="387" ht="34.5">
      <c r="A387" s="616" t="s">
        <v>213</v>
      </c>
      <c r="B387" s="616" t="s">
        <v>214</v>
      </c>
      <c r="C387" s="616" t="s">
        <v>653</v>
      </c>
      <c r="D387" s="616" t="s">
        <v>216</v>
      </c>
      <c r="E387" s="616" t="s">
        <v>503</v>
      </c>
      <c r="F387" s="617" t="s">
        <v>504</v>
      </c>
      <c r="G387" s="616" t="s">
        <v>505</v>
      </c>
      <c r="H387" s="617"/>
      <c r="I387" s="617"/>
      <c r="J387" s="617" t="s">
        <v>662</v>
      </c>
      <c r="K387" s="618"/>
      <c r="L387" s="616"/>
      <c r="M387" s="616"/>
      <c r="N387" s="617"/>
      <c r="O387" s="617"/>
      <c r="P387" s="617"/>
      <c r="Q387" s="617"/>
      <c r="R387" s="619"/>
      <c r="S387" s="617"/>
      <c r="T387" s="616" t="s">
        <v>221</v>
      </c>
    </row>
    <row r="388" ht="34.5">
      <c r="A388" s="616" t="s">
        <v>213</v>
      </c>
      <c r="B388" s="616" t="s">
        <v>214</v>
      </c>
      <c r="C388" s="616" t="s">
        <v>663</v>
      </c>
      <c r="D388" s="616" t="s">
        <v>216</v>
      </c>
      <c r="E388" s="616" t="s">
        <v>503</v>
      </c>
      <c r="F388" s="617" t="s">
        <v>504</v>
      </c>
      <c r="G388" s="616" t="s">
        <v>505</v>
      </c>
      <c r="H388" s="617"/>
      <c r="I388" s="617"/>
      <c r="J388" s="617" t="s">
        <v>664</v>
      </c>
      <c r="K388" s="618"/>
      <c r="L388" s="616"/>
      <c r="M388" s="616"/>
      <c r="N388" s="617"/>
      <c r="O388" s="617"/>
      <c r="P388" s="617"/>
      <c r="Q388" s="617"/>
      <c r="R388" s="619"/>
      <c r="S388" s="617"/>
      <c r="T388" s="616" t="s">
        <v>221</v>
      </c>
    </row>
    <row r="389" ht="34.5">
      <c r="A389" s="616" t="s">
        <v>213</v>
      </c>
      <c r="B389" s="616" t="s">
        <v>214</v>
      </c>
      <c r="C389" s="616" t="s">
        <v>663</v>
      </c>
      <c r="D389" s="616" t="s">
        <v>216</v>
      </c>
      <c r="E389" s="616" t="s">
        <v>503</v>
      </c>
      <c r="F389" s="617" t="s">
        <v>504</v>
      </c>
      <c r="G389" s="616" t="s">
        <v>505</v>
      </c>
      <c r="H389" s="617"/>
      <c r="I389" s="617"/>
      <c r="J389" s="617" t="s">
        <v>665</v>
      </c>
      <c r="K389" s="618"/>
      <c r="L389" s="616"/>
      <c r="M389" s="616"/>
      <c r="N389" s="617"/>
      <c r="O389" s="617"/>
      <c r="P389" s="617"/>
      <c r="Q389" s="617"/>
      <c r="R389" s="619"/>
      <c r="S389" s="617"/>
      <c r="T389" s="616" t="s">
        <v>221</v>
      </c>
    </row>
    <row r="390" ht="34.5">
      <c r="A390" s="616" t="s">
        <v>213</v>
      </c>
      <c r="B390" s="616" t="s">
        <v>214</v>
      </c>
      <c r="C390" s="616" t="s">
        <v>663</v>
      </c>
      <c r="D390" s="616" t="s">
        <v>216</v>
      </c>
      <c r="E390" s="616" t="s">
        <v>503</v>
      </c>
      <c r="F390" s="617" t="s">
        <v>504</v>
      </c>
      <c r="G390" s="616" t="s">
        <v>505</v>
      </c>
      <c r="H390" s="617"/>
      <c r="I390" s="617"/>
      <c r="J390" s="617" t="s">
        <v>666</v>
      </c>
      <c r="K390" s="618"/>
      <c r="L390" s="616"/>
      <c r="M390" s="616"/>
      <c r="N390" s="617"/>
      <c r="O390" s="617"/>
      <c r="P390" s="617"/>
      <c r="Q390" s="617"/>
      <c r="R390" s="619"/>
      <c r="S390" s="617"/>
      <c r="T390" s="616" t="s">
        <v>221</v>
      </c>
    </row>
    <row r="391" ht="34.5">
      <c r="A391" s="616" t="s">
        <v>213</v>
      </c>
      <c r="B391" s="616" t="s">
        <v>214</v>
      </c>
      <c r="C391" s="616" t="s">
        <v>663</v>
      </c>
      <c r="D391" s="616" t="s">
        <v>216</v>
      </c>
      <c r="E391" s="616" t="s">
        <v>503</v>
      </c>
      <c r="F391" s="617" t="s">
        <v>504</v>
      </c>
      <c r="G391" s="616" t="s">
        <v>505</v>
      </c>
      <c r="H391" s="617"/>
      <c r="I391" s="617"/>
      <c r="J391" s="617" t="s">
        <v>667</v>
      </c>
      <c r="K391" s="618"/>
      <c r="L391" s="616"/>
      <c r="M391" s="616"/>
      <c r="N391" s="617"/>
      <c r="O391" s="617"/>
      <c r="P391" s="617"/>
      <c r="Q391" s="617"/>
      <c r="R391" s="619"/>
      <c r="S391" s="617"/>
      <c r="T391" s="616" t="s">
        <v>221</v>
      </c>
    </row>
    <row r="392" ht="34.5">
      <c r="A392" s="616" t="s">
        <v>668</v>
      </c>
      <c r="B392" s="616" t="s">
        <v>669</v>
      </c>
      <c r="C392" s="616" t="s">
        <v>670</v>
      </c>
      <c r="D392" s="616" t="s">
        <v>216</v>
      </c>
      <c r="E392" s="616" t="s">
        <v>671</v>
      </c>
      <c r="F392" s="617" t="s">
        <v>672</v>
      </c>
      <c r="G392" s="616" t="s">
        <v>673</v>
      </c>
      <c r="H392" s="617"/>
      <c r="I392" s="617"/>
      <c r="J392" s="617" t="s">
        <v>674</v>
      </c>
      <c r="K392" s="618"/>
      <c r="L392" s="616"/>
      <c r="M392" s="616"/>
      <c r="N392" s="617"/>
      <c r="O392" s="617"/>
      <c r="P392" s="617"/>
      <c r="Q392" s="617"/>
      <c r="R392" s="619"/>
      <c r="S392" s="617"/>
      <c r="T392" s="616" t="s">
        <v>221</v>
      </c>
    </row>
    <row r="393" ht="34.5">
      <c r="A393" s="616" t="s">
        <v>668</v>
      </c>
      <c r="B393" s="616" t="s">
        <v>669</v>
      </c>
      <c r="C393" s="616" t="s">
        <v>670</v>
      </c>
      <c r="D393" s="616" t="s">
        <v>675</v>
      </c>
      <c r="E393" s="616" t="s">
        <v>671</v>
      </c>
      <c r="F393" s="617" t="s">
        <v>672</v>
      </c>
      <c r="G393" s="616" t="s">
        <v>673</v>
      </c>
      <c r="H393" s="617"/>
      <c r="I393" s="617"/>
      <c r="J393" s="617" t="s">
        <v>676</v>
      </c>
      <c r="K393" s="618"/>
      <c r="L393" s="616"/>
      <c r="M393" s="616"/>
      <c r="N393" s="617"/>
      <c r="O393" s="617"/>
      <c r="P393" s="617"/>
      <c r="Q393" s="617"/>
      <c r="R393" s="619"/>
      <c r="S393" s="617"/>
      <c r="T393" s="616" t="s">
        <v>221</v>
      </c>
    </row>
    <row r="394" ht="34.5">
      <c r="A394" s="616" t="s">
        <v>668</v>
      </c>
      <c r="B394" s="616" t="s">
        <v>669</v>
      </c>
      <c r="C394" s="616" t="s">
        <v>670</v>
      </c>
      <c r="D394" s="616" t="s">
        <v>216</v>
      </c>
      <c r="E394" s="616" t="s">
        <v>671</v>
      </c>
      <c r="F394" s="617" t="s">
        <v>672</v>
      </c>
      <c r="G394" s="616" t="s">
        <v>673</v>
      </c>
      <c r="H394" s="617"/>
      <c r="I394" s="617"/>
      <c r="J394" s="617" t="s">
        <v>677</v>
      </c>
      <c r="K394" s="618"/>
      <c r="L394" s="616"/>
      <c r="M394" s="616"/>
      <c r="N394" s="617"/>
      <c r="O394" s="617"/>
      <c r="P394" s="617"/>
      <c r="Q394" s="617"/>
      <c r="R394" s="619"/>
      <c r="S394" s="617"/>
      <c r="T394" s="616" t="s">
        <v>221</v>
      </c>
    </row>
    <row r="395" ht="34.5">
      <c r="A395" s="616" t="s">
        <v>668</v>
      </c>
      <c r="B395" s="616" t="s">
        <v>669</v>
      </c>
      <c r="C395" s="616" t="s">
        <v>678</v>
      </c>
      <c r="D395" s="616" t="s">
        <v>216</v>
      </c>
      <c r="E395" s="616" t="s">
        <v>671</v>
      </c>
      <c r="F395" s="617" t="s">
        <v>672</v>
      </c>
      <c r="G395" s="616" t="s">
        <v>673</v>
      </c>
      <c r="H395" s="617"/>
      <c r="I395" s="617"/>
      <c r="J395" s="617" t="s">
        <v>679</v>
      </c>
      <c r="K395" s="618"/>
      <c r="L395" s="616"/>
      <c r="M395" s="616"/>
      <c r="N395" s="617"/>
      <c r="O395" s="617"/>
      <c r="P395" s="617"/>
      <c r="Q395" s="617"/>
      <c r="R395" s="619"/>
      <c r="S395" s="617"/>
      <c r="T395" s="616" t="s">
        <v>221</v>
      </c>
    </row>
    <row r="396" ht="34.5">
      <c r="A396" s="616" t="s">
        <v>668</v>
      </c>
      <c r="B396" s="616" t="s">
        <v>669</v>
      </c>
      <c r="C396" s="616" t="s">
        <v>678</v>
      </c>
      <c r="D396" s="616" t="s">
        <v>216</v>
      </c>
      <c r="E396" s="616" t="s">
        <v>671</v>
      </c>
      <c r="F396" s="617" t="s">
        <v>672</v>
      </c>
      <c r="G396" s="616" t="s">
        <v>673</v>
      </c>
      <c r="H396" s="617"/>
      <c r="I396" s="617"/>
      <c r="J396" s="617" t="s">
        <v>680</v>
      </c>
      <c r="K396" s="618"/>
      <c r="L396" s="616"/>
      <c r="M396" s="616"/>
      <c r="N396" s="617"/>
      <c r="O396" s="617"/>
      <c r="P396" s="617"/>
      <c r="Q396" s="617"/>
      <c r="R396" s="619"/>
      <c r="S396" s="617"/>
      <c r="T396" s="616" t="s">
        <v>221</v>
      </c>
    </row>
    <row r="397" ht="34.5">
      <c r="A397" s="616" t="s">
        <v>668</v>
      </c>
      <c r="B397" s="616" t="s">
        <v>669</v>
      </c>
      <c r="C397" s="616" t="s">
        <v>678</v>
      </c>
      <c r="D397" s="616" t="s">
        <v>681</v>
      </c>
      <c r="E397" s="616" t="s">
        <v>671</v>
      </c>
      <c r="F397" s="617" t="s">
        <v>672</v>
      </c>
      <c r="G397" s="616" t="s">
        <v>673</v>
      </c>
      <c r="H397" s="617"/>
      <c r="I397" s="617"/>
      <c r="J397" s="617" t="s">
        <v>682</v>
      </c>
      <c r="K397" s="618"/>
      <c r="L397" s="616"/>
      <c r="M397" s="616"/>
      <c r="N397" s="617"/>
      <c r="O397" s="617"/>
      <c r="P397" s="617"/>
      <c r="Q397" s="617"/>
      <c r="R397" s="619"/>
      <c r="S397" s="617"/>
      <c r="T397" s="616" t="s">
        <v>221</v>
      </c>
    </row>
    <row r="398" ht="34.5">
      <c r="A398" s="616" t="s">
        <v>668</v>
      </c>
      <c r="B398" s="616" t="s">
        <v>669</v>
      </c>
      <c r="C398" s="616" t="s">
        <v>678</v>
      </c>
      <c r="D398" s="616" t="s">
        <v>216</v>
      </c>
      <c r="E398" s="616" t="s">
        <v>671</v>
      </c>
      <c r="F398" s="617" t="s">
        <v>672</v>
      </c>
      <c r="G398" s="616" t="s">
        <v>673</v>
      </c>
      <c r="H398" s="617"/>
      <c r="I398" s="617"/>
      <c r="J398" s="617" t="s">
        <v>683</v>
      </c>
      <c r="K398" s="618">
        <v>127071808</v>
      </c>
      <c r="L398" s="616" t="s">
        <v>611</v>
      </c>
      <c r="M398" s="616"/>
      <c r="N398" s="617"/>
      <c r="O398" s="617"/>
      <c r="P398" s="617"/>
      <c r="Q398" s="617"/>
      <c r="R398" s="619"/>
      <c r="S398" s="617"/>
      <c r="T398" s="616" t="s">
        <v>221</v>
      </c>
    </row>
    <row r="399" ht="34.5">
      <c r="A399" s="616" t="s">
        <v>668</v>
      </c>
      <c r="B399" s="616" t="s">
        <v>669</v>
      </c>
      <c r="C399" s="616" t="s">
        <v>678</v>
      </c>
      <c r="D399" s="616" t="s">
        <v>216</v>
      </c>
      <c r="E399" s="616" t="s">
        <v>671</v>
      </c>
      <c r="F399" s="617" t="s">
        <v>672</v>
      </c>
      <c r="G399" s="616" t="s">
        <v>673</v>
      </c>
      <c r="H399" s="617"/>
      <c r="I399" s="617"/>
      <c r="J399" s="617" t="s">
        <v>684</v>
      </c>
      <c r="K399" s="618">
        <v>2.75</v>
      </c>
      <c r="L399" s="616" t="s">
        <v>611</v>
      </c>
      <c r="M399" s="616"/>
      <c r="N399" s="617"/>
      <c r="O399" s="617"/>
      <c r="P399" s="617"/>
      <c r="Q399" s="617"/>
      <c r="R399" s="619"/>
      <c r="S399" s="617"/>
      <c r="T399" s="616" t="s">
        <v>221</v>
      </c>
    </row>
    <row r="400" ht="34.5">
      <c r="A400" s="616" t="s">
        <v>668</v>
      </c>
      <c r="B400" s="616" t="s">
        <v>669</v>
      </c>
      <c r="C400" s="616" t="s">
        <v>685</v>
      </c>
      <c r="D400" s="616" t="s">
        <v>686</v>
      </c>
      <c r="E400" s="616" t="s">
        <v>687</v>
      </c>
      <c r="F400" s="617" t="s">
        <v>688</v>
      </c>
      <c r="G400" s="616" t="s">
        <v>689</v>
      </c>
      <c r="H400" s="617"/>
      <c r="I400" s="617"/>
      <c r="J400" s="617" t="s">
        <v>690</v>
      </c>
      <c r="K400" s="618"/>
      <c r="L400" s="616"/>
      <c r="M400" s="616"/>
      <c r="N400" s="617"/>
      <c r="O400" s="617"/>
      <c r="P400" s="617"/>
      <c r="Q400" s="617"/>
      <c r="R400" s="619"/>
      <c r="S400" s="617"/>
      <c r="T400" s="616" t="s">
        <v>221</v>
      </c>
    </row>
    <row r="401" ht="34.5">
      <c r="A401" s="616" t="s">
        <v>668</v>
      </c>
      <c r="B401" s="616" t="s">
        <v>669</v>
      </c>
      <c r="C401" s="616" t="s">
        <v>685</v>
      </c>
      <c r="D401" s="616" t="s">
        <v>216</v>
      </c>
      <c r="E401" s="616" t="s">
        <v>687</v>
      </c>
      <c r="F401" s="617" t="s">
        <v>688</v>
      </c>
      <c r="G401" s="616" t="s">
        <v>689</v>
      </c>
      <c r="H401" s="617"/>
      <c r="I401" s="617"/>
      <c r="J401" s="617" t="s">
        <v>691</v>
      </c>
      <c r="K401" s="618">
        <v>2430414</v>
      </c>
      <c r="L401" s="616" t="s">
        <v>611</v>
      </c>
      <c r="M401" s="616"/>
      <c r="N401" s="617"/>
      <c r="O401" s="617"/>
      <c r="P401" s="617"/>
      <c r="Q401" s="617"/>
      <c r="R401" s="619"/>
      <c r="S401" s="617"/>
      <c r="T401" s="616" t="s">
        <v>221</v>
      </c>
    </row>
    <row r="402" ht="34.5">
      <c r="A402" s="616" t="s">
        <v>668</v>
      </c>
      <c r="B402" s="616" t="s">
        <v>669</v>
      </c>
      <c r="C402" s="616" t="s">
        <v>685</v>
      </c>
      <c r="D402" s="616" t="s">
        <v>216</v>
      </c>
      <c r="E402" s="616" t="s">
        <v>692</v>
      </c>
      <c r="F402" s="617" t="s">
        <v>693</v>
      </c>
      <c r="G402" s="616" t="s">
        <v>694</v>
      </c>
      <c r="H402" s="617"/>
      <c r="I402" s="617"/>
      <c r="J402" s="617" t="s">
        <v>695</v>
      </c>
      <c r="K402" s="618">
        <v>285200</v>
      </c>
      <c r="L402" s="616" t="s">
        <v>611</v>
      </c>
      <c r="M402" s="616"/>
      <c r="N402" s="617"/>
      <c r="O402" s="617"/>
      <c r="P402" s="617"/>
      <c r="Q402" s="617"/>
      <c r="R402" s="619"/>
      <c r="S402" s="617"/>
      <c r="T402" s="616" t="s">
        <v>221</v>
      </c>
    </row>
    <row r="403" ht="34.5">
      <c r="A403" s="616" t="s">
        <v>668</v>
      </c>
      <c r="B403" s="616" t="s">
        <v>669</v>
      </c>
      <c r="C403" s="616" t="s">
        <v>685</v>
      </c>
      <c r="D403" s="616" t="s">
        <v>216</v>
      </c>
      <c r="E403" s="616" t="s">
        <v>696</v>
      </c>
      <c r="F403" s="617" t="s">
        <v>697</v>
      </c>
      <c r="G403" s="616" t="s">
        <v>698</v>
      </c>
      <c r="H403" s="617"/>
      <c r="I403" s="617"/>
      <c r="J403" s="617" t="s">
        <v>699</v>
      </c>
      <c r="K403" s="618"/>
      <c r="L403" s="616"/>
      <c r="M403" s="616"/>
      <c r="N403" s="617"/>
      <c r="O403" s="617"/>
      <c r="P403" s="617"/>
      <c r="Q403" s="617"/>
      <c r="R403" s="619"/>
      <c r="S403" s="617"/>
      <c r="T403" s="616" t="s">
        <v>221</v>
      </c>
    </row>
    <row r="404" ht="34.5">
      <c r="A404" s="616" t="s">
        <v>668</v>
      </c>
      <c r="B404" s="616" t="s">
        <v>669</v>
      </c>
      <c r="C404" s="616" t="s">
        <v>685</v>
      </c>
      <c r="D404" s="616" t="s">
        <v>700</v>
      </c>
      <c r="E404" s="616" t="s">
        <v>696</v>
      </c>
      <c r="F404" s="617" t="s">
        <v>697</v>
      </c>
      <c r="G404" s="616" t="s">
        <v>698</v>
      </c>
      <c r="H404" s="617"/>
      <c r="I404" s="617"/>
      <c r="J404" s="617" t="s">
        <v>701</v>
      </c>
      <c r="K404" s="618"/>
      <c r="L404" s="616"/>
      <c r="M404" s="616"/>
      <c r="N404" s="617"/>
      <c r="O404" s="617"/>
      <c r="P404" s="617"/>
      <c r="Q404" s="617"/>
      <c r="R404" s="619"/>
      <c r="S404" s="617"/>
      <c r="T404" s="616" t="s">
        <v>221</v>
      </c>
    </row>
    <row r="405" ht="34.5">
      <c r="A405" s="616" t="s">
        <v>668</v>
      </c>
      <c r="B405" s="616" t="s">
        <v>669</v>
      </c>
      <c r="C405" s="616" t="s">
        <v>685</v>
      </c>
      <c r="D405" s="616" t="s">
        <v>216</v>
      </c>
      <c r="E405" s="616" t="s">
        <v>696</v>
      </c>
      <c r="F405" s="617" t="s">
        <v>697</v>
      </c>
      <c r="G405" s="616" t="s">
        <v>698</v>
      </c>
      <c r="H405" s="617"/>
      <c r="I405" s="617"/>
      <c r="J405" s="617" t="s">
        <v>702</v>
      </c>
      <c r="K405" s="618"/>
      <c r="L405" s="616"/>
      <c r="M405" s="616"/>
      <c r="N405" s="617"/>
      <c r="O405" s="617"/>
      <c r="P405" s="617"/>
      <c r="Q405" s="617"/>
      <c r="R405" s="619"/>
      <c r="S405" s="617"/>
      <c r="T405" s="616" t="s">
        <v>221</v>
      </c>
    </row>
    <row r="406" ht="34.5">
      <c r="A406" s="616" t="s">
        <v>668</v>
      </c>
      <c r="B406" s="616" t="s">
        <v>669</v>
      </c>
      <c r="C406" s="616" t="s">
        <v>703</v>
      </c>
      <c r="D406" s="616" t="s">
        <v>216</v>
      </c>
      <c r="E406" s="616" t="s">
        <v>696</v>
      </c>
      <c r="F406" s="617" t="s">
        <v>697</v>
      </c>
      <c r="G406" s="616" t="s">
        <v>698</v>
      </c>
      <c r="H406" s="617"/>
      <c r="I406" s="617"/>
      <c r="J406" s="617" t="s">
        <v>704</v>
      </c>
      <c r="K406" s="618"/>
      <c r="L406" s="616"/>
      <c r="M406" s="616"/>
      <c r="N406" s="617"/>
      <c r="O406" s="617"/>
      <c r="P406" s="617"/>
      <c r="Q406" s="617"/>
      <c r="R406" s="619"/>
      <c r="S406" s="617"/>
      <c r="T406" s="616" t="s">
        <v>221</v>
      </c>
    </row>
    <row r="407" ht="34.5">
      <c r="A407" s="616" t="s">
        <v>668</v>
      </c>
      <c r="B407" s="616" t="s">
        <v>669</v>
      </c>
      <c r="C407" s="616" t="s">
        <v>703</v>
      </c>
      <c r="D407" s="616" t="s">
        <v>705</v>
      </c>
      <c r="E407" s="616" t="s">
        <v>696</v>
      </c>
      <c r="F407" s="617" t="s">
        <v>697</v>
      </c>
      <c r="G407" s="616" t="s">
        <v>698</v>
      </c>
      <c r="H407" s="617"/>
      <c r="I407" s="617"/>
      <c r="J407" s="617" t="s">
        <v>706</v>
      </c>
      <c r="K407" s="618"/>
      <c r="L407" s="616"/>
      <c r="M407" s="616"/>
      <c r="N407" s="617"/>
      <c r="O407" s="617"/>
      <c r="P407" s="617"/>
      <c r="Q407" s="617"/>
      <c r="R407" s="619"/>
      <c r="S407" s="617"/>
      <c r="T407" s="616" t="s">
        <v>221</v>
      </c>
    </row>
    <row r="408" ht="34.5">
      <c r="A408" s="616" t="s">
        <v>668</v>
      </c>
      <c r="B408" s="616" t="s">
        <v>669</v>
      </c>
      <c r="C408" s="616" t="s">
        <v>703</v>
      </c>
      <c r="D408" s="616" t="s">
        <v>216</v>
      </c>
      <c r="E408" s="616" t="s">
        <v>696</v>
      </c>
      <c r="F408" s="617" t="s">
        <v>697</v>
      </c>
      <c r="G408" s="616" t="s">
        <v>698</v>
      </c>
      <c r="H408" s="617"/>
      <c r="I408" s="617"/>
      <c r="J408" s="617" t="s">
        <v>707</v>
      </c>
      <c r="K408" s="618"/>
      <c r="L408" s="616"/>
      <c r="M408" s="616"/>
      <c r="N408" s="617"/>
      <c r="O408" s="617"/>
      <c r="P408" s="617"/>
      <c r="Q408" s="617"/>
      <c r="R408" s="619"/>
      <c r="S408" s="617"/>
      <c r="T408" s="616" t="s">
        <v>221</v>
      </c>
    </row>
    <row r="409" ht="34.5">
      <c r="A409" s="616" t="s">
        <v>668</v>
      </c>
      <c r="B409" s="616" t="s">
        <v>669</v>
      </c>
      <c r="C409" s="616" t="s">
        <v>703</v>
      </c>
      <c r="D409" s="616" t="s">
        <v>216</v>
      </c>
      <c r="E409" s="616" t="s">
        <v>696</v>
      </c>
      <c r="F409" s="617" t="s">
        <v>697</v>
      </c>
      <c r="G409" s="616" t="s">
        <v>698</v>
      </c>
      <c r="H409" s="617"/>
      <c r="I409" s="617"/>
      <c r="J409" s="617" t="s">
        <v>708</v>
      </c>
      <c r="K409" s="618">
        <v>109470267</v>
      </c>
      <c r="L409" s="616" t="s">
        <v>611</v>
      </c>
      <c r="M409" s="616"/>
      <c r="N409" s="617"/>
      <c r="O409" s="617"/>
      <c r="P409" s="617"/>
      <c r="Q409" s="617"/>
      <c r="R409" s="619"/>
      <c r="S409" s="617"/>
      <c r="T409" s="616" t="s">
        <v>221</v>
      </c>
    </row>
    <row r="410" ht="34.5">
      <c r="A410" s="616" t="s">
        <v>668</v>
      </c>
      <c r="B410" s="616" t="s">
        <v>669</v>
      </c>
      <c r="C410" s="616" t="s">
        <v>703</v>
      </c>
      <c r="D410" s="616" t="s">
        <v>216</v>
      </c>
      <c r="E410" s="616" t="s">
        <v>696</v>
      </c>
      <c r="F410" s="617" t="s">
        <v>697</v>
      </c>
      <c r="G410" s="616" t="s">
        <v>698</v>
      </c>
      <c r="H410" s="617"/>
      <c r="I410" s="617"/>
      <c r="J410" s="617" t="s">
        <v>709</v>
      </c>
      <c r="K410" s="618">
        <v>438213712</v>
      </c>
      <c r="L410" s="616" t="s">
        <v>611</v>
      </c>
      <c r="M410" s="616"/>
      <c r="N410" s="617"/>
      <c r="O410" s="617"/>
      <c r="P410" s="617"/>
      <c r="Q410" s="617"/>
      <c r="R410" s="619"/>
      <c r="S410" s="617"/>
      <c r="T410" s="616" t="s">
        <v>221</v>
      </c>
    </row>
    <row r="411" ht="34.5">
      <c r="A411" s="616" t="s">
        <v>668</v>
      </c>
      <c r="B411" s="616" t="s">
        <v>669</v>
      </c>
      <c r="C411" s="616" t="s">
        <v>703</v>
      </c>
      <c r="D411" s="616" t="s">
        <v>216</v>
      </c>
      <c r="E411" s="616" t="s">
        <v>696</v>
      </c>
      <c r="F411" s="617" t="s">
        <v>697</v>
      </c>
      <c r="G411" s="616" t="s">
        <v>698</v>
      </c>
      <c r="H411" s="617"/>
      <c r="I411" s="617"/>
      <c r="J411" s="617" t="s">
        <v>710</v>
      </c>
      <c r="K411" s="618"/>
      <c r="L411" s="616"/>
      <c r="M411" s="616"/>
      <c r="N411" s="617"/>
      <c r="O411" s="617"/>
      <c r="P411" s="617"/>
      <c r="Q411" s="617"/>
      <c r="R411" s="619"/>
      <c r="S411" s="617"/>
      <c r="T411" s="616" t="s">
        <v>221</v>
      </c>
    </row>
    <row r="412" ht="34.5">
      <c r="A412" s="616" t="s">
        <v>668</v>
      </c>
      <c r="B412" s="616" t="s">
        <v>669</v>
      </c>
      <c r="C412" s="616" t="s">
        <v>711</v>
      </c>
      <c r="D412" s="616" t="s">
        <v>216</v>
      </c>
      <c r="E412" s="616" t="s">
        <v>696</v>
      </c>
      <c r="F412" s="617" t="s">
        <v>697</v>
      </c>
      <c r="G412" s="616" t="s">
        <v>698</v>
      </c>
      <c r="H412" s="617"/>
      <c r="I412" s="617"/>
      <c r="J412" s="617" t="s">
        <v>712</v>
      </c>
      <c r="K412" s="618"/>
      <c r="L412" s="616"/>
      <c r="M412" s="616"/>
      <c r="N412" s="617"/>
      <c r="O412" s="617"/>
      <c r="P412" s="617"/>
      <c r="Q412" s="617"/>
      <c r="R412" s="619"/>
      <c r="S412" s="617"/>
      <c r="T412" s="616" t="s">
        <v>221</v>
      </c>
    </row>
    <row r="413" ht="34.5">
      <c r="A413" s="616" t="s">
        <v>668</v>
      </c>
      <c r="B413" s="616" t="s">
        <v>669</v>
      </c>
      <c r="C413" s="616" t="s">
        <v>711</v>
      </c>
      <c r="D413" s="616" t="s">
        <v>216</v>
      </c>
      <c r="E413" s="616" t="s">
        <v>696</v>
      </c>
      <c r="F413" s="617" t="s">
        <v>697</v>
      </c>
      <c r="G413" s="616" t="s">
        <v>698</v>
      </c>
      <c r="H413" s="617"/>
      <c r="I413" s="617"/>
      <c r="J413" s="617" t="s">
        <v>713</v>
      </c>
      <c r="K413" s="618"/>
      <c r="L413" s="616"/>
      <c r="M413" s="616"/>
      <c r="N413" s="617"/>
      <c r="O413" s="617"/>
      <c r="P413" s="617"/>
      <c r="Q413" s="617"/>
      <c r="R413" s="619"/>
      <c r="S413" s="617"/>
      <c r="T413" s="616" t="s">
        <v>221</v>
      </c>
    </row>
    <row r="414" ht="34.5">
      <c r="A414" s="616" t="s">
        <v>668</v>
      </c>
      <c r="B414" s="616" t="s">
        <v>669</v>
      </c>
      <c r="C414" s="616" t="s">
        <v>711</v>
      </c>
      <c r="D414" s="616" t="s">
        <v>714</v>
      </c>
      <c r="E414" s="616" t="s">
        <v>696</v>
      </c>
      <c r="F414" s="617" t="s">
        <v>697</v>
      </c>
      <c r="G414" s="616" t="s">
        <v>698</v>
      </c>
      <c r="H414" s="617"/>
      <c r="I414" s="617"/>
      <c r="J414" s="617" t="s">
        <v>715</v>
      </c>
      <c r="K414" s="618"/>
      <c r="L414" s="616"/>
      <c r="M414" s="616"/>
      <c r="N414" s="617"/>
      <c r="O414" s="617"/>
      <c r="P414" s="617"/>
      <c r="Q414" s="617"/>
      <c r="R414" s="619"/>
      <c r="S414" s="617"/>
      <c r="T414" s="616" t="s">
        <v>221</v>
      </c>
    </row>
    <row r="415" ht="34.5">
      <c r="A415" s="616" t="s">
        <v>668</v>
      </c>
      <c r="B415" s="616" t="s">
        <v>669</v>
      </c>
      <c r="C415" s="616" t="s">
        <v>711</v>
      </c>
      <c r="D415" s="616" t="s">
        <v>216</v>
      </c>
      <c r="E415" s="616" t="s">
        <v>696</v>
      </c>
      <c r="F415" s="617" t="s">
        <v>697</v>
      </c>
      <c r="G415" s="616" t="s">
        <v>698</v>
      </c>
      <c r="H415" s="617"/>
      <c r="I415" s="617"/>
      <c r="J415" s="617" t="s">
        <v>716</v>
      </c>
      <c r="K415" s="618"/>
      <c r="L415" s="616"/>
      <c r="M415" s="616"/>
      <c r="N415" s="617"/>
      <c r="O415" s="617"/>
      <c r="P415" s="617"/>
      <c r="Q415" s="617"/>
      <c r="R415" s="619"/>
      <c r="S415" s="617"/>
      <c r="T415" s="616" t="s">
        <v>221</v>
      </c>
    </row>
    <row r="416" ht="34.5">
      <c r="A416" s="616" t="s">
        <v>668</v>
      </c>
      <c r="B416" s="616" t="s">
        <v>669</v>
      </c>
      <c r="C416" s="616" t="s">
        <v>711</v>
      </c>
      <c r="D416" s="616" t="s">
        <v>216</v>
      </c>
      <c r="E416" s="616" t="s">
        <v>696</v>
      </c>
      <c r="F416" s="617" t="s">
        <v>697</v>
      </c>
      <c r="G416" s="616" t="s">
        <v>698</v>
      </c>
      <c r="H416" s="617"/>
      <c r="I416" s="617"/>
      <c r="J416" s="617" t="s">
        <v>717</v>
      </c>
      <c r="K416" s="618"/>
      <c r="L416" s="616"/>
      <c r="M416" s="616"/>
      <c r="N416" s="617"/>
      <c r="O416" s="617"/>
      <c r="P416" s="617"/>
      <c r="Q416" s="617"/>
      <c r="R416" s="619"/>
      <c r="S416" s="617"/>
      <c r="T416" s="616" t="s">
        <v>221</v>
      </c>
    </row>
    <row r="417" ht="34.5">
      <c r="A417" s="616" t="s">
        <v>668</v>
      </c>
      <c r="B417" s="616" t="s">
        <v>669</v>
      </c>
      <c r="C417" s="616" t="s">
        <v>711</v>
      </c>
      <c r="D417" s="616" t="s">
        <v>718</v>
      </c>
      <c r="E417" s="616" t="s">
        <v>696</v>
      </c>
      <c r="F417" s="617" t="s">
        <v>697</v>
      </c>
      <c r="G417" s="616" t="s">
        <v>698</v>
      </c>
      <c r="H417" s="617"/>
      <c r="I417" s="617"/>
      <c r="J417" s="617" t="s">
        <v>719</v>
      </c>
      <c r="K417" s="618"/>
      <c r="L417" s="616"/>
      <c r="M417" s="616"/>
      <c r="N417" s="617"/>
      <c r="O417" s="617"/>
      <c r="P417" s="617"/>
      <c r="Q417" s="617"/>
      <c r="R417" s="619"/>
      <c r="S417" s="617"/>
      <c r="T417" s="616" t="s">
        <v>221</v>
      </c>
    </row>
    <row r="418" ht="34.5">
      <c r="A418" s="616" t="s">
        <v>668</v>
      </c>
      <c r="B418" s="616" t="s">
        <v>669</v>
      </c>
      <c r="C418" s="616" t="s">
        <v>711</v>
      </c>
      <c r="D418" s="616" t="s">
        <v>216</v>
      </c>
      <c r="E418" s="616" t="s">
        <v>696</v>
      </c>
      <c r="F418" s="617" t="s">
        <v>697</v>
      </c>
      <c r="G418" s="616" t="s">
        <v>698</v>
      </c>
      <c r="H418" s="617"/>
      <c r="I418" s="617"/>
      <c r="J418" s="617" t="s">
        <v>720</v>
      </c>
      <c r="K418" s="618"/>
      <c r="L418" s="616"/>
      <c r="M418" s="616"/>
      <c r="N418" s="617"/>
      <c r="O418" s="617"/>
      <c r="P418" s="617"/>
      <c r="Q418" s="617"/>
      <c r="R418" s="619"/>
      <c r="S418" s="617"/>
      <c r="T418" s="616" t="s">
        <v>221</v>
      </c>
    </row>
    <row r="419" ht="34.5">
      <c r="A419" s="616" t="s">
        <v>668</v>
      </c>
      <c r="B419" s="616" t="s">
        <v>669</v>
      </c>
      <c r="C419" s="616" t="s">
        <v>711</v>
      </c>
      <c r="D419" s="616" t="s">
        <v>216</v>
      </c>
      <c r="E419" s="616" t="s">
        <v>696</v>
      </c>
      <c r="F419" s="617" t="s">
        <v>697</v>
      </c>
      <c r="G419" s="616" t="s">
        <v>698</v>
      </c>
      <c r="H419" s="617"/>
      <c r="I419" s="617"/>
      <c r="J419" s="617" t="s">
        <v>721</v>
      </c>
      <c r="K419" s="618">
        <v>19793200</v>
      </c>
      <c r="L419" s="616" t="s">
        <v>611</v>
      </c>
      <c r="M419" s="616"/>
      <c r="N419" s="617"/>
      <c r="O419" s="617"/>
      <c r="P419" s="617"/>
      <c r="Q419" s="617"/>
      <c r="R419" s="619"/>
      <c r="S419" s="617"/>
      <c r="T419" s="616" t="s">
        <v>221</v>
      </c>
    </row>
    <row r="420" ht="34.5">
      <c r="A420" s="616" t="s">
        <v>668</v>
      </c>
      <c r="B420" s="616" t="s">
        <v>669</v>
      </c>
      <c r="C420" s="616" t="s">
        <v>711</v>
      </c>
      <c r="D420" s="616" t="s">
        <v>216</v>
      </c>
      <c r="E420" s="616" t="s">
        <v>696</v>
      </c>
      <c r="F420" s="617" t="s">
        <v>697</v>
      </c>
      <c r="G420" s="616" t="s">
        <v>698</v>
      </c>
      <c r="H420" s="617"/>
      <c r="I420" s="617"/>
      <c r="J420" s="617" t="s">
        <v>722</v>
      </c>
      <c r="K420" s="618"/>
      <c r="L420" s="616"/>
      <c r="M420" s="616"/>
      <c r="N420" s="617"/>
      <c r="O420" s="617"/>
      <c r="P420" s="617"/>
      <c r="Q420" s="617"/>
      <c r="R420" s="619"/>
      <c r="S420" s="617"/>
      <c r="T420" s="616" t="s">
        <v>221</v>
      </c>
    </row>
    <row r="421" ht="34.5">
      <c r="A421" s="616" t="s">
        <v>668</v>
      </c>
      <c r="B421" s="616" t="s">
        <v>669</v>
      </c>
      <c r="C421" s="616" t="s">
        <v>723</v>
      </c>
      <c r="D421" s="616" t="s">
        <v>724</v>
      </c>
      <c r="E421" s="616" t="s">
        <v>725</v>
      </c>
      <c r="F421" s="617" t="s">
        <v>726</v>
      </c>
      <c r="G421" s="616" t="s">
        <v>727</v>
      </c>
      <c r="H421" s="617"/>
      <c r="I421" s="617"/>
      <c r="J421" s="617" t="s">
        <v>728</v>
      </c>
      <c r="K421" s="618"/>
      <c r="L421" s="616"/>
      <c r="M421" s="616"/>
      <c r="N421" s="617"/>
      <c r="O421" s="617"/>
      <c r="P421" s="617"/>
      <c r="Q421" s="617"/>
      <c r="R421" s="619"/>
      <c r="S421" s="617"/>
      <c r="T421" s="616" t="s">
        <v>221</v>
      </c>
    </row>
    <row r="422" ht="34.5">
      <c r="A422" s="616" t="s">
        <v>668</v>
      </c>
      <c r="B422" s="616" t="s">
        <v>669</v>
      </c>
      <c r="C422" s="616" t="s">
        <v>723</v>
      </c>
      <c r="D422" s="616" t="s">
        <v>216</v>
      </c>
      <c r="E422" s="616" t="s">
        <v>725</v>
      </c>
      <c r="F422" s="617" t="s">
        <v>726</v>
      </c>
      <c r="G422" s="616" t="s">
        <v>727</v>
      </c>
      <c r="H422" s="617"/>
      <c r="I422" s="617"/>
      <c r="J422" s="617" t="s">
        <v>729</v>
      </c>
      <c r="K422" s="618"/>
      <c r="L422" s="616"/>
      <c r="M422" s="616"/>
      <c r="N422" s="617"/>
      <c r="O422" s="617"/>
      <c r="P422" s="617"/>
      <c r="Q422" s="617"/>
      <c r="R422" s="619"/>
      <c r="S422" s="617"/>
      <c r="T422" s="616" t="s">
        <v>221</v>
      </c>
    </row>
    <row r="423" ht="34.5">
      <c r="A423" s="616" t="s">
        <v>668</v>
      </c>
      <c r="B423" s="616" t="s">
        <v>669</v>
      </c>
      <c r="C423" s="616" t="s">
        <v>723</v>
      </c>
      <c r="D423" s="616" t="s">
        <v>216</v>
      </c>
      <c r="E423" s="616" t="s">
        <v>725</v>
      </c>
      <c r="F423" s="617" t="s">
        <v>726</v>
      </c>
      <c r="G423" s="616" t="s">
        <v>727</v>
      </c>
      <c r="H423" s="617"/>
      <c r="I423" s="617"/>
      <c r="J423" s="617" t="s">
        <v>730</v>
      </c>
      <c r="K423" s="618">
        <v>129803846</v>
      </c>
      <c r="L423" s="616" t="s">
        <v>611</v>
      </c>
      <c r="M423" s="616"/>
      <c r="N423" s="617"/>
      <c r="O423" s="617"/>
      <c r="P423" s="617"/>
      <c r="Q423" s="617"/>
      <c r="R423" s="619"/>
      <c r="S423" s="617"/>
      <c r="T423" s="616" t="s">
        <v>221</v>
      </c>
    </row>
    <row r="424" ht="34.5">
      <c r="A424" s="616" t="s">
        <v>668</v>
      </c>
      <c r="B424" s="616" t="s">
        <v>669</v>
      </c>
      <c r="C424" s="616" t="s">
        <v>723</v>
      </c>
      <c r="D424" s="616" t="s">
        <v>216</v>
      </c>
      <c r="E424" s="616" t="s">
        <v>725</v>
      </c>
      <c r="F424" s="617" t="s">
        <v>726</v>
      </c>
      <c r="G424" s="616" t="s">
        <v>727</v>
      </c>
      <c r="H424" s="617"/>
      <c r="I424" s="617"/>
      <c r="J424" s="617" t="s">
        <v>731</v>
      </c>
      <c r="K424" s="618"/>
      <c r="L424" s="616"/>
      <c r="M424" s="616"/>
      <c r="N424" s="617"/>
      <c r="O424" s="617"/>
      <c r="P424" s="617"/>
      <c r="Q424" s="617"/>
      <c r="R424" s="619"/>
      <c r="S424" s="617"/>
      <c r="T424" s="616" t="s">
        <v>221</v>
      </c>
    </row>
    <row r="425" ht="34.5">
      <c r="A425" s="616" t="s">
        <v>668</v>
      </c>
      <c r="B425" s="616" t="s">
        <v>669</v>
      </c>
      <c r="C425" s="616" t="s">
        <v>732</v>
      </c>
      <c r="D425" s="616" t="s">
        <v>216</v>
      </c>
      <c r="E425" s="616" t="s">
        <v>725</v>
      </c>
      <c r="F425" s="617" t="s">
        <v>726</v>
      </c>
      <c r="G425" s="616" t="s">
        <v>727</v>
      </c>
      <c r="H425" s="617"/>
      <c r="I425" s="617"/>
      <c r="J425" s="617" t="s">
        <v>733</v>
      </c>
      <c r="K425" s="618"/>
      <c r="L425" s="616"/>
      <c r="M425" s="616"/>
      <c r="N425" s="617"/>
      <c r="O425" s="617"/>
      <c r="P425" s="617"/>
      <c r="Q425" s="617"/>
      <c r="R425" s="619"/>
      <c r="S425" s="617"/>
      <c r="T425" s="616" t="s">
        <v>221</v>
      </c>
    </row>
    <row r="426" ht="34.5">
      <c r="A426" s="616" t="s">
        <v>668</v>
      </c>
      <c r="B426" s="616" t="s">
        <v>669</v>
      </c>
      <c r="C426" s="616" t="s">
        <v>732</v>
      </c>
      <c r="D426" s="616" t="s">
        <v>734</v>
      </c>
      <c r="E426" s="616" t="s">
        <v>725</v>
      </c>
      <c r="F426" s="617" t="s">
        <v>726</v>
      </c>
      <c r="G426" s="616" t="s">
        <v>727</v>
      </c>
      <c r="H426" s="617"/>
      <c r="I426" s="617"/>
      <c r="J426" s="617" t="s">
        <v>735</v>
      </c>
      <c r="K426" s="618"/>
      <c r="L426" s="616"/>
      <c r="M426" s="616"/>
      <c r="N426" s="617"/>
      <c r="O426" s="617"/>
      <c r="P426" s="617"/>
      <c r="Q426" s="617"/>
      <c r="R426" s="619"/>
      <c r="S426" s="617"/>
      <c r="T426" s="616" t="s">
        <v>221</v>
      </c>
    </row>
    <row r="427" ht="34.5">
      <c r="A427" s="616" t="s">
        <v>668</v>
      </c>
      <c r="B427" s="616" t="s">
        <v>669</v>
      </c>
      <c r="C427" s="616" t="s">
        <v>732</v>
      </c>
      <c r="D427" s="616" t="s">
        <v>216</v>
      </c>
      <c r="E427" s="616" t="s">
        <v>725</v>
      </c>
      <c r="F427" s="617" t="s">
        <v>726</v>
      </c>
      <c r="G427" s="616" t="s">
        <v>727</v>
      </c>
      <c r="H427" s="617"/>
      <c r="I427" s="617"/>
      <c r="J427" s="617" t="s">
        <v>736</v>
      </c>
      <c r="K427" s="618"/>
      <c r="L427" s="616"/>
      <c r="M427" s="616"/>
      <c r="N427" s="617"/>
      <c r="O427" s="617"/>
      <c r="P427" s="617"/>
      <c r="Q427" s="617"/>
      <c r="R427" s="619"/>
      <c r="S427" s="617"/>
      <c r="T427" s="616" t="s">
        <v>221</v>
      </c>
    </row>
    <row r="428" ht="34.5">
      <c r="A428" s="616" t="s">
        <v>668</v>
      </c>
      <c r="B428" s="616" t="s">
        <v>669</v>
      </c>
      <c r="C428" s="616" t="s">
        <v>732</v>
      </c>
      <c r="D428" s="616" t="s">
        <v>216</v>
      </c>
      <c r="E428" s="616" t="s">
        <v>725</v>
      </c>
      <c r="F428" s="617" t="s">
        <v>726</v>
      </c>
      <c r="G428" s="616" t="s">
        <v>727</v>
      </c>
      <c r="H428" s="617"/>
      <c r="I428" s="617"/>
      <c r="J428" s="617" t="s">
        <v>737</v>
      </c>
      <c r="K428" s="618"/>
      <c r="L428" s="616"/>
      <c r="M428" s="616"/>
      <c r="N428" s="617"/>
      <c r="O428" s="617"/>
      <c r="P428" s="617"/>
      <c r="Q428" s="617"/>
      <c r="R428" s="619"/>
      <c r="S428" s="617"/>
      <c r="T428" s="616" t="s">
        <v>221</v>
      </c>
    </row>
    <row r="429" ht="34.5">
      <c r="A429" s="616" t="s">
        <v>668</v>
      </c>
      <c r="B429" s="616" t="s">
        <v>669</v>
      </c>
      <c r="C429" s="616" t="s">
        <v>732</v>
      </c>
      <c r="D429" s="616" t="s">
        <v>738</v>
      </c>
      <c r="E429" s="616" t="s">
        <v>725</v>
      </c>
      <c r="F429" s="617" t="s">
        <v>726</v>
      </c>
      <c r="G429" s="616" t="s">
        <v>727</v>
      </c>
      <c r="H429" s="617"/>
      <c r="I429" s="617"/>
      <c r="J429" s="617" t="s">
        <v>739</v>
      </c>
      <c r="K429" s="618"/>
      <c r="L429" s="616"/>
      <c r="M429" s="616"/>
      <c r="N429" s="617"/>
      <c r="O429" s="617"/>
      <c r="P429" s="617"/>
      <c r="Q429" s="617"/>
      <c r="R429" s="619"/>
      <c r="S429" s="617"/>
      <c r="T429" s="616" t="s">
        <v>221</v>
      </c>
    </row>
    <row r="430" ht="34.5">
      <c r="A430" s="616" t="s">
        <v>668</v>
      </c>
      <c r="B430" s="616" t="s">
        <v>669</v>
      </c>
      <c r="C430" s="616" t="s">
        <v>732</v>
      </c>
      <c r="D430" s="616" t="s">
        <v>216</v>
      </c>
      <c r="E430" s="616" t="s">
        <v>725</v>
      </c>
      <c r="F430" s="617" t="s">
        <v>726</v>
      </c>
      <c r="G430" s="616" t="s">
        <v>727</v>
      </c>
      <c r="H430" s="617"/>
      <c r="I430" s="617"/>
      <c r="J430" s="617" t="s">
        <v>740</v>
      </c>
      <c r="K430" s="618"/>
      <c r="L430" s="616"/>
      <c r="M430" s="616"/>
      <c r="N430" s="617"/>
      <c r="O430" s="617"/>
      <c r="P430" s="617"/>
      <c r="Q430" s="617"/>
      <c r="R430" s="619"/>
      <c r="S430" s="617"/>
      <c r="T430" s="616" t="s">
        <v>221</v>
      </c>
    </row>
    <row r="431" ht="34.5">
      <c r="A431" s="616" t="s">
        <v>668</v>
      </c>
      <c r="B431" s="616" t="s">
        <v>669</v>
      </c>
      <c r="C431" s="616" t="s">
        <v>732</v>
      </c>
      <c r="D431" s="616" t="s">
        <v>216</v>
      </c>
      <c r="E431" s="616" t="s">
        <v>725</v>
      </c>
      <c r="F431" s="617" t="s">
        <v>726</v>
      </c>
      <c r="G431" s="616" t="s">
        <v>727</v>
      </c>
      <c r="H431" s="617"/>
      <c r="I431" s="617"/>
      <c r="J431" s="617" t="s">
        <v>741</v>
      </c>
      <c r="K431" s="618"/>
      <c r="L431" s="616"/>
      <c r="M431" s="616"/>
      <c r="N431" s="617"/>
      <c r="O431" s="617"/>
      <c r="P431" s="617"/>
      <c r="Q431" s="617"/>
      <c r="R431" s="619"/>
      <c r="S431" s="617"/>
      <c r="T431" s="616" t="s">
        <v>221</v>
      </c>
    </row>
    <row r="432" ht="34.5">
      <c r="A432" s="616" t="s">
        <v>668</v>
      </c>
      <c r="B432" s="616" t="s">
        <v>669</v>
      </c>
      <c r="C432" s="616" t="s">
        <v>732</v>
      </c>
      <c r="D432" s="616" t="s">
        <v>216</v>
      </c>
      <c r="E432" s="616" t="s">
        <v>725</v>
      </c>
      <c r="F432" s="617" t="s">
        <v>726</v>
      </c>
      <c r="G432" s="616" t="s">
        <v>727</v>
      </c>
      <c r="H432" s="617"/>
      <c r="I432" s="617"/>
      <c r="J432" s="617" t="s">
        <v>742</v>
      </c>
      <c r="K432" s="618">
        <v>100364155</v>
      </c>
      <c r="L432" s="616" t="s">
        <v>611</v>
      </c>
      <c r="M432" s="616"/>
      <c r="N432" s="617"/>
      <c r="O432" s="617"/>
      <c r="P432" s="617"/>
      <c r="Q432" s="617"/>
      <c r="R432" s="619"/>
      <c r="S432" s="617"/>
      <c r="T432" s="616" t="s">
        <v>221</v>
      </c>
    </row>
    <row r="433" ht="34.5">
      <c r="A433" s="616" t="s">
        <v>668</v>
      </c>
      <c r="B433" s="616" t="s">
        <v>669</v>
      </c>
      <c r="C433" s="616" t="s">
        <v>732</v>
      </c>
      <c r="D433" s="616" t="s">
        <v>743</v>
      </c>
      <c r="E433" s="616" t="s">
        <v>725</v>
      </c>
      <c r="F433" s="617" t="s">
        <v>726</v>
      </c>
      <c r="G433" s="616" t="s">
        <v>727</v>
      </c>
      <c r="H433" s="617"/>
      <c r="I433" s="617"/>
      <c r="J433" s="617" t="s">
        <v>744</v>
      </c>
      <c r="K433" s="618"/>
      <c r="L433" s="616"/>
      <c r="M433" s="616"/>
      <c r="N433" s="617"/>
      <c r="O433" s="617"/>
      <c r="P433" s="617"/>
      <c r="Q433" s="617"/>
      <c r="R433" s="619"/>
      <c r="S433" s="617"/>
      <c r="T433" s="616" t="s">
        <v>221</v>
      </c>
    </row>
    <row r="434" ht="34.5">
      <c r="A434" s="616" t="s">
        <v>668</v>
      </c>
      <c r="B434" s="616" t="s">
        <v>669</v>
      </c>
      <c r="C434" s="616" t="s">
        <v>732</v>
      </c>
      <c r="D434" s="616" t="s">
        <v>216</v>
      </c>
      <c r="E434" s="616" t="s">
        <v>725</v>
      </c>
      <c r="F434" s="617" t="s">
        <v>726</v>
      </c>
      <c r="G434" s="616" t="s">
        <v>727</v>
      </c>
      <c r="H434" s="617"/>
      <c r="I434" s="617"/>
      <c r="J434" s="617" t="s">
        <v>745</v>
      </c>
      <c r="K434" s="618">
        <v>278591051</v>
      </c>
      <c r="L434" s="616" t="s">
        <v>611</v>
      </c>
      <c r="M434" s="616"/>
      <c r="N434" s="617"/>
      <c r="O434" s="617"/>
      <c r="P434" s="617"/>
      <c r="Q434" s="617"/>
      <c r="R434" s="619"/>
      <c r="S434" s="617"/>
      <c r="T434" s="616" t="s">
        <v>221</v>
      </c>
    </row>
    <row r="435" ht="34.5">
      <c r="A435" s="616" t="s">
        <v>668</v>
      </c>
      <c r="B435" s="616" t="s">
        <v>669</v>
      </c>
      <c r="C435" s="616" t="s">
        <v>732</v>
      </c>
      <c r="D435" s="616" t="s">
        <v>216</v>
      </c>
      <c r="E435" s="616" t="s">
        <v>725</v>
      </c>
      <c r="F435" s="617" t="s">
        <v>726</v>
      </c>
      <c r="G435" s="616" t="s">
        <v>727</v>
      </c>
      <c r="H435" s="617"/>
      <c r="I435" s="617"/>
      <c r="J435" s="617" t="s">
        <v>746</v>
      </c>
      <c r="K435" s="618"/>
      <c r="L435" s="616"/>
      <c r="M435" s="616"/>
      <c r="N435" s="617"/>
      <c r="O435" s="617"/>
      <c r="P435" s="617"/>
      <c r="Q435" s="617"/>
      <c r="R435" s="619"/>
      <c r="S435" s="617"/>
      <c r="T435" s="616" t="s">
        <v>221</v>
      </c>
    </row>
    <row r="436" ht="34.5">
      <c r="A436" s="616" t="s">
        <v>668</v>
      </c>
      <c r="B436" s="616" t="s">
        <v>669</v>
      </c>
      <c r="C436" s="616" t="s">
        <v>747</v>
      </c>
      <c r="D436" s="616" t="s">
        <v>748</v>
      </c>
      <c r="E436" s="616" t="s">
        <v>749</v>
      </c>
      <c r="F436" s="617" t="s">
        <v>750</v>
      </c>
      <c r="G436" s="616" t="s">
        <v>751</v>
      </c>
      <c r="H436" s="617"/>
      <c r="I436" s="617"/>
      <c r="J436" s="617" t="s">
        <v>752</v>
      </c>
      <c r="K436" s="618"/>
      <c r="L436" s="616"/>
      <c r="M436" s="616"/>
      <c r="N436" s="617"/>
      <c r="O436" s="617"/>
      <c r="P436" s="617"/>
      <c r="Q436" s="617"/>
      <c r="R436" s="619"/>
      <c r="S436" s="617"/>
      <c r="T436" s="616" t="s">
        <v>221</v>
      </c>
    </row>
    <row r="437" ht="34.5">
      <c r="A437" s="616" t="s">
        <v>668</v>
      </c>
      <c r="B437" s="616" t="s">
        <v>669</v>
      </c>
      <c r="C437" s="616" t="s">
        <v>747</v>
      </c>
      <c r="D437" s="616" t="s">
        <v>216</v>
      </c>
      <c r="E437" s="616" t="s">
        <v>749</v>
      </c>
      <c r="F437" s="617" t="s">
        <v>750</v>
      </c>
      <c r="G437" s="616" t="s">
        <v>751</v>
      </c>
      <c r="H437" s="617"/>
      <c r="I437" s="617"/>
      <c r="J437" s="617" t="s">
        <v>753</v>
      </c>
      <c r="K437" s="618"/>
      <c r="L437" s="616"/>
      <c r="M437" s="616"/>
      <c r="N437" s="617"/>
      <c r="O437" s="617"/>
      <c r="P437" s="617"/>
      <c r="Q437" s="617"/>
      <c r="R437" s="619"/>
      <c r="S437" s="617"/>
      <c r="T437" s="616" t="s">
        <v>221</v>
      </c>
    </row>
    <row r="438" ht="34.5">
      <c r="A438" s="616" t="s">
        <v>668</v>
      </c>
      <c r="B438" s="616" t="s">
        <v>669</v>
      </c>
      <c r="C438" s="616" t="s">
        <v>754</v>
      </c>
      <c r="D438" s="616" t="s">
        <v>216</v>
      </c>
      <c r="E438" s="616" t="s">
        <v>755</v>
      </c>
      <c r="F438" s="617" t="s">
        <v>756</v>
      </c>
      <c r="G438" s="616" t="s">
        <v>727</v>
      </c>
      <c r="H438" s="617"/>
      <c r="I438" s="617"/>
      <c r="J438" s="617" t="s">
        <v>757</v>
      </c>
      <c r="K438" s="618"/>
      <c r="L438" s="616"/>
      <c r="M438" s="616"/>
      <c r="N438" s="617"/>
      <c r="O438" s="617"/>
      <c r="P438" s="617"/>
      <c r="Q438" s="617"/>
      <c r="R438" s="619"/>
      <c r="S438" s="617"/>
      <c r="T438" s="616" t="s">
        <v>221</v>
      </c>
    </row>
    <row r="439" ht="34.5">
      <c r="A439" s="616" t="s">
        <v>668</v>
      </c>
      <c r="B439" s="616" t="s">
        <v>669</v>
      </c>
      <c r="C439" s="616" t="s">
        <v>754</v>
      </c>
      <c r="D439" s="616" t="s">
        <v>216</v>
      </c>
      <c r="E439" s="616" t="s">
        <v>755</v>
      </c>
      <c r="F439" s="617" t="s">
        <v>756</v>
      </c>
      <c r="G439" s="616" t="s">
        <v>727</v>
      </c>
      <c r="H439" s="617"/>
      <c r="I439" s="617"/>
      <c r="J439" s="617" t="s">
        <v>758</v>
      </c>
      <c r="K439" s="618"/>
      <c r="L439" s="616"/>
      <c r="M439" s="616"/>
      <c r="N439" s="617"/>
      <c r="O439" s="617"/>
      <c r="P439" s="617"/>
      <c r="Q439" s="617"/>
      <c r="R439" s="619"/>
      <c r="S439" s="617"/>
      <c r="T439" s="616" t="s">
        <v>221</v>
      </c>
    </row>
    <row r="440" ht="34.5">
      <c r="A440" s="616" t="s">
        <v>668</v>
      </c>
      <c r="B440" s="616" t="s">
        <v>669</v>
      </c>
      <c r="C440" s="616" t="s">
        <v>754</v>
      </c>
      <c r="D440" s="616" t="s">
        <v>759</v>
      </c>
      <c r="E440" s="616" t="s">
        <v>755</v>
      </c>
      <c r="F440" s="617" t="s">
        <v>756</v>
      </c>
      <c r="G440" s="616" t="s">
        <v>727</v>
      </c>
      <c r="H440" s="617"/>
      <c r="I440" s="617"/>
      <c r="J440" s="617" t="s">
        <v>760</v>
      </c>
      <c r="K440" s="618"/>
      <c r="L440" s="616"/>
      <c r="M440" s="616"/>
      <c r="N440" s="617"/>
      <c r="O440" s="617"/>
      <c r="P440" s="617"/>
      <c r="Q440" s="617"/>
      <c r="R440" s="619"/>
      <c r="S440" s="617"/>
      <c r="T440" s="616" t="s">
        <v>221</v>
      </c>
    </row>
    <row r="441" ht="34.5">
      <c r="A441" s="616" t="s">
        <v>668</v>
      </c>
      <c r="B441" s="616" t="s">
        <v>669</v>
      </c>
      <c r="C441" s="616" t="s">
        <v>754</v>
      </c>
      <c r="D441" s="616" t="s">
        <v>216</v>
      </c>
      <c r="E441" s="616" t="s">
        <v>755</v>
      </c>
      <c r="F441" s="617" t="s">
        <v>756</v>
      </c>
      <c r="G441" s="616" t="s">
        <v>727</v>
      </c>
      <c r="H441" s="617"/>
      <c r="I441" s="617"/>
      <c r="J441" s="617" t="s">
        <v>761</v>
      </c>
      <c r="K441" s="618"/>
      <c r="L441" s="616"/>
      <c r="M441" s="616"/>
      <c r="N441" s="617"/>
      <c r="O441" s="617"/>
      <c r="P441" s="617"/>
      <c r="Q441" s="617"/>
      <c r="R441" s="619"/>
      <c r="S441" s="617"/>
      <c r="T441" s="616" t="s">
        <v>221</v>
      </c>
    </row>
    <row r="442" ht="34.5">
      <c r="A442" s="616" t="s">
        <v>668</v>
      </c>
      <c r="B442" s="616" t="s">
        <v>669</v>
      </c>
      <c r="C442" s="616" t="s">
        <v>754</v>
      </c>
      <c r="D442" s="616" t="s">
        <v>762</v>
      </c>
      <c r="E442" s="616" t="s">
        <v>755</v>
      </c>
      <c r="F442" s="617" t="s">
        <v>756</v>
      </c>
      <c r="G442" s="616" t="s">
        <v>727</v>
      </c>
      <c r="H442" s="617"/>
      <c r="I442" s="617"/>
      <c r="J442" s="617" t="s">
        <v>763</v>
      </c>
      <c r="K442" s="618"/>
      <c r="L442" s="616"/>
      <c r="M442" s="616"/>
      <c r="N442" s="617"/>
      <c r="O442" s="617"/>
      <c r="P442" s="617"/>
      <c r="Q442" s="617"/>
      <c r="R442" s="619"/>
      <c r="S442" s="617"/>
      <c r="T442" s="616" t="s">
        <v>221</v>
      </c>
    </row>
    <row r="443" ht="34.5">
      <c r="A443" s="616" t="s">
        <v>668</v>
      </c>
      <c r="B443" s="616" t="s">
        <v>669</v>
      </c>
      <c r="C443" s="616" t="s">
        <v>754</v>
      </c>
      <c r="D443" s="616" t="s">
        <v>216</v>
      </c>
      <c r="E443" s="616" t="s">
        <v>755</v>
      </c>
      <c r="F443" s="617" t="s">
        <v>756</v>
      </c>
      <c r="G443" s="616" t="s">
        <v>727</v>
      </c>
      <c r="H443" s="617"/>
      <c r="I443" s="617"/>
      <c r="J443" s="617" t="s">
        <v>764</v>
      </c>
      <c r="K443" s="618"/>
      <c r="L443" s="616"/>
      <c r="M443" s="616"/>
      <c r="N443" s="617"/>
      <c r="O443" s="617"/>
      <c r="P443" s="617"/>
      <c r="Q443" s="617"/>
      <c r="R443" s="619"/>
      <c r="S443" s="617"/>
      <c r="T443" s="616" t="s">
        <v>221</v>
      </c>
    </row>
    <row r="444" ht="34.5">
      <c r="A444" s="616" t="s">
        <v>668</v>
      </c>
      <c r="B444" s="616" t="s">
        <v>669</v>
      </c>
      <c r="C444" s="616" t="s">
        <v>754</v>
      </c>
      <c r="D444" s="616" t="s">
        <v>216</v>
      </c>
      <c r="E444" s="616" t="s">
        <v>755</v>
      </c>
      <c r="F444" s="617" t="s">
        <v>756</v>
      </c>
      <c r="G444" s="616" t="s">
        <v>727</v>
      </c>
      <c r="H444" s="617"/>
      <c r="I444" s="617"/>
      <c r="J444" s="617" t="s">
        <v>765</v>
      </c>
      <c r="K444" s="618"/>
      <c r="L444" s="616"/>
      <c r="M444" s="616"/>
      <c r="N444" s="617"/>
      <c r="O444" s="617"/>
      <c r="P444" s="617"/>
      <c r="Q444" s="617"/>
      <c r="R444" s="619"/>
      <c r="S444" s="617"/>
      <c r="T444" s="616" t="s">
        <v>221</v>
      </c>
    </row>
    <row r="445" ht="34.5">
      <c r="A445" s="616" t="s">
        <v>668</v>
      </c>
      <c r="B445" s="616" t="s">
        <v>669</v>
      </c>
      <c r="C445" s="616" t="s">
        <v>754</v>
      </c>
      <c r="D445" s="616" t="s">
        <v>766</v>
      </c>
      <c r="E445" s="616" t="s">
        <v>755</v>
      </c>
      <c r="F445" s="617" t="s">
        <v>756</v>
      </c>
      <c r="G445" s="616" t="s">
        <v>727</v>
      </c>
      <c r="H445" s="617"/>
      <c r="I445" s="617"/>
      <c r="J445" s="617" t="s">
        <v>767</v>
      </c>
      <c r="K445" s="618"/>
      <c r="L445" s="616"/>
      <c r="M445" s="616"/>
      <c r="N445" s="617"/>
      <c r="O445" s="617"/>
      <c r="P445" s="617"/>
      <c r="Q445" s="617"/>
      <c r="R445" s="619"/>
      <c r="S445" s="617"/>
      <c r="T445" s="616" t="s">
        <v>221</v>
      </c>
    </row>
    <row r="446" ht="34.5">
      <c r="A446" s="616" t="s">
        <v>668</v>
      </c>
      <c r="B446" s="616" t="s">
        <v>669</v>
      </c>
      <c r="C446" s="616" t="s">
        <v>754</v>
      </c>
      <c r="D446" s="616" t="s">
        <v>216</v>
      </c>
      <c r="E446" s="616" t="s">
        <v>755</v>
      </c>
      <c r="F446" s="617" t="s">
        <v>756</v>
      </c>
      <c r="G446" s="616" t="s">
        <v>727</v>
      </c>
      <c r="H446" s="617"/>
      <c r="I446" s="617"/>
      <c r="J446" s="617" t="s">
        <v>768</v>
      </c>
      <c r="K446" s="618"/>
      <c r="L446" s="616"/>
      <c r="M446" s="616"/>
      <c r="N446" s="617"/>
      <c r="O446" s="617"/>
      <c r="P446" s="617"/>
      <c r="Q446" s="617"/>
      <c r="R446" s="619"/>
      <c r="S446" s="617"/>
      <c r="T446" s="616" t="s">
        <v>221</v>
      </c>
    </row>
    <row r="447" ht="34.5">
      <c r="A447" s="616" t="s">
        <v>668</v>
      </c>
      <c r="B447" s="616" t="s">
        <v>669</v>
      </c>
      <c r="C447" s="616" t="s">
        <v>754</v>
      </c>
      <c r="D447" s="616" t="s">
        <v>216</v>
      </c>
      <c r="E447" s="616" t="s">
        <v>755</v>
      </c>
      <c r="F447" s="617" t="s">
        <v>756</v>
      </c>
      <c r="G447" s="616" t="s">
        <v>727</v>
      </c>
      <c r="H447" s="617"/>
      <c r="I447" s="617"/>
      <c r="J447" s="617" t="s">
        <v>769</v>
      </c>
      <c r="K447" s="618"/>
      <c r="L447" s="616"/>
      <c r="M447" s="616"/>
      <c r="N447" s="617"/>
      <c r="O447" s="617"/>
      <c r="P447" s="617"/>
      <c r="Q447" s="617"/>
      <c r="R447" s="619"/>
      <c r="S447" s="617"/>
      <c r="T447" s="616" t="s">
        <v>221</v>
      </c>
    </row>
    <row r="448" ht="34.5">
      <c r="A448" s="616" t="s">
        <v>668</v>
      </c>
      <c r="B448" s="616" t="s">
        <v>669</v>
      </c>
      <c r="C448" s="616" t="s">
        <v>770</v>
      </c>
      <c r="D448" s="616" t="s">
        <v>771</v>
      </c>
      <c r="E448" s="616" t="s">
        <v>772</v>
      </c>
      <c r="F448" s="617" t="s">
        <v>773</v>
      </c>
      <c r="G448" s="616" t="s">
        <v>698</v>
      </c>
      <c r="H448" s="617"/>
      <c r="I448" s="617"/>
      <c r="J448" s="617" t="s">
        <v>774</v>
      </c>
      <c r="K448" s="618"/>
      <c r="L448" s="616"/>
      <c r="M448" s="616"/>
      <c r="N448" s="617"/>
      <c r="O448" s="617"/>
      <c r="P448" s="617"/>
      <c r="Q448" s="617"/>
      <c r="R448" s="619"/>
      <c r="S448" s="617"/>
      <c r="T448" s="616" t="s">
        <v>221</v>
      </c>
    </row>
    <row r="449" ht="34.5">
      <c r="A449" s="616" t="s">
        <v>668</v>
      </c>
      <c r="B449" s="616" t="s">
        <v>669</v>
      </c>
      <c r="C449" s="616" t="s">
        <v>770</v>
      </c>
      <c r="D449" s="616" t="s">
        <v>216</v>
      </c>
      <c r="E449" s="616" t="s">
        <v>772</v>
      </c>
      <c r="F449" s="617" t="s">
        <v>773</v>
      </c>
      <c r="G449" s="616" t="s">
        <v>698</v>
      </c>
      <c r="H449" s="617"/>
      <c r="I449" s="617"/>
      <c r="J449" s="617" t="s">
        <v>775</v>
      </c>
      <c r="K449" s="618"/>
      <c r="L449" s="616"/>
      <c r="M449" s="616"/>
      <c r="N449" s="617"/>
      <c r="O449" s="617"/>
      <c r="P449" s="617"/>
      <c r="Q449" s="617"/>
      <c r="R449" s="619"/>
      <c r="S449" s="617"/>
      <c r="T449" s="616" t="s">
        <v>221</v>
      </c>
    </row>
    <row r="450" ht="34.5">
      <c r="A450" s="616" t="s">
        <v>668</v>
      </c>
      <c r="B450" s="616" t="s">
        <v>669</v>
      </c>
      <c r="C450" s="616" t="s">
        <v>770</v>
      </c>
      <c r="D450" s="616" t="s">
        <v>776</v>
      </c>
      <c r="E450" s="616" t="s">
        <v>772</v>
      </c>
      <c r="F450" s="617" t="s">
        <v>773</v>
      </c>
      <c r="G450" s="616" t="s">
        <v>698</v>
      </c>
      <c r="H450" s="617"/>
      <c r="I450" s="617"/>
      <c r="J450" s="617" t="s">
        <v>777</v>
      </c>
      <c r="K450" s="618"/>
      <c r="L450" s="616"/>
      <c r="M450" s="616"/>
      <c r="N450" s="617"/>
      <c r="O450" s="617"/>
      <c r="P450" s="617"/>
      <c r="Q450" s="617"/>
      <c r="R450" s="619"/>
      <c r="S450" s="617"/>
      <c r="T450" s="616" t="s">
        <v>221</v>
      </c>
    </row>
    <row r="451" ht="34.5">
      <c r="A451" s="616" t="s">
        <v>668</v>
      </c>
      <c r="B451" s="616" t="s">
        <v>669</v>
      </c>
      <c r="C451" s="616" t="s">
        <v>770</v>
      </c>
      <c r="D451" s="616" t="s">
        <v>216</v>
      </c>
      <c r="E451" s="616" t="s">
        <v>772</v>
      </c>
      <c r="F451" s="617" t="s">
        <v>773</v>
      </c>
      <c r="G451" s="616" t="s">
        <v>698</v>
      </c>
      <c r="H451" s="617"/>
      <c r="I451" s="617"/>
      <c r="J451" s="617" t="s">
        <v>778</v>
      </c>
      <c r="K451" s="618"/>
      <c r="L451" s="616"/>
      <c r="M451" s="616"/>
      <c r="N451" s="617"/>
      <c r="O451" s="617"/>
      <c r="P451" s="617"/>
      <c r="Q451" s="617"/>
      <c r="R451" s="619"/>
      <c r="S451" s="617"/>
      <c r="T451" s="616" t="s">
        <v>221</v>
      </c>
    </row>
    <row r="452" ht="34.5">
      <c r="A452" s="616" t="s">
        <v>668</v>
      </c>
      <c r="B452" s="616" t="s">
        <v>669</v>
      </c>
      <c r="C452" s="616" t="s">
        <v>770</v>
      </c>
      <c r="D452" s="616" t="s">
        <v>216</v>
      </c>
      <c r="E452" s="616" t="s">
        <v>772</v>
      </c>
      <c r="F452" s="617" t="s">
        <v>773</v>
      </c>
      <c r="G452" s="616" t="s">
        <v>698</v>
      </c>
      <c r="H452" s="617"/>
      <c r="I452" s="617"/>
      <c r="J452" s="617" t="s">
        <v>779</v>
      </c>
      <c r="K452" s="618"/>
      <c r="L452" s="616"/>
      <c r="M452" s="616"/>
      <c r="N452" s="617"/>
      <c r="O452" s="617"/>
      <c r="P452" s="617"/>
      <c r="Q452" s="617"/>
      <c r="R452" s="619"/>
      <c r="S452" s="617"/>
      <c r="T452" s="616" t="s">
        <v>221</v>
      </c>
    </row>
    <row r="453" ht="34.5">
      <c r="A453" s="616" t="s">
        <v>668</v>
      </c>
      <c r="B453" s="616" t="s">
        <v>669</v>
      </c>
      <c r="C453" s="616" t="s">
        <v>770</v>
      </c>
      <c r="D453" s="616" t="s">
        <v>216</v>
      </c>
      <c r="E453" s="616" t="s">
        <v>772</v>
      </c>
      <c r="F453" s="617" t="s">
        <v>773</v>
      </c>
      <c r="G453" s="616" t="s">
        <v>698</v>
      </c>
      <c r="H453" s="617"/>
      <c r="I453" s="617"/>
      <c r="J453" s="617" t="s">
        <v>780</v>
      </c>
      <c r="K453" s="618"/>
      <c r="L453" s="616"/>
      <c r="M453" s="616"/>
      <c r="N453" s="617"/>
      <c r="O453" s="617"/>
      <c r="P453" s="617"/>
      <c r="Q453" s="617"/>
      <c r="R453" s="619"/>
      <c r="S453" s="617"/>
      <c r="T453" s="616" t="s">
        <v>221</v>
      </c>
    </row>
    <row r="454" ht="34.5">
      <c r="A454" s="616" t="s">
        <v>668</v>
      </c>
      <c r="B454" s="616" t="s">
        <v>669</v>
      </c>
      <c r="C454" s="616" t="s">
        <v>770</v>
      </c>
      <c r="D454" s="616" t="s">
        <v>216</v>
      </c>
      <c r="E454" s="616" t="s">
        <v>772</v>
      </c>
      <c r="F454" s="617" t="s">
        <v>773</v>
      </c>
      <c r="G454" s="616" t="s">
        <v>698</v>
      </c>
      <c r="H454" s="617"/>
      <c r="I454" s="617"/>
      <c r="J454" s="617" t="s">
        <v>781</v>
      </c>
      <c r="K454" s="618">
        <v>86861200</v>
      </c>
      <c r="L454" s="616" t="s">
        <v>611</v>
      </c>
      <c r="M454" s="616"/>
      <c r="N454" s="617"/>
      <c r="O454" s="617"/>
      <c r="P454" s="617"/>
      <c r="Q454" s="617"/>
      <c r="R454" s="619"/>
      <c r="S454" s="617"/>
      <c r="T454" s="616" t="s">
        <v>221</v>
      </c>
    </row>
    <row r="455" ht="34.5">
      <c r="A455" s="616" t="s">
        <v>668</v>
      </c>
      <c r="B455" s="616" t="s">
        <v>669</v>
      </c>
      <c r="C455" s="616" t="s">
        <v>770</v>
      </c>
      <c r="D455" s="616" t="s">
        <v>216</v>
      </c>
      <c r="E455" s="616" t="s">
        <v>772</v>
      </c>
      <c r="F455" s="617" t="s">
        <v>773</v>
      </c>
      <c r="G455" s="616" t="s">
        <v>698</v>
      </c>
      <c r="H455" s="617"/>
      <c r="I455" s="617"/>
      <c r="J455" s="617" t="s">
        <v>782</v>
      </c>
      <c r="K455" s="618"/>
      <c r="L455" s="616"/>
      <c r="M455" s="616"/>
      <c r="N455" s="617"/>
      <c r="O455" s="617"/>
      <c r="P455" s="617"/>
      <c r="Q455" s="617"/>
      <c r="R455" s="619"/>
      <c r="S455" s="617"/>
      <c r="T455" s="616" t="s">
        <v>221</v>
      </c>
    </row>
    <row r="456" ht="34.5">
      <c r="A456" s="616" t="s">
        <v>668</v>
      </c>
      <c r="B456" s="616" t="s">
        <v>669</v>
      </c>
      <c r="C456" s="616" t="s">
        <v>783</v>
      </c>
      <c r="D456" s="616" t="s">
        <v>784</v>
      </c>
      <c r="E456" s="616" t="s">
        <v>772</v>
      </c>
      <c r="F456" s="617" t="s">
        <v>773</v>
      </c>
      <c r="G456" s="616" t="s">
        <v>698</v>
      </c>
      <c r="H456" s="617"/>
      <c r="I456" s="617"/>
      <c r="J456" s="617" t="s">
        <v>785</v>
      </c>
      <c r="K456" s="618"/>
      <c r="L456" s="616"/>
      <c r="M456" s="616"/>
      <c r="N456" s="617"/>
      <c r="O456" s="617"/>
      <c r="P456" s="617"/>
      <c r="Q456" s="617"/>
      <c r="R456" s="619"/>
      <c r="S456" s="617"/>
      <c r="T456" s="616" t="s">
        <v>221</v>
      </c>
    </row>
    <row r="457" ht="34.5">
      <c r="A457" s="616" t="s">
        <v>668</v>
      </c>
      <c r="B457" s="616" t="s">
        <v>669</v>
      </c>
      <c r="C457" s="616" t="s">
        <v>783</v>
      </c>
      <c r="D457" s="616" t="s">
        <v>216</v>
      </c>
      <c r="E457" s="616" t="s">
        <v>772</v>
      </c>
      <c r="F457" s="617" t="s">
        <v>773</v>
      </c>
      <c r="G457" s="616" t="s">
        <v>698</v>
      </c>
      <c r="H457" s="617"/>
      <c r="I457" s="617"/>
      <c r="J457" s="617" t="s">
        <v>786</v>
      </c>
      <c r="K457" s="618"/>
      <c r="L457" s="616"/>
      <c r="M457" s="616"/>
      <c r="N457" s="617"/>
      <c r="O457" s="617"/>
      <c r="P457" s="617"/>
      <c r="Q457" s="617"/>
      <c r="R457" s="619"/>
      <c r="S457" s="617"/>
      <c r="T457" s="616" t="s">
        <v>221</v>
      </c>
    </row>
    <row r="458" ht="34.5">
      <c r="A458" s="616" t="s">
        <v>668</v>
      </c>
      <c r="B458" s="616" t="s">
        <v>669</v>
      </c>
      <c r="C458" s="616" t="s">
        <v>783</v>
      </c>
      <c r="D458" s="616" t="s">
        <v>216</v>
      </c>
      <c r="E458" s="616" t="s">
        <v>772</v>
      </c>
      <c r="F458" s="617" t="s">
        <v>773</v>
      </c>
      <c r="G458" s="616" t="s">
        <v>698</v>
      </c>
      <c r="H458" s="617"/>
      <c r="I458" s="617"/>
      <c r="J458" s="617" t="s">
        <v>787</v>
      </c>
      <c r="K458" s="618"/>
      <c r="L458" s="616"/>
      <c r="M458" s="616"/>
      <c r="N458" s="617"/>
      <c r="O458" s="617"/>
      <c r="P458" s="617"/>
      <c r="Q458" s="617"/>
      <c r="R458" s="619"/>
      <c r="S458" s="617"/>
      <c r="T458" s="616" t="s">
        <v>221</v>
      </c>
    </row>
    <row r="459" ht="34.5">
      <c r="A459" s="616" t="s">
        <v>668</v>
      </c>
      <c r="B459" s="616" t="s">
        <v>669</v>
      </c>
      <c r="C459" s="616" t="s">
        <v>783</v>
      </c>
      <c r="D459" s="616" t="s">
        <v>216</v>
      </c>
      <c r="E459" s="616" t="s">
        <v>772</v>
      </c>
      <c r="F459" s="617" t="s">
        <v>773</v>
      </c>
      <c r="G459" s="616" t="s">
        <v>698</v>
      </c>
      <c r="H459" s="617"/>
      <c r="I459" s="617"/>
      <c r="J459" s="617" t="s">
        <v>788</v>
      </c>
      <c r="K459" s="618"/>
      <c r="L459" s="616"/>
      <c r="M459" s="616"/>
      <c r="N459" s="617"/>
      <c r="O459" s="617"/>
      <c r="P459" s="617"/>
      <c r="Q459" s="617"/>
      <c r="R459" s="619"/>
      <c r="S459" s="617"/>
      <c r="T459" s="616" t="s">
        <v>221</v>
      </c>
    </row>
    <row r="460" ht="34.5">
      <c r="A460" s="616" t="s">
        <v>668</v>
      </c>
      <c r="B460" s="616" t="s">
        <v>669</v>
      </c>
      <c r="C460" s="616" t="s">
        <v>783</v>
      </c>
      <c r="D460" s="616" t="s">
        <v>216</v>
      </c>
      <c r="E460" s="616" t="s">
        <v>772</v>
      </c>
      <c r="F460" s="617" t="s">
        <v>773</v>
      </c>
      <c r="G460" s="616" t="s">
        <v>698</v>
      </c>
      <c r="H460" s="617"/>
      <c r="I460" s="617"/>
      <c r="J460" s="617" t="s">
        <v>789</v>
      </c>
      <c r="K460" s="618"/>
      <c r="L460" s="616"/>
      <c r="M460" s="616"/>
      <c r="N460" s="617"/>
      <c r="O460" s="617"/>
      <c r="P460" s="617"/>
      <c r="Q460" s="617"/>
      <c r="R460" s="619"/>
      <c r="S460" s="617"/>
      <c r="T460" s="616" t="s">
        <v>221</v>
      </c>
    </row>
    <row r="461" ht="34.5">
      <c r="A461" s="616" t="s">
        <v>668</v>
      </c>
      <c r="B461" s="616" t="s">
        <v>669</v>
      </c>
      <c r="C461" s="616" t="s">
        <v>783</v>
      </c>
      <c r="D461" s="616" t="s">
        <v>216</v>
      </c>
      <c r="E461" s="616" t="s">
        <v>772</v>
      </c>
      <c r="F461" s="617" t="s">
        <v>773</v>
      </c>
      <c r="G461" s="616" t="s">
        <v>698</v>
      </c>
      <c r="H461" s="617"/>
      <c r="I461" s="617"/>
      <c r="J461" s="617" t="s">
        <v>790</v>
      </c>
      <c r="K461" s="618"/>
      <c r="L461" s="616"/>
      <c r="M461" s="616"/>
      <c r="N461" s="617"/>
      <c r="O461" s="617"/>
      <c r="P461" s="617"/>
      <c r="Q461" s="617"/>
      <c r="R461" s="619"/>
      <c r="S461" s="617"/>
      <c r="T461" s="616" t="s">
        <v>221</v>
      </c>
    </row>
    <row r="462" ht="34.5">
      <c r="A462" s="616" t="s">
        <v>668</v>
      </c>
      <c r="B462" s="616" t="s">
        <v>669</v>
      </c>
      <c r="C462" s="616" t="s">
        <v>783</v>
      </c>
      <c r="D462" s="616" t="s">
        <v>216</v>
      </c>
      <c r="E462" s="616" t="s">
        <v>772</v>
      </c>
      <c r="F462" s="617" t="s">
        <v>773</v>
      </c>
      <c r="G462" s="616" t="s">
        <v>698</v>
      </c>
      <c r="H462" s="617"/>
      <c r="I462" s="617"/>
      <c r="J462" s="617" t="s">
        <v>791</v>
      </c>
      <c r="K462" s="618"/>
      <c r="L462" s="616"/>
      <c r="M462" s="616"/>
      <c r="N462" s="617"/>
      <c r="O462" s="617"/>
      <c r="P462" s="617"/>
      <c r="Q462" s="617"/>
      <c r="R462" s="619"/>
      <c r="S462" s="617"/>
      <c r="T462" s="616" t="s">
        <v>221</v>
      </c>
    </row>
    <row r="463" ht="34.5">
      <c r="A463" s="616" t="s">
        <v>668</v>
      </c>
      <c r="B463" s="616" t="s">
        <v>669</v>
      </c>
      <c r="C463" s="616" t="s">
        <v>783</v>
      </c>
      <c r="D463" s="616" t="s">
        <v>216</v>
      </c>
      <c r="E463" s="616" t="s">
        <v>772</v>
      </c>
      <c r="F463" s="617" t="s">
        <v>773</v>
      </c>
      <c r="G463" s="616" t="s">
        <v>698</v>
      </c>
      <c r="H463" s="617"/>
      <c r="I463" s="617"/>
      <c r="J463" s="617" t="s">
        <v>792</v>
      </c>
      <c r="K463" s="618"/>
      <c r="L463" s="616"/>
      <c r="M463" s="616"/>
      <c r="N463" s="617"/>
      <c r="O463" s="617"/>
      <c r="P463" s="617"/>
      <c r="Q463" s="617"/>
      <c r="R463" s="619"/>
      <c r="S463" s="617"/>
      <c r="T463" s="616" t="s">
        <v>221</v>
      </c>
    </row>
    <row r="464" ht="34.5">
      <c r="A464" s="616" t="s">
        <v>668</v>
      </c>
      <c r="B464" s="616" t="s">
        <v>669</v>
      </c>
      <c r="C464" s="616" t="s">
        <v>783</v>
      </c>
      <c r="D464" s="616" t="s">
        <v>216</v>
      </c>
      <c r="E464" s="616" t="s">
        <v>772</v>
      </c>
      <c r="F464" s="617" t="s">
        <v>773</v>
      </c>
      <c r="G464" s="616" t="s">
        <v>698</v>
      </c>
      <c r="H464" s="617"/>
      <c r="I464" s="617"/>
      <c r="J464" s="617" t="s">
        <v>793</v>
      </c>
      <c r="K464" s="618"/>
      <c r="L464" s="616"/>
      <c r="M464" s="616"/>
      <c r="N464" s="617"/>
      <c r="O464" s="617"/>
      <c r="P464" s="617"/>
      <c r="Q464" s="617"/>
      <c r="R464" s="619"/>
      <c r="S464" s="617"/>
      <c r="T464" s="616" t="s">
        <v>221</v>
      </c>
    </row>
    <row r="465" ht="34.5">
      <c r="A465" s="616" t="s">
        <v>668</v>
      </c>
      <c r="B465" s="616" t="s">
        <v>669</v>
      </c>
      <c r="C465" s="616" t="s">
        <v>794</v>
      </c>
      <c r="D465" s="616" t="s">
        <v>216</v>
      </c>
      <c r="E465" s="616" t="s">
        <v>772</v>
      </c>
      <c r="F465" s="617" t="s">
        <v>773</v>
      </c>
      <c r="G465" s="616" t="s">
        <v>698</v>
      </c>
      <c r="H465" s="617"/>
      <c r="I465" s="617"/>
      <c r="J465" s="617" t="s">
        <v>679</v>
      </c>
      <c r="K465" s="618"/>
      <c r="L465" s="616"/>
      <c r="M465" s="616"/>
      <c r="N465" s="617"/>
      <c r="O465" s="617"/>
      <c r="P465" s="617"/>
      <c r="Q465" s="617"/>
      <c r="R465" s="619"/>
      <c r="S465" s="617"/>
      <c r="T465" s="616" t="s">
        <v>221</v>
      </c>
    </row>
    <row r="466" ht="34.5">
      <c r="A466" s="616" t="s">
        <v>668</v>
      </c>
      <c r="B466" s="616" t="s">
        <v>669</v>
      </c>
      <c r="C466" s="616" t="s">
        <v>794</v>
      </c>
      <c r="D466" s="616" t="s">
        <v>216</v>
      </c>
      <c r="E466" s="616" t="s">
        <v>772</v>
      </c>
      <c r="F466" s="617" t="s">
        <v>773</v>
      </c>
      <c r="G466" s="616" t="s">
        <v>698</v>
      </c>
      <c r="H466" s="617"/>
      <c r="I466" s="617"/>
      <c r="J466" s="617" t="s">
        <v>795</v>
      </c>
      <c r="K466" s="618"/>
      <c r="L466" s="616"/>
      <c r="M466" s="616"/>
      <c r="N466" s="617"/>
      <c r="O466" s="617"/>
      <c r="P466" s="617"/>
      <c r="Q466" s="617"/>
      <c r="R466" s="619"/>
      <c r="S466" s="617"/>
      <c r="T466" s="616" t="s">
        <v>221</v>
      </c>
    </row>
    <row r="467" ht="34.5">
      <c r="A467" s="616" t="s">
        <v>668</v>
      </c>
      <c r="B467" s="616" t="s">
        <v>669</v>
      </c>
      <c r="C467" s="616" t="s">
        <v>794</v>
      </c>
      <c r="D467" s="616" t="s">
        <v>216</v>
      </c>
      <c r="E467" s="616" t="s">
        <v>772</v>
      </c>
      <c r="F467" s="617" t="s">
        <v>773</v>
      </c>
      <c r="G467" s="616" t="s">
        <v>698</v>
      </c>
      <c r="H467" s="617"/>
      <c r="I467" s="617"/>
      <c r="J467" s="617" t="s">
        <v>796</v>
      </c>
      <c r="K467" s="618"/>
      <c r="L467" s="616"/>
      <c r="M467" s="616"/>
      <c r="N467" s="617"/>
      <c r="O467" s="617"/>
      <c r="P467" s="617"/>
      <c r="Q467" s="617"/>
      <c r="R467" s="619"/>
      <c r="S467" s="617"/>
      <c r="T467" s="616" t="s">
        <v>221</v>
      </c>
    </row>
    <row r="468" ht="34.5">
      <c r="A468" s="616" t="s">
        <v>668</v>
      </c>
      <c r="B468" s="616" t="s">
        <v>669</v>
      </c>
      <c r="C468" s="616" t="s">
        <v>794</v>
      </c>
      <c r="D468" s="616" t="s">
        <v>216</v>
      </c>
      <c r="E468" s="616" t="s">
        <v>772</v>
      </c>
      <c r="F468" s="617" t="s">
        <v>773</v>
      </c>
      <c r="G468" s="616" t="s">
        <v>698</v>
      </c>
      <c r="H468" s="617"/>
      <c r="I468" s="617"/>
      <c r="J468" s="617" t="s">
        <v>797</v>
      </c>
      <c r="K468" s="618"/>
      <c r="L468" s="616"/>
      <c r="M468" s="616"/>
      <c r="N468" s="617"/>
      <c r="O468" s="617"/>
      <c r="P468" s="617"/>
      <c r="Q468" s="617"/>
      <c r="R468" s="619"/>
      <c r="S468" s="617"/>
      <c r="T468" s="616" t="s">
        <v>221</v>
      </c>
    </row>
    <row r="469" ht="34.5">
      <c r="A469" s="616" t="s">
        <v>668</v>
      </c>
      <c r="B469" s="616" t="s">
        <v>669</v>
      </c>
      <c r="C469" s="616" t="s">
        <v>794</v>
      </c>
      <c r="D469" s="616" t="s">
        <v>216</v>
      </c>
      <c r="E469" s="616" t="s">
        <v>772</v>
      </c>
      <c r="F469" s="617" t="s">
        <v>773</v>
      </c>
      <c r="G469" s="616" t="s">
        <v>698</v>
      </c>
      <c r="H469" s="617"/>
      <c r="I469" s="617"/>
      <c r="J469" s="617" t="s">
        <v>798</v>
      </c>
      <c r="K469" s="618"/>
      <c r="L469" s="616"/>
      <c r="M469" s="616"/>
      <c r="N469" s="617"/>
      <c r="O469" s="617"/>
      <c r="P469" s="617"/>
      <c r="Q469" s="617"/>
      <c r="R469" s="619"/>
      <c r="S469" s="617"/>
      <c r="T469" s="616" t="s">
        <v>221</v>
      </c>
    </row>
    <row r="470" ht="34.5">
      <c r="A470" s="616" t="s">
        <v>668</v>
      </c>
      <c r="B470" s="616" t="s">
        <v>669</v>
      </c>
      <c r="C470" s="616" t="s">
        <v>794</v>
      </c>
      <c r="D470" s="616" t="s">
        <v>216</v>
      </c>
      <c r="E470" s="616" t="s">
        <v>772</v>
      </c>
      <c r="F470" s="617" t="s">
        <v>773</v>
      </c>
      <c r="G470" s="616" t="s">
        <v>698</v>
      </c>
      <c r="H470" s="617"/>
      <c r="I470" s="617"/>
      <c r="J470" s="617" t="s">
        <v>799</v>
      </c>
      <c r="K470" s="618"/>
      <c r="L470" s="616"/>
      <c r="M470" s="616"/>
      <c r="N470" s="617"/>
      <c r="O470" s="617"/>
      <c r="P470" s="617"/>
      <c r="Q470" s="617"/>
      <c r="R470" s="619"/>
      <c r="S470" s="617"/>
      <c r="T470" s="616" t="s">
        <v>221</v>
      </c>
    </row>
    <row r="471" ht="34.5">
      <c r="A471" s="616" t="s">
        <v>668</v>
      </c>
      <c r="B471" s="616" t="s">
        <v>669</v>
      </c>
      <c r="C471" s="616" t="s">
        <v>794</v>
      </c>
      <c r="D471" s="616" t="s">
        <v>216</v>
      </c>
      <c r="E471" s="616" t="s">
        <v>772</v>
      </c>
      <c r="F471" s="617" t="s">
        <v>773</v>
      </c>
      <c r="G471" s="616" t="s">
        <v>698</v>
      </c>
      <c r="H471" s="617"/>
      <c r="I471" s="617"/>
      <c r="J471" s="617" t="s">
        <v>800</v>
      </c>
      <c r="K471" s="618"/>
      <c r="L471" s="616"/>
      <c r="M471" s="616"/>
      <c r="N471" s="617"/>
      <c r="O471" s="617"/>
      <c r="P471" s="617"/>
      <c r="Q471" s="617"/>
      <c r="R471" s="619"/>
      <c r="S471" s="617"/>
      <c r="T471" s="616" t="s">
        <v>221</v>
      </c>
    </row>
    <row r="472" ht="34.5">
      <c r="A472" s="616" t="s">
        <v>668</v>
      </c>
      <c r="B472" s="616" t="s">
        <v>669</v>
      </c>
      <c r="C472" s="616" t="s">
        <v>794</v>
      </c>
      <c r="D472" s="616" t="s">
        <v>801</v>
      </c>
      <c r="E472" s="616" t="s">
        <v>772</v>
      </c>
      <c r="F472" s="617" t="s">
        <v>773</v>
      </c>
      <c r="G472" s="616" t="s">
        <v>698</v>
      </c>
      <c r="H472" s="617"/>
      <c r="I472" s="617"/>
      <c r="J472" s="617" t="s">
        <v>802</v>
      </c>
      <c r="K472" s="618"/>
      <c r="L472" s="616"/>
      <c r="M472" s="616"/>
      <c r="N472" s="617"/>
      <c r="O472" s="617"/>
      <c r="P472" s="617"/>
      <c r="Q472" s="617"/>
      <c r="R472" s="619"/>
      <c r="S472" s="617"/>
      <c r="T472" s="616" t="s">
        <v>221</v>
      </c>
    </row>
    <row r="473" ht="34.5">
      <c r="A473" s="616" t="s">
        <v>668</v>
      </c>
      <c r="B473" s="616" t="s">
        <v>669</v>
      </c>
      <c r="C473" s="616" t="s">
        <v>803</v>
      </c>
      <c r="D473" s="616" t="s">
        <v>216</v>
      </c>
      <c r="E473" s="616" t="s">
        <v>772</v>
      </c>
      <c r="F473" s="617" t="s">
        <v>773</v>
      </c>
      <c r="G473" s="616" t="s">
        <v>698</v>
      </c>
      <c r="H473" s="617"/>
      <c r="I473" s="617"/>
      <c r="J473" s="617" t="s">
        <v>804</v>
      </c>
      <c r="K473" s="618"/>
      <c r="L473" s="616"/>
      <c r="M473" s="616"/>
      <c r="N473" s="617"/>
      <c r="O473" s="617"/>
      <c r="P473" s="617"/>
      <c r="Q473" s="617"/>
      <c r="R473" s="619"/>
      <c r="S473" s="617"/>
      <c r="T473" s="616" t="s">
        <v>221</v>
      </c>
    </row>
    <row r="474" ht="34.5">
      <c r="A474" s="616" t="s">
        <v>668</v>
      </c>
      <c r="B474" s="616" t="s">
        <v>669</v>
      </c>
      <c r="C474" s="616" t="s">
        <v>803</v>
      </c>
      <c r="D474" s="616" t="s">
        <v>805</v>
      </c>
      <c r="E474" s="616" t="s">
        <v>772</v>
      </c>
      <c r="F474" s="617" t="s">
        <v>773</v>
      </c>
      <c r="G474" s="616" t="s">
        <v>698</v>
      </c>
      <c r="H474" s="617"/>
      <c r="I474" s="617"/>
      <c r="J474" s="617" t="s">
        <v>806</v>
      </c>
      <c r="K474" s="618"/>
      <c r="L474" s="616"/>
      <c r="M474" s="616"/>
      <c r="N474" s="617"/>
      <c r="O474" s="617"/>
      <c r="P474" s="617"/>
      <c r="Q474" s="617"/>
      <c r="R474" s="619"/>
      <c r="S474" s="617"/>
      <c r="T474" s="616" t="s">
        <v>221</v>
      </c>
    </row>
    <row r="475" ht="34.5">
      <c r="A475" s="616" t="s">
        <v>668</v>
      </c>
      <c r="B475" s="616" t="s">
        <v>669</v>
      </c>
      <c r="C475" s="616" t="s">
        <v>803</v>
      </c>
      <c r="D475" s="616" t="s">
        <v>807</v>
      </c>
      <c r="E475" s="616" t="s">
        <v>808</v>
      </c>
      <c r="F475" s="617" t="s">
        <v>809</v>
      </c>
      <c r="G475" s="616" t="s">
        <v>698</v>
      </c>
      <c r="H475" s="617"/>
      <c r="I475" s="617"/>
      <c r="J475" s="617" t="s">
        <v>810</v>
      </c>
      <c r="K475" s="618"/>
      <c r="L475" s="616"/>
      <c r="M475" s="616"/>
      <c r="N475" s="617"/>
      <c r="O475" s="617"/>
      <c r="P475" s="617"/>
      <c r="Q475" s="617"/>
      <c r="R475" s="619"/>
      <c r="S475" s="617"/>
      <c r="T475" s="616" t="s">
        <v>221</v>
      </c>
    </row>
    <row r="476" ht="34.5">
      <c r="A476" s="616" t="s">
        <v>668</v>
      </c>
      <c r="B476" s="616" t="s">
        <v>669</v>
      </c>
      <c r="C476" s="616" t="s">
        <v>803</v>
      </c>
      <c r="D476" s="616" t="s">
        <v>216</v>
      </c>
      <c r="E476" s="616" t="s">
        <v>811</v>
      </c>
      <c r="F476" s="617" t="s">
        <v>812</v>
      </c>
      <c r="G476" s="616" t="s">
        <v>698</v>
      </c>
      <c r="H476" s="617"/>
      <c r="I476" s="617"/>
      <c r="J476" s="617" t="s">
        <v>813</v>
      </c>
      <c r="K476" s="618">
        <v>93665393</v>
      </c>
      <c r="L476" s="616" t="s">
        <v>611</v>
      </c>
      <c r="M476" s="616"/>
      <c r="N476" s="617"/>
      <c r="O476" s="617"/>
      <c r="P476" s="617"/>
      <c r="Q476" s="617"/>
      <c r="R476" s="619"/>
      <c r="S476" s="617"/>
      <c r="T476" s="616" t="s">
        <v>221</v>
      </c>
    </row>
    <row r="477" ht="34.5">
      <c r="A477" s="616" t="s">
        <v>668</v>
      </c>
      <c r="B477" s="616" t="s">
        <v>669</v>
      </c>
      <c r="C477" s="616" t="s">
        <v>803</v>
      </c>
      <c r="D477" s="616" t="s">
        <v>216</v>
      </c>
      <c r="E477" s="616" t="s">
        <v>811</v>
      </c>
      <c r="F477" s="617" t="s">
        <v>812</v>
      </c>
      <c r="G477" s="616" t="s">
        <v>698</v>
      </c>
      <c r="H477" s="617"/>
      <c r="I477" s="617"/>
      <c r="J477" s="617" t="s">
        <v>814</v>
      </c>
      <c r="K477" s="618"/>
      <c r="L477" s="616"/>
      <c r="M477" s="616"/>
      <c r="N477" s="617"/>
      <c r="O477" s="617"/>
      <c r="P477" s="617"/>
      <c r="Q477" s="617"/>
      <c r="R477" s="619"/>
      <c r="S477" s="617"/>
      <c r="T477" s="616" t="s">
        <v>221</v>
      </c>
    </row>
    <row r="478" ht="34.5">
      <c r="A478" s="616" t="s">
        <v>668</v>
      </c>
      <c r="B478" s="616" t="s">
        <v>669</v>
      </c>
      <c r="C478" s="616" t="s">
        <v>815</v>
      </c>
      <c r="D478" s="616" t="s">
        <v>216</v>
      </c>
      <c r="E478" s="616" t="s">
        <v>811</v>
      </c>
      <c r="F478" s="617" t="s">
        <v>812</v>
      </c>
      <c r="G478" s="616" t="s">
        <v>698</v>
      </c>
      <c r="H478" s="617"/>
      <c r="I478" s="617"/>
      <c r="J478" s="617" t="s">
        <v>816</v>
      </c>
      <c r="K478" s="618"/>
      <c r="L478" s="616"/>
      <c r="M478" s="616"/>
      <c r="N478" s="617"/>
      <c r="O478" s="617"/>
      <c r="P478" s="617"/>
      <c r="Q478" s="617"/>
      <c r="R478" s="619"/>
      <c r="S478" s="617"/>
      <c r="T478" s="616" t="s">
        <v>221</v>
      </c>
    </row>
    <row r="479" ht="34.5">
      <c r="A479" s="616" t="s">
        <v>668</v>
      </c>
      <c r="B479" s="616" t="s">
        <v>669</v>
      </c>
      <c r="C479" s="616" t="s">
        <v>815</v>
      </c>
      <c r="D479" s="616" t="s">
        <v>817</v>
      </c>
      <c r="E479" s="616" t="s">
        <v>811</v>
      </c>
      <c r="F479" s="617" t="s">
        <v>812</v>
      </c>
      <c r="G479" s="616" t="s">
        <v>698</v>
      </c>
      <c r="H479" s="617"/>
      <c r="I479" s="617"/>
      <c r="J479" s="617" t="s">
        <v>818</v>
      </c>
      <c r="K479" s="618"/>
      <c r="L479" s="616"/>
      <c r="M479" s="616"/>
      <c r="N479" s="617"/>
      <c r="O479" s="617"/>
      <c r="P479" s="617"/>
      <c r="Q479" s="617"/>
      <c r="R479" s="619"/>
      <c r="S479" s="617"/>
      <c r="T479" s="616" t="s">
        <v>221</v>
      </c>
    </row>
    <row r="480" ht="34.5">
      <c r="A480" s="616" t="s">
        <v>668</v>
      </c>
      <c r="B480" s="616" t="s">
        <v>669</v>
      </c>
      <c r="C480" s="616" t="s">
        <v>815</v>
      </c>
      <c r="D480" s="616" t="s">
        <v>819</v>
      </c>
      <c r="E480" s="616" t="s">
        <v>820</v>
      </c>
      <c r="F480" s="617" t="s">
        <v>821</v>
      </c>
      <c r="G480" s="616" t="s">
        <v>727</v>
      </c>
      <c r="H480" s="617"/>
      <c r="I480" s="617"/>
      <c r="J480" s="617" t="s">
        <v>822</v>
      </c>
      <c r="K480" s="618"/>
      <c r="L480" s="616"/>
      <c r="M480" s="616"/>
      <c r="N480" s="617"/>
      <c r="O480" s="617"/>
      <c r="P480" s="617"/>
      <c r="Q480" s="617"/>
      <c r="R480" s="619"/>
      <c r="S480" s="617"/>
      <c r="T480" s="616" t="s">
        <v>221</v>
      </c>
    </row>
    <row r="481" ht="34.5">
      <c r="A481" s="616" t="s">
        <v>668</v>
      </c>
      <c r="B481" s="616" t="s">
        <v>669</v>
      </c>
      <c r="C481" s="616" t="s">
        <v>815</v>
      </c>
      <c r="D481" s="616" t="s">
        <v>216</v>
      </c>
      <c r="E481" s="616" t="s">
        <v>820</v>
      </c>
      <c r="F481" s="617" t="s">
        <v>821</v>
      </c>
      <c r="G481" s="616" t="s">
        <v>727</v>
      </c>
      <c r="H481" s="617"/>
      <c r="I481" s="617"/>
      <c r="J481" s="617" t="s">
        <v>823</v>
      </c>
      <c r="K481" s="618">
        <v>109470267</v>
      </c>
      <c r="L481" s="616" t="s">
        <v>611</v>
      </c>
      <c r="M481" s="616"/>
      <c r="N481" s="617"/>
      <c r="O481" s="617"/>
      <c r="P481" s="617"/>
      <c r="Q481" s="617"/>
      <c r="R481" s="619"/>
      <c r="S481" s="617"/>
      <c r="T481" s="616" t="s">
        <v>221</v>
      </c>
    </row>
    <row r="482" ht="34.5">
      <c r="A482" s="616" t="s">
        <v>668</v>
      </c>
      <c r="B482" s="616" t="s">
        <v>669</v>
      </c>
      <c r="C482" s="616" t="s">
        <v>815</v>
      </c>
      <c r="D482" s="616" t="s">
        <v>216</v>
      </c>
      <c r="E482" s="616" t="s">
        <v>820</v>
      </c>
      <c r="F482" s="617" t="s">
        <v>821</v>
      </c>
      <c r="G482" s="616" t="s">
        <v>727</v>
      </c>
      <c r="H482" s="617"/>
      <c r="I482" s="617"/>
      <c r="J482" s="617" t="s">
        <v>824</v>
      </c>
      <c r="K482" s="618"/>
      <c r="L482" s="616"/>
      <c r="M482" s="616"/>
      <c r="N482" s="617"/>
      <c r="O482" s="617"/>
      <c r="P482" s="617"/>
      <c r="Q482" s="617"/>
      <c r="R482" s="619"/>
      <c r="S482" s="617"/>
      <c r="T482" s="616" t="s">
        <v>221</v>
      </c>
    </row>
    <row r="483" ht="34.5">
      <c r="A483" s="616" t="s">
        <v>668</v>
      </c>
      <c r="B483" s="616" t="s">
        <v>669</v>
      </c>
      <c r="C483" s="616" t="s">
        <v>815</v>
      </c>
      <c r="D483" s="616" t="s">
        <v>216</v>
      </c>
      <c r="E483" s="616" t="s">
        <v>820</v>
      </c>
      <c r="F483" s="617" t="s">
        <v>821</v>
      </c>
      <c r="G483" s="616" t="s">
        <v>727</v>
      </c>
      <c r="H483" s="617"/>
      <c r="I483" s="617"/>
      <c r="J483" s="617" t="s">
        <v>825</v>
      </c>
      <c r="K483" s="618"/>
      <c r="L483" s="616"/>
      <c r="M483" s="616"/>
      <c r="N483" s="617"/>
      <c r="O483" s="617"/>
      <c r="P483" s="617"/>
      <c r="Q483" s="617"/>
      <c r="R483" s="619"/>
      <c r="S483" s="617"/>
      <c r="T483" s="616" t="s">
        <v>221</v>
      </c>
    </row>
    <row r="484" ht="34.5">
      <c r="A484" s="616" t="s">
        <v>668</v>
      </c>
      <c r="B484" s="616" t="s">
        <v>669</v>
      </c>
      <c r="C484" s="616" t="s">
        <v>815</v>
      </c>
      <c r="D484" s="616" t="s">
        <v>826</v>
      </c>
      <c r="E484" s="616" t="s">
        <v>820</v>
      </c>
      <c r="F484" s="617" t="s">
        <v>821</v>
      </c>
      <c r="G484" s="616" t="s">
        <v>727</v>
      </c>
      <c r="H484" s="617"/>
      <c r="I484" s="617"/>
      <c r="J484" s="617" t="s">
        <v>827</v>
      </c>
      <c r="K484" s="618"/>
      <c r="L484" s="616"/>
      <c r="M484" s="616"/>
      <c r="N484" s="617"/>
      <c r="O484" s="617"/>
      <c r="P484" s="617"/>
      <c r="Q484" s="617"/>
      <c r="R484" s="619"/>
      <c r="S484" s="617"/>
      <c r="T484" s="616" t="s">
        <v>221</v>
      </c>
    </row>
    <row r="485" ht="34.5">
      <c r="A485" s="616" t="s">
        <v>668</v>
      </c>
      <c r="B485" s="616" t="s">
        <v>669</v>
      </c>
      <c r="C485" s="616" t="s">
        <v>815</v>
      </c>
      <c r="D485" s="616" t="s">
        <v>216</v>
      </c>
      <c r="E485" s="616" t="s">
        <v>820</v>
      </c>
      <c r="F485" s="617" t="s">
        <v>821</v>
      </c>
      <c r="G485" s="616" t="s">
        <v>727</v>
      </c>
      <c r="H485" s="617"/>
      <c r="I485" s="617"/>
      <c r="J485" s="617" t="s">
        <v>828</v>
      </c>
      <c r="K485" s="618"/>
      <c r="L485" s="616"/>
      <c r="M485" s="616"/>
      <c r="N485" s="617"/>
      <c r="O485" s="617"/>
      <c r="P485" s="617"/>
      <c r="Q485" s="617"/>
      <c r="R485" s="619"/>
      <c r="S485" s="617"/>
      <c r="T485" s="616" t="s">
        <v>221</v>
      </c>
    </row>
    <row r="486" ht="34.5">
      <c r="A486" s="616" t="s">
        <v>668</v>
      </c>
      <c r="B486" s="616" t="s">
        <v>669</v>
      </c>
      <c r="C486" s="616" t="s">
        <v>829</v>
      </c>
      <c r="D486" s="616" t="s">
        <v>216</v>
      </c>
      <c r="E486" s="616" t="s">
        <v>820</v>
      </c>
      <c r="F486" s="617" t="s">
        <v>821</v>
      </c>
      <c r="G486" s="616" t="s">
        <v>727</v>
      </c>
      <c r="H486" s="617"/>
      <c r="I486" s="617"/>
      <c r="J486" s="617" t="s">
        <v>830</v>
      </c>
      <c r="K486" s="618"/>
      <c r="L486" s="616"/>
      <c r="M486" s="616"/>
      <c r="N486" s="617"/>
      <c r="O486" s="617"/>
      <c r="P486" s="617"/>
      <c r="Q486" s="617"/>
      <c r="R486" s="619"/>
      <c r="S486" s="617"/>
      <c r="T486" s="616" t="s">
        <v>221</v>
      </c>
    </row>
    <row r="487" ht="34.5">
      <c r="A487" s="616" t="s">
        <v>668</v>
      </c>
      <c r="B487" s="616" t="s">
        <v>669</v>
      </c>
      <c r="C487" s="616" t="s">
        <v>829</v>
      </c>
      <c r="D487" s="616" t="s">
        <v>831</v>
      </c>
      <c r="E487" s="616" t="s">
        <v>820</v>
      </c>
      <c r="F487" s="617" t="s">
        <v>821</v>
      </c>
      <c r="G487" s="616" t="s">
        <v>727</v>
      </c>
      <c r="H487" s="617"/>
      <c r="I487" s="617"/>
      <c r="J487" s="617" t="s">
        <v>832</v>
      </c>
      <c r="K487" s="618"/>
      <c r="L487" s="616"/>
      <c r="M487" s="616"/>
      <c r="N487" s="617"/>
      <c r="O487" s="617"/>
      <c r="P487" s="617"/>
      <c r="Q487" s="617"/>
      <c r="R487" s="619"/>
      <c r="S487" s="617"/>
      <c r="T487" s="616" t="s">
        <v>221</v>
      </c>
    </row>
    <row r="488" ht="34.5">
      <c r="A488" s="616" t="s">
        <v>668</v>
      </c>
      <c r="B488" s="616" t="s">
        <v>669</v>
      </c>
      <c r="C488" s="616" t="s">
        <v>829</v>
      </c>
      <c r="D488" s="616" t="s">
        <v>833</v>
      </c>
      <c r="E488" s="616" t="s">
        <v>834</v>
      </c>
      <c r="F488" s="617" t="s">
        <v>835</v>
      </c>
      <c r="G488" s="616" t="s">
        <v>698</v>
      </c>
      <c r="H488" s="617"/>
      <c r="I488" s="617"/>
      <c r="J488" s="617" t="s">
        <v>836</v>
      </c>
      <c r="K488" s="618"/>
      <c r="L488" s="616"/>
      <c r="M488" s="616"/>
      <c r="N488" s="617"/>
      <c r="O488" s="617"/>
      <c r="P488" s="617"/>
      <c r="Q488" s="617"/>
      <c r="R488" s="619"/>
      <c r="S488" s="617"/>
      <c r="T488" s="616" t="s">
        <v>221</v>
      </c>
    </row>
    <row r="489" ht="34.5">
      <c r="A489" s="616" t="s">
        <v>668</v>
      </c>
      <c r="B489" s="616" t="s">
        <v>669</v>
      </c>
      <c r="C489" s="616" t="s">
        <v>829</v>
      </c>
      <c r="D489" s="616" t="s">
        <v>216</v>
      </c>
      <c r="E489" s="616" t="s">
        <v>834</v>
      </c>
      <c r="F489" s="617" t="s">
        <v>835</v>
      </c>
      <c r="G489" s="616" t="s">
        <v>698</v>
      </c>
      <c r="H489" s="617"/>
      <c r="I489" s="617"/>
      <c r="J489" s="617" t="s">
        <v>837</v>
      </c>
      <c r="K489" s="618"/>
      <c r="L489" s="616"/>
      <c r="M489" s="616"/>
      <c r="N489" s="617"/>
      <c r="O489" s="617"/>
      <c r="P489" s="617"/>
      <c r="Q489" s="617"/>
      <c r="R489" s="619"/>
      <c r="S489" s="617"/>
      <c r="T489" s="616" t="s">
        <v>221</v>
      </c>
    </row>
    <row r="490" ht="34.5">
      <c r="A490" s="616" t="s">
        <v>668</v>
      </c>
      <c r="B490" s="616" t="s">
        <v>669</v>
      </c>
      <c r="C490" s="616" t="s">
        <v>829</v>
      </c>
      <c r="D490" s="616" t="s">
        <v>838</v>
      </c>
      <c r="E490" s="616" t="s">
        <v>834</v>
      </c>
      <c r="F490" s="617" t="s">
        <v>835</v>
      </c>
      <c r="G490" s="616" t="s">
        <v>698</v>
      </c>
      <c r="H490" s="617"/>
      <c r="I490" s="617"/>
      <c r="J490" s="617" t="s">
        <v>839</v>
      </c>
      <c r="K490" s="618"/>
      <c r="L490" s="616"/>
      <c r="M490" s="616"/>
      <c r="N490" s="617"/>
      <c r="O490" s="617"/>
      <c r="P490" s="617"/>
      <c r="Q490" s="617"/>
      <c r="R490" s="619"/>
      <c r="S490" s="617"/>
      <c r="T490" s="616" t="s">
        <v>221</v>
      </c>
    </row>
    <row r="491" ht="34.5">
      <c r="A491" s="616" t="s">
        <v>668</v>
      </c>
      <c r="B491" s="616" t="s">
        <v>669</v>
      </c>
      <c r="C491" s="616" t="s">
        <v>829</v>
      </c>
      <c r="D491" s="616" t="s">
        <v>216</v>
      </c>
      <c r="E491" s="616" t="s">
        <v>834</v>
      </c>
      <c r="F491" s="617" t="s">
        <v>835</v>
      </c>
      <c r="G491" s="616" t="s">
        <v>698</v>
      </c>
      <c r="H491" s="617"/>
      <c r="I491" s="617"/>
      <c r="J491" s="617" t="s">
        <v>840</v>
      </c>
      <c r="K491" s="618"/>
      <c r="L491" s="616"/>
      <c r="M491" s="616"/>
      <c r="N491" s="617"/>
      <c r="O491" s="617"/>
      <c r="P491" s="617"/>
      <c r="Q491" s="617"/>
      <c r="R491" s="619"/>
      <c r="S491" s="617"/>
      <c r="T491" s="616" t="s">
        <v>221</v>
      </c>
    </row>
    <row r="492" ht="34.5">
      <c r="A492" s="616" t="s">
        <v>668</v>
      </c>
      <c r="B492" s="616" t="s">
        <v>669</v>
      </c>
      <c r="C492" s="616" t="s">
        <v>829</v>
      </c>
      <c r="D492" s="616" t="s">
        <v>841</v>
      </c>
      <c r="E492" s="616" t="s">
        <v>834</v>
      </c>
      <c r="F492" s="617" t="s">
        <v>835</v>
      </c>
      <c r="G492" s="616" t="s">
        <v>698</v>
      </c>
      <c r="H492" s="617"/>
      <c r="I492" s="617"/>
      <c r="J492" s="617" t="s">
        <v>842</v>
      </c>
      <c r="K492" s="618"/>
      <c r="L492" s="616"/>
      <c r="M492" s="616"/>
      <c r="N492" s="617"/>
      <c r="O492" s="617"/>
      <c r="P492" s="617"/>
      <c r="Q492" s="617"/>
      <c r="R492" s="619"/>
      <c r="S492" s="617"/>
      <c r="T492" s="616" t="s">
        <v>221</v>
      </c>
    </row>
    <row r="493" ht="34.5">
      <c r="A493" s="616" t="s">
        <v>668</v>
      </c>
      <c r="B493" s="616" t="s">
        <v>669</v>
      </c>
      <c r="C493" s="616" t="s">
        <v>843</v>
      </c>
      <c r="D493" s="616" t="s">
        <v>844</v>
      </c>
      <c r="E493" s="616" t="s">
        <v>845</v>
      </c>
      <c r="F493" s="617" t="s">
        <v>846</v>
      </c>
      <c r="G493" s="616" t="s">
        <v>727</v>
      </c>
      <c r="H493" s="617"/>
      <c r="I493" s="617"/>
      <c r="J493" s="617" t="s">
        <v>847</v>
      </c>
      <c r="K493" s="618"/>
      <c r="L493" s="616"/>
      <c r="M493" s="616"/>
      <c r="N493" s="617"/>
      <c r="O493" s="617"/>
      <c r="P493" s="617"/>
      <c r="Q493" s="617"/>
      <c r="R493" s="619"/>
      <c r="S493" s="617"/>
      <c r="T493" s="616" t="s">
        <v>221</v>
      </c>
    </row>
    <row r="494" ht="34.5">
      <c r="A494" s="616" t="s">
        <v>668</v>
      </c>
      <c r="B494" s="616" t="s">
        <v>669</v>
      </c>
      <c r="C494" s="616" t="s">
        <v>843</v>
      </c>
      <c r="D494" s="616" t="s">
        <v>216</v>
      </c>
      <c r="E494" s="616" t="s">
        <v>845</v>
      </c>
      <c r="F494" s="617" t="s">
        <v>846</v>
      </c>
      <c r="G494" s="616" t="s">
        <v>727</v>
      </c>
      <c r="H494" s="617"/>
      <c r="I494" s="617"/>
      <c r="J494" s="617" t="s">
        <v>848</v>
      </c>
      <c r="K494" s="618"/>
      <c r="L494" s="616"/>
      <c r="M494" s="616"/>
      <c r="N494" s="617"/>
      <c r="O494" s="617"/>
      <c r="P494" s="617"/>
      <c r="Q494" s="617"/>
      <c r="R494" s="619"/>
      <c r="S494" s="617"/>
      <c r="T494" s="616" t="s">
        <v>221</v>
      </c>
    </row>
    <row r="495" ht="34.5">
      <c r="A495" s="616" t="s">
        <v>668</v>
      </c>
      <c r="B495" s="616" t="s">
        <v>669</v>
      </c>
      <c r="C495" s="616" t="s">
        <v>843</v>
      </c>
      <c r="D495" s="616" t="s">
        <v>216</v>
      </c>
      <c r="E495" s="616" t="s">
        <v>845</v>
      </c>
      <c r="F495" s="617" t="s">
        <v>846</v>
      </c>
      <c r="G495" s="616" t="s">
        <v>727</v>
      </c>
      <c r="H495" s="617"/>
      <c r="I495" s="617"/>
      <c r="J495" s="617" t="s">
        <v>849</v>
      </c>
      <c r="K495" s="618">
        <v>550000000</v>
      </c>
      <c r="L495" s="616" t="s">
        <v>611</v>
      </c>
      <c r="M495" s="616"/>
      <c r="N495" s="617"/>
      <c r="O495" s="617"/>
      <c r="P495" s="617"/>
      <c r="Q495" s="617"/>
      <c r="R495" s="619"/>
      <c r="S495" s="617"/>
      <c r="T495" s="616" t="s">
        <v>221</v>
      </c>
    </row>
    <row r="496" ht="34.5">
      <c r="A496" s="616" t="s">
        <v>668</v>
      </c>
      <c r="B496" s="616" t="s">
        <v>669</v>
      </c>
      <c r="C496" s="616" t="s">
        <v>843</v>
      </c>
      <c r="D496" s="616" t="s">
        <v>216</v>
      </c>
      <c r="E496" s="616" t="s">
        <v>845</v>
      </c>
      <c r="F496" s="617" t="s">
        <v>846</v>
      </c>
      <c r="G496" s="616" t="s">
        <v>727</v>
      </c>
      <c r="H496" s="617"/>
      <c r="I496" s="617"/>
      <c r="J496" s="617" t="s">
        <v>850</v>
      </c>
      <c r="K496" s="618"/>
      <c r="L496" s="616"/>
      <c r="M496" s="616"/>
      <c r="N496" s="617"/>
      <c r="O496" s="617"/>
      <c r="P496" s="617"/>
      <c r="Q496" s="617"/>
      <c r="R496" s="619"/>
      <c r="S496" s="617"/>
      <c r="T496" s="616" t="s">
        <v>221</v>
      </c>
    </row>
    <row r="497" ht="34.5">
      <c r="A497" s="616" t="s">
        <v>668</v>
      </c>
      <c r="B497" s="616" t="s">
        <v>669</v>
      </c>
      <c r="C497" s="616" t="s">
        <v>843</v>
      </c>
      <c r="D497" s="616" t="s">
        <v>216</v>
      </c>
      <c r="E497" s="616" t="s">
        <v>845</v>
      </c>
      <c r="F497" s="617" t="s">
        <v>846</v>
      </c>
      <c r="G497" s="616" t="s">
        <v>727</v>
      </c>
      <c r="H497" s="617"/>
      <c r="I497" s="617"/>
      <c r="J497" s="617" t="s">
        <v>851</v>
      </c>
      <c r="K497" s="618"/>
      <c r="L497" s="616"/>
      <c r="M497" s="616"/>
      <c r="N497" s="617"/>
      <c r="O497" s="617"/>
      <c r="P497" s="617"/>
      <c r="Q497" s="617"/>
      <c r="R497" s="619"/>
      <c r="S497" s="617"/>
      <c r="T497" s="616" t="s">
        <v>221</v>
      </c>
    </row>
    <row r="498" ht="34.5">
      <c r="A498" s="616" t="s">
        <v>668</v>
      </c>
      <c r="B498" s="616" t="s">
        <v>669</v>
      </c>
      <c r="C498" s="616" t="s">
        <v>843</v>
      </c>
      <c r="D498" s="616" t="s">
        <v>216</v>
      </c>
      <c r="E498" s="616" t="s">
        <v>845</v>
      </c>
      <c r="F498" s="617" t="s">
        <v>846</v>
      </c>
      <c r="G498" s="616" t="s">
        <v>727</v>
      </c>
      <c r="H498" s="617"/>
      <c r="I498" s="617"/>
      <c r="J498" s="617" t="s">
        <v>852</v>
      </c>
      <c r="K498" s="618">
        <v>129803846</v>
      </c>
      <c r="L498" s="616" t="s">
        <v>611</v>
      </c>
      <c r="M498" s="616"/>
      <c r="N498" s="617"/>
      <c r="O498" s="617"/>
      <c r="P498" s="617"/>
      <c r="Q498" s="617"/>
      <c r="R498" s="619"/>
      <c r="S498" s="617"/>
      <c r="T498" s="616" t="s">
        <v>221</v>
      </c>
    </row>
    <row r="499" ht="34.5">
      <c r="A499" s="616" t="s">
        <v>668</v>
      </c>
      <c r="B499" s="616" t="s">
        <v>669</v>
      </c>
      <c r="C499" s="616" t="s">
        <v>843</v>
      </c>
      <c r="D499" s="616" t="s">
        <v>216</v>
      </c>
      <c r="E499" s="616" t="s">
        <v>845</v>
      </c>
      <c r="F499" s="617" t="s">
        <v>846</v>
      </c>
      <c r="G499" s="616" t="s">
        <v>727</v>
      </c>
      <c r="H499" s="617"/>
      <c r="I499" s="617"/>
      <c r="J499" s="617" t="s">
        <v>853</v>
      </c>
      <c r="K499" s="618"/>
      <c r="L499" s="616"/>
      <c r="M499" s="616"/>
      <c r="N499" s="617"/>
      <c r="O499" s="617"/>
      <c r="P499" s="617"/>
      <c r="Q499" s="617"/>
      <c r="R499" s="619"/>
      <c r="S499" s="617"/>
      <c r="T499" s="616" t="s">
        <v>221</v>
      </c>
    </row>
    <row r="500" ht="34.5">
      <c r="A500" s="616" t="s">
        <v>668</v>
      </c>
      <c r="B500" s="616" t="s">
        <v>669</v>
      </c>
      <c r="C500" s="616" t="s">
        <v>843</v>
      </c>
      <c r="D500" s="616" t="s">
        <v>854</v>
      </c>
      <c r="E500" s="616" t="s">
        <v>845</v>
      </c>
      <c r="F500" s="617" t="s">
        <v>846</v>
      </c>
      <c r="G500" s="616" t="s">
        <v>727</v>
      </c>
      <c r="H500" s="617"/>
      <c r="I500" s="617"/>
      <c r="J500" s="617" t="s">
        <v>855</v>
      </c>
      <c r="K500" s="618"/>
      <c r="L500" s="616"/>
      <c r="M500" s="616"/>
      <c r="N500" s="617"/>
      <c r="O500" s="617"/>
      <c r="P500" s="617"/>
      <c r="Q500" s="617"/>
      <c r="R500" s="619"/>
      <c r="S500" s="617"/>
      <c r="T500" s="616" t="s">
        <v>221</v>
      </c>
    </row>
    <row r="501" ht="34.5">
      <c r="A501" s="616" t="s">
        <v>668</v>
      </c>
      <c r="B501" s="616" t="s">
        <v>669</v>
      </c>
      <c r="C501" s="616" t="s">
        <v>843</v>
      </c>
      <c r="D501" s="616" t="s">
        <v>216</v>
      </c>
      <c r="E501" s="616" t="s">
        <v>856</v>
      </c>
      <c r="F501" s="617" t="s">
        <v>857</v>
      </c>
      <c r="G501" s="616" t="s">
        <v>727</v>
      </c>
      <c r="H501" s="617"/>
      <c r="I501" s="617"/>
      <c r="J501" s="617" t="s">
        <v>858</v>
      </c>
      <c r="K501" s="618"/>
      <c r="L501" s="616"/>
      <c r="M501" s="616"/>
      <c r="N501" s="617"/>
      <c r="O501" s="617"/>
      <c r="P501" s="617"/>
      <c r="Q501" s="617"/>
      <c r="R501" s="619"/>
      <c r="S501" s="617"/>
      <c r="T501" s="616" t="s">
        <v>221</v>
      </c>
    </row>
    <row r="502" ht="34.5">
      <c r="A502" s="616" t="s">
        <v>668</v>
      </c>
      <c r="B502" s="616" t="s">
        <v>669</v>
      </c>
      <c r="C502" s="616" t="s">
        <v>843</v>
      </c>
      <c r="D502" s="616" t="s">
        <v>859</v>
      </c>
      <c r="E502" s="616" t="s">
        <v>856</v>
      </c>
      <c r="F502" s="617" t="s">
        <v>857</v>
      </c>
      <c r="G502" s="616" t="s">
        <v>727</v>
      </c>
      <c r="H502" s="617"/>
      <c r="I502" s="617"/>
      <c r="J502" s="617" t="s">
        <v>860</v>
      </c>
      <c r="K502" s="618"/>
      <c r="L502" s="616"/>
      <c r="M502" s="616"/>
      <c r="N502" s="617"/>
      <c r="O502" s="617"/>
      <c r="P502" s="617"/>
      <c r="Q502" s="617"/>
      <c r="R502" s="619"/>
      <c r="S502" s="617"/>
      <c r="T502" s="616" t="s">
        <v>221</v>
      </c>
    </row>
    <row r="503" ht="34.5">
      <c r="A503" s="616" t="s">
        <v>668</v>
      </c>
      <c r="B503" s="616" t="s">
        <v>669</v>
      </c>
      <c r="C503" s="616" t="s">
        <v>861</v>
      </c>
      <c r="D503" s="616" t="s">
        <v>216</v>
      </c>
      <c r="E503" s="616" t="s">
        <v>856</v>
      </c>
      <c r="F503" s="617" t="s">
        <v>857</v>
      </c>
      <c r="G503" s="616" t="s">
        <v>727</v>
      </c>
      <c r="H503" s="617"/>
      <c r="I503" s="617"/>
      <c r="J503" s="617" t="s">
        <v>862</v>
      </c>
      <c r="K503" s="618"/>
      <c r="L503" s="616"/>
      <c r="M503" s="616"/>
      <c r="N503" s="617"/>
      <c r="O503" s="617"/>
      <c r="P503" s="617"/>
      <c r="Q503" s="617"/>
      <c r="R503" s="619"/>
      <c r="S503" s="617"/>
      <c r="T503" s="616" t="s">
        <v>221</v>
      </c>
    </row>
    <row r="504" ht="34.5">
      <c r="A504" s="616" t="s">
        <v>668</v>
      </c>
      <c r="B504" s="616" t="s">
        <v>669</v>
      </c>
      <c r="C504" s="616" t="s">
        <v>861</v>
      </c>
      <c r="D504" s="616" t="s">
        <v>863</v>
      </c>
      <c r="E504" s="616" t="s">
        <v>856</v>
      </c>
      <c r="F504" s="617" t="s">
        <v>857</v>
      </c>
      <c r="G504" s="616" t="s">
        <v>727</v>
      </c>
      <c r="H504" s="617"/>
      <c r="I504" s="617"/>
      <c r="J504" s="617" t="s">
        <v>864</v>
      </c>
      <c r="K504" s="618"/>
      <c r="L504" s="616"/>
      <c r="M504" s="616"/>
      <c r="N504" s="617"/>
      <c r="O504" s="617"/>
      <c r="P504" s="617"/>
      <c r="Q504" s="617"/>
      <c r="R504" s="619"/>
      <c r="S504" s="617"/>
      <c r="T504" s="616" t="s">
        <v>221</v>
      </c>
    </row>
    <row r="505" ht="34.5">
      <c r="A505" s="616" t="s">
        <v>668</v>
      </c>
      <c r="B505" s="616" t="s">
        <v>669</v>
      </c>
      <c r="C505" s="616" t="s">
        <v>861</v>
      </c>
      <c r="D505" s="616" t="s">
        <v>216</v>
      </c>
      <c r="E505" s="616" t="s">
        <v>865</v>
      </c>
      <c r="F505" s="617" t="s">
        <v>866</v>
      </c>
      <c r="G505" s="616" t="s">
        <v>727</v>
      </c>
      <c r="H505" s="617"/>
      <c r="I505" s="617"/>
      <c r="J505" s="617" t="s">
        <v>867</v>
      </c>
      <c r="K505" s="618"/>
      <c r="L505" s="616"/>
      <c r="M505" s="616"/>
      <c r="N505" s="617"/>
      <c r="O505" s="617"/>
      <c r="P505" s="617"/>
      <c r="Q505" s="617"/>
      <c r="R505" s="619"/>
      <c r="S505" s="617"/>
      <c r="T505" s="616" t="s">
        <v>221</v>
      </c>
    </row>
    <row r="506" ht="34.5">
      <c r="A506" s="616" t="s">
        <v>668</v>
      </c>
      <c r="B506" s="616" t="s">
        <v>669</v>
      </c>
      <c r="C506" s="616" t="s">
        <v>861</v>
      </c>
      <c r="D506" s="616" t="s">
        <v>868</v>
      </c>
      <c r="E506" s="616" t="s">
        <v>865</v>
      </c>
      <c r="F506" s="617" t="s">
        <v>866</v>
      </c>
      <c r="G506" s="616" t="s">
        <v>727</v>
      </c>
      <c r="H506" s="617"/>
      <c r="I506" s="617"/>
      <c r="J506" s="617" t="s">
        <v>869</v>
      </c>
      <c r="K506" s="618"/>
      <c r="L506" s="616"/>
      <c r="M506" s="616"/>
      <c r="N506" s="617"/>
      <c r="O506" s="617"/>
      <c r="P506" s="617"/>
      <c r="Q506" s="617"/>
      <c r="R506" s="619"/>
      <c r="S506" s="617"/>
      <c r="T506" s="616" t="s">
        <v>221</v>
      </c>
    </row>
    <row r="507" ht="34.5">
      <c r="A507" s="616" t="s">
        <v>668</v>
      </c>
      <c r="B507" s="616" t="s">
        <v>669</v>
      </c>
      <c r="C507" s="616" t="s">
        <v>861</v>
      </c>
      <c r="D507" s="616" t="s">
        <v>216</v>
      </c>
      <c r="E507" s="616" t="s">
        <v>865</v>
      </c>
      <c r="F507" s="617" t="s">
        <v>866</v>
      </c>
      <c r="G507" s="616" t="s">
        <v>727</v>
      </c>
      <c r="H507" s="617"/>
      <c r="I507" s="617"/>
      <c r="J507" s="617" t="s">
        <v>870</v>
      </c>
      <c r="K507" s="618"/>
      <c r="L507" s="616"/>
      <c r="M507" s="616"/>
      <c r="N507" s="617"/>
      <c r="O507" s="617"/>
      <c r="P507" s="617"/>
      <c r="Q507" s="617"/>
      <c r="R507" s="619"/>
      <c r="S507" s="617"/>
      <c r="T507" s="616" t="s">
        <v>221</v>
      </c>
    </row>
    <row r="508" ht="34.5">
      <c r="A508" s="616" t="s">
        <v>668</v>
      </c>
      <c r="B508" s="616" t="s">
        <v>669</v>
      </c>
      <c r="C508" s="616" t="s">
        <v>861</v>
      </c>
      <c r="D508" s="616" t="s">
        <v>871</v>
      </c>
      <c r="E508" s="616" t="s">
        <v>865</v>
      </c>
      <c r="F508" s="617" t="s">
        <v>866</v>
      </c>
      <c r="G508" s="616" t="s">
        <v>727</v>
      </c>
      <c r="H508" s="617"/>
      <c r="I508" s="617"/>
      <c r="J508" s="617" t="s">
        <v>872</v>
      </c>
      <c r="K508" s="618"/>
      <c r="L508" s="616"/>
      <c r="M508" s="616"/>
      <c r="N508" s="617"/>
      <c r="O508" s="617"/>
      <c r="P508" s="617"/>
      <c r="Q508" s="617"/>
      <c r="R508" s="619"/>
      <c r="S508" s="617"/>
      <c r="T508" s="616" t="s">
        <v>221</v>
      </c>
    </row>
    <row r="509" ht="34.5">
      <c r="A509" s="616" t="s">
        <v>668</v>
      </c>
      <c r="B509" s="616" t="s">
        <v>669</v>
      </c>
      <c r="C509" s="616" t="s">
        <v>861</v>
      </c>
      <c r="D509" s="616" t="s">
        <v>216</v>
      </c>
      <c r="E509" s="616" t="s">
        <v>865</v>
      </c>
      <c r="F509" s="617" t="s">
        <v>866</v>
      </c>
      <c r="G509" s="616" t="s">
        <v>727</v>
      </c>
      <c r="H509" s="617"/>
      <c r="I509" s="617"/>
      <c r="J509" s="617" t="s">
        <v>873</v>
      </c>
      <c r="K509" s="618"/>
      <c r="L509" s="616"/>
      <c r="M509" s="616"/>
      <c r="N509" s="617"/>
      <c r="O509" s="617"/>
      <c r="P509" s="617"/>
      <c r="Q509" s="617"/>
      <c r="R509" s="619"/>
      <c r="S509" s="617"/>
      <c r="T509" s="616" t="s">
        <v>221</v>
      </c>
    </row>
    <row r="510" ht="34.5">
      <c r="A510" s="616" t="s">
        <v>668</v>
      </c>
      <c r="B510" s="616" t="s">
        <v>669</v>
      </c>
      <c r="C510" s="616" t="s">
        <v>861</v>
      </c>
      <c r="D510" s="616" t="s">
        <v>874</v>
      </c>
      <c r="E510" s="616" t="s">
        <v>865</v>
      </c>
      <c r="F510" s="617" t="s">
        <v>866</v>
      </c>
      <c r="G510" s="616" t="s">
        <v>727</v>
      </c>
      <c r="H510" s="617"/>
      <c r="I510" s="617"/>
      <c r="J510" s="617" t="s">
        <v>875</v>
      </c>
      <c r="K510" s="618"/>
      <c r="L510" s="616"/>
      <c r="M510" s="616"/>
      <c r="N510" s="617"/>
      <c r="O510" s="617"/>
      <c r="P510" s="617"/>
      <c r="Q510" s="617"/>
      <c r="R510" s="619"/>
      <c r="S510" s="617"/>
      <c r="T510" s="616" t="s">
        <v>221</v>
      </c>
    </row>
    <row r="511" ht="34.5">
      <c r="A511" s="616" t="s">
        <v>668</v>
      </c>
      <c r="B511" s="616" t="s">
        <v>669</v>
      </c>
      <c r="C511" s="616" t="s">
        <v>861</v>
      </c>
      <c r="D511" s="616" t="s">
        <v>216</v>
      </c>
      <c r="E511" s="616" t="s">
        <v>865</v>
      </c>
      <c r="F511" s="617" t="s">
        <v>866</v>
      </c>
      <c r="G511" s="616" t="s">
        <v>727</v>
      </c>
      <c r="H511" s="617"/>
      <c r="I511" s="617"/>
      <c r="J511" s="617" t="s">
        <v>876</v>
      </c>
      <c r="K511" s="618"/>
      <c r="L511" s="616"/>
      <c r="M511" s="616"/>
      <c r="N511" s="617"/>
      <c r="O511" s="617"/>
      <c r="P511" s="617"/>
      <c r="Q511" s="617"/>
      <c r="R511" s="619"/>
      <c r="S511" s="617"/>
      <c r="T511" s="616" t="s">
        <v>221</v>
      </c>
    </row>
    <row r="512" ht="34.5">
      <c r="A512" s="616" t="s">
        <v>668</v>
      </c>
      <c r="B512" s="616" t="s">
        <v>669</v>
      </c>
      <c r="C512" s="616" t="s">
        <v>877</v>
      </c>
      <c r="D512" s="616" t="s">
        <v>878</v>
      </c>
      <c r="E512" s="616" t="s">
        <v>879</v>
      </c>
      <c r="F512" s="617" t="s">
        <v>880</v>
      </c>
      <c r="G512" s="616" t="s">
        <v>698</v>
      </c>
      <c r="H512" s="617"/>
      <c r="I512" s="617"/>
      <c r="J512" s="617" t="s">
        <v>881</v>
      </c>
      <c r="K512" s="618"/>
      <c r="L512" s="616"/>
      <c r="M512" s="616"/>
      <c r="N512" s="617"/>
      <c r="O512" s="617"/>
      <c r="P512" s="617"/>
      <c r="Q512" s="617"/>
      <c r="R512" s="619"/>
      <c r="S512" s="617"/>
      <c r="T512" s="616" t="s">
        <v>221</v>
      </c>
    </row>
    <row r="513" ht="34.5">
      <c r="A513" s="616" t="s">
        <v>668</v>
      </c>
      <c r="B513" s="616" t="s">
        <v>669</v>
      </c>
      <c r="C513" s="616" t="s">
        <v>877</v>
      </c>
      <c r="D513" s="616" t="s">
        <v>216</v>
      </c>
      <c r="E513" s="616" t="s">
        <v>879</v>
      </c>
      <c r="F513" s="617" t="s">
        <v>880</v>
      </c>
      <c r="G513" s="616" t="s">
        <v>698</v>
      </c>
      <c r="H513" s="617"/>
      <c r="I513" s="617"/>
      <c r="J513" s="617" t="s">
        <v>882</v>
      </c>
      <c r="K513" s="618"/>
      <c r="L513" s="616"/>
      <c r="M513" s="616"/>
      <c r="N513" s="617"/>
      <c r="O513" s="617"/>
      <c r="P513" s="617"/>
      <c r="Q513" s="617"/>
      <c r="R513" s="619"/>
      <c r="S513" s="617"/>
      <c r="T513" s="616" t="s">
        <v>221</v>
      </c>
    </row>
    <row r="514" ht="34.5">
      <c r="A514" s="616" t="s">
        <v>668</v>
      </c>
      <c r="B514" s="616" t="s">
        <v>669</v>
      </c>
      <c r="C514" s="616" t="s">
        <v>877</v>
      </c>
      <c r="D514" s="616" t="s">
        <v>216</v>
      </c>
      <c r="E514" s="616" t="s">
        <v>879</v>
      </c>
      <c r="F514" s="617" t="s">
        <v>880</v>
      </c>
      <c r="G514" s="616" t="s">
        <v>698</v>
      </c>
      <c r="H514" s="617"/>
      <c r="I514" s="617"/>
      <c r="J514" s="617" t="s">
        <v>883</v>
      </c>
      <c r="K514" s="618"/>
      <c r="L514" s="616"/>
      <c r="M514" s="616"/>
      <c r="N514" s="617"/>
      <c r="O514" s="617"/>
      <c r="P514" s="617"/>
      <c r="Q514" s="617"/>
      <c r="R514" s="619"/>
      <c r="S514" s="617"/>
      <c r="T514" s="616" t="s">
        <v>221</v>
      </c>
    </row>
    <row r="515" ht="34.5">
      <c r="A515" s="616" t="s">
        <v>668</v>
      </c>
      <c r="B515" s="616" t="s">
        <v>669</v>
      </c>
      <c r="C515" s="616" t="s">
        <v>877</v>
      </c>
      <c r="D515" s="616" t="s">
        <v>216</v>
      </c>
      <c r="E515" s="616" t="s">
        <v>879</v>
      </c>
      <c r="F515" s="617" t="s">
        <v>880</v>
      </c>
      <c r="G515" s="616" t="s">
        <v>698</v>
      </c>
      <c r="H515" s="617"/>
      <c r="I515" s="617"/>
      <c r="J515" s="617" t="s">
        <v>884</v>
      </c>
      <c r="K515" s="618"/>
      <c r="L515" s="616"/>
      <c r="M515" s="616"/>
      <c r="N515" s="617"/>
      <c r="O515" s="617"/>
      <c r="P515" s="617"/>
      <c r="Q515" s="617"/>
      <c r="R515" s="619"/>
      <c r="S515" s="617"/>
      <c r="T515" s="616" t="s">
        <v>221</v>
      </c>
    </row>
    <row r="516" ht="34.5">
      <c r="A516" s="616" t="s">
        <v>668</v>
      </c>
      <c r="B516" s="616" t="s">
        <v>669</v>
      </c>
      <c r="C516" s="616" t="s">
        <v>885</v>
      </c>
      <c r="D516" s="616" t="s">
        <v>886</v>
      </c>
      <c r="E516" s="616" t="s">
        <v>887</v>
      </c>
      <c r="F516" s="617" t="s">
        <v>888</v>
      </c>
      <c r="G516" s="616" t="s">
        <v>889</v>
      </c>
      <c r="H516" s="617"/>
      <c r="I516" s="617"/>
      <c r="J516" s="617" t="s">
        <v>890</v>
      </c>
      <c r="K516" s="618"/>
      <c r="L516" s="616"/>
      <c r="M516" s="616"/>
      <c r="N516" s="617"/>
      <c r="O516" s="617"/>
      <c r="P516" s="617"/>
      <c r="Q516" s="617"/>
      <c r="R516" s="619"/>
      <c r="S516" s="617"/>
      <c r="T516" s="616" t="s">
        <v>221</v>
      </c>
    </row>
    <row r="517" ht="34.5">
      <c r="A517" s="616" t="s">
        <v>668</v>
      </c>
      <c r="B517" s="616" t="s">
        <v>669</v>
      </c>
      <c r="C517" s="616" t="s">
        <v>885</v>
      </c>
      <c r="D517" s="616" t="s">
        <v>216</v>
      </c>
      <c r="E517" s="616" t="s">
        <v>887</v>
      </c>
      <c r="F517" s="617" t="s">
        <v>888</v>
      </c>
      <c r="G517" s="616" t="s">
        <v>889</v>
      </c>
      <c r="H517" s="617"/>
      <c r="I517" s="617"/>
      <c r="J517" s="617" t="s">
        <v>891</v>
      </c>
      <c r="K517" s="618"/>
      <c r="L517" s="616"/>
      <c r="M517" s="616"/>
      <c r="N517" s="617"/>
      <c r="O517" s="617"/>
      <c r="P517" s="617"/>
      <c r="Q517" s="617"/>
      <c r="R517" s="619"/>
      <c r="S517" s="617"/>
      <c r="T517" s="616" t="s">
        <v>221</v>
      </c>
    </row>
    <row r="518" ht="34.5">
      <c r="A518" s="616" t="s">
        <v>668</v>
      </c>
      <c r="B518" s="616" t="s">
        <v>669</v>
      </c>
      <c r="C518" s="616" t="s">
        <v>885</v>
      </c>
      <c r="D518" s="616" t="s">
        <v>216</v>
      </c>
      <c r="E518" s="616" t="s">
        <v>892</v>
      </c>
      <c r="F518" s="617" t="s">
        <v>893</v>
      </c>
      <c r="G518" s="616" t="s">
        <v>894</v>
      </c>
      <c r="H518" s="617"/>
      <c r="I518" s="617"/>
      <c r="J518" s="617" t="s">
        <v>895</v>
      </c>
      <c r="K518" s="618">
        <v>2000000</v>
      </c>
      <c r="L518" s="616" t="s">
        <v>611</v>
      </c>
      <c r="M518" s="616"/>
      <c r="N518" s="617"/>
      <c r="O518" s="617"/>
      <c r="P518" s="617"/>
      <c r="Q518" s="617"/>
      <c r="R518" s="619"/>
      <c r="S518" s="617"/>
      <c r="T518" s="616" t="s">
        <v>221</v>
      </c>
    </row>
    <row r="519" ht="34.5">
      <c r="A519" s="616" t="s">
        <v>668</v>
      </c>
      <c r="B519" s="616" t="s">
        <v>669</v>
      </c>
      <c r="C519" s="616" t="s">
        <v>885</v>
      </c>
      <c r="D519" s="616" t="s">
        <v>216</v>
      </c>
      <c r="E519" s="616" t="s">
        <v>892</v>
      </c>
      <c r="F519" s="617" t="s">
        <v>893</v>
      </c>
      <c r="G519" s="616" t="s">
        <v>894</v>
      </c>
      <c r="H519" s="617"/>
      <c r="I519" s="617"/>
      <c r="J519" s="617" t="s">
        <v>896</v>
      </c>
      <c r="K519" s="618">
        <v>23664251</v>
      </c>
      <c r="L519" s="616" t="s">
        <v>611</v>
      </c>
      <c r="M519" s="616"/>
      <c r="N519" s="617"/>
      <c r="O519" s="617"/>
      <c r="P519" s="617"/>
      <c r="Q519" s="617"/>
      <c r="R519" s="619"/>
      <c r="S519" s="617"/>
      <c r="T519" s="616" t="s">
        <v>221</v>
      </c>
    </row>
    <row r="520" ht="34.5">
      <c r="A520" s="616" t="s">
        <v>668</v>
      </c>
      <c r="B520" s="616" t="s">
        <v>669</v>
      </c>
      <c r="C520" s="616" t="s">
        <v>885</v>
      </c>
      <c r="D520" s="616" t="s">
        <v>216</v>
      </c>
      <c r="E520" s="616" t="s">
        <v>892</v>
      </c>
      <c r="F520" s="617" t="s">
        <v>893</v>
      </c>
      <c r="G520" s="616" t="s">
        <v>894</v>
      </c>
      <c r="H520" s="617"/>
      <c r="I520" s="617"/>
      <c r="J520" s="617" t="s">
        <v>897</v>
      </c>
      <c r="K520" s="618"/>
      <c r="L520" s="616"/>
      <c r="M520" s="616"/>
      <c r="N520" s="617"/>
      <c r="O520" s="617"/>
      <c r="P520" s="617"/>
      <c r="Q520" s="617"/>
      <c r="R520" s="619"/>
      <c r="S520" s="617"/>
      <c r="T520" s="616" t="s">
        <v>221</v>
      </c>
    </row>
    <row r="521" ht="34.5">
      <c r="A521" s="616" t="s">
        <v>668</v>
      </c>
      <c r="B521" s="616" t="s">
        <v>669</v>
      </c>
      <c r="C521" s="616" t="s">
        <v>898</v>
      </c>
      <c r="D521" s="616" t="s">
        <v>899</v>
      </c>
      <c r="E521" s="616" t="s">
        <v>900</v>
      </c>
      <c r="F521" s="617" t="s">
        <v>901</v>
      </c>
      <c r="G521" s="616" t="s">
        <v>902</v>
      </c>
      <c r="H521" s="617"/>
      <c r="I521" s="617"/>
      <c r="J521" s="617" t="s">
        <v>903</v>
      </c>
      <c r="K521" s="618"/>
      <c r="L521" s="616"/>
      <c r="M521" s="616"/>
      <c r="N521" s="617"/>
      <c r="O521" s="617"/>
      <c r="P521" s="617"/>
      <c r="Q521" s="617"/>
      <c r="R521" s="619"/>
      <c r="S521" s="617"/>
      <c r="T521" s="616" t="s">
        <v>221</v>
      </c>
    </row>
    <row r="522" ht="34.5">
      <c r="A522" s="616" t="s">
        <v>668</v>
      </c>
      <c r="B522" s="616" t="s">
        <v>669</v>
      </c>
      <c r="C522" s="616" t="s">
        <v>898</v>
      </c>
      <c r="D522" s="616" t="s">
        <v>904</v>
      </c>
      <c r="E522" s="616" t="s">
        <v>905</v>
      </c>
      <c r="F522" s="617" t="s">
        <v>906</v>
      </c>
      <c r="G522" s="616" t="s">
        <v>694</v>
      </c>
      <c r="H522" s="617"/>
      <c r="I522" s="617"/>
      <c r="J522" s="617" t="s">
        <v>907</v>
      </c>
      <c r="K522" s="618"/>
      <c r="L522" s="616"/>
      <c r="M522" s="616"/>
      <c r="N522" s="617"/>
      <c r="O522" s="617"/>
      <c r="P522" s="617"/>
      <c r="Q522" s="617"/>
      <c r="R522" s="619"/>
      <c r="S522" s="617"/>
      <c r="T522" s="616" t="s">
        <v>221</v>
      </c>
    </row>
    <row r="523" ht="34.5">
      <c r="A523" s="616" t="s">
        <v>668</v>
      </c>
      <c r="B523" s="616" t="s">
        <v>669</v>
      </c>
      <c r="C523" s="616" t="s">
        <v>898</v>
      </c>
      <c r="D523" s="616" t="s">
        <v>216</v>
      </c>
      <c r="E523" s="616" t="s">
        <v>905</v>
      </c>
      <c r="F523" s="617" t="s">
        <v>906</v>
      </c>
      <c r="G523" s="616" t="s">
        <v>694</v>
      </c>
      <c r="H523" s="617"/>
      <c r="I523" s="617"/>
      <c r="J523" s="617" t="s">
        <v>908</v>
      </c>
      <c r="K523" s="618"/>
      <c r="L523" s="616"/>
      <c r="M523" s="616"/>
      <c r="N523" s="617"/>
      <c r="O523" s="617"/>
      <c r="P523" s="617"/>
      <c r="Q523" s="617"/>
      <c r="R523" s="619"/>
      <c r="S523" s="617"/>
      <c r="T523" s="616" t="s">
        <v>221</v>
      </c>
    </row>
    <row r="524" ht="34.5">
      <c r="A524" s="616" t="s">
        <v>668</v>
      </c>
      <c r="B524" s="616" t="s">
        <v>669</v>
      </c>
      <c r="C524" s="616" t="s">
        <v>909</v>
      </c>
      <c r="D524" s="616" t="s">
        <v>910</v>
      </c>
      <c r="E524" s="616" t="s">
        <v>911</v>
      </c>
      <c r="F524" s="617" t="s">
        <v>912</v>
      </c>
      <c r="G524" s="616" t="s">
        <v>913</v>
      </c>
      <c r="H524" s="617"/>
      <c r="I524" s="617"/>
      <c r="J524" s="617" t="s">
        <v>914</v>
      </c>
      <c r="K524" s="618"/>
      <c r="L524" s="616"/>
      <c r="M524" s="616"/>
      <c r="N524" s="617"/>
      <c r="O524" s="617"/>
      <c r="P524" s="617"/>
      <c r="Q524" s="617"/>
      <c r="R524" s="619"/>
      <c r="S524" s="617"/>
      <c r="T524" s="616" t="s">
        <v>221</v>
      </c>
    </row>
    <row r="525" ht="34.5">
      <c r="A525" s="616" t="s">
        <v>668</v>
      </c>
      <c r="B525" s="616" t="s">
        <v>669</v>
      </c>
      <c r="C525" s="616" t="s">
        <v>909</v>
      </c>
      <c r="D525" s="616" t="s">
        <v>216</v>
      </c>
      <c r="E525" s="616" t="s">
        <v>915</v>
      </c>
      <c r="F525" s="617" t="s">
        <v>916</v>
      </c>
      <c r="G525" s="616" t="s">
        <v>894</v>
      </c>
      <c r="H525" s="617"/>
      <c r="I525" s="617"/>
      <c r="J525" s="617" t="s">
        <v>917</v>
      </c>
      <c r="K525" s="618"/>
      <c r="L525" s="616"/>
      <c r="M525" s="616"/>
      <c r="N525" s="617"/>
      <c r="O525" s="617"/>
      <c r="P525" s="617"/>
      <c r="Q525" s="617"/>
      <c r="R525" s="619"/>
      <c r="S525" s="617"/>
      <c r="T525" s="616" t="s">
        <v>221</v>
      </c>
    </row>
    <row r="526" ht="34.5">
      <c r="A526" s="616" t="s">
        <v>668</v>
      </c>
      <c r="B526" s="616" t="s">
        <v>669</v>
      </c>
      <c r="C526" s="616" t="s">
        <v>909</v>
      </c>
      <c r="D526" s="616" t="s">
        <v>216</v>
      </c>
      <c r="E526" s="616" t="s">
        <v>915</v>
      </c>
      <c r="F526" s="617" t="s">
        <v>916</v>
      </c>
      <c r="G526" s="616" t="s">
        <v>894</v>
      </c>
      <c r="H526" s="617"/>
      <c r="I526" s="617"/>
      <c r="J526" s="617" t="s">
        <v>918</v>
      </c>
      <c r="K526" s="618">
        <v>15562</v>
      </c>
      <c r="L526" s="616" t="s">
        <v>611</v>
      </c>
      <c r="M526" s="616"/>
      <c r="N526" s="617"/>
      <c r="O526" s="617"/>
      <c r="P526" s="617"/>
      <c r="Q526" s="617"/>
      <c r="R526" s="619"/>
      <c r="S526" s="617"/>
      <c r="T526" s="616" t="s">
        <v>221</v>
      </c>
    </row>
    <row r="527" ht="34.5">
      <c r="A527" s="616" t="s">
        <v>668</v>
      </c>
      <c r="B527" s="616" t="s">
        <v>669</v>
      </c>
      <c r="C527" s="616" t="s">
        <v>909</v>
      </c>
      <c r="D527" s="616" t="s">
        <v>216</v>
      </c>
      <c r="E527" s="616" t="s">
        <v>915</v>
      </c>
      <c r="F527" s="617" t="s">
        <v>916</v>
      </c>
      <c r="G527" s="616" t="s">
        <v>894</v>
      </c>
      <c r="H527" s="617"/>
      <c r="I527" s="617"/>
      <c r="J527" s="617" t="s">
        <v>919</v>
      </c>
      <c r="K527" s="618"/>
      <c r="L527" s="616"/>
      <c r="M527" s="616"/>
      <c r="N527" s="617"/>
      <c r="O527" s="617"/>
      <c r="P527" s="617"/>
      <c r="Q527" s="617"/>
      <c r="R527" s="619"/>
      <c r="S527" s="617"/>
      <c r="T527" s="616" t="s">
        <v>221</v>
      </c>
    </row>
    <row r="528" ht="34.5">
      <c r="A528" s="616" t="s">
        <v>668</v>
      </c>
      <c r="B528" s="616" t="s">
        <v>669</v>
      </c>
      <c r="C528" s="616" t="s">
        <v>909</v>
      </c>
      <c r="D528" s="616" t="s">
        <v>216</v>
      </c>
      <c r="E528" s="616" t="s">
        <v>915</v>
      </c>
      <c r="F528" s="617" t="s">
        <v>916</v>
      </c>
      <c r="G528" s="616" t="s">
        <v>894</v>
      </c>
      <c r="H528" s="617"/>
      <c r="I528" s="617"/>
      <c r="J528" s="617" t="s">
        <v>920</v>
      </c>
      <c r="K528" s="618">
        <v>14264</v>
      </c>
      <c r="L528" s="616" t="s">
        <v>611</v>
      </c>
      <c r="M528" s="616"/>
      <c r="N528" s="617"/>
      <c r="O528" s="617"/>
      <c r="P528" s="617"/>
      <c r="Q528" s="617"/>
      <c r="R528" s="619"/>
      <c r="S528" s="617"/>
      <c r="T528" s="616" t="s">
        <v>221</v>
      </c>
    </row>
    <row r="529" ht="34.5">
      <c r="A529" s="616" t="s">
        <v>668</v>
      </c>
      <c r="B529" s="616" t="s">
        <v>669</v>
      </c>
      <c r="C529" s="616" t="s">
        <v>909</v>
      </c>
      <c r="D529" s="616" t="s">
        <v>216</v>
      </c>
      <c r="E529" s="616" t="s">
        <v>915</v>
      </c>
      <c r="F529" s="617" t="s">
        <v>916</v>
      </c>
      <c r="G529" s="616" t="s">
        <v>894</v>
      </c>
      <c r="H529" s="617"/>
      <c r="I529" s="617"/>
      <c r="J529" s="617" t="s">
        <v>921</v>
      </c>
      <c r="K529" s="618"/>
      <c r="L529" s="616"/>
      <c r="M529" s="616"/>
      <c r="N529" s="617"/>
      <c r="O529" s="617"/>
      <c r="P529" s="617"/>
      <c r="Q529" s="617"/>
      <c r="R529" s="619"/>
      <c r="S529" s="617"/>
      <c r="T529" s="616" t="s">
        <v>221</v>
      </c>
    </row>
    <row r="530" ht="34.5">
      <c r="A530" s="616" t="s">
        <v>668</v>
      </c>
      <c r="B530" s="616" t="s">
        <v>669</v>
      </c>
      <c r="C530" s="616" t="s">
        <v>909</v>
      </c>
      <c r="D530" s="616" t="s">
        <v>216</v>
      </c>
      <c r="E530" s="616" t="s">
        <v>915</v>
      </c>
      <c r="F530" s="617" t="s">
        <v>916</v>
      </c>
      <c r="G530" s="616" t="s">
        <v>894</v>
      </c>
      <c r="H530" s="617"/>
      <c r="I530" s="617"/>
      <c r="J530" s="617" t="s">
        <v>922</v>
      </c>
      <c r="K530" s="618"/>
      <c r="L530" s="616"/>
      <c r="M530" s="616"/>
      <c r="N530" s="617"/>
      <c r="O530" s="617"/>
      <c r="P530" s="617"/>
      <c r="Q530" s="617"/>
      <c r="R530" s="619"/>
      <c r="S530" s="617"/>
      <c r="T530" s="616" t="s">
        <v>221</v>
      </c>
    </row>
    <row r="531" ht="34.5">
      <c r="A531" s="616" t="s">
        <v>668</v>
      </c>
      <c r="B531" s="616" t="s">
        <v>669</v>
      </c>
      <c r="C531" s="616" t="s">
        <v>909</v>
      </c>
      <c r="D531" s="616" t="s">
        <v>216</v>
      </c>
      <c r="E531" s="616" t="s">
        <v>915</v>
      </c>
      <c r="F531" s="617" t="s">
        <v>916</v>
      </c>
      <c r="G531" s="616" t="s">
        <v>894</v>
      </c>
      <c r="H531" s="617"/>
      <c r="I531" s="617"/>
      <c r="J531" s="617" t="s">
        <v>923</v>
      </c>
      <c r="K531" s="618"/>
      <c r="L531" s="616"/>
      <c r="M531" s="616"/>
      <c r="N531" s="617"/>
      <c r="O531" s="617"/>
      <c r="P531" s="617"/>
      <c r="Q531" s="617"/>
      <c r="R531" s="619"/>
      <c r="S531" s="617"/>
      <c r="T531" s="616" t="s">
        <v>221</v>
      </c>
    </row>
    <row r="532" ht="34.5">
      <c r="A532" s="616" t="s">
        <v>668</v>
      </c>
      <c r="B532" s="616" t="s">
        <v>669</v>
      </c>
      <c r="C532" s="616" t="s">
        <v>909</v>
      </c>
      <c r="D532" s="616" t="s">
        <v>216</v>
      </c>
      <c r="E532" s="616" t="s">
        <v>915</v>
      </c>
      <c r="F532" s="617" t="s">
        <v>916</v>
      </c>
      <c r="G532" s="616" t="s">
        <v>894</v>
      </c>
      <c r="H532" s="617"/>
      <c r="I532" s="617"/>
      <c r="J532" s="617" t="s">
        <v>924</v>
      </c>
      <c r="K532" s="618"/>
      <c r="L532" s="616"/>
      <c r="M532" s="616"/>
      <c r="N532" s="617"/>
      <c r="O532" s="617"/>
      <c r="P532" s="617"/>
      <c r="Q532" s="617"/>
      <c r="R532" s="619"/>
      <c r="S532" s="617"/>
      <c r="T532" s="616" t="s">
        <v>221</v>
      </c>
    </row>
    <row r="533" ht="34.5">
      <c r="A533" s="616" t="s">
        <v>668</v>
      </c>
      <c r="B533" s="616" t="s">
        <v>669</v>
      </c>
      <c r="C533" s="616" t="s">
        <v>909</v>
      </c>
      <c r="D533" s="616" t="s">
        <v>216</v>
      </c>
      <c r="E533" s="616" t="s">
        <v>915</v>
      </c>
      <c r="F533" s="617" t="s">
        <v>916</v>
      </c>
      <c r="G533" s="616" t="s">
        <v>894</v>
      </c>
      <c r="H533" s="617"/>
      <c r="I533" s="617"/>
      <c r="J533" s="617" t="s">
        <v>925</v>
      </c>
      <c r="K533" s="618">
        <v>1291</v>
      </c>
      <c r="L533" s="616" t="s">
        <v>611</v>
      </c>
      <c r="M533" s="616"/>
      <c r="N533" s="617"/>
      <c r="O533" s="617"/>
      <c r="P533" s="617"/>
      <c r="Q533" s="617"/>
      <c r="R533" s="619"/>
      <c r="S533" s="617"/>
      <c r="T533" s="616" t="s">
        <v>221</v>
      </c>
    </row>
    <row r="534" ht="34.5">
      <c r="A534" s="616" t="s">
        <v>668</v>
      </c>
      <c r="B534" s="616" t="s">
        <v>669</v>
      </c>
      <c r="C534" s="616" t="s">
        <v>909</v>
      </c>
      <c r="D534" s="616" t="s">
        <v>216</v>
      </c>
      <c r="E534" s="616" t="s">
        <v>915</v>
      </c>
      <c r="F534" s="617" t="s">
        <v>916</v>
      </c>
      <c r="G534" s="616" t="s">
        <v>894</v>
      </c>
      <c r="H534" s="617"/>
      <c r="I534" s="617"/>
      <c r="J534" s="617" t="s">
        <v>926</v>
      </c>
      <c r="K534" s="618"/>
      <c r="L534" s="616"/>
      <c r="M534" s="616"/>
      <c r="N534" s="617"/>
      <c r="O534" s="617"/>
      <c r="P534" s="617"/>
      <c r="Q534" s="617"/>
      <c r="R534" s="619"/>
      <c r="S534" s="617"/>
      <c r="T534" s="616" t="s">
        <v>221</v>
      </c>
    </row>
    <row r="535" ht="34.5">
      <c r="A535" s="616" t="s">
        <v>668</v>
      </c>
      <c r="B535" s="616" t="s">
        <v>669</v>
      </c>
      <c r="C535" s="616" t="s">
        <v>927</v>
      </c>
      <c r="D535" s="616" t="s">
        <v>216</v>
      </c>
      <c r="E535" s="616" t="s">
        <v>928</v>
      </c>
      <c r="F535" s="617" t="s">
        <v>929</v>
      </c>
      <c r="G535" s="616" t="s">
        <v>930</v>
      </c>
      <c r="H535" s="617"/>
      <c r="I535" s="617"/>
      <c r="J535" s="617" t="s">
        <v>931</v>
      </c>
      <c r="K535" s="618"/>
      <c r="L535" s="616"/>
      <c r="M535" s="616"/>
      <c r="N535" s="617"/>
      <c r="O535" s="617"/>
      <c r="P535" s="617"/>
      <c r="Q535" s="617"/>
      <c r="R535" s="619"/>
      <c r="S535" s="617"/>
      <c r="T535" s="616" t="s">
        <v>221</v>
      </c>
    </row>
    <row r="536" ht="34.5">
      <c r="A536" s="616" t="s">
        <v>668</v>
      </c>
      <c r="B536" s="616" t="s">
        <v>669</v>
      </c>
      <c r="C536" s="616" t="s">
        <v>927</v>
      </c>
      <c r="D536" s="616" t="s">
        <v>932</v>
      </c>
      <c r="E536" s="616" t="s">
        <v>928</v>
      </c>
      <c r="F536" s="617" t="s">
        <v>929</v>
      </c>
      <c r="G536" s="616" t="s">
        <v>930</v>
      </c>
      <c r="H536" s="617"/>
      <c r="I536" s="617"/>
      <c r="J536" s="617" t="s">
        <v>933</v>
      </c>
      <c r="K536" s="618"/>
      <c r="L536" s="616"/>
      <c r="M536" s="616"/>
      <c r="N536" s="617"/>
      <c r="O536" s="617"/>
      <c r="P536" s="617"/>
      <c r="Q536" s="617"/>
      <c r="R536" s="619"/>
      <c r="S536" s="617"/>
      <c r="T536" s="616" t="s">
        <v>221</v>
      </c>
    </row>
    <row r="537" ht="34.5">
      <c r="A537" s="616" t="s">
        <v>668</v>
      </c>
      <c r="B537" s="616" t="s">
        <v>669</v>
      </c>
      <c r="C537" s="616" t="s">
        <v>927</v>
      </c>
      <c r="D537" s="616" t="s">
        <v>216</v>
      </c>
      <c r="E537" s="616" t="s">
        <v>928</v>
      </c>
      <c r="F537" s="617" t="s">
        <v>929</v>
      </c>
      <c r="G537" s="616" t="s">
        <v>930</v>
      </c>
      <c r="H537" s="617"/>
      <c r="I537" s="617"/>
      <c r="J537" s="617" t="s">
        <v>934</v>
      </c>
      <c r="K537" s="618"/>
      <c r="L537" s="616"/>
      <c r="M537" s="616"/>
      <c r="N537" s="617"/>
      <c r="O537" s="617"/>
      <c r="P537" s="617"/>
      <c r="Q537" s="617"/>
      <c r="R537" s="619"/>
      <c r="S537" s="617"/>
      <c r="T537" s="616" t="s">
        <v>221</v>
      </c>
    </row>
    <row r="538" ht="34.5">
      <c r="A538" s="616" t="s">
        <v>668</v>
      </c>
      <c r="B538" s="616" t="s">
        <v>669</v>
      </c>
      <c r="C538" s="616" t="s">
        <v>927</v>
      </c>
      <c r="D538" s="616" t="s">
        <v>216</v>
      </c>
      <c r="E538" s="616" t="s">
        <v>928</v>
      </c>
      <c r="F538" s="617" t="s">
        <v>929</v>
      </c>
      <c r="G538" s="616" t="s">
        <v>930</v>
      </c>
      <c r="H538" s="617"/>
      <c r="I538" s="617"/>
      <c r="J538" s="617" t="s">
        <v>935</v>
      </c>
      <c r="K538" s="618"/>
      <c r="L538" s="616"/>
      <c r="M538" s="616"/>
      <c r="N538" s="617"/>
      <c r="O538" s="617"/>
      <c r="P538" s="617"/>
      <c r="Q538" s="617"/>
      <c r="R538" s="619"/>
      <c r="S538" s="617"/>
      <c r="T538" s="616" t="s">
        <v>221</v>
      </c>
    </row>
    <row r="539" ht="34.5">
      <c r="A539" s="616" t="s">
        <v>668</v>
      </c>
      <c r="B539" s="616" t="s">
        <v>669</v>
      </c>
      <c r="C539" s="616" t="s">
        <v>927</v>
      </c>
      <c r="D539" s="616" t="s">
        <v>216</v>
      </c>
      <c r="E539" s="616" t="s">
        <v>928</v>
      </c>
      <c r="F539" s="617" t="s">
        <v>929</v>
      </c>
      <c r="G539" s="616" t="s">
        <v>930</v>
      </c>
      <c r="H539" s="617"/>
      <c r="I539" s="617"/>
      <c r="J539" s="617" t="s">
        <v>936</v>
      </c>
      <c r="K539" s="618"/>
      <c r="L539" s="616"/>
      <c r="M539" s="616"/>
      <c r="N539" s="617"/>
      <c r="O539" s="617"/>
      <c r="P539" s="617"/>
      <c r="Q539" s="617"/>
      <c r="R539" s="619"/>
      <c r="S539" s="617"/>
      <c r="T539" s="616" t="s">
        <v>221</v>
      </c>
    </row>
    <row r="540" ht="34.5">
      <c r="A540" s="616" t="s">
        <v>668</v>
      </c>
      <c r="B540" s="616" t="s">
        <v>669</v>
      </c>
      <c r="C540" s="616" t="s">
        <v>927</v>
      </c>
      <c r="D540" s="616" t="s">
        <v>216</v>
      </c>
      <c r="E540" s="616" t="s">
        <v>937</v>
      </c>
      <c r="F540" s="617" t="s">
        <v>938</v>
      </c>
      <c r="G540" s="616" t="s">
        <v>698</v>
      </c>
      <c r="H540" s="617"/>
      <c r="I540" s="617"/>
      <c r="J540" s="617" t="s">
        <v>939</v>
      </c>
      <c r="K540" s="618">
        <v>3071833622</v>
      </c>
      <c r="L540" s="616" t="s">
        <v>611</v>
      </c>
      <c r="M540" s="616"/>
      <c r="N540" s="617"/>
      <c r="O540" s="617"/>
      <c r="P540" s="617"/>
      <c r="Q540" s="617"/>
      <c r="R540" s="619"/>
      <c r="S540" s="617"/>
      <c r="T540" s="616" t="s">
        <v>221</v>
      </c>
    </row>
    <row r="541" ht="34.5">
      <c r="A541" s="616" t="s">
        <v>668</v>
      </c>
      <c r="B541" s="616" t="s">
        <v>669</v>
      </c>
      <c r="C541" s="616" t="s">
        <v>927</v>
      </c>
      <c r="D541" s="616" t="s">
        <v>940</v>
      </c>
      <c r="E541" s="616" t="s">
        <v>937</v>
      </c>
      <c r="F541" s="617" t="s">
        <v>938</v>
      </c>
      <c r="G541" s="616" t="s">
        <v>698</v>
      </c>
      <c r="H541" s="617"/>
      <c r="I541" s="617"/>
      <c r="J541" s="617" t="s">
        <v>941</v>
      </c>
      <c r="K541" s="618"/>
      <c r="L541" s="616"/>
      <c r="M541" s="616"/>
      <c r="N541" s="617"/>
      <c r="O541" s="617"/>
      <c r="P541" s="617"/>
      <c r="Q541" s="617"/>
      <c r="R541" s="619"/>
      <c r="S541" s="617"/>
      <c r="T541" s="616" t="s">
        <v>221</v>
      </c>
    </row>
    <row r="542" ht="34.5">
      <c r="A542" s="616" t="s">
        <v>668</v>
      </c>
      <c r="B542" s="616" t="s">
        <v>669</v>
      </c>
      <c r="C542" s="616" t="s">
        <v>927</v>
      </c>
      <c r="D542" s="616" t="s">
        <v>216</v>
      </c>
      <c r="E542" s="616" t="s">
        <v>937</v>
      </c>
      <c r="F542" s="617" t="s">
        <v>938</v>
      </c>
      <c r="G542" s="616" t="s">
        <v>698</v>
      </c>
      <c r="H542" s="617"/>
      <c r="I542" s="617"/>
      <c r="J542" s="617" t="s">
        <v>942</v>
      </c>
      <c r="K542" s="618"/>
      <c r="L542" s="616"/>
      <c r="M542" s="616"/>
      <c r="N542" s="617"/>
      <c r="O542" s="617"/>
      <c r="P542" s="617"/>
      <c r="Q542" s="617"/>
      <c r="R542" s="619"/>
      <c r="S542" s="617"/>
      <c r="T542" s="616" t="s">
        <v>221</v>
      </c>
    </row>
    <row r="543" ht="34.5">
      <c r="A543" s="616" t="s">
        <v>668</v>
      </c>
      <c r="B543" s="616" t="s">
        <v>669</v>
      </c>
      <c r="C543" s="616" t="s">
        <v>943</v>
      </c>
      <c r="D543" s="616" t="s">
        <v>944</v>
      </c>
      <c r="E543" s="616" t="s">
        <v>945</v>
      </c>
      <c r="F543" s="617" t="s">
        <v>946</v>
      </c>
      <c r="G543" s="616" t="s">
        <v>698</v>
      </c>
      <c r="H543" s="617"/>
      <c r="I543" s="617"/>
      <c r="J543" s="617" t="s">
        <v>947</v>
      </c>
      <c r="K543" s="618"/>
      <c r="L543" s="616"/>
      <c r="M543" s="616"/>
      <c r="N543" s="617"/>
      <c r="O543" s="617"/>
      <c r="P543" s="617"/>
      <c r="Q543" s="617"/>
      <c r="R543" s="619"/>
      <c r="S543" s="617"/>
      <c r="T543" s="616" t="s">
        <v>221</v>
      </c>
    </row>
    <row r="544" ht="34.5">
      <c r="A544" s="616" t="s">
        <v>668</v>
      </c>
      <c r="B544" s="616" t="s">
        <v>669</v>
      </c>
      <c r="C544" s="616" t="s">
        <v>943</v>
      </c>
      <c r="D544" s="616" t="s">
        <v>216</v>
      </c>
      <c r="E544" s="616" t="s">
        <v>948</v>
      </c>
      <c r="F544" s="617" t="s">
        <v>949</v>
      </c>
      <c r="G544" s="616" t="s">
        <v>950</v>
      </c>
      <c r="H544" s="617"/>
      <c r="I544" s="617"/>
      <c r="J544" s="617" t="s">
        <v>951</v>
      </c>
      <c r="K544" s="618"/>
      <c r="L544" s="616"/>
      <c r="M544" s="616"/>
      <c r="N544" s="617"/>
      <c r="O544" s="617"/>
      <c r="P544" s="617"/>
      <c r="Q544" s="617"/>
      <c r="R544" s="619"/>
      <c r="S544" s="617"/>
      <c r="T544" s="616" t="s">
        <v>221</v>
      </c>
    </row>
    <row r="545" ht="34.5">
      <c r="A545" s="616" t="s">
        <v>668</v>
      </c>
      <c r="B545" s="616" t="s">
        <v>669</v>
      </c>
      <c r="C545" s="616" t="s">
        <v>943</v>
      </c>
      <c r="D545" s="616" t="s">
        <v>216</v>
      </c>
      <c r="E545" s="616" t="s">
        <v>948</v>
      </c>
      <c r="F545" s="617" t="s">
        <v>949</v>
      </c>
      <c r="G545" s="616" t="s">
        <v>950</v>
      </c>
      <c r="H545" s="617"/>
      <c r="I545" s="617"/>
      <c r="J545" s="617" t="s">
        <v>952</v>
      </c>
      <c r="K545" s="618"/>
      <c r="L545" s="616"/>
      <c r="M545" s="616"/>
      <c r="N545" s="617"/>
      <c r="O545" s="617"/>
      <c r="P545" s="617"/>
      <c r="Q545" s="617"/>
      <c r="R545" s="619"/>
      <c r="S545" s="617"/>
      <c r="T545" s="616" t="s">
        <v>221</v>
      </c>
    </row>
    <row r="546" ht="34.5">
      <c r="A546" s="616" t="s">
        <v>668</v>
      </c>
      <c r="B546" s="616" t="s">
        <v>669</v>
      </c>
      <c r="C546" s="616" t="s">
        <v>943</v>
      </c>
      <c r="D546" s="616" t="s">
        <v>216</v>
      </c>
      <c r="E546" s="616" t="s">
        <v>948</v>
      </c>
      <c r="F546" s="617" t="s">
        <v>949</v>
      </c>
      <c r="G546" s="616" t="s">
        <v>950</v>
      </c>
      <c r="H546" s="617"/>
      <c r="I546" s="617"/>
      <c r="J546" s="617" t="s">
        <v>953</v>
      </c>
      <c r="K546" s="618"/>
      <c r="L546" s="616"/>
      <c r="M546" s="616"/>
      <c r="N546" s="617"/>
      <c r="O546" s="617"/>
      <c r="P546" s="617"/>
      <c r="Q546" s="617"/>
      <c r="R546" s="619"/>
      <c r="S546" s="617"/>
      <c r="T546" s="616" t="s">
        <v>221</v>
      </c>
    </row>
    <row r="547" ht="34.5">
      <c r="A547" s="616" t="s">
        <v>668</v>
      </c>
      <c r="B547" s="616" t="s">
        <v>669</v>
      </c>
      <c r="C547" s="616" t="s">
        <v>943</v>
      </c>
      <c r="D547" s="616" t="s">
        <v>216</v>
      </c>
      <c r="E547" s="616" t="s">
        <v>948</v>
      </c>
      <c r="F547" s="617" t="s">
        <v>949</v>
      </c>
      <c r="G547" s="616" t="s">
        <v>950</v>
      </c>
      <c r="H547" s="617"/>
      <c r="I547" s="617"/>
      <c r="J547" s="617" t="s">
        <v>954</v>
      </c>
      <c r="K547" s="618">
        <v>-1500000</v>
      </c>
      <c r="L547" s="616" t="s">
        <v>611</v>
      </c>
      <c r="M547" s="616"/>
      <c r="N547" s="617"/>
      <c r="O547" s="617"/>
      <c r="P547" s="617"/>
      <c r="Q547" s="617"/>
      <c r="R547" s="619"/>
      <c r="S547" s="617"/>
      <c r="T547" s="616" t="s">
        <v>221</v>
      </c>
    </row>
    <row r="548" ht="34.5">
      <c r="A548" s="616" t="s">
        <v>668</v>
      </c>
      <c r="B548" s="616" t="s">
        <v>669</v>
      </c>
      <c r="C548" s="616" t="s">
        <v>943</v>
      </c>
      <c r="D548" s="616" t="s">
        <v>216</v>
      </c>
      <c r="E548" s="616" t="s">
        <v>948</v>
      </c>
      <c r="F548" s="617" t="s">
        <v>949</v>
      </c>
      <c r="G548" s="616" t="s">
        <v>950</v>
      </c>
      <c r="H548" s="617"/>
      <c r="I548" s="617"/>
      <c r="J548" s="617" t="s">
        <v>955</v>
      </c>
      <c r="K548" s="618"/>
      <c r="L548" s="616"/>
      <c r="M548" s="616"/>
      <c r="N548" s="617"/>
      <c r="O548" s="617"/>
      <c r="P548" s="617"/>
      <c r="Q548" s="617"/>
      <c r="R548" s="619"/>
      <c r="S548" s="617"/>
      <c r="T548" s="616" t="s">
        <v>221</v>
      </c>
    </row>
    <row r="549" ht="34.5">
      <c r="A549" s="616" t="s">
        <v>668</v>
      </c>
      <c r="B549" s="616" t="s">
        <v>669</v>
      </c>
      <c r="C549" s="616" t="s">
        <v>943</v>
      </c>
      <c r="D549" s="616" t="s">
        <v>956</v>
      </c>
      <c r="E549" s="616" t="s">
        <v>948</v>
      </c>
      <c r="F549" s="617" t="s">
        <v>949</v>
      </c>
      <c r="G549" s="616" t="s">
        <v>950</v>
      </c>
      <c r="H549" s="617"/>
      <c r="I549" s="617"/>
      <c r="J549" s="617" t="s">
        <v>957</v>
      </c>
      <c r="K549" s="618"/>
      <c r="L549" s="616"/>
      <c r="M549" s="616"/>
      <c r="N549" s="617"/>
      <c r="O549" s="617"/>
      <c r="P549" s="617"/>
      <c r="Q549" s="617"/>
      <c r="R549" s="619"/>
      <c r="S549" s="617"/>
      <c r="T549" s="616" t="s">
        <v>221</v>
      </c>
    </row>
    <row r="550" ht="34.5">
      <c r="A550" s="616" t="s">
        <v>668</v>
      </c>
      <c r="B550" s="616" t="s">
        <v>669</v>
      </c>
      <c r="C550" s="616" t="s">
        <v>943</v>
      </c>
      <c r="D550" s="616" t="s">
        <v>216</v>
      </c>
      <c r="E550" s="616" t="s">
        <v>948</v>
      </c>
      <c r="F550" s="617" t="s">
        <v>949</v>
      </c>
      <c r="G550" s="616" t="s">
        <v>950</v>
      </c>
      <c r="H550" s="617"/>
      <c r="I550" s="617"/>
      <c r="J550" s="617" t="s">
        <v>958</v>
      </c>
      <c r="K550" s="618"/>
      <c r="L550" s="616"/>
      <c r="M550" s="616"/>
      <c r="N550" s="617"/>
      <c r="O550" s="617"/>
      <c r="P550" s="617"/>
      <c r="Q550" s="617"/>
      <c r="R550" s="619"/>
      <c r="S550" s="617"/>
      <c r="T550" s="616" t="s">
        <v>221</v>
      </c>
    </row>
    <row r="551" ht="34.5">
      <c r="A551" s="616" t="s">
        <v>668</v>
      </c>
      <c r="B551" s="616" t="s">
        <v>669</v>
      </c>
      <c r="C551" s="616" t="s">
        <v>943</v>
      </c>
      <c r="D551" s="616" t="s">
        <v>216</v>
      </c>
      <c r="E551" s="616" t="s">
        <v>948</v>
      </c>
      <c r="F551" s="617" t="s">
        <v>949</v>
      </c>
      <c r="G551" s="616" t="s">
        <v>950</v>
      </c>
      <c r="H551" s="617"/>
      <c r="I551" s="617"/>
      <c r="J551" s="617" t="s">
        <v>959</v>
      </c>
      <c r="K551" s="618"/>
      <c r="L551" s="616"/>
      <c r="M551" s="616"/>
      <c r="N551" s="617"/>
      <c r="O551" s="617"/>
      <c r="P551" s="617"/>
      <c r="Q551" s="617"/>
      <c r="R551" s="619"/>
      <c r="S551" s="617"/>
      <c r="T551" s="616" t="s">
        <v>221</v>
      </c>
    </row>
    <row r="552" ht="34.5">
      <c r="A552" s="616" t="s">
        <v>668</v>
      </c>
      <c r="B552" s="616" t="s">
        <v>669</v>
      </c>
      <c r="C552" s="616" t="s">
        <v>960</v>
      </c>
      <c r="D552" s="616" t="s">
        <v>216</v>
      </c>
      <c r="E552" s="616" t="s">
        <v>948</v>
      </c>
      <c r="F552" s="617" t="s">
        <v>949</v>
      </c>
      <c r="G552" s="616" t="s">
        <v>950</v>
      </c>
      <c r="H552" s="617"/>
      <c r="I552" s="617"/>
      <c r="J552" s="617" t="s">
        <v>961</v>
      </c>
      <c r="K552" s="618"/>
      <c r="L552" s="616"/>
      <c r="M552" s="616"/>
      <c r="N552" s="617"/>
      <c r="O552" s="617"/>
      <c r="P552" s="617"/>
      <c r="Q552" s="617"/>
      <c r="R552" s="619"/>
      <c r="S552" s="617"/>
      <c r="T552" s="616" t="s">
        <v>221</v>
      </c>
    </row>
    <row r="553" ht="34.5">
      <c r="A553" s="616" t="s">
        <v>668</v>
      </c>
      <c r="B553" s="616" t="s">
        <v>669</v>
      </c>
      <c r="C553" s="616" t="s">
        <v>960</v>
      </c>
      <c r="D553" s="616" t="s">
        <v>962</v>
      </c>
      <c r="E553" s="616" t="s">
        <v>948</v>
      </c>
      <c r="F553" s="617" t="s">
        <v>949</v>
      </c>
      <c r="G553" s="616" t="s">
        <v>950</v>
      </c>
      <c r="H553" s="617"/>
      <c r="I553" s="617"/>
      <c r="J553" s="617" t="s">
        <v>963</v>
      </c>
      <c r="K553" s="618"/>
      <c r="L553" s="616"/>
      <c r="M553" s="616"/>
      <c r="N553" s="617"/>
      <c r="O553" s="617"/>
      <c r="P553" s="617"/>
      <c r="Q553" s="617"/>
      <c r="R553" s="619"/>
      <c r="S553" s="617"/>
      <c r="T553" s="616" t="s">
        <v>221</v>
      </c>
    </row>
    <row r="554" ht="34.5">
      <c r="A554" s="616" t="s">
        <v>668</v>
      </c>
      <c r="B554" s="616" t="s">
        <v>669</v>
      </c>
      <c r="C554" s="616" t="s">
        <v>960</v>
      </c>
      <c r="D554" s="616" t="s">
        <v>216</v>
      </c>
      <c r="E554" s="616" t="s">
        <v>948</v>
      </c>
      <c r="F554" s="617" t="s">
        <v>949</v>
      </c>
      <c r="G554" s="616" t="s">
        <v>950</v>
      </c>
      <c r="H554" s="617"/>
      <c r="I554" s="617"/>
      <c r="J554" s="617" t="s">
        <v>964</v>
      </c>
      <c r="K554" s="618"/>
      <c r="L554" s="616"/>
      <c r="M554" s="616"/>
      <c r="N554" s="617"/>
      <c r="O554" s="617"/>
      <c r="P554" s="617"/>
      <c r="Q554" s="617"/>
      <c r="R554" s="619"/>
      <c r="S554" s="617"/>
      <c r="T554" s="616" t="s">
        <v>221</v>
      </c>
    </row>
    <row r="555" ht="34.5">
      <c r="A555" s="616" t="s">
        <v>668</v>
      </c>
      <c r="B555" s="616" t="s">
        <v>669</v>
      </c>
      <c r="C555" s="616" t="s">
        <v>960</v>
      </c>
      <c r="D555" s="616" t="s">
        <v>216</v>
      </c>
      <c r="E555" s="616" t="s">
        <v>948</v>
      </c>
      <c r="F555" s="617" t="s">
        <v>949</v>
      </c>
      <c r="G555" s="616" t="s">
        <v>950</v>
      </c>
      <c r="H555" s="617"/>
      <c r="I555" s="617"/>
      <c r="J555" s="617" t="s">
        <v>965</v>
      </c>
      <c r="K555" s="618"/>
      <c r="L555" s="616"/>
      <c r="M555" s="616"/>
      <c r="N555" s="617"/>
      <c r="O555" s="617"/>
      <c r="P555" s="617"/>
      <c r="Q555" s="617"/>
      <c r="R555" s="619"/>
      <c r="S555" s="617"/>
      <c r="T555" s="616" t="s">
        <v>221</v>
      </c>
    </row>
    <row r="556" ht="34.5">
      <c r="A556" s="616" t="s">
        <v>668</v>
      </c>
      <c r="B556" s="616" t="s">
        <v>669</v>
      </c>
      <c r="C556" s="616" t="s">
        <v>960</v>
      </c>
      <c r="D556" s="616" t="s">
        <v>966</v>
      </c>
      <c r="E556" s="616" t="s">
        <v>948</v>
      </c>
      <c r="F556" s="617" t="s">
        <v>949</v>
      </c>
      <c r="G556" s="616" t="s">
        <v>950</v>
      </c>
      <c r="H556" s="617"/>
      <c r="I556" s="617"/>
      <c r="J556" s="617" t="s">
        <v>967</v>
      </c>
      <c r="K556" s="618"/>
      <c r="L556" s="616"/>
      <c r="M556" s="616"/>
      <c r="N556" s="617"/>
      <c r="O556" s="617"/>
      <c r="P556" s="617"/>
      <c r="Q556" s="617"/>
      <c r="R556" s="619"/>
      <c r="S556" s="617"/>
      <c r="T556" s="616" t="s">
        <v>221</v>
      </c>
    </row>
    <row r="557" ht="34.5">
      <c r="A557" s="616" t="s">
        <v>668</v>
      </c>
      <c r="B557" s="616" t="s">
        <v>669</v>
      </c>
      <c r="C557" s="616" t="s">
        <v>960</v>
      </c>
      <c r="D557" s="616" t="s">
        <v>216</v>
      </c>
      <c r="E557" s="616" t="s">
        <v>948</v>
      </c>
      <c r="F557" s="617" t="s">
        <v>949</v>
      </c>
      <c r="G557" s="616" t="s">
        <v>950</v>
      </c>
      <c r="H557" s="617"/>
      <c r="I557" s="617"/>
      <c r="J557" s="617" t="s">
        <v>968</v>
      </c>
      <c r="K557" s="618"/>
      <c r="L557" s="616"/>
      <c r="M557" s="616"/>
      <c r="N557" s="617"/>
      <c r="O557" s="617"/>
      <c r="P557" s="617"/>
      <c r="Q557" s="617"/>
      <c r="R557" s="619"/>
      <c r="S557" s="617"/>
      <c r="T557" s="616" t="s">
        <v>221</v>
      </c>
    </row>
    <row r="558" ht="34.5">
      <c r="A558" s="616" t="s">
        <v>668</v>
      </c>
      <c r="B558" s="616" t="s">
        <v>669</v>
      </c>
      <c r="C558" s="616" t="s">
        <v>960</v>
      </c>
      <c r="D558" s="616" t="s">
        <v>969</v>
      </c>
      <c r="E558" s="616" t="s">
        <v>948</v>
      </c>
      <c r="F558" s="617" t="s">
        <v>949</v>
      </c>
      <c r="G558" s="616" t="s">
        <v>950</v>
      </c>
      <c r="H558" s="617"/>
      <c r="I558" s="617"/>
      <c r="J558" s="617" t="s">
        <v>970</v>
      </c>
      <c r="K558" s="618"/>
      <c r="L558" s="616"/>
      <c r="M558" s="616"/>
      <c r="N558" s="617"/>
      <c r="O558" s="617"/>
      <c r="P558" s="617"/>
      <c r="Q558" s="617"/>
      <c r="R558" s="619"/>
      <c r="S558" s="617"/>
      <c r="T558" s="616" t="s">
        <v>221</v>
      </c>
    </row>
    <row r="559" ht="34.5">
      <c r="A559" s="616" t="s">
        <v>668</v>
      </c>
      <c r="B559" s="616" t="s">
        <v>669</v>
      </c>
      <c r="C559" s="616" t="s">
        <v>960</v>
      </c>
      <c r="D559" s="616" t="s">
        <v>216</v>
      </c>
      <c r="E559" s="616" t="s">
        <v>948</v>
      </c>
      <c r="F559" s="617" t="s">
        <v>949</v>
      </c>
      <c r="G559" s="616" t="s">
        <v>950</v>
      </c>
      <c r="H559" s="617"/>
      <c r="I559" s="617"/>
      <c r="J559" s="617" t="s">
        <v>971</v>
      </c>
      <c r="K559" s="618"/>
      <c r="L559" s="616"/>
      <c r="M559" s="616"/>
      <c r="N559" s="617"/>
      <c r="O559" s="617"/>
      <c r="P559" s="617"/>
      <c r="Q559" s="617"/>
      <c r="R559" s="619"/>
      <c r="S559" s="617"/>
      <c r="T559" s="616" t="s">
        <v>221</v>
      </c>
    </row>
    <row r="560" ht="34.5">
      <c r="A560" s="616" t="s">
        <v>668</v>
      </c>
      <c r="B560" s="616" t="s">
        <v>669</v>
      </c>
      <c r="C560" s="616" t="s">
        <v>972</v>
      </c>
      <c r="D560" s="616" t="s">
        <v>216</v>
      </c>
      <c r="E560" s="616" t="s">
        <v>948</v>
      </c>
      <c r="F560" s="617" t="s">
        <v>949</v>
      </c>
      <c r="G560" s="616" t="s">
        <v>950</v>
      </c>
      <c r="H560" s="617"/>
      <c r="I560" s="617"/>
      <c r="J560" s="617" t="s">
        <v>973</v>
      </c>
      <c r="K560" s="618"/>
      <c r="L560" s="616"/>
      <c r="M560" s="616"/>
      <c r="N560" s="617"/>
      <c r="O560" s="617"/>
      <c r="P560" s="617"/>
      <c r="Q560" s="617"/>
      <c r="R560" s="619"/>
      <c r="S560" s="617"/>
      <c r="T560" s="616" t="s">
        <v>221</v>
      </c>
    </row>
    <row r="561" ht="34.5">
      <c r="A561" s="616" t="s">
        <v>668</v>
      </c>
      <c r="B561" s="616" t="s">
        <v>669</v>
      </c>
      <c r="C561" s="616" t="s">
        <v>972</v>
      </c>
      <c r="D561" s="616" t="s">
        <v>974</v>
      </c>
      <c r="E561" s="616" t="s">
        <v>948</v>
      </c>
      <c r="F561" s="617" t="s">
        <v>949</v>
      </c>
      <c r="G561" s="616" t="s">
        <v>950</v>
      </c>
      <c r="H561" s="617"/>
      <c r="I561" s="617"/>
      <c r="J561" s="617" t="s">
        <v>975</v>
      </c>
      <c r="K561" s="618"/>
      <c r="L561" s="616"/>
      <c r="M561" s="616"/>
      <c r="N561" s="617"/>
      <c r="O561" s="617"/>
      <c r="P561" s="617"/>
      <c r="Q561" s="617"/>
      <c r="R561" s="619"/>
      <c r="S561" s="617"/>
      <c r="T561" s="616" t="s">
        <v>221</v>
      </c>
    </row>
    <row r="562" ht="34.5">
      <c r="A562" s="616" t="s">
        <v>668</v>
      </c>
      <c r="B562" s="616" t="s">
        <v>669</v>
      </c>
      <c r="C562" s="616" t="s">
        <v>972</v>
      </c>
      <c r="D562" s="616" t="s">
        <v>216</v>
      </c>
      <c r="E562" s="616" t="s">
        <v>948</v>
      </c>
      <c r="F562" s="617" t="s">
        <v>949</v>
      </c>
      <c r="G562" s="616" t="s">
        <v>950</v>
      </c>
      <c r="H562" s="617"/>
      <c r="I562" s="617"/>
      <c r="J562" s="617" t="s">
        <v>976</v>
      </c>
      <c r="K562" s="618"/>
      <c r="L562" s="616"/>
      <c r="M562" s="616"/>
      <c r="N562" s="617"/>
      <c r="O562" s="617"/>
      <c r="P562" s="617"/>
      <c r="Q562" s="617"/>
      <c r="R562" s="619"/>
      <c r="S562" s="617"/>
      <c r="T562" s="616" t="s">
        <v>221</v>
      </c>
    </row>
    <row r="563" ht="34.5">
      <c r="A563" s="616" t="s">
        <v>668</v>
      </c>
      <c r="B563" s="616" t="s">
        <v>669</v>
      </c>
      <c r="C563" s="616" t="s">
        <v>972</v>
      </c>
      <c r="D563" s="616" t="s">
        <v>216</v>
      </c>
      <c r="E563" s="616" t="s">
        <v>948</v>
      </c>
      <c r="F563" s="617" t="s">
        <v>949</v>
      </c>
      <c r="G563" s="616" t="s">
        <v>950</v>
      </c>
      <c r="H563" s="617"/>
      <c r="I563" s="617"/>
      <c r="J563" s="617" t="s">
        <v>977</v>
      </c>
      <c r="K563" s="618"/>
      <c r="L563" s="616"/>
      <c r="M563" s="616"/>
      <c r="N563" s="617"/>
      <c r="O563" s="617"/>
      <c r="P563" s="617"/>
      <c r="Q563" s="617"/>
      <c r="R563" s="619"/>
      <c r="S563" s="617"/>
      <c r="T563" s="616" t="s">
        <v>221</v>
      </c>
    </row>
    <row r="564" ht="34.5">
      <c r="A564" s="616" t="s">
        <v>668</v>
      </c>
      <c r="B564" s="616" t="s">
        <v>669</v>
      </c>
      <c r="C564" s="616" t="s">
        <v>972</v>
      </c>
      <c r="D564" s="616" t="s">
        <v>216</v>
      </c>
      <c r="E564" s="616" t="s">
        <v>948</v>
      </c>
      <c r="F564" s="617" t="s">
        <v>949</v>
      </c>
      <c r="G564" s="616" t="s">
        <v>950</v>
      </c>
      <c r="H564" s="617"/>
      <c r="I564" s="617"/>
      <c r="J564" s="617" t="s">
        <v>978</v>
      </c>
      <c r="K564" s="618"/>
      <c r="L564" s="616"/>
      <c r="M564" s="616"/>
      <c r="N564" s="617"/>
      <c r="O564" s="617"/>
      <c r="P564" s="617"/>
      <c r="Q564" s="617"/>
      <c r="R564" s="619"/>
      <c r="S564" s="617"/>
      <c r="T564" s="616" t="s">
        <v>221</v>
      </c>
    </row>
    <row r="565" ht="34.5">
      <c r="A565" s="616" t="s">
        <v>668</v>
      </c>
      <c r="B565" s="616" t="s">
        <v>669</v>
      </c>
      <c r="C565" s="616" t="s">
        <v>979</v>
      </c>
      <c r="D565" s="616" t="s">
        <v>216</v>
      </c>
      <c r="E565" s="616" t="s">
        <v>980</v>
      </c>
      <c r="F565" s="617" t="s">
        <v>981</v>
      </c>
      <c r="G565" s="616" t="s">
        <v>982</v>
      </c>
      <c r="H565" s="617"/>
      <c r="I565" s="617"/>
      <c r="J565" s="617" t="s">
        <v>983</v>
      </c>
      <c r="K565" s="618"/>
      <c r="L565" s="616"/>
      <c r="M565" s="616"/>
      <c r="N565" s="617"/>
      <c r="O565" s="617"/>
      <c r="P565" s="617"/>
      <c r="Q565" s="617"/>
      <c r="R565" s="619"/>
      <c r="S565" s="617"/>
      <c r="T565" s="616" t="s">
        <v>221</v>
      </c>
    </row>
    <row r="566" ht="34.5">
      <c r="A566" s="616" t="s">
        <v>668</v>
      </c>
      <c r="B566" s="616" t="s">
        <v>669</v>
      </c>
      <c r="C566" s="616" t="s">
        <v>979</v>
      </c>
      <c r="D566" s="616" t="s">
        <v>984</v>
      </c>
      <c r="E566" s="616" t="s">
        <v>980</v>
      </c>
      <c r="F566" s="617" t="s">
        <v>981</v>
      </c>
      <c r="G566" s="616" t="s">
        <v>982</v>
      </c>
      <c r="H566" s="617"/>
      <c r="I566" s="617"/>
      <c r="J566" s="617" t="s">
        <v>985</v>
      </c>
      <c r="K566" s="618"/>
      <c r="L566" s="616"/>
      <c r="M566" s="616"/>
      <c r="N566" s="617"/>
      <c r="O566" s="617"/>
      <c r="P566" s="617"/>
      <c r="Q566" s="617"/>
      <c r="R566" s="619"/>
      <c r="S566" s="617"/>
      <c r="T566" s="616" t="s">
        <v>221</v>
      </c>
    </row>
    <row r="567" ht="34.5">
      <c r="A567" s="616" t="s">
        <v>668</v>
      </c>
      <c r="B567" s="616" t="s">
        <v>669</v>
      </c>
      <c r="C567" s="616" t="s">
        <v>986</v>
      </c>
      <c r="D567" s="616" t="s">
        <v>216</v>
      </c>
      <c r="E567" s="616" t="s">
        <v>987</v>
      </c>
      <c r="F567" s="617" t="s">
        <v>988</v>
      </c>
      <c r="G567" s="616" t="s">
        <v>698</v>
      </c>
      <c r="H567" s="617"/>
      <c r="I567" s="617"/>
      <c r="J567" s="617" t="s">
        <v>989</v>
      </c>
      <c r="K567" s="618"/>
      <c r="L567" s="616"/>
      <c r="M567" s="616"/>
      <c r="N567" s="617"/>
      <c r="O567" s="617"/>
      <c r="P567" s="617"/>
      <c r="Q567" s="617"/>
      <c r="R567" s="619"/>
      <c r="S567" s="617"/>
      <c r="T567" s="616" t="s">
        <v>221</v>
      </c>
    </row>
    <row r="568" ht="34.5">
      <c r="A568" s="616" t="s">
        <v>668</v>
      </c>
      <c r="B568" s="616" t="s">
        <v>669</v>
      </c>
      <c r="C568" s="616" t="s">
        <v>986</v>
      </c>
      <c r="D568" s="616" t="s">
        <v>990</v>
      </c>
      <c r="E568" s="616" t="s">
        <v>987</v>
      </c>
      <c r="F568" s="617" t="s">
        <v>988</v>
      </c>
      <c r="G568" s="616" t="s">
        <v>698</v>
      </c>
      <c r="H568" s="617"/>
      <c r="I568" s="617"/>
      <c r="J568" s="617" t="s">
        <v>991</v>
      </c>
      <c r="K568" s="618"/>
      <c r="L568" s="616"/>
      <c r="M568" s="616"/>
      <c r="N568" s="617"/>
      <c r="O568" s="617"/>
      <c r="P568" s="617"/>
      <c r="Q568" s="617"/>
      <c r="R568" s="619"/>
      <c r="S568" s="617"/>
      <c r="T568" s="616" t="s">
        <v>221</v>
      </c>
    </row>
    <row r="569" ht="34.5">
      <c r="A569" s="616" t="s">
        <v>668</v>
      </c>
      <c r="B569" s="616" t="s">
        <v>669</v>
      </c>
      <c r="C569" s="616" t="s">
        <v>986</v>
      </c>
      <c r="D569" s="616" t="s">
        <v>216</v>
      </c>
      <c r="E569" s="616" t="s">
        <v>992</v>
      </c>
      <c r="F569" s="617" t="s">
        <v>993</v>
      </c>
      <c r="G569" s="616" t="s">
        <v>894</v>
      </c>
      <c r="H569" s="617"/>
      <c r="I569" s="617"/>
      <c r="J569" s="617" t="s">
        <v>994</v>
      </c>
      <c r="K569" s="618"/>
      <c r="L569" s="616"/>
      <c r="M569" s="616"/>
      <c r="N569" s="617"/>
      <c r="O569" s="617"/>
      <c r="P569" s="617"/>
      <c r="Q569" s="617"/>
      <c r="R569" s="619"/>
      <c r="S569" s="617"/>
      <c r="T569" s="616" t="s">
        <v>221</v>
      </c>
    </row>
    <row r="570" ht="34.5">
      <c r="A570" s="616" t="s">
        <v>668</v>
      </c>
      <c r="B570" s="616" t="s">
        <v>669</v>
      </c>
      <c r="C570" s="616" t="s">
        <v>986</v>
      </c>
      <c r="D570" s="616" t="s">
        <v>995</v>
      </c>
      <c r="E570" s="616" t="s">
        <v>992</v>
      </c>
      <c r="F570" s="617" t="s">
        <v>993</v>
      </c>
      <c r="G570" s="616" t="s">
        <v>894</v>
      </c>
      <c r="H570" s="617"/>
      <c r="I570" s="617"/>
      <c r="J570" s="617" t="s">
        <v>996</v>
      </c>
      <c r="K570" s="618"/>
      <c r="L570" s="616"/>
      <c r="M570" s="616"/>
      <c r="N570" s="617"/>
      <c r="O570" s="617"/>
      <c r="P570" s="617"/>
      <c r="Q570" s="617"/>
      <c r="R570" s="619"/>
      <c r="S570" s="617"/>
      <c r="T570" s="616" t="s">
        <v>221</v>
      </c>
    </row>
    <row r="571" ht="34.5">
      <c r="A571" s="616" t="s">
        <v>668</v>
      </c>
      <c r="B571" s="616" t="s">
        <v>669</v>
      </c>
      <c r="C571" s="616" t="s">
        <v>997</v>
      </c>
      <c r="D571" s="616" t="s">
        <v>216</v>
      </c>
      <c r="E571" s="616" t="s">
        <v>992</v>
      </c>
      <c r="F571" s="617" t="s">
        <v>993</v>
      </c>
      <c r="G571" s="616" t="s">
        <v>894</v>
      </c>
      <c r="H571" s="617"/>
      <c r="I571" s="617"/>
      <c r="J571" s="617" t="s">
        <v>998</v>
      </c>
      <c r="K571" s="618"/>
      <c r="L571" s="616"/>
      <c r="M571" s="616"/>
      <c r="N571" s="617"/>
      <c r="O571" s="617"/>
      <c r="P571" s="617"/>
      <c r="Q571" s="617"/>
      <c r="R571" s="619"/>
      <c r="S571" s="617"/>
      <c r="T571" s="616" t="s">
        <v>221</v>
      </c>
    </row>
    <row r="572" ht="34.5">
      <c r="A572" s="616" t="s">
        <v>668</v>
      </c>
      <c r="B572" s="616" t="s">
        <v>669</v>
      </c>
      <c r="C572" s="616" t="s">
        <v>997</v>
      </c>
      <c r="D572" s="616" t="s">
        <v>216</v>
      </c>
      <c r="E572" s="616" t="s">
        <v>992</v>
      </c>
      <c r="F572" s="617" t="s">
        <v>993</v>
      </c>
      <c r="G572" s="616" t="s">
        <v>894</v>
      </c>
      <c r="H572" s="617"/>
      <c r="I572" s="617"/>
      <c r="J572" s="617" t="s">
        <v>999</v>
      </c>
      <c r="K572" s="618"/>
      <c r="L572" s="616"/>
      <c r="M572" s="616"/>
      <c r="N572" s="617"/>
      <c r="O572" s="617"/>
      <c r="P572" s="617"/>
      <c r="Q572" s="617"/>
      <c r="R572" s="619"/>
      <c r="S572" s="617"/>
      <c r="T572" s="616" t="s">
        <v>221</v>
      </c>
    </row>
    <row r="573" ht="34.5">
      <c r="A573" s="616" t="s">
        <v>668</v>
      </c>
      <c r="B573" s="616" t="s">
        <v>669</v>
      </c>
      <c r="C573" s="616" t="s">
        <v>997</v>
      </c>
      <c r="D573" s="616" t="s">
        <v>1000</v>
      </c>
      <c r="E573" s="616" t="s">
        <v>992</v>
      </c>
      <c r="F573" s="617" t="s">
        <v>993</v>
      </c>
      <c r="G573" s="616" t="s">
        <v>894</v>
      </c>
      <c r="H573" s="617"/>
      <c r="I573" s="617"/>
      <c r="J573" s="617" t="s">
        <v>1001</v>
      </c>
      <c r="K573" s="618"/>
      <c r="L573" s="616"/>
      <c r="M573" s="616"/>
      <c r="N573" s="617"/>
      <c r="O573" s="617"/>
      <c r="P573" s="617"/>
      <c r="Q573" s="617"/>
      <c r="R573" s="619"/>
      <c r="S573" s="617"/>
      <c r="T573" s="616" t="s">
        <v>221</v>
      </c>
    </row>
    <row r="574" ht="34.5">
      <c r="A574" s="616" t="s">
        <v>668</v>
      </c>
      <c r="B574" s="616" t="s">
        <v>669</v>
      </c>
      <c r="C574" s="616" t="s">
        <v>997</v>
      </c>
      <c r="D574" s="616" t="s">
        <v>1002</v>
      </c>
      <c r="E574" s="616" t="s">
        <v>992</v>
      </c>
      <c r="F574" s="617" t="s">
        <v>993</v>
      </c>
      <c r="G574" s="616" t="s">
        <v>894</v>
      </c>
      <c r="H574" s="617"/>
      <c r="I574" s="617"/>
      <c r="J574" s="617" t="s">
        <v>1003</v>
      </c>
      <c r="K574" s="618"/>
      <c r="L574" s="616"/>
      <c r="M574" s="616"/>
      <c r="N574" s="617"/>
      <c r="O574" s="617"/>
      <c r="P574" s="617"/>
      <c r="Q574" s="617"/>
      <c r="R574" s="619"/>
      <c r="S574" s="617"/>
      <c r="T574" s="616" t="s">
        <v>221</v>
      </c>
    </row>
    <row r="575" ht="34.5">
      <c r="A575" s="616" t="s">
        <v>668</v>
      </c>
      <c r="B575" s="616" t="s">
        <v>669</v>
      </c>
      <c r="C575" s="616" t="s">
        <v>997</v>
      </c>
      <c r="D575" s="616" t="s">
        <v>216</v>
      </c>
      <c r="E575" s="616" t="s">
        <v>992</v>
      </c>
      <c r="F575" s="617" t="s">
        <v>993</v>
      </c>
      <c r="G575" s="616" t="s">
        <v>894</v>
      </c>
      <c r="H575" s="617"/>
      <c r="I575" s="617"/>
      <c r="J575" s="617" t="s">
        <v>1004</v>
      </c>
      <c r="K575" s="618"/>
      <c r="L575" s="616"/>
      <c r="M575" s="616"/>
      <c r="N575" s="617"/>
      <c r="O575" s="617"/>
      <c r="P575" s="617"/>
      <c r="Q575" s="617"/>
      <c r="R575" s="619"/>
      <c r="S575" s="617"/>
      <c r="T575" s="616" t="s">
        <v>221</v>
      </c>
    </row>
    <row r="576" ht="34.5">
      <c r="A576" s="616" t="s">
        <v>668</v>
      </c>
      <c r="B576" s="616" t="s">
        <v>669</v>
      </c>
      <c r="C576" s="616" t="s">
        <v>997</v>
      </c>
      <c r="D576" s="616" t="s">
        <v>1005</v>
      </c>
      <c r="E576" s="616" t="s">
        <v>992</v>
      </c>
      <c r="F576" s="617" t="s">
        <v>993</v>
      </c>
      <c r="G576" s="616" t="s">
        <v>894</v>
      </c>
      <c r="H576" s="617"/>
      <c r="I576" s="617"/>
      <c r="J576" s="617" t="s">
        <v>1006</v>
      </c>
      <c r="K576" s="618"/>
      <c r="L576" s="616"/>
      <c r="M576" s="616"/>
      <c r="N576" s="617"/>
      <c r="O576" s="617"/>
      <c r="P576" s="617"/>
      <c r="Q576" s="617"/>
      <c r="R576" s="619"/>
      <c r="S576" s="617"/>
      <c r="T576" s="616" t="s">
        <v>221</v>
      </c>
    </row>
    <row r="577" ht="34.5">
      <c r="A577" s="616" t="s">
        <v>668</v>
      </c>
      <c r="B577" s="616" t="s">
        <v>669</v>
      </c>
      <c r="C577" s="616" t="s">
        <v>997</v>
      </c>
      <c r="D577" s="616" t="s">
        <v>1007</v>
      </c>
      <c r="E577" s="616" t="s">
        <v>992</v>
      </c>
      <c r="F577" s="617" t="s">
        <v>993</v>
      </c>
      <c r="G577" s="616" t="s">
        <v>894</v>
      </c>
      <c r="H577" s="617"/>
      <c r="I577" s="617"/>
      <c r="J577" s="617" t="s">
        <v>1008</v>
      </c>
      <c r="K577" s="618"/>
      <c r="L577" s="616"/>
      <c r="M577" s="616"/>
      <c r="N577" s="617"/>
      <c r="O577" s="617"/>
      <c r="P577" s="617"/>
      <c r="Q577" s="617"/>
      <c r="R577" s="619"/>
      <c r="S577" s="617"/>
      <c r="T577" s="616" t="s">
        <v>221</v>
      </c>
    </row>
    <row r="578" ht="34.5">
      <c r="A578" s="616" t="s">
        <v>668</v>
      </c>
      <c r="B578" s="616" t="s">
        <v>669</v>
      </c>
      <c r="C578" s="616" t="s">
        <v>997</v>
      </c>
      <c r="D578" s="616" t="s">
        <v>216</v>
      </c>
      <c r="E578" s="616" t="s">
        <v>992</v>
      </c>
      <c r="F578" s="617" t="s">
        <v>993</v>
      </c>
      <c r="G578" s="616" t="s">
        <v>894</v>
      </c>
      <c r="H578" s="617"/>
      <c r="I578" s="617"/>
      <c r="J578" s="617" t="s">
        <v>1009</v>
      </c>
      <c r="K578" s="618">
        <v>144717567</v>
      </c>
      <c r="L578" s="616" t="s">
        <v>611</v>
      </c>
      <c r="M578" s="616"/>
      <c r="N578" s="617"/>
      <c r="O578" s="617"/>
      <c r="P578" s="617"/>
      <c r="Q578" s="617"/>
      <c r="R578" s="619"/>
      <c r="S578" s="617"/>
      <c r="T578" s="616" t="s">
        <v>221</v>
      </c>
    </row>
    <row r="579" ht="34.5">
      <c r="A579" s="616" t="s">
        <v>668</v>
      </c>
      <c r="B579" s="616" t="s">
        <v>669</v>
      </c>
      <c r="C579" s="616" t="s">
        <v>997</v>
      </c>
      <c r="D579" s="616" t="s">
        <v>216</v>
      </c>
      <c r="E579" s="616" t="s">
        <v>992</v>
      </c>
      <c r="F579" s="617" t="s">
        <v>993</v>
      </c>
      <c r="G579" s="616" t="s">
        <v>894</v>
      </c>
      <c r="H579" s="617"/>
      <c r="I579" s="617"/>
      <c r="J579" s="617" t="s">
        <v>1010</v>
      </c>
      <c r="K579" s="618"/>
      <c r="L579" s="616"/>
      <c r="M579" s="616"/>
      <c r="N579" s="617"/>
      <c r="O579" s="617"/>
      <c r="P579" s="617"/>
      <c r="Q579" s="617"/>
      <c r="R579" s="619"/>
      <c r="S579" s="617"/>
      <c r="T579" s="616" t="s">
        <v>221</v>
      </c>
    </row>
    <row r="580" ht="34.5">
      <c r="A580" s="616" t="s">
        <v>668</v>
      </c>
      <c r="B580" s="616" t="s">
        <v>669</v>
      </c>
      <c r="C580" s="616" t="s">
        <v>1011</v>
      </c>
      <c r="D580" s="616" t="s">
        <v>216</v>
      </c>
      <c r="E580" s="616" t="s">
        <v>992</v>
      </c>
      <c r="F580" s="617" t="s">
        <v>993</v>
      </c>
      <c r="G580" s="616" t="s">
        <v>894</v>
      </c>
      <c r="H580" s="617"/>
      <c r="I580" s="617"/>
      <c r="J580" s="617" t="s">
        <v>1012</v>
      </c>
      <c r="K580" s="618"/>
      <c r="L580" s="616"/>
      <c r="M580" s="616"/>
      <c r="N580" s="617"/>
      <c r="O580" s="617"/>
      <c r="P580" s="617"/>
      <c r="Q580" s="617"/>
      <c r="R580" s="619"/>
      <c r="S580" s="617"/>
      <c r="T580" s="616" t="s">
        <v>221</v>
      </c>
    </row>
    <row r="581" ht="34.5">
      <c r="A581" s="616" t="s">
        <v>668</v>
      </c>
      <c r="B581" s="616" t="s">
        <v>669</v>
      </c>
      <c r="C581" s="616" t="s">
        <v>1011</v>
      </c>
      <c r="D581" s="616" t="s">
        <v>216</v>
      </c>
      <c r="E581" s="616" t="s">
        <v>992</v>
      </c>
      <c r="F581" s="617" t="s">
        <v>993</v>
      </c>
      <c r="G581" s="616" t="s">
        <v>894</v>
      </c>
      <c r="H581" s="617"/>
      <c r="I581" s="617"/>
      <c r="J581" s="617" t="s">
        <v>1013</v>
      </c>
      <c r="K581" s="618"/>
      <c r="L581" s="616"/>
      <c r="M581" s="616"/>
      <c r="N581" s="617"/>
      <c r="O581" s="617"/>
      <c r="P581" s="617"/>
      <c r="Q581" s="617"/>
      <c r="R581" s="619"/>
      <c r="S581" s="617"/>
      <c r="T581" s="616" t="s">
        <v>221</v>
      </c>
    </row>
    <row r="582" ht="34.5">
      <c r="A582" s="616" t="s">
        <v>668</v>
      </c>
      <c r="B582" s="616" t="s">
        <v>669</v>
      </c>
      <c r="C582" s="616" t="s">
        <v>1011</v>
      </c>
      <c r="D582" s="616" t="s">
        <v>216</v>
      </c>
      <c r="E582" s="616" t="s">
        <v>992</v>
      </c>
      <c r="F582" s="617" t="s">
        <v>993</v>
      </c>
      <c r="G582" s="616" t="s">
        <v>894</v>
      </c>
      <c r="H582" s="617"/>
      <c r="I582" s="617"/>
      <c r="J582" s="617" t="s">
        <v>1014</v>
      </c>
      <c r="K582" s="618"/>
      <c r="L582" s="616"/>
      <c r="M582" s="616"/>
      <c r="N582" s="617"/>
      <c r="O582" s="617"/>
      <c r="P582" s="617"/>
      <c r="Q582" s="617"/>
      <c r="R582" s="619"/>
      <c r="S582" s="617"/>
      <c r="T582" s="616" t="s">
        <v>221</v>
      </c>
    </row>
    <row r="583" ht="34.5">
      <c r="A583" s="616" t="s">
        <v>668</v>
      </c>
      <c r="B583" s="616" t="s">
        <v>669</v>
      </c>
      <c r="C583" s="616" t="s">
        <v>1011</v>
      </c>
      <c r="D583" s="616" t="s">
        <v>216</v>
      </c>
      <c r="E583" s="616" t="s">
        <v>992</v>
      </c>
      <c r="F583" s="617" t="s">
        <v>993</v>
      </c>
      <c r="G583" s="616" t="s">
        <v>894</v>
      </c>
      <c r="H583" s="617"/>
      <c r="I583" s="617"/>
      <c r="J583" s="617" t="s">
        <v>1015</v>
      </c>
      <c r="K583" s="618">
        <v>87863198</v>
      </c>
      <c r="L583" s="616" t="s">
        <v>611</v>
      </c>
      <c r="M583" s="616"/>
      <c r="N583" s="617"/>
      <c r="O583" s="617"/>
      <c r="P583" s="617"/>
      <c r="Q583" s="617"/>
      <c r="R583" s="619"/>
      <c r="S583" s="617"/>
      <c r="T583" s="616" t="s">
        <v>221</v>
      </c>
    </row>
    <row r="584" ht="34.5">
      <c r="A584" s="616" t="s">
        <v>668</v>
      </c>
      <c r="B584" s="616" t="s">
        <v>669</v>
      </c>
      <c r="C584" s="616" t="s">
        <v>1011</v>
      </c>
      <c r="D584" s="616" t="s">
        <v>216</v>
      </c>
      <c r="E584" s="616" t="s">
        <v>992</v>
      </c>
      <c r="F584" s="617" t="s">
        <v>993</v>
      </c>
      <c r="G584" s="616" t="s">
        <v>894</v>
      </c>
      <c r="H584" s="617"/>
      <c r="I584" s="617"/>
      <c r="J584" s="617" t="s">
        <v>1016</v>
      </c>
      <c r="K584" s="618"/>
      <c r="L584" s="616"/>
      <c r="M584" s="616"/>
      <c r="N584" s="617"/>
      <c r="O584" s="617"/>
      <c r="P584" s="617"/>
      <c r="Q584" s="617"/>
      <c r="R584" s="619"/>
      <c r="S584" s="617"/>
      <c r="T584" s="616" t="s">
        <v>221</v>
      </c>
    </row>
    <row r="585" ht="34.5">
      <c r="A585" s="616" t="s">
        <v>668</v>
      </c>
      <c r="B585" s="616" t="s">
        <v>669</v>
      </c>
      <c r="C585" s="616" t="s">
        <v>1011</v>
      </c>
      <c r="D585" s="616" t="s">
        <v>216</v>
      </c>
      <c r="E585" s="616" t="s">
        <v>992</v>
      </c>
      <c r="F585" s="617" t="s">
        <v>993</v>
      </c>
      <c r="G585" s="616" t="s">
        <v>894</v>
      </c>
      <c r="H585" s="617"/>
      <c r="I585" s="617"/>
      <c r="J585" s="617" t="s">
        <v>1017</v>
      </c>
      <c r="K585" s="618"/>
      <c r="L585" s="616"/>
      <c r="M585" s="616"/>
      <c r="N585" s="617"/>
      <c r="O585" s="617"/>
      <c r="P585" s="617"/>
      <c r="Q585" s="617"/>
      <c r="R585" s="619"/>
      <c r="S585" s="617"/>
      <c r="T585" s="616" t="s">
        <v>221</v>
      </c>
    </row>
    <row r="586" ht="34.5">
      <c r="A586" s="616" t="s">
        <v>668</v>
      </c>
      <c r="B586" s="616" t="s">
        <v>669</v>
      </c>
      <c r="C586" s="616" t="s">
        <v>1018</v>
      </c>
      <c r="D586" s="616" t="s">
        <v>216</v>
      </c>
      <c r="E586" s="616" t="s">
        <v>992</v>
      </c>
      <c r="F586" s="617" t="s">
        <v>993</v>
      </c>
      <c r="G586" s="616" t="s">
        <v>894</v>
      </c>
      <c r="H586" s="617"/>
      <c r="I586" s="617"/>
      <c r="J586" s="617" t="s">
        <v>1019</v>
      </c>
      <c r="K586" s="618"/>
      <c r="L586" s="616"/>
      <c r="M586" s="616"/>
      <c r="N586" s="617"/>
      <c r="O586" s="617"/>
      <c r="P586" s="617"/>
      <c r="Q586" s="617"/>
      <c r="R586" s="619"/>
      <c r="S586" s="617"/>
      <c r="T586" s="616" t="s">
        <v>221</v>
      </c>
    </row>
    <row r="587" ht="34.5">
      <c r="A587" s="616" t="s">
        <v>668</v>
      </c>
      <c r="B587" s="616" t="s">
        <v>669</v>
      </c>
      <c r="C587" s="616" t="s">
        <v>1018</v>
      </c>
      <c r="D587" s="616" t="s">
        <v>216</v>
      </c>
      <c r="E587" s="616" t="s">
        <v>992</v>
      </c>
      <c r="F587" s="617" t="s">
        <v>993</v>
      </c>
      <c r="G587" s="616" t="s">
        <v>894</v>
      </c>
      <c r="H587" s="617"/>
      <c r="I587" s="617"/>
      <c r="J587" s="617" t="s">
        <v>1020</v>
      </c>
      <c r="K587" s="618"/>
      <c r="L587" s="616"/>
      <c r="M587" s="616"/>
      <c r="N587" s="617"/>
      <c r="O587" s="617"/>
      <c r="P587" s="617"/>
      <c r="Q587" s="617"/>
      <c r="R587" s="619"/>
      <c r="S587" s="617"/>
      <c r="T587" s="616" t="s">
        <v>221</v>
      </c>
    </row>
    <row r="588" ht="34.5">
      <c r="A588" s="616" t="s">
        <v>668</v>
      </c>
      <c r="B588" s="616" t="s">
        <v>669</v>
      </c>
      <c r="C588" s="616" t="s">
        <v>1018</v>
      </c>
      <c r="D588" s="616" t="s">
        <v>1021</v>
      </c>
      <c r="E588" s="616" t="s">
        <v>992</v>
      </c>
      <c r="F588" s="617" t="s">
        <v>993</v>
      </c>
      <c r="G588" s="616" t="s">
        <v>894</v>
      </c>
      <c r="H588" s="617"/>
      <c r="I588" s="617"/>
      <c r="J588" s="617" t="s">
        <v>1022</v>
      </c>
      <c r="K588" s="618"/>
      <c r="L588" s="616"/>
      <c r="M588" s="616"/>
      <c r="N588" s="617"/>
      <c r="O588" s="617"/>
      <c r="P588" s="617"/>
      <c r="Q588" s="617"/>
      <c r="R588" s="619"/>
      <c r="S588" s="617"/>
      <c r="T588" s="616" t="s">
        <v>221</v>
      </c>
    </row>
    <row r="589" ht="34.5">
      <c r="A589" s="616" t="s">
        <v>668</v>
      </c>
      <c r="B589" s="616" t="s">
        <v>669</v>
      </c>
      <c r="C589" s="616" t="s">
        <v>1018</v>
      </c>
      <c r="D589" s="616" t="s">
        <v>216</v>
      </c>
      <c r="E589" s="616" t="s">
        <v>992</v>
      </c>
      <c r="F589" s="617" t="s">
        <v>993</v>
      </c>
      <c r="G589" s="616" t="s">
        <v>894</v>
      </c>
      <c r="H589" s="617"/>
      <c r="I589" s="617"/>
      <c r="J589" s="617" t="s">
        <v>1023</v>
      </c>
      <c r="K589" s="618"/>
      <c r="L589" s="616"/>
      <c r="M589" s="616"/>
      <c r="N589" s="617"/>
      <c r="O589" s="617"/>
      <c r="P589" s="617"/>
      <c r="Q589" s="617"/>
      <c r="R589" s="619"/>
      <c r="S589" s="617"/>
      <c r="T589" s="616" t="s">
        <v>221</v>
      </c>
    </row>
    <row r="590" ht="34.5">
      <c r="A590" s="616" t="s">
        <v>668</v>
      </c>
      <c r="B590" s="616" t="s">
        <v>669</v>
      </c>
      <c r="C590" s="616" t="s">
        <v>1018</v>
      </c>
      <c r="D590" s="616" t="s">
        <v>216</v>
      </c>
      <c r="E590" s="616" t="s">
        <v>992</v>
      </c>
      <c r="F590" s="617" t="s">
        <v>993</v>
      </c>
      <c r="G590" s="616" t="s">
        <v>894</v>
      </c>
      <c r="H590" s="617"/>
      <c r="I590" s="617"/>
      <c r="J590" s="617" t="s">
        <v>1024</v>
      </c>
      <c r="K590" s="618"/>
      <c r="L590" s="616"/>
      <c r="M590" s="616"/>
      <c r="N590" s="617"/>
      <c r="O590" s="617"/>
      <c r="P590" s="617"/>
      <c r="Q590" s="617"/>
      <c r="R590" s="619"/>
      <c r="S590" s="617"/>
      <c r="T590" s="616" t="s">
        <v>221</v>
      </c>
    </row>
    <row r="591" ht="34.5">
      <c r="A591" s="616" t="s">
        <v>668</v>
      </c>
      <c r="B591" s="616" t="s">
        <v>669</v>
      </c>
      <c r="C591" s="616" t="s">
        <v>1018</v>
      </c>
      <c r="D591" s="616" t="s">
        <v>216</v>
      </c>
      <c r="E591" s="616" t="s">
        <v>992</v>
      </c>
      <c r="F591" s="617" t="s">
        <v>993</v>
      </c>
      <c r="G591" s="616" t="s">
        <v>894</v>
      </c>
      <c r="H591" s="617"/>
      <c r="I591" s="617"/>
      <c r="J591" s="617" t="s">
        <v>1025</v>
      </c>
      <c r="K591" s="618"/>
      <c r="L591" s="616"/>
      <c r="M591" s="616"/>
      <c r="N591" s="617"/>
      <c r="O591" s="617"/>
      <c r="P591" s="617"/>
      <c r="Q591" s="617"/>
      <c r="R591" s="619"/>
      <c r="S591" s="617"/>
      <c r="T591" s="616" t="s">
        <v>221</v>
      </c>
    </row>
    <row r="592" ht="34.5">
      <c r="A592" s="616" t="s">
        <v>668</v>
      </c>
      <c r="B592" s="616" t="s">
        <v>669</v>
      </c>
      <c r="C592" s="616" t="s">
        <v>1018</v>
      </c>
      <c r="D592" s="616" t="s">
        <v>216</v>
      </c>
      <c r="E592" s="616" t="s">
        <v>992</v>
      </c>
      <c r="F592" s="617" t="s">
        <v>993</v>
      </c>
      <c r="G592" s="616" t="s">
        <v>894</v>
      </c>
      <c r="H592" s="617"/>
      <c r="I592" s="617"/>
      <c r="J592" s="617" t="s">
        <v>1026</v>
      </c>
      <c r="K592" s="618">
        <v>13864795</v>
      </c>
      <c r="L592" s="616" t="s">
        <v>611</v>
      </c>
      <c r="M592" s="616"/>
      <c r="N592" s="617"/>
      <c r="O592" s="617"/>
      <c r="P592" s="617"/>
      <c r="Q592" s="617"/>
      <c r="R592" s="619"/>
      <c r="S592" s="617"/>
      <c r="T592" s="616" t="s">
        <v>221</v>
      </c>
    </row>
    <row r="593" ht="34.5">
      <c r="A593" s="616" t="s">
        <v>668</v>
      </c>
      <c r="B593" s="616" t="s">
        <v>669</v>
      </c>
      <c r="C593" s="616" t="s">
        <v>1018</v>
      </c>
      <c r="D593" s="616" t="s">
        <v>216</v>
      </c>
      <c r="E593" s="616" t="s">
        <v>992</v>
      </c>
      <c r="F593" s="617" t="s">
        <v>993</v>
      </c>
      <c r="G593" s="616" t="s">
        <v>894</v>
      </c>
      <c r="H593" s="617"/>
      <c r="I593" s="617"/>
      <c r="J593" s="617" t="s">
        <v>1027</v>
      </c>
      <c r="K593" s="618"/>
      <c r="L593" s="616"/>
      <c r="M593" s="616"/>
      <c r="N593" s="617"/>
      <c r="O593" s="617"/>
      <c r="P593" s="617"/>
      <c r="Q593" s="617"/>
      <c r="R593" s="619"/>
      <c r="S593" s="617"/>
      <c r="T593" s="616" t="s">
        <v>221</v>
      </c>
    </row>
    <row r="594" ht="34.5">
      <c r="A594" s="616" t="s">
        <v>668</v>
      </c>
      <c r="B594" s="616" t="s">
        <v>669</v>
      </c>
      <c r="C594" s="616" t="s">
        <v>1028</v>
      </c>
      <c r="D594" s="616" t="s">
        <v>216</v>
      </c>
      <c r="E594" s="616" t="s">
        <v>992</v>
      </c>
      <c r="F594" s="617" t="s">
        <v>993</v>
      </c>
      <c r="G594" s="616" t="s">
        <v>894</v>
      </c>
      <c r="H594" s="617"/>
      <c r="I594" s="617"/>
      <c r="J594" s="617" t="s">
        <v>1029</v>
      </c>
      <c r="K594" s="618"/>
      <c r="L594" s="616"/>
      <c r="M594" s="616"/>
      <c r="N594" s="617"/>
      <c r="O594" s="617"/>
      <c r="P594" s="617"/>
      <c r="Q594" s="617"/>
      <c r="R594" s="619"/>
      <c r="S594" s="617"/>
      <c r="T594" s="616" t="s">
        <v>221</v>
      </c>
    </row>
    <row r="595" ht="34.5">
      <c r="A595" s="616" t="s">
        <v>668</v>
      </c>
      <c r="B595" s="616" t="s">
        <v>669</v>
      </c>
      <c r="C595" s="616" t="s">
        <v>1028</v>
      </c>
      <c r="D595" s="616" t="s">
        <v>216</v>
      </c>
      <c r="E595" s="616" t="s">
        <v>992</v>
      </c>
      <c r="F595" s="617" t="s">
        <v>993</v>
      </c>
      <c r="G595" s="616" t="s">
        <v>894</v>
      </c>
      <c r="H595" s="617"/>
      <c r="I595" s="617"/>
      <c r="J595" s="617" t="s">
        <v>1030</v>
      </c>
      <c r="K595" s="618"/>
      <c r="L595" s="616"/>
      <c r="M595" s="616"/>
      <c r="N595" s="617"/>
      <c r="O595" s="617"/>
      <c r="P595" s="617"/>
      <c r="Q595" s="617"/>
      <c r="R595" s="619"/>
      <c r="S595" s="617"/>
      <c r="T595" s="616" t="s">
        <v>221</v>
      </c>
    </row>
    <row r="596" ht="34.5">
      <c r="A596" s="616" t="s">
        <v>668</v>
      </c>
      <c r="B596" s="616" t="s">
        <v>669</v>
      </c>
      <c r="C596" s="616" t="s">
        <v>1028</v>
      </c>
      <c r="D596" s="616" t="s">
        <v>216</v>
      </c>
      <c r="E596" s="616" t="s">
        <v>992</v>
      </c>
      <c r="F596" s="617" t="s">
        <v>993</v>
      </c>
      <c r="G596" s="616" t="s">
        <v>894</v>
      </c>
      <c r="H596" s="617"/>
      <c r="I596" s="617"/>
      <c r="J596" s="617" t="s">
        <v>1031</v>
      </c>
      <c r="K596" s="618"/>
      <c r="L596" s="616"/>
      <c r="M596" s="616"/>
      <c r="N596" s="617"/>
      <c r="O596" s="617"/>
      <c r="P596" s="617"/>
      <c r="Q596" s="617"/>
      <c r="R596" s="619"/>
      <c r="S596" s="617"/>
      <c r="T596" s="616" t="s">
        <v>221</v>
      </c>
    </row>
    <row r="597" ht="34.5">
      <c r="A597" s="616" t="s">
        <v>668</v>
      </c>
      <c r="B597" s="616" t="s">
        <v>669</v>
      </c>
      <c r="C597" s="616" t="s">
        <v>1028</v>
      </c>
      <c r="D597" s="616" t="s">
        <v>216</v>
      </c>
      <c r="E597" s="616" t="s">
        <v>992</v>
      </c>
      <c r="F597" s="617" t="s">
        <v>993</v>
      </c>
      <c r="G597" s="616" t="s">
        <v>894</v>
      </c>
      <c r="H597" s="617"/>
      <c r="I597" s="617"/>
      <c r="J597" s="617" t="s">
        <v>1032</v>
      </c>
      <c r="K597" s="618"/>
      <c r="L597" s="616"/>
      <c r="M597" s="616"/>
      <c r="N597" s="617"/>
      <c r="O597" s="617"/>
      <c r="P597" s="617"/>
      <c r="Q597" s="617"/>
      <c r="R597" s="619"/>
      <c r="S597" s="617"/>
      <c r="T597" s="616" t="s">
        <v>221</v>
      </c>
    </row>
    <row r="598" ht="34.5">
      <c r="A598" s="616" t="s">
        <v>668</v>
      </c>
      <c r="B598" s="616" t="s">
        <v>669</v>
      </c>
      <c r="C598" s="616" t="s">
        <v>1028</v>
      </c>
      <c r="D598" s="616" t="s">
        <v>216</v>
      </c>
      <c r="E598" s="616" t="s">
        <v>992</v>
      </c>
      <c r="F598" s="617" t="s">
        <v>993</v>
      </c>
      <c r="G598" s="616" t="s">
        <v>894</v>
      </c>
      <c r="H598" s="617"/>
      <c r="I598" s="617"/>
      <c r="J598" s="617" t="s">
        <v>1033</v>
      </c>
      <c r="K598" s="618"/>
      <c r="L598" s="616"/>
      <c r="M598" s="616"/>
      <c r="N598" s="617"/>
      <c r="O598" s="617"/>
      <c r="P598" s="617"/>
      <c r="Q598" s="617"/>
      <c r="R598" s="619"/>
      <c r="S598" s="617"/>
      <c r="T598" s="616" t="s">
        <v>221</v>
      </c>
    </row>
    <row r="599" ht="34.5">
      <c r="A599" s="616" t="s">
        <v>668</v>
      </c>
      <c r="B599" s="616" t="s">
        <v>669</v>
      </c>
      <c r="C599" s="616" t="s">
        <v>1028</v>
      </c>
      <c r="D599" s="616" t="s">
        <v>216</v>
      </c>
      <c r="E599" s="616" t="s">
        <v>992</v>
      </c>
      <c r="F599" s="617" t="s">
        <v>993</v>
      </c>
      <c r="G599" s="616" t="s">
        <v>894</v>
      </c>
      <c r="H599" s="617"/>
      <c r="I599" s="617"/>
      <c r="J599" s="617" t="s">
        <v>1034</v>
      </c>
      <c r="K599" s="618"/>
      <c r="L599" s="616"/>
      <c r="M599" s="616"/>
      <c r="N599" s="617"/>
      <c r="O599" s="617"/>
      <c r="P599" s="617"/>
      <c r="Q599" s="617"/>
      <c r="R599" s="619"/>
      <c r="S599" s="617"/>
      <c r="T599" s="616" t="s">
        <v>221</v>
      </c>
    </row>
    <row r="600" ht="34.5">
      <c r="A600" s="616" t="s">
        <v>668</v>
      </c>
      <c r="B600" s="616" t="s">
        <v>669</v>
      </c>
      <c r="C600" s="616" t="s">
        <v>1028</v>
      </c>
      <c r="D600" s="616" t="s">
        <v>216</v>
      </c>
      <c r="E600" s="616" t="s">
        <v>992</v>
      </c>
      <c r="F600" s="617" t="s">
        <v>993</v>
      </c>
      <c r="G600" s="616" t="s">
        <v>894</v>
      </c>
      <c r="H600" s="617"/>
      <c r="I600" s="617"/>
      <c r="J600" s="617" t="s">
        <v>1035</v>
      </c>
      <c r="K600" s="618"/>
      <c r="L600" s="616"/>
      <c r="M600" s="616"/>
      <c r="N600" s="617"/>
      <c r="O600" s="617"/>
      <c r="P600" s="617"/>
      <c r="Q600" s="617"/>
      <c r="R600" s="619"/>
      <c r="S600" s="617"/>
      <c r="T600" s="616" t="s">
        <v>221</v>
      </c>
    </row>
    <row r="601" ht="34.5">
      <c r="A601" s="616" t="s">
        <v>668</v>
      </c>
      <c r="B601" s="616" t="s">
        <v>669</v>
      </c>
      <c r="C601" s="616" t="s">
        <v>1028</v>
      </c>
      <c r="D601" s="616" t="s">
        <v>216</v>
      </c>
      <c r="E601" s="616" t="s">
        <v>992</v>
      </c>
      <c r="F601" s="617" t="s">
        <v>993</v>
      </c>
      <c r="G601" s="616" t="s">
        <v>894</v>
      </c>
      <c r="H601" s="617"/>
      <c r="I601" s="617"/>
      <c r="J601" s="617" t="s">
        <v>1036</v>
      </c>
      <c r="K601" s="618"/>
      <c r="L601" s="616"/>
      <c r="M601" s="616"/>
      <c r="N601" s="617"/>
      <c r="O601" s="617"/>
      <c r="P601" s="617"/>
      <c r="Q601" s="617"/>
      <c r="R601" s="619"/>
      <c r="S601" s="617"/>
      <c r="T601" s="616" t="s">
        <v>221</v>
      </c>
    </row>
    <row r="602" ht="34.5">
      <c r="A602" s="616" t="s">
        <v>668</v>
      </c>
      <c r="B602" s="616" t="s">
        <v>669</v>
      </c>
      <c r="C602" s="616" t="s">
        <v>1028</v>
      </c>
      <c r="D602" s="616" t="s">
        <v>216</v>
      </c>
      <c r="E602" s="616" t="s">
        <v>992</v>
      </c>
      <c r="F602" s="617" t="s">
        <v>993</v>
      </c>
      <c r="G602" s="616" t="s">
        <v>894</v>
      </c>
      <c r="H602" s="617"/>
      <c r="I602" s="617"/>
      <c r="J602" s="617" t="s">
        <v>1037</v>
      </c>
      <c r="K602" s="618"/>
      <c r="L602" s="616"/>
      <c r="M602" s="616"/>
      <c r="N602" s="617"/>
      <c r="O602" s="617"/>
      <c r="P602" s="617"/>
      <c r="Q602" s="617"/>
      <c r="R602" s="619"/>
      <c r="S602" s="617"/>
      <c r="T602" s="616" t="s">
        <v>221</v>
      </c>
    </row>
    <row r="603" ht="34.5">
      <c r="A603" s="616" t="s">
        <v>668</v>
      </c>
      <c r="B603" s="616" t="s">
        <v>669</v>
      </c>
      <c r="C603" s="616" t="s">
        <v>1028</v>
      </c>
      <c r="D603" s="616" t="s">
        <v>216</v>
      </c>
      <c r="E603" s="616" t="s">
        <v>992</v>
      </c>
      <c r="F603" s="617" t="s">
        <v>993</v>
      </c>
      <c r="G603" s="616" t="s">
        <v>894</v>
      </c>
      <c r="H603" s="617"/>
      <c r="I603" s="617"/>
      <c r="J603" s="617" t="s">
        <v>1038</v>
      </c>
      <c r="K603" s="618"/>
      <c r="L603" s="616"/>
      <c r="M603" s="616"/>
      <c r="N603" s="617"/>
      <c r="O603" s="617"/>
      <c r="P603" s="617"/>
      <c r="Q603" s="617"/>
      <c r="R603" s="619"/>
      <c r="S603" s="617"/>
      <c r="T603" s="616" t="s">
        <v>221</v>
      </c>
    </row>
    <row r="604" ht="34.5">
      <c r="A604" s="616" t="s">
        <v>668</v>
      </c>
      <c r="B604" s="616" t="s">
        <v>669</v>
      </c>
      <c r="C604" s="616" t="s">
        <v>1028</v>
      </c>
      <c r="D604" s="616" t="s">
        <v>216</v>
      </c>
      <c r="E604" s="616" t="s">
        <v>992</v>
      </c>
      <c r="F604" s="617" t="s">
        <v>993</v>
      </c>
      <c r="G604" s="616" t="s">
        <v>894</v>
      </c>
      <c r="H604" s="617"/>
      <c r="I604" s="617"/>
      <c r="J604" s="617" t="s">
        <v>1039</v>
      </c>
      <c r="K604" s="618"/>
      <c r="L604" s="616"/>
      <c r="M604" s="616"/>
      <c r="N604" s="617"/>
      <c r="O604" s="617"/>
      <c r="P604" s="617"/>
      <c r="Q604" s="617"/>
      <c r="R604" s="619"/>
      <c r="S604" s="617"/>
      <c r="T604" s="616" t="s">
        <v>221</v>
      </c>
    </row>
    <row r="605" ht="34.5">
      <c r="A605" s="616" t="s">
        <v>668</v>
      </c>
      <c r="B605" s="616" t="s">
        <v>669</v>
      </c>
      <c r="C605" s="616" t="s">
        <v>1028</v>
      </c>
      <c r="D605" s="616" t="s">
        <v>216</v>
      </c>
      <c r="E605" s="616" t="s">
        <v>992</v>
      </c>
      <c r="F605" s="617" t="s">
        <v>993</v>
      </c>
      <c r="G605" s="616" t="s">
        <v>894</v>
      </c>
      <c r="H605" s="617"/>
      <c r="I605" s="617"/>
      <c r="J605" s="617" t="s">
        <v>1040</v>
      </c>
      <c r="K605" s="618"/>
      <c r="L605" s="616"/>
      <c r="M605" s="616"/>
      <c r="N605" s="617"/>
      <c r="O605" s="617"/>
      <c r="P605" s="617"/>
      <c r="Q605" s="617"/>
      <c r="R605" s="619"/>
      <c r="S605" s="617"/>
      <c r="T605" s="616" t="s">
        <v>221</v>
      </c>
    </row>
    <row r="606" ht="34.5">
      <c r="A606" s="616" t="s">
        <v>668</v>
      </c>
      <c r="B606" s="616" t="s">
        <v>669</v>
      </c>
      <c r="C606" s="616" t="s">
        <v>1041</v>
      </c>
      <c r="D606" s="616" t="s">
        <v>216</v>
      </c>
      <c r="E606" s="616" t="s">
        <v>992</v>
      </c>
      <c r="F606" s="617" t="s">
        <v>993</v>
      </c>
      <c r="G606" s="616" t="s">
        <v>894</v>
      </c>
      <c r="H606" s="617"/>
      <c r="I606" s="617"/>
      <c r="J606" s="617" t="s">
        <v>1042</v>
      </c>
      <c r="K606" s="618">
        <v>-10000000</v>
      </c>
      <c r="L606" s="616" t="s">
        <v>611</v>
      </c>
      <c r="M606" s="616"/>
      <c r="N606" s="617"/>
      <c r="O606" s="617"/>
      <c r="P606" s="617"/>
      <c r="Q606" s="617"/>
      <c r="R606" s="619"/>
      <c r="S606" s="617"/>
      <c r="T606" s="616" t="s">
        <v>221</v>
      </c>
    </row>
    <row r="607" ht="34.5">
      <c r="A607" s="616" t="s">
        <v>668</v>
      </c>
      <c r="B607" s="616" t="s">
        <v>669</v>
      </c>
      <c r="C607" s="616" t="s">
        <v>1041</v>
      </c>
      <c r="D607" s="616" t="s">
        <v>216</v>
      </c>
      <c r="E607" s="616" t="s">
        <v>992</v>
      </c>
      <c r="F607" s="617" t="s">
        <v>993</v>
      </c>
      <c r="G607" s="616" t="s">
        <v>894</v>
      </c>
      <c r="H607" s="617"/>
      <c r="I607" s="617"/>
      <c r="J607" s="617" t="s">
        <v>1043</v>
      </c>
      <c r="K607" s="618"/>
      <c r="L607" s="616"/>
      <c r="M607" s="616"/>
      <c r="N607" s="617"/>
      <c r="O607" s="617"/>
      <c r="P607" s="617"/>
      <c r="Q607" s="617"/>
      <c r="R607" s="619"/>
      <c r="S607" s="617"/>
      <c r="T607" s="616" t="s">
        <v>221</v>
      </c>
    </row>
    <row r="608" ht="34.5">
      <c r="A608" s="616" t="s">
        <v>668</v>
      </c>
      <c r="B608" s="616" t="s">
        <v>669</v>
      </c>
      <c r="C608" s="616" t="s">
        <v>1041</v>
      </c>
      <c r="D608" s="616" t="s">
        <v>216</v>
      </c>
      <c r="E608" s="616" t="s">
        <v>992</v>
      </c>
      <c r="F608" s="617" t="s">
        <v>993</v>
      </c>
      <c r="G608" s="616" t="s">
        <v>894</v>
      </c>
      <c r="H608" s="617"/>
      <c r="I608" s="617"/>
      <c r="J608" s="617" t="s">
        <v>1044</v>
      </c>
      <c r="K608" s="618"/>
      <c r="L608" s="616"/>
      <c r="M608" s="616"/>
      <c r="N608" s="617"/>
      <c r="O608" s="617"/>
      <c r="P608" s="617"/>
      <c r="Q608" s="617"/>
      <c r="R608" s="619"/>
      <c r="S608" s="617"/>
      <c r="T608" s="616" t="s">
        <v>221</v>
      </c>
    </row>
    <row r="609" ht="34.5">
      <c r="A609" s="616" t="s">
        <v>668</v>
      </c>
      <c r="B609" s="616" t="s">
        <v>669</v>
      </c>
      <c r="C609" s="616" t="s">
        <v>1041</v>
      </c>
      <c r="D609" s="616" t="s">
        <v>216</v>
      </c>
      <c r="E609" s="616" t="s">
        <v>992</v>
      </c>
      <c r="F609" s="617" t="s">
        <v>993</v>
      </c>
      <c r="G609" s="616" t="s">
        <v>894</v>
      </c>
      <c r="H609" s="617"/>
      <c r="I609" s="617"/>
      <c r="J609" s="617" t="s">
        <v>1045</v>
      </c>
      <c r="K609" s="618"/>
      <c r="L609" s="616"/>
      <c r="M609" s="616"/>
      <c r="N609" s="617"/>
      <c r="O609" s="617"/>
      <c r="P609" s="617"/>
      <c r="Q609" s="617"/>
      <c r="R609" s="619"/>
      <c r="S609" s="617"/>
      <c r="T609" s="616" t="s">
        <v>221</v>
      </c>
    </row>
    <row r="610" ht="34.5">
      <c r="A610" s="616" t="s">
        <v>668</v>
      </c>
      <c r="B610" s="616" t="s">
        <v>669</v>
      </c>
      <c r="C610" s="616" t="s">
        <v>1041</v>
      </c>
      <c r="D610" s="616" t="s">
        <v>216</v>
      </c>
      <c r="E610" s="616" t="s">
        <v>992</v>
      </c>
      <c r="F610" s="617" t="s">
        <v>993</v>
      </c>
      <c r="G610" s="616" t="s">
        <v>894</v>
      </c>
      <c r="H610" s="617"/>
      <c r="I610" s="617"/>
      <c r="J610" s="617" t="s">
        <v>1046</v>
      </c>
      <c r="K610" s="618"/>
      <c r="L610" s="616"/>
      <c r="M610" s="616"/>
      <c r="N610" s="617"/>
      <c r="O610" s="617"/>
      <c r="P610" s="617"/>
      <c r="Q610" s="617"/>
      <c r="R610" s="619"/>
      <c r="S610" s="617"/>
      <c r="T610" s="616" t="s">
        <v>221</v>
      </c>
    </row>
    <row r="611" ht="34.5">
      <c r="A611" s="616" t="s">
        <v>668</v>
      </c>
      <c r="B611" s="616" t="s">
        <v>669</v>
      </c>
      <c r="C611" s="616" t="s">
        <v>1041</v>
      </c>
      <c r="D611" s="616" t="s">
        <v>216</v>
      </c>
      <c r="E611" s="616" t="s">
        <v>992</v>
      </c>
      <c r="F611" s="617" t="s">
        <v>993</v>
      </c>
      <c r="G611" s="616" t="s">
        <v>894</v>
      </c>
      <c r="H611" s="617"/>
      <c r="I611" s="617"/>
      <c r="J611" s="617" t="s">
        <v>1047</v>
      </c>
      <c r="K611" s="618"/>
      <c r="L611" s="616"/>
      <c r="M611" s="616"/>
      <c r="N611" s="617"/>
      <c r="O611" s="617"/>
      <c r="P611" s="617"/>
      <c r="Q611" s="617"/>
      <c r="R611" s="619"/>
      <c r="S611" s="617"/>
      <c r="T611" s="616" t="s">
        <v>221</v>
      </c>
    </row>
    <row r="612" ht="34.5">
      <c r="A612" s="616" t="s">
        <v>668</v>
      </c>
      <c r="B612" s="616" t="s">
        <v>669</v>
      </c>
      <c r="C612" s="616" t="s">
        <v>1041</v>
      </c>
      <c r="D612" s="616" t="s">
        <v>216</v>
      </c>
      <c r="E612" s="616" t="s">
        <v>992</v>
      </c>
      <c r="F612" s="617" t="s">
        <v>993</v>
      </c>
      <c r="G612" s="616" t="s">
        <v>894</v>
      </c>
      <c r="H612" s="617"/>
      <c r="I612" s="617"/>
      <c r="J612" s="617" t="s">
        <v>1048</v>
      </c>
      <c r="K612" s="618"/>
      <c r="L612" s="616"/>
      <c r="M612" s="616"/>
      <c r="N612" s="617"/>
      <c r="O612" s="617"/>
      <c r="P612" s="617"/>
      <c r="Q612" s="617"/>
      <c r="R612" s="619"/>
      <c r="S612" s="617"/>
      <c r="T612" s="616" t="s">
        <v>221</v>
      </c>
    </row>
    <row r="613" ht="34.5">
      <c r="A613" s="616" t="s">
        <v>668</v>
      </c>
      <c r="B613" s="616" t="s">
        <v>669</v>
      </c>
      <c r="C613" s="616" t="s">
        <v>1041</v>
      </c>
      <c r="D613" s="616" t="s">
        <v>216</v>
      </c>
      <c r="E613" s="616" t="s">
        <v>992</v>
      </c>
      <c r="F613" s="617" t="s">
        <v>993</v>
      </c>
      <c r="G613" s="616" t="s">
        <v>894</v>
      </c>
      <c r="H613" s="617"/>
      <c r="I613" s="617"/>
      <c r="J613" s="617" t="s">
        <v>1049</v>
      </c>
      <c r="K613" s="618"/>
      <c r="L613" s="616"/>
      <c r="M613" s="616"/>
      <c r="N613" s="617"/>
      <c r="O613" s="617"/>
      <c r="P613" s="617"/>
      <c r="Q613" s="617"/>
      <c r="R613" s="619"/>
      <c r="S613" s="617"/>
      <c r="T613" s="616" t="s">
        <v>221</v>
      </c>
    </row>
    <row r="614" ht="34.5">
      <c r="A614" s="616" t="s">
        <v>668</v>
      </c>
      <c r="B614" s="616" t="s">
        <v>669</v>
      </c>
      <c r="C614" s="616" t="s">
        <v>1041</v>
      </c>
      <c r="D614" s="616" t="s">
        <v>216</v>
      </c>
      <c r="E614" s="616" t="s">
        <v>992</v>
      </c>
      <c r="F614" s="617" t="s">
        <v>993</v>
      </c>
      <c r="G614" s="616" t="s">
        <v>894</v>
      </c>
      <c r="H614" s="617"/>
      <c r="I614" s="617"/>
      <c r="J614" s="617" t="s">
        <v>1050</v>
      </c>
      <c r="K614" s="618"/>
      <c r="L614" s="616"/>
      <c r="M614" s="616"/>
      <c r="N614" s="617"/>
      <c r="O614" s="617"/>
      <c r="P614" s="617"/>
      <c r="Q614" s="617"/>
      <c r="R614" s="619"/>
      <c r="S614" s="617"/>
      <c r="T614" s="616" t="s">
        <v>221</v>
      </c>
    </row>
    <row r="615" ht="34.5">
      <c r="A615" s="616" t="s">
        <v>668</v>
      </c>
      <c r="B615" s="616" t="s">
        <v>669</v>
      </c>
      <c r="C615" s="616" t="s">
        <v>1041</v>
      </c>
      <c r="D615" s="616" t="s">
        <v>216</v>
      </c>
      <c r="E615" s="616" t="s">
        <v>992</v>
      </c>
      <c r="F615" s="617" t="s">
        <v>993</v>
      </c>
      <c r="G615" s="616" t="s">
        <v>894</v>
      </c>
      <c r="H615" s="617"/>
      <c r="I615" s="617"/>
      <c r="J615" s="617" t="s">
        <v>1051</v>
      </c>
      <c r="K615" s="618"/>
      <c r="L615" s="616"/>
      <c r="M615" s="616"/>
      <c r="N615" s="617"/>
      <c r="O615" s="617"/>
      <c r="P615" s="617"/>
      <c r="Q615" s="617"/>
      <c r="R615" s="619"/>
      <c r="S615" s="617"/>
      <c r="T615" s="616" t="s">
        <v>221</v>
      </c>
    </row>
    <row r="616" ht="34.5">
      <c r="A616" s="616" t="s">
        <v>668</v>
      </c>
      <c r="B616" s="616" t="s">
        <v>669</v>
      </c>
      <c r="C616" s="616" t="s">
        <v>1052</v>
      </c>
      <c r="D616" s="616" t="s">
        <v>216</v>
      </c>
      <c r="E616" s="616" t="s">
        <v>992</v>
      </c>
      <c r="F616" s="617" t="s">
        <v>993</v>
      </c>
      <c r="G616" s="616" t="s">
        <v>894</v>
      </c>
      <c r="H616" s="617"/>
      <c r="I616" s="617"/>
      <c r="J616" s="617" t="s">
        <v>679</v>
      </c>
      <c r="K616" s="618"/>
      <c r="L616" s="616"/>
      <c r="M616" s="616"/>
      <c r="N616" s="617"/>
      <c r="O616" s="617"/>
      <c r="P616" s="617"/>
      <c r="Q616" s="617"/>
      <c r="R616" s="619"/>
      <c r="S616" s="617"/>
      <c r="T616" s="616" t="s">
        <v>221</v>
      </c>
    </row>
    <row r="617" ht="34.5">
      <c r="A617" s="616" t="s">
        <v>668</v>
      </c>
      <c r="B617" s="616" t="s">
        <v>669</v>
      </c>
      <c r="C617" s="616" t="s">
        <v>1052</v>
      </c>
      <c r="D617" s="616" t="s">
        <v>216</v>
      </c>
      <c r="E617" s="616" t="s">
        <v>992</v>
      </c>
      <c r="F617" s="617" t="s">
        <v>993</v>
      </c>
      <c r="G617" s="616" t="s">
        <v>894</v>
      </c>
      <c r="H617" s="617"/>
      <c r="I617" s="617"/>
      <c r="J617" s="617" t="s">
        <v>680</v>
      </c>
      <c r="K617" s="618"/>
      <c r="L617" s="616"/>
      <c r="M617" s="616"/>
      <c r="N617" s="617"/>
      <c r="O617" s="617"/>
      <c r="P617" s="617"/>
      <c r="Q617" s="617"/>
      <c r="R617" s="619"/>
      <c r="S617" s="617"/>
      <c r="T617" s="616" t="s">
        <v>221</v>
      </c>
    </row>
    <row r="618" ht="34.5">
      <c r="A618" s="616" t="s">
        <v>668</v>
      </c>
      <c r="B618" s="616" t="s">
        <v>669</v>
      </c>
      <c r="C618" s="616" t="s">
        <v>1052</v>
      </c>
      <c r="D618" s="616" t="s">
        <v>216</v>
      </c>
      <c r="E618" s="616" t="s">
        <v>992</v>
      </c>
      <c r="F618" s="617" t="s">
        <v>993</v>
      </c>
      <c r="G618" s="616" t="s">
        <v>894</v>
      </c>
      <c r="H618" s="617"/>
      <c r="I618" s="617"/>
      <c r="J618" s="617" t="s">
        <v>1053</v>
      </c>
      <c r="K618" s="618">
        <v>32324680</v>
      </c>
      <c r="L618" s="616" t="s">
        <v>611</v>
      </c>
      <c r="M618" s="616"/>
      <c r="N618" s="617"/>
      <c r="O618" s="617"/>
      <c r="P618" s="617"/>
      <c r="Q618" s="617"/>
      <c r="R618" s="619"/>
      <c r="S618" s="617"/>
      <c r="T618" s="616" t="s">
        <v>221</v>
      </c>
    </row>
    <row r="619" ht="34.5">
      <c r="A619" s="616" t="s">
        <v>668</v>
      </c>
      <c r="B619" s="616" t="s">
        <v>669</v>
      </c>
      <c r="C619" s="616" t="s">
        <v>1052</v>
      </c>
      <c r="D619" s="616" t="s">
        <v>216</v>
      </c>
      <c r="E619" s="616" t="s">
        <v>992</v>
      </c>
      <c r="F619" s="617" t="s">
        <v>993</v>
      </c>
      <c r="G619" s="616" t="s">
        <v>894</v>
      </c>
      <c r="H619" s="617"/>
      <c r="I619" s="617"/>
      <c r="J619" s="617" t="s">
        <v>1054</v>
      </c>
      <c r="K619" s="618"/>
      <c r="L619" s="616"/>
      <c r="M619" s="616"/>
      <c r="N619" s="617"/>
      <c r="O619" s="617"/>
      <c r="P619" s="617"/>
      <c r="Q619" s="617"/>
      <c r="R619" s="619"/>
      <c r="S619" s="617"/>
      <c r="T619" s="616" t="s">
        <v>221</v>
      </c>
    </row>
    <row r="620" ht="34.5">
      <c r="A620" s="616" t="s">
        <v>668</v>
      </c>
      <c r="B620" s="616" t="s">
        <v>669</v>
      </c>
      <c r="C620" s="616" t="s">
        <v>1052</v>
      </c>
      <c r="D620" s="616" t="s">
        <v>1055</v>
      </c>
      <c r="E620" s="616" t="s">
        <v>992</v>
      </c>
      <c r="F620" s="617" t="s">
        <v>993</v>
      </c>
      <c r="G620" s="616" t="s">
        <v>894</v>
      </c>
      <c r="H620" s="617"/>
      <c r="I620" s="617"/>
      <c r="J620" s="617" t="s">
        <v>1056</v>
      </c>
      <c r="K620" s="618"/>
      <c r="L620" s="616"/>
      <c r="M620" s="616"/>
      <c r="N620" s="617"/>
      <c r="O620" s="617"/>
      <c r="P620" s="617"/>
      <c r="Q620" s="617"/>
      <c r="R620" s="619"/>
      <c r="S620" s="617"/>
      <c r="T620" s="616" t="s">
        <v>221</v>
      </c>
    </row>
    <row r="621" ht="34.5">
      <c r="A621" s="616" t="s">
        <v>668</v>
      </c>
      <c r="B621" s="616" t="s">
        <v>669</v>
      </c>
      <c r="C621" s="616" t="s">
        <v>1052</v>
      </c>
      <c r="D621" s="616" t="s">
        <v>216</v>
      </c>
      <c r="E621" s="616" t="s">
        <v>992</v>
      </c>
      <c r="F621" s="617" t="s">
        <v>993</v>
      </c>
      <c r="G621" s="616" t="s">
        <v>894</v>
      </c>
      <c r="H621" s="617"/>
      <c r="I621" s="617"/>
      <c r="J621" s="617" t="s">
        <v>1057</v>
      </c>
      <c r="K621" s="618"/>
      <c r="L621" s="616"/>
      <c r="M621" s="616"/>
      <c r="N621" s="617"/>
      <c r="O621" s="617"/>
      <c r="P621" s="617"/>
      <c r="Q621" s="617"/>
      <c r="R621" s="619"/>
      <c r="S621" s="617"/>
      <c r="T621" s="616" t="s">
        <v>221</v>
      </c>
    </row>
    <row r="622" ht="34.5">
      <c r="A622" s="616" t="s">
        <v>668</v>
      </c>
      <c r="B622" s="616" t="s">
        <v>669</v>
      </c>
      <c r="C622" s="616" t="s">
        <v>1052</v>
      </c>
      <c r="D622" s="616" t="s">
        <v>216</v>
      </c>
      <c r="E622" s="616" t="s">
        <v>992</v>
      </c>
      <c r="F622" s="617" t="s">
        <v>993</v>
      </c>
      <c r="G622" s="616" t="s">
        <v>894</v>
      </c>
      <c r="H622" s="617"/>
      <c r="I622" s="617"/>
      <c r="J622" s="617" t="s">
        <v>1058</v>
      </c>
      <c r="K622" s="618"/>
      <c r="L622" s="616"/>
      <c r="M622" s="616"/>
      <c r="N622" s="617"/>
      <c r="O622" s="617"/>
      <c r="P622" s="617"/>
      <c r="Q622" s="617"/>
      <c r="R622" s="619"/>
      <c r="S622" s="617"/>
      <c r="T622" s="616" t="s">
        <v>221</v>
      </c>
    </row>
    <row r="623" ht="34.5">
      <c r="A623" s="616" t="s">
        <v>668</v>
      </c>
      <c r="B623" s="616" t="s">
        <v>669</v>
      </c>
      <c r="C623" s="616" t="s">
        <v>1052</v>
      </c>
      <c r="D623" s="616" t="s">
        <v>216</v>
      </c>
      <c r="E623" s="616" t="s">
        <v>992</v>
      </c>
      <c r="F623" s="617" t="s">
        <v>993</v>
      </c>
      <c r="G623" s="616" t="s">
        <v>894</v>
      </c>
      <c r="H623" s="617"/>
      <c r="I623" s="617"/>
      <c r="J623" s="617" t="s">
        <v>1059</v>
      </c>
      <c r="K623" s="618"/>
      <c r="L623" s="616"/>
      <c r="M623" s="616"/>
      <c r="N623" s="617"/>
      <c r="O623" s="617"/>
      <c r="P623" s="617"/>
      <c r="Q623" s="617"/>
      <c r="R623" s="619"/>
      <c r="S623" s="617"/>
      <c r="T623" s="616" t="s">
        <v>221</v>
      </c>
    </row>
    <row r="624" ht="34.5">
      <c r="A624" s="616" t="s">
        <v>668</v>
      </c>
      <c r="B624" s="616" t="s">
        <v>669</v>
      </c>
      <c r="C624" s="616" t="s">
        <v>1052</v>
      </c>
      <c r="D624" s="616" t="s">
        <v>1060</v>
      </c>
      <c r="E624" s="616" t="s">
        <v>992</v>
      </c>
      <c r="F624" s="617" t="s">
        <v>993</v>
      </c>
      <c r="G624" s="616" t="s">
        <v>894</v>
      </c>
      <c r="H624" s="617"/>
      <c r="I624" s="617"/>
      <c r="J624" s="617" t="s">
        <v>1061</v>
      </c>
      <c r="K624" s="618"/>
      <c r="L624" s="616"/>
      <c r="M624" s="616"/>
      <c r="N624" s="617"/>
      <c r="O624" s="617"/>
      <c r="P624" s="617"/>
      <c r="Q624" s="617"/>
      <c r="R624" s="619"/>
      <c r="S624" s="617"/>
      <c r="T624" s="616" t="s">
        <v>221</v>
      </c>
    </row>
    <row r="625" ht="34.5">
      <c r="A625" s="616" t="s">
        <v>668</v>
      </c>
      <c r="B625" s="616" t="s">
        <v>669</v>
      </c>
      <c r="C625" s="616" t="s">
        <v>1062</v>
      </c>
      <c r="D625" s="616" t="s">
        <v>216</v>
      </c>
      <c r="E625" s="616" t="s">
        <v>992</v>
      </c>
      <c r="F625" s="617" t="s">
        <v>993</v>
      </c>
      <c r="G625" s="616" t="s">
        <v>894</v>
      </c>
      <c r="H625" s="617"/>
      <c r="I625" s="617"/>
      <c r="J625" s="617" t="s">
        <v>1063</v>
      </c>
      <c r="K625" s="618"/>
      <c r="L625" s="616"/>
      <c r="M625" s="616"/>
      <c r="N625" s="617"/>
      <c r="O625" s="617"/>
      <c r="P625" s="617"/>
      <c r="Q625" s="617"/>
      <c r="R625" s="619"/>
      <c r="S625" s="617"/>
      <c r="T625" s="616" t="s">
        <v>221</v>
      </c>
    </row>
    <row r="626" ht="34.5">
      <c r="A626" s="616" t="s">
        <v>668</v>
      </c>
      <c r="B626" s="616" t="s">
        <v>669</v>
      </c>
      <c r="C626" s="616" t="s">
        <v>1062</v>
      </c>
      <c r="D626" s="616" t="s">
        <v>216</v>
      </c>
      <c r="E626" s="616" t="s">
        <v>992</v>
      </c>
      <c r="F626" s="617" t="s">
        <v>993</v>
      </c>
      <c r="G626" s="616" t="s">
        <v>894</v>
      </c>
      <c r="H626" s="617"/>
      <c r="I626" s="617"/>
      <c r="J626" s="617" t="s">
        <v>1064</v>
      </c>
      <c r="K626" s="618">
        <v>2000000</v>
      </c>
      <c r="L626" s="616" t="s">
        <v>611</v>
      </c>
      <c r="M626" s="616"/>
      <c r="N626" s="617"/>
      <c r="O626" s="617"/>
      <c r="P626" s="617"/>
      <c r="Q626" s="617"/>
      <c r="R626" s="619"/>
      <c r="S626" s="617"/>
      <c r="T626" s="616" t="s">
        <v>221</v>
      </c>
    </row>
    <row r="627" ht="34.5">
      <c r="A627" s="616" t="s">
        <v>668</v>
      </c>
      <c r="B627" s="616" t="s">
        <v>669</v>
      </c>
      <c r="C627" s="616" t="s">
        <v>1062</v>
      </c>
      <c r="D627" s="616" t="s">
        <v>216</v>
      </c>
      <c r="E627" s="616" t="s">
        <v>992</v>
      </c>
      <c r="F627" s="617" t="s">
        <v>993</v>
      </c>
      <c r="G627" s="616" t="s">
        <v>894</v>
      </c>
      <c r="H627" s="617"/>
      <c r="I627" s="617"/>
      <c r="J627" s="617" t="s">
        <v>1065</v>
      </c>
      <c r="K627" s="618"/>
      <c r="L627" s="616"/>
      <c r="M627" s="616"/>
      <c r="N627" s="617"/>
      <c r="O627" s="617"/>
      <c r="P627" s="617"/>
      <c r="Q627" s="617"/>
      <c r="R627" s="619"/>
      <c r="S627" s="617"/>
      <c r="T627" s="616" t="s">
        <v>221</v>
      </c>
    </row>
    <row r="628" ht="34.5">
      <c r="A628" s="616" t="s">
        <v>668</v>
      </c>
      <c r="B628" s="616" t="s">
        <v>669</v>
      </c>
      <c r="C628" s="616" t="s">
        <v>1062</v>
      </c>
      <c r="D628" s="616" t="s">
        <v>1066</v>
      </c>
      <c r="E628" s="616" t="s">
        <v>992</v>
      </c>
      <c r="F628" s="617" t="s">
        <v>993</v>
      </c>
      <c r="G628" s="616" t="s">
        <v>894</v>
      </c>
      <c r="H628" s="617"/>
      <c r="I628" s="617"/>
      <c r="J628" s="617" t="s">
        <v>1067</v>
      </c>
      <c r="K628" s="618"/>
      <c r="L628" s="616"/>
      <c r="M628" s="616"/>
      <c r="N628" s="617"/>
      <c r="O628" s="617"/>
      <c r="P628" s="617"/>
      <c r="Q628" s="617"/>
      <c r="R628" s="619"/>
      <c r="S628" s="617"/>
      <c r="T628" s="616" t="s">
        <v>221</v>
      </c>
    </row>
    <row r="629" ht="34.5">
      <c r="A629" s="616" t="s">
        <v>668</v>
      </c>
      <c r="B629" s="616" t="s">
        <v>669</v>
      </c>
      <c r="C629" s="616" t="s">
        <v>1062</v>
      </c>
      <c r="D629" s="616" t="s">
        <v>216</v>
      </c>
      <c r="E629" s="616" t="s">
        <v>1068</v>
      </c>
      <c r="F629" s="617" t="s">
        <v>1069</v>
      </c>
      <c r="G629" s="616" t="s">
        <v>698</v>
      </c>
      <c r="H629" s="617"/>
      <c r="I629" s="617"/>
      <c r="J629" s="617" t="s">
        <v>1070</v>
      </c>
      <c r="K629" s="618"/>
      <c r="L629" s="616"/>
      <c r="M629" s="616"/>
      <c r="N629" s="617"/>
      <c r="O629" s="617"/>
      <c r="P629" s="617"/>
      <c r="Q629" s="617"/>
      <c r="R629" s="619"/>
      <c r="S629" s="617"/>
      <c r="T629" s="616" t="s">
        <v>221</v>
      </c>
    </row>
    <row r="630" ht="34.5">
      <c r="A630" s="616" t="s">
        <v>668</v>
      </c>
      <c r="B630" s="616" t="s">
        <v>669</v>
      </c>
      <c r="C630" s="616" t="s">
        <v>1062</v>
      </c>
      <c r="D630" s="616" t="s">
        <v>216</v>
      </c>
      <c r="E630" s="616" t="s">
        <v>1068</v>
      </c>
      <c r="F630" s="617" t="s">
        <v>1069</v>
      </c>
      <c r="G630" s="616" t="s">
        <v>698</v>
      </c>
      <c r="H630" s="617"/>
      <c r="I630" s="617"/>
      <c r="J630" s="617" t="s">
        <v>1071</v>
      </c>
      <c r="K630" s="618"/>
      <c r="L630" s="616"/>
      <c r="M630" s="616"/>
      <c r="N630" s="617"/>
      <c r="O630" s="617"/>
      <c r="P630" s="617"/>
      <c r="Q630" s="617"/>
      <c r="R630" s="619"/>
      <c r="S630" s="617"/>
      <c r="T630" s="616" t="s">
        <v>221</v>
      </c>
    </row>
    <row r="631" ht="34.5">
      <c r="A631" s="616" t="s">
        <v>668</v>
      </c>
      <c r="B631" s="616" t="s">
        <v>669</v>
      </c>
      <c r="C631" s="616" t="s">
        <v>1062</v>
      </c>
      <c r="D631" s="616" t="s">
        <v>216</v>
      </c>
      <c r="E631" s="616" t="s">
        <v>1068</v>
      </c>
      <c r="F631" s="617" t="s">
        <v>1069</v>
      </c>
      <c r="G631" s="616" t="s">
        <v>698</v>
      </c>
      <c r="H631" s="617"/>
      <c r="I631" s="617"/>
      <c r="J631" s="617" t="s">
        <v>1072</v>
      </c>
      <c r="K631" s="618"/>
      <c r="L631" s="616"/>
      <c r="M631" s="616"/>
      <c r="N631" s="617"/>
      <c r="O631" s="617"/>
      <c r="P631" s="617"/>
      <c r="Q631" s="617"/>
      <c r="R631" s="619"/>
      <c r="S631" s="617"/>
      <c r="T631" s="616" t="s">
        <v>221</v>
      </c>
    </row>
    <row r="632" ht="34.5">
      <c r="A632" s="616" t="s">
        <v>668</v>
      </c>
      <c r="B632" s="616" t="s">
        <v>669</v>
      </c>
      <c r="C632" s="616" t="s">
        <v>1073</v>
      </c>
      <c r="D632" s="616" t="s">
        <v>216</v>
      </c>
      <c r="E632" s="616" t="s">
        <v>1074</v>
      </c>
      <c r="F632" s="617" t="s">
        <v>1075</v>
      </c>
      <c r="G632" s="616" t="s">
        <v>727</v>
      </c>
      <c r="H632" s="617"/>
      <c r="I632" s="617"/>
      <c r="J632" s="617" t="s">
        <v>1076</v>
      </c>
      <c r="K632" s="618"/>
      <c r="L632" s="616"/>
      <c r="M632" s="616"/>
      <c r="N632" s="617"/>
      <c r="O632" s="617"/>
      <c r="P632" s="617"/>
      <c r="Q632" s="617"/>
      <c r="R632" s="619"/>
      <c r="S632" s="617"/>
      <c r="T632" s="616" t="s">
        <v>221</v>
      </c>
    </row>
    <row r="633" ht="34.5">
      <c r="A633" s="616" t="s">
        <v>668</v>
      </c>
      <c r="B633" s="616" t="s">
        <v>669</v>
      </c>
      <c r="C633" s="616" t="s">
        <v>1073</v>
      </c>
      <c r="D633" s="616" t="s">
        <v>216</v>
      </c>
      <c r="E633" s="616" t="s">
        <v>1074</v>
      </c>
      <c r="F633" s="617" t="s">
        <v>1075</v>
      </c>
      <c r="G633" s="616" t="s">
        <v>727</v>
      </c>
      <c r="H633" s="617"/>
      <c r="I633" s="617"/>
      <c r="J633" s="617" t="s">
        <v>1077</v>
      </c>
      <c r="K633" s="618"/>
      <c r="L633" s="616"/>
      <c r="M633" s="616"/>
      <c r="N633" s="617"/>
      <c r="O633" s="617"/>
      <c r="P633" s="617"/>
      <c r="Q633" s="617"/>
      <c r="R633" s="619"/>
      <c r="S633" s="617"/>
      <c r="T633" s="616" t="s">
        <v>221</v>
      </c>
    </row>
    <row r="634" ht="34.5">
      <c r="A634" s="616" t="s">
        <v>668</v>
      </c>
      <c r="B634" s="616" t="s">
        <v>669</v>
      </c>
      <c r="C634" s="616" t="s">
        <v>1073</v>
      </c>
      <c r="D634" s="616" t="s">
        <v>1078</v>
      </c>
      <c r="E634" s="616" t="s">
        <v>1074</v>
      </c>
      <c r="F634" s="617" t="s">
        <v>1075</v>
      </c>
      <c r="G634" s="616" t="s">
        <v>727</v>
      </c>
      <c r="H634" s="617"/>
      <c r="I634" s="617"/>
      <c r="J634" s="617" t="s">
        <v>1079</v>
      </c>
      <c r="K634" s="618"/>
      <c r="L634" s="616"/>
      <c r="M634" s="616"/>
      <c r="N634" s="617"/>
      <c r="O634" s="617"/>
      <c r="P634" s="617"/>
      <c r="Q634" s="617"/>
      <c r="R634" s="619"/>
      <c r="S634" s="617"/>
      <c r="T634" s="616" t="s">
        <v>221</v>
      </c>
    </row>
    <row r="635" ht="34.5">
      <c r="A635" s="616" t="s">
        <v>668</v>
      </c>
      <c r="B635" s="616" t="s">
        <v>669</v>
      </c>
      <c r="C635" s="616" t="s">
        <v>1073</v>
      </c>
      <c r="D635" s="616" t="s">
        <v>216</v>
      </c>
      <c r="E635" s="616" t="s">
        <v>1074</v>
      </c>
      <c r="F635" s="617" t="s">
        <v>1075</v>
      </c>
      <c r="G635" s="616" t="s">
        <v>727</v>
      </c>
      <c r="H635" s="617"/>
      <c r="I635" s="617"/>
      <c r="J635" s="617" t="s">
        <v>1080</v>
      </c>
      <c r="K635" s="618"/>
      <c r="L635" s="616"/>
      <c r="M635" s="616"/>
      <c r="N635" s="617"/>
      <c r="O635" s="617"/>
      <c r="P635" s="617"/>
      <c r="Q635" s="617"/>
      <c r="R635" s="619"/>
      <c r="S635" s="617"/>
      <c r="T635" s="616" t="s">
        <v>221</v>
      </c>
    </row>
    <row r="636" ht="34.5">
      <c r="A636" s="616" t="s">
        <v>668</v>
      </c>
      <c r="B636" s="616" t="s">
        <v>669</v>
      </c>
      <c r="C636" s="616" t="s">
        <v>1073</v>
      </c>
      <c r="D636" s="616" t="s">
        <v>1081</v>
      </c>
      <c r="E636" s="616" t="s">
        <v>1074</v>
      </c>
      <c r="F636" s="617" t="s">
        <v>1075</v>
      </c>
      <c r="G636" s="616" t="s">
        <v>727</v>
      </c>
      <c r="H636" s="617"/>
      <c r="I636" s="617"/>
      <c r="J636" s="617" t="s">
        <v>1082</v>
      </c>
      <c r="K636" s="618"/>
      <c r="L636" s="616"/>
      <c r="M636" s="616"/>
      <c r="N636" s="617"/>
      <c r="O636" s="617"/>
      <c r="P636" s="617"/>
      <c r="Q636" s="617"/>
      <c r="R636" s="619"/>
      <c r="S636" s="617"/>
      <c r="T636" s="616" t="s">
        <v>221</v>
      </c>
    </row>
    <row r="637" ht="34.5">
      <c r="A637" s="616" t="s">
        <v>668</v>
      </c>
      <c r="B637" s="616" t="s">
        <v>669</v>
      </c>
      <c r="C637" s="616" t="s">
        <v>1073</v>
      </c>
      <c r="D637" s="616" t="s">
        <v>216</v>
      </c>
      <c r="E637" s="616" t="s">
        <v>1074</v>
      </c>
      <c r="F637" s="617" t="s">
        <v>1075</v>
      </c>
      <c r="G637" s="616" t="s">
        <v>727</v>
      </c>
      <c r="H637" s="617"/>
      <c r="I637" s="617"/>
      <c r="J637" s="617" t="s">
        <v>1083</v>
      </c>
      <c r="K637" s="618">
        <v>444264526</v>
      </c>
      <c r="L637" s="616" t="s">
        <v>611</v>
      </c>
      <c r="M637" s="616"/>
      <c r="N637" s="617"/>
      <c r="O637" s="617"/>
      <c r="P637" s="617"/>
      <c r="Q637" s="617"/>
      <c r="R637" s="619"/>
      <c r="S637" s="617"/>
      <c r="T637" s="616" t="s">
        <v>221</v>
      </c>
    </row>
    <row r="638" ht="34.5">
      <c r="A638" s="616" t="s">
        <v>668</v>
      </c>
      <c r="B638" s="616" t="s">
        <v>669</v>
      </c>
      <c r="C638" s="616" t="s">
        <v>1073</v>
      </c>
      <c r="D638" s="616" t="s">
        <v>216</v>
      </c>
      <c r="E638" s="616" t="s">
        <v>1074</v>
      </c>
      <c r="F638" s="617" t="s">
        <v>1075</v>
      </c>
      <c r="G638" s="616" t="s">
        <v>727</v>
      </c>
      <c r="H638" s="617"/>
      <c r="I638" s="617"/>
      <c r="J638" s="617" t="s">
        <v>1084</v>
      </c>
      <c r="K638" s="618"/>
      <c r="L638" s="616"/>
      <c r="M638" s="616"/>
      <c r="N638" s="617"/>
      <c r="O638" s="617"/>
      <c r="P638" s="617"/>
      <c r="Q638" s="617"/>
      <c r="R638" s="619"/>
      <c r="S638" s="617"/>
      <c r="T638" s="616" t="s">
        <v>221</v>
      </c>
    </row>
    <row r="639" ht="34.5">
      <c r="A639" s="616" t="s">
        <v>668</v>
      </c>
      <c r="B639" s="616" t="s">
        <v>669</v>
      </c>
      <c r="C639" s="616" t="s">
        <v>1085</v>
      </c>
      <c r="D639" s="616" t="s">
        <v>216</v>
      </c>
      <c r="E639" s="616" t="s">
        <v>1074</v>
      </c>
      <c r="F639" s="617" t="s">
        <v>1075</v>
      </c>
      <c r="G639" s="616" t="s">
        <v>727</v>
      </c>
      <c r="H639" s="617"/>
      <c r="I639" s="617"/>
      <c r="J639" s="617" t="s">
        <v>1086</v>
      </c>
      <c r="K639" s="618">
        <v>56588822</v>
      </c>
      <c r="L639" s="616" t="s">
        <v>611</v>
      </c>
      <c r="M639" s="616"/>
      <c r="N639" s="617"/>
      <c r="O639" s="617"/>
      <c r="P639" s="617"/>
      <c r="Q639" s="617"/>
      <c r="R639" s="619"/>
      <c r="S639" s="617"/>
      <c r="T639" s="616" t="s">
        <v>221</v>
      </c>
    </row>
    <row r="640" ht="34.5">
      <c r="A640" s="616" t="s">
        <v>668</v>
      </c>
      <c r="B640" s="616" t="s">
        <v>669</v>
      </c>
      <c r="C640" s="616" t="s">
        <v>1085</v>
      </c>
      <c r="D640" s="616" t="s">
        <v>216</v>
      </c>
      <c r="E640" s="616" t="s">
        <v>1074</v>
      </c>
      <c r="F640" s="617" t="s">
        <v>1075</v>
      </c>
      <c r="G640" s="616" t="s">
        <v>727</v>
      </c>
      <c r="H640" s="617"/>
      <c r="I640" s="617"/>
      <c r="J640" s="617" t="s">
        <v>1087</v>
      </c>
      <c r="K640" s="618">
        <v>-220499207</v>
      </c>
      <c r="L640" s="616" t="s">
        <v>611</v>
      </c>
      <c r="M640" s="616"/>
      <c r="N640" s="617"/>
      <c r="O640" s="617"/>
      <c r="P640" s="617"/>
      <c r="Q640" s="617"/>
      <c r="R640" s="619"/>
      <c r="S640" s="617"/>
      <c r="T640" s="616" t="s">
        <v>221</v>
      </c>
    </row>
    <row r="641" ht="34.5">
      <c r="A641" s="616" t="s">
        <v>668</v>
      </c>
      <c r="B641" s="616" t="s">
        <v>669</v>
      </c>
      <c r="C641" s="616" t="s">
        <v>1085</v>
      </c>
      <c r="D641" s="616" t="s">
        <v>1088</v>
      </c>
      <c r="E641" s="616" t="s">
        <v>1074</v>
      </c>
      <c r="F641" s="617" t="s">
        <v>1075</v>
      </c>
      <c r="G641" s="616" t="s">
        <v>727</v>
      </c>
      <c r="H641" s="617"/>
      <c r="I641" s="617"/>
      <c r="J641" s="617" t="s">
        <v>1089</v>
      </c>
      <c r="K641" s="618"/>
      <c r="L641" s="616"/>
      <c r="M641" s="616"/>
      <c r="N641" s="617"/>
      <c r="O641" s="617"/>
      <c r="P641" s="617"/>
      <c r="Q641" s="617"/>
      <c r="R641" s="619"/>
      <c r="S641" s="617"/>
      <c r="T641" s="616" t="s">
        <v>221</v>
      </c>
    </row>
    <row r="642" ht="34.5">
      <c r="A642" s="616" t="s">
        <v>668</v>
      </c>
      <c r="B642" s="616" t="s">
        <v>669</v>
      </c>
      <c r="C642" s="616" t="s">
        <v>1085</v>
      </c>
      <c r="D642" s="616" t="s">
        <v>216</v>
      </c>
      <c r="E642" s="616" t="s">
        <v>1074</v>
      </c>
      <c r="F642" s="617" t="s">
        <v>1075</v>
      </c>
      <c r="G642" s="616" t="s">
        <v>727</v>
      </c>
      <c r="H642" s="617"/>
      <c r="I642" s="617"/>
      <c r="J642" s="617" t="s">
        <v>1090</v>
      </c>
      <c r="K642" s="618"/>
      <c r="L642" s="616"/>
      <c r="M642" s="616"/>
      <c r="N642" s="617"/>
      <c r="O642" s="617"/>
      <c r="P642" s="617"/>
      <c r="Q642" s="617"/>
      <c r="R642" s="619"/>
      <c r="S642" s="617"/>
      <c r="T642" s="616" t="s">
        <v>221</v>
      </c>
    </row>
    <row r="643" ht="34.5">
      <c r="A643" s="616" t="s">
        <v>668</v>
      </c>
      <c r="B643" s="616" t="s">
        <v>669</v>
      </c>
      <c r="C643" s="616" t="s">
        <v>1085</v>
      </c>
      <c r="D643" s="616" t="s">
        <v>216</v>
      </c>
      <c r="E643" s="616" t="s">
        <v>1074</v>
      </c>
      <c r="F643" s="617" t="s">
        <v>1075</v>
      </c>
      <c r="G643" s="616" t="s">
        <v>727</v>
      </c>
      <c r="H643" s="617"/>
      <c r="I643" s="617"/>
      <c r="J643" s="617" t="s">
        <v>1091</v>
      </c>
      <c r="K643" s="618"/>
      <c r="L643" s="616"/>
      <c r="M643" s="616"/>
      <c r="N643" s="617"/>
      <c r="O643" s="617"/>
      <c r="P643" s="617"/>
      <c r="Q643" s="617"/>
      <c r="R643" s="619"/>
      <c r="S643" s="617"/>
      <c r="T643" s="616" t="s">
        <v>221</v>
      </c>
    </row>
    <row r="644" ht="34.5">
      <c r="A644" s="616" t="s">
        <v>668</v>
      </c>
      <c r="B644" s="616" t="s">
        <v>669</v>
      </c>
      <c r="C644" s="616" t="s">
        <v>1085</v>
      </c>
      <c r="D644" s="616" t="s">
        <v>1092</v>
      </c>
      <c r="E644" s="616" t="s">
        <v>1074</v>
      </c>
      <c r="F644" s="617" t="s">
        <v>1075</v>
      </c>
      <c r="G644" s="616" t="s">
        <v>727</v>
      </c>
      <c r="H644" s="617"/>
      <c r="I644" s="617"/>
      <c r="J644" s="617" t="s">
        <v>1093</v>
      </c>
      <c r="K644" s="618"/>
      <c r="L644" s="616"/>
      <c r="M644" s="616"/>
      <c r="N644" s="617"/>
      <c r="O644" s="617"/>
      <c r="P644" s="617"/>
      <c r="Q644" s="617"/>
      <c r="R644" s="619"/>
      <c r="S644" s="617"/>
      <c r="T644" s="616" t="s">
        <v>221</v>
      </c>
    </row>
    <row r="645" ht="34.5">
      <c r="A645" s="616" t="s">
        <v>668</v>
      </c>
      <c r="B645" s="616" t="s">
        <v>669</v>
      </c>
      <c r="C645" s="616" t="s">
        <v>1085</v>
      </c>
      <c r="D645" s="616" t="s">
        <v>216</v>
      </c>
      <c r="E645" s="616" t="s">
        <v>1074</v>
      </c>
      <c r="F645" s="617" t="s">
        <v>1075</v>
      </c>
      <c r="G645" s="616" t="s">
        <v>727</v>
      </c>
      <c r="H645" s="617"/>
      <c r="I645" s="617"/>
      <c r="J645" s="617" t="s">
        <v>1094</v>
      </c>
      <c r="K645" s="618"/>
      <c r="L645" s="616"/>
      <c r="M645" s="616"/>
      <c r="N645" s="617"/>
      <c r="O645" s="617"/>
      <c r="P645" s="617"/>
      <c r="Q645" s="617"/>
      <c r="R645" s="619"/>
      <c r="S645" s="617"/>
      <c r="T645" s="616" t="s">
        <v>221</v>
      </c>
    </row>
    <row r="646" ht="34.5">
      <c r="A646" s="616" t="s">
        <v>668</v>
      </c>
      <c r="B646" s="616" t="s">
        <v>669</v>
      </c>
      <c r="C646" s="616" t="s">
        <v>1085</v>
      </c>
      <c r="D646" s="616" t="s">
        <v>216</v>
      </c>
      <c r="E646" s="616" t="s">
        <v>1074</v>
      </c>
      <c r="F646" s="617" t="s">
        <v>1075</v>
      </c>
      <c r="G646" s="616" t="s">
        <v>727</v>
      </c>
      <c r="H646" s="617"/>
      <c r="I646" s="617"/>
      <c r="J646" s="617" t="s">
        <v>1095</v>
      </c>
      <c r="K646" s="618"/>
      <c r="L646" s="616"/>
      <c r="M646" s="616"/>
      <c r="N646" s="617"/>
      <c r="O646" s="617"/>
      <c r="P646" s="617"/>
      <c r="Q646" s="617"/>
      <c r="R646" s="619"/>
      <c r="S646" s="617"/>
      <c r="T646" s="616" t="s">
        <v>221</v>
      </c>
    </row>
    <row r="647" ht="34.5">
      <c r="A647" s="616" t="s">
        <v>668</v>
      </c>
      <c r="B647" s="616" t="s">
        <v>669</v>
      </c>
      <c r="C647" s="616" t="s">
        <v>1096</v>
      </c>
      <c r="D647" s="616" t="s">
        <v>216</v>
      </c>
      <c r="E647" s="616" t="s">
        <v>1074</v>
      </c>
      <c r="F647" s="617" t="s">
        <v>1075</v>
      </c>
      <c r="G647" s="616" t="s">
        <v>727</v>
      </c>
      <c r="H647" s="617"/>
      <c r="I647" s="617"/>
      <c r="J647" s="617" t="s">
        <v>1097</v>
      </c>
      <c r="K647" s="618"/>
      <c r="L647" s="616"/>
      <c r="M647" s="616"/>
      <c r="N647" s="617"/>
      <c r="O647" s="617"/>
      <c r="P647" s="617"/>
      <c r="Q647" s="617"/>
      <c r="R647" s="619"/>
      <c r="S647" s="617"/>
      <c r="T647" s="616" t="s">
        <v>221</v>
      </c>
    </row>
    <row r="648" ht="34.5">
      <c r="A648" s="616" t="s">
        <v>668</v>
      </c>
      <c r="B648" s="616" t="s">
        <v>669</v>
      </c>
      <c r="C648" s="616" t="s">
        <v>1096</v>
      </c>
      <c r="D648" s="616" t="s">
        <v>216</v>
      </c>
      <c r="E648" s="616" t="s">
        <v>1074</v>
      </c>
      <c r="F648" s="617" t="s">
        <v>1075</v>
      </c>
      <c r="G648" s="616" t="s">
        <v>727</v>
      </c>
      <c r="H648" s="617"/>
      <c r="I648" s="617"/>
      <c r="J648" s="617" t="s">
        <v>1098</v>
      </c>
      <c r="K648" s="618"/>
      <c r="L648" s="616"/>
      <c r="M648" s="616"/>
      <c r="N648" s="617"/>
      <c r="O648" s="617"/>
      <c r="P648" s="617"/>
      <c r="Q648" s="617"/>
      <c r="R648" s="619"/>
      <c r="S648" s="617"/>
      <c r="T648" s="616" t="s">
        <v>221</v>
      </c>
    </row>
    <row r="649" ht="34.5">
      <c r="A649" s="616" t="s">
        <v>668</v>
      </c>
      <c r="B649" s="616" t="s">
        <v>669</v>
      </c>
      <c r="C649" s="616" t="s">
        <v>1096</v>
      </c>
      <c r="D649" s="616" t="s">
        <v>216</v>
      </c>
      <c r="E649" s="616" t="s">
        <v>1074</v>
      </c>
      <c r="F649" s="617" t="s">
        <v>1075</v>
      </c>
      <c r="G649" s="616" t="s">
        <v>727</v>
      </c>
      <c r="H649" s="617"/>
      <c r="I649" s="617"/>
      <c r="J649" s="617" t="s">
        <v>1099</v>
      </c>
      <c r="K649" s="618"/>
      <c r="L649" s="616"/>
      <c r="M649" s="616"/>
      <c r="N649" s="617"/>
      <c r="O649" s="617"/>
      <c r="P649" s="617"/>
      <c r="Q649" s="617"/>
      <c r="R649" s="619"/>
      <c r="S649" s="617"/>
      <c r="T649" s="616" t="s">
        <v>221</v>
      </c>
    </row>
    <row r="650" ht="34.5">
      <c r="A650" s="616" t="s">
        <v>668</v>
      </c>
      <c r="B650" s="616" t="s">
        <v>669</v>
      </c>
      <c r="C650" s="616" t="s">
        <v>1096</v>
      </c>
      <c r="D650" s="616" t="s">
        <v>216</v>
      </c>
      <c r="E650" s="616" t="s">
        <v>1074</v>
      </c>
      <c r="F650" s="617" t="s">
        <v>1075</v>
      </c>
      <c r="G650" s="616" t="s">
        <v>727</v>
      </c>
      <c r="H650" s="617"/>
      <c r="I650" s="617"/>
      <c r="J650" s="617" t="s">
        <v>1100</v>
      </c>
      <c r="K650" s="618"/>
      <c r="L650" s="616"/>
      <c r="M650" s="616"/>
      <c r="N650" s="617"/>
      <c r="O650" s="617"/>
      <c r="P650" s="617"/>
      <c r="Q650" s="617"/>
      <c r="R650" s="619"/>
      <c r="S650" s="617"/>
      <c r="T650" s="616" t="s">
        <v>221</v>
      </c>
    </row>
    <row r="651" ht="34.5">
      <c r="A651" s="616" t="s">
        <v>668</v>
      </c>
      <c r="B651" s="616" t="s">
        <v>669</v>
      </c>
      <c r="C651" s="616" t="s">
        <v>1096</v>
      </c>
      <c r="D651" s="616" t="s">
        <v>216</v>
      </c>
      <c r="E651" s="616" t="s">
        <v>1074</v>
      </c>
      <c r="F651" s="617" t="s">
        <v>1075</v>
      </c>
      <c r="G651" s="616" t="s">
        <v>727</v>
      </c>
      <c r="H651" s="617"/>
      <c r="I651" s="617"/>
      <c r="J651" s="617" t="s">
        <v>1101</v>
      </c>
      <c r="K651" s="618"/>
      <c r="L651" s="616"/>
      <c r="M651" s="616"/>
      <c r="N651" s="617"/>
      <c r="O651" s="617"/>
      <c r="P651" s="617"/>
      <c r="Q651" s="617"/>
      <c r="R651" s="619"/>
      <c r="S651" s="617"/>
      <c r="T651" s="616" t="s">
        <v>221</v>
      </c>
    </row>
    <row r="652" ht="34.5">
      <c r="A652" s="616" t="s">
        <v>668</v>
      </c>
      <c r="B652" s="616" t="s">
        <v>669</v>
      </c>
      <c r="C652" s="616" t="s">
        <v>1096</v>
      </c>
      <c r="D652" s="616" t="s">
        <v>216</v>
      </c>
      <c r="E652" s="616" t="s">
        <v>1074</v>
      </c>
      <c r="F652" s="617" t="s">
        <v>1075</v>
      </c>
      <c r="G652" s="616" t="s">
        <v>727</v>
      </c>
      <c r="H652" s="617"/>
      <c r="I652" s="617"/>
      <c r="J652" s="617" t="s">
        <v>1102</v>
      </c>
      <c r="K652" s="618"/>
      <c r="L652" s="616"/>
      <c r="M652" s="616"/>
      <c r="N652" s="617"/>
      <c r="O652" s="617"/>
      <c r="P652" s="617"/>
      <c r="Q652" s="617"/>
      <c r="R652" s="619"/>
      <c r="S652" s="617"/>
      <c r="T652" s="616" t="s">
        <v>221</v>
      </c>
    </row>
    <row r="653" ht="34.5">
      <c r="A653" s="616" t="s">
        <v>668</v>
      </c>
      <c r="B653" s="616" t="s">
        <v>669</v>
      </c>
      <c r="C653" s="616" t="s">
        <v>1096</v>
      </c>
      <c r="D653" s="616" t="s">
        <v>216</v>
      </c>
      <c r="E653" s="616" t="s">
        <v>1074</v>
      </c>
      <c r="F653" s="617" t="s">
        <v>1075</v>
      </c>
      <c r="G653" s="616" t="s">
        <v>727</v>
      </c>
      <c r="H653" s="617"/>
      <c r="I653" s="617"/>
      <c r="J653" s="617" t="s">
        <v>1103</v>
      </c>
      <c r="K653" s="618"/>
      <c r="L653" s="616"/>
      <c r="M653" s="616"/>
      <c r="N653" s="617"/>
      <c r="O653" s="617"/>
      <c r="P653" s="617"/>
      <c r="Q653" s="617"/>
      <c r="R653" s="619"/>
      <c r="S653" s="617"/>
      <c r="T653" s="616" t="s">
        <v>221</v>
      </c>
    </row>
    <row r="654" ht="34.5">
      <c r="A654" s="616" t="s">
        <v>668</v>
      </c>
      <c r="B654" s="616" t="s">
        <v>669</v>
      </c>
      <c r="C654" s="616" t="s">
        <v>1096</v>
      </c>
      <c r="D654" s="616" t="s">
        <v>216</v>
      </c>
      <c r="E654" s="616" t="s">
        <v>1074</v>
      </c>
      <c r="F654" s="617" t="s">
        <v>1075</v>
      </c>
      <c r="G654" s="616" t="s">
        <v>727</v>
      </c>
      <c r="H654" s="617"/>
      <c r="I654" s="617"/>
      <c r="J654" s="617" t="s">
        <v>1104</v>
      </c>
      <c r="K654" s="618"/>
      <c r="L654" s="616"/>
      <c r="M654" s="616"/>
      <c r="N654" s="617"/>
      <c r="O654" s="617"/>
      <c r="P654" s="617"/>
      <c r="Q654" s="617"/>
      <c r="R654" s="619"/>
      <c r="S654" s="617"/>
      <c r="T654" s="616" t="s">
        <v>221</v>
      </c>
    </row>
    <row r="655" ht="34.5">
      <c r="A655" s="616" t="s">
        <v>668</v>
      </c>
      <c r="B655" s="616" t="s">
        <v>669</v>
      </c>
      <c r="C655" s="616" t="s">
        <v>1096</v>
      </c>
      <c r="D655" s="616" t="s">
        <v>216</v>
      </c>
      <c r="E655" s="616" t="s">
        <v>1074</v>
      </c>
      <c r="F655" s="617" t="s">
        <v>1075</v>
      </c>
      <c r="G655" s="616" t="s">
        <v>727</v>
      </c>
      <c r="H655" s="617"/>
      <c r="I655" s="617"/>
      <c r="J655" s="617" t="s">
        <v>1105</v>
      </c>
      <c r="K655" s="618"/>
      <c r="L655" s="616"/>
      <c r="M655" s="616"/>
      <c r="N655" s="617"/>
      <c r="O655" s="617"/>
      <c r="P655" s="617"/>
      <c r="Q655" s="617"/>
      <c r="R655" s="619"/>
      <c r="S655" s="617"/>
      <c r="T655" s="616" t="s">
        <v>221</v>
      </c>
    </row>
    <row r="656" ht="34.5">
      <c r="A656" s="616" t="s">
        <v>668</v>
      </c>
      <c r="B656" s="616" t="s">
        <v>669</v>
      </c>
      <c r="C656" s="616" t="s">
        <v>1106</v>
      </c>
      <c r="D656" s="616" t="s">
        <v>216</v>
      </c>
      <c r="E656" s="616" t="s">
        <v>1074</v>
      </c>
      <c r="F656" s="617" t="s">
        <v>1075</v>
      </c>
      <c r="G656" s="616" t="s">
        <v>727</v>
      </c>
      <c r="H656" s="617"/>
      <c r="I656" s="617"/>
      <c r="J656" s="617" t="s">
        <v>1107</v>
      </c>
      <c r="K656" s="618"/>
      <c r="L656" s="616"/>
      <c r="M656" s="616"/>
      <c r="N656" s="617"/>
      <c r="O656" s="617"/>
      <c r="P656" s="617"/>
      <c r="Q656" s="617"/>
      <c r="R656" s="619"/>
      <c r="S656" s="617"/>
      <c r="T656" s="616" t="s">
        <v>221</v>
      </c>
    </row>
    <row r="657" ht="34.5">
      <c r="A657" s="616" t="s">
        <v>668</v>
      </c>
      <c r="B657" s="616" t="s">
        <v>669</v>
      </c>
      <c r="C657" s="616" t="s">
        <v>1106</v>
      </c>
      <c r="D657" s="616" t="s">
        <v>216</v>
      </c>
      <c r="E657" s="616" t="s">
        <v>1074</v>
      </c>
      <c r="F657" s="617" t="s">
        <v>1075</v>
      </c>
      <c r="G657" s="616" t="s">
        <v>727</v>
      </c>
      <c r="H657" s="617"/>
      <c r="I657" s="617"/>
      <c r="J657" s="617" t="s">
        <v>1108</v>
      </c>
      <c r="K657" s="618"/>
      <c r="L657" s="616"/>
      <c r="M657" s="616"/>
      <c r="N657" s="617"/>
      <c r="O657" s="617"/>
      <c r="P657" s="617"/>
      <c r="Q657" s="617"/>
      <c r="R657" s="619"/>
      <c r="S657" s="617"/>
      <c r="T657" s="616" t="s">
        <v>221</v>
      </c>
    </row>
    <row r="658" ht="34.5">
      <c r="A658" s="616" t="s">
        <v>668</v>
      </c>
      <c r="B658" s="616" t="s">
        <v>669</v>
      </c>
      <c r="C658" s="616" t="s">
        <v>1106</v>
      </c>
      <c r="D658" s="616" t="s">
        <v>1109</v>
      </c>
      <c r="E658" s="616" t="s">
        <v>1074</v>
      </c>
      <c r="F658" s="617" t="s">
        <v>1075</v>
      </c>
      <c r="G658" s="616" t="s">
        <v>727</v>
      </c>
      <c r="H658" s="617"/>
      <c r="I658" s="617"/>
      <c r="J658" s="617" t="s">
        <v>1110</v>
      </c>
      <c r="K658" s="618"/>
      <c r="L658" s="616"/>
      <c r="M658" s="616"/>
      <c r="N658" s="617"/>
      <c r="O658" s="617"/>
      <c r="P658" s="617"/>
      <c r="Q658" s="617"/>
      <c r="R658" s="619"/>
      <c r="S658" s="617"/>
      <c r="T658" s="616" t="s">
        <v>221</v>
      </c>
    </row>
    <row r="659" ht="34.5">
      <c r="A659" s="616" t="s">
        <v>668</v>
      </c>
      <c r="B659" s="616" t="s">
        <v>669</v>
      </c>
      <c r="C659" s="616" t="s">
        <v>1106</v>
      </c>
      <c r="D659" s="616" t="s">
        <v>216</v>
      </c>
      <c r="E659" s="616" t="s">
        <v>1074</v>
      </c>
      <c r="F659" s="617" t="s">
        <v>1075</v>
      </c>
      <c r="G659" s="616" t="s">
        <v>727</v>
      </c>
      <c r="H659" s="617"/>
      <c r="I659" s="617"/>
      <c r="J659" s="617" t="s">
        <v>1111</v>
      </c>
      <c r="K659" s="618"/>
      <c r="L659" s="616"/>
      <c r="M659" s="616"/>
      <c r="N659" s="617"/>
      <c r="O659" s="617"/>
      <c r="P659" s="617"/>
      <c r="Q659" s="617"/>
      <c r="R659" s="619"/>
      <c r="S659" s="617"/>
      <c r="T659" s="616" t="s">
        <v>221</v>
      </c>
    </row>
    <row r="660" ht="34.5">
      <c r="A660" s="616" t="s">
        <v>668</v>
      </c>
      <c r="B660" s="616" t="s">
        <v>669</v>
      </c>
      <c r="C660" s="616" t="s">
        <v>1106</v>
      </c>
      <c r="D660" s="616" t="s">
        <v>216</v>
      </c>
      <c r="E660" s="616" t="s">
        <v>1074</v>
      </c>
      <c r="F660" s="617" t="s">
        <v>1075</v>
      </c>
      <c r="G660" s="616" t="s">
        <v>727</v>
      </c>
      <c r="H660" s="617"/>
      <c r="I660" s="617"/>
      <c r="J660" s="617" t="s">
        <v>1112</v>
      </c>
      <c r="K660" s="618"/>
      <c r="L660" s="616"/>
      <c r="M660" s="616"/>
      <c r="N660" s="617"/>
      <c r="O660" s="617"/>
      <c r="P660" s="617"/>
      <c r="Q660" s="617"/>
      <c r="R660" s="619"/>
      <c r="S660" s="617"/>
      <c r="T660" s="616" t="s">
        <v>221</v>
      </c>
    </row>
    <row r="661" ht="34.5">
      <c r="A661" s="616" t="s">
        <v>668</v>
      </c>
      <c r="B661" s="616" t="s">
        <v>669</v>
      </c>
      <c r="C661" s="616" t="s">
        <v>1106</v>
      </c>
      <c r="D661" s="616" t="s">
        <v>216</v>
      </c>
      <c r="E661" s="616" t="s">
        <v>1074</v>
      </c>
      <c r="F661" s="617" t="s">
        <v>1075</v>
      </c>
      <c r="G661" s="616" t="s">
        <v>727</v>
      </c>
      <c r="H661" s="617"/>
      <c r="I661" s="617"/>
      <c r="J661" s="617" t="s">
        <v>1113</v>
      </c>
      <c r="K661" s="618"/>
      <c r="L661" s="616"/>
      <c r="M661" s="616"/>
      <c r="N661" s="617"/>
      <c r="O661" s="617"/>
      <c r="P661" s="617"/>
      <c r="Q661" s="617"/>
      <c r="R661" s="619"/>
      <c r="S661" s="617"/>
      <c r="T661" s="616" t="s">
        <v>221</v>
      </c>
    </row>
    <row r="662" ht="34.5">
      <c r="A662" s="616" t="s">
        <v>668</v>
      </c>
      <c r="B662" s="616" t="s">
        <v>669</v>
      </c>
      <c r="C662" s="616" t="s">
        <v>1106</v>
      </c>
      <c r="D662" s="616" t="s">
        <v>216</v>
      </c>
      <c r="E662" s="616" t="s">
        <v>1074</v>
      </c>
      <c r="F662" s="617" t="s">
        <v>1075</v>
      </c>
      <c r="G662" s="616" t="s">
        <v>727</v>
      </c>
      <c r="H662" s="617"/>
      <c r="I662" s="617"/>
      <c r="J662" s="617" t="s">
        <v>1114</v>
      </c>
      <c r="K662" s="618"/>
      <c r="L662" s="616"/>
      <c r="M662" s="616"/>
      <c r="N662" s="617"/>
      <c r="O662" s="617"/>
      <c r="P662" s="617"/>
      <c r="Q662" s="617"/>
      <c r="R662" s="619"/>
      <c r="S662" s="617"/>
      <c r="T662" s="616" t="s">
        <v>221</v>
      </c>
    </row>
    <row r="663" ht="34.5">
      <c r="A663" s="616" t="s">
        <v>668</v>
      </c>
      <c r="B663" s="616" t="s">
        <v>669</v>
      </c>
      <c r="C663" s="616" t="s">
        <v>1106</v>
      </c>
      <c r="D663" s="616" t="s">
        <v>216</v>
      </c>
      <c r="E663" s="616" t="s">
        <v>1074</v>
      </c>
      <c r="F663" s="617" t="s">
        <v>1075</v>
      </c>
      <c r="G663" s="616" t="s">
        <v>727</v>
      </c>
      <c r="H663" s="617"/>
      <c r="I663" s="617"/>
      <c r="J663" s="617" t="s">
        <v>1115</v>
      </c>
      <c r="K663" s="618"/>
      <c r="L663" s="616"/>
      <c r="M663" s="616"/>
      <c r="N663" s="617"/>
      <c r="O663" s="617"/>
      <c r="P663" s="617"/>
      <c r="Q663" s="617"/>
      <c r="R663" s="619"/>
      <c r="S663" s="617"/>
      <c r="T663" s="616" t="s">
        <v>221</v>
      </c>
    </row>
    <row r="664" ht="34.5">
      <c r="A664" s="616" t="s">
        <v>668</v>
      </c>
      <c r="B664" s="616" t="s">
        <v>669</v>
      </c>
      <c r="C664" s="616" t="s">
        <v>1116</v>
      </c>
      <c r="D664" s="616" t="s">
        <v>216</v>
      </c>
      <c r="E664" s="616" t="s">
        <v>1074</v>
      </c>
      <c r="F664" s="617" t="s">
        <v>1075</v>
      </c>
      <c r="G664" s="616" t="s">
        <v>727</v>
      </c>
      <c r="H664" s="617"/>
      <c r="I664" s="617"/>
      <c r="J664" s="617" t="s">
        <v>1117</v>
      </c>
      <c r="K664" s="618"/>
      <c r="L664" s="616"/>
      <c r="M664" s="616"/>
      <c r="N664" s="617"/>
      <c r="O664" s="617"/>
      <c r="P664" s="617"/>
      <c r="Q664" s="617"/>
      <c r="R664" s="619"/>
      <c r="S664" s="617"/>
      <c r="T664" s="616" t="s">
        <v>221</v>
      </c>
    </row>
    <row r="665" ht="34.5">
      <c r="A665" s="616" t="s">
        <v>668</v>
      </c>
      <c r="B665" s="616" t="s">
        <v>669</v>
      </c>
      <c r="C665" s="616" t="s">
        <v>1116</v>
      </c>
      <c r="D665" s="616" t="s">
        <v>216</v>
      </c>
      <c r="E665" s="616" t="s">
        <v>1074</v>
      </c>
      <c r="F665" s="617" t="s">
        <v>1075</v>
      </c>
      <c r="G665" s="616" t="s">
        <v>727</v>
      </c>
      <c r="H665" s="617"/>
      <c r="I665" s="617"/>
      <c r="J665" s="617" t="s">
        <v>1118</v>
      </c>
      <c r="K665" s="618"/>
      <c r="L665" s="616"/>
      <c r="M665" s="616"/>
      <c r="N665" s="617"/>
      <c r="O665" s="617"/>
      <c r="P665" s="617"/>
      <c r="Q665" s="617"/>
      <c r="R665" s="619"/>
      <c r="S665" s="617"/>
      <c r="T665" s="616" t="s">
        <v>221</v>
      </c>
    </row>
    <row r="666" ht="34.5">
      <c r="A666" s="616" t="s">
        <v>668</v>
      </c>
      <c r="B666" s="616" t="s">
        <v>669</v>
      </c>
      <c r="C666" s="616" t="s">
        <v>1116</v>
      </c>
      <c r="D666" s="616" t="s">
        <v>216</v>
      </c>
      <c r="E666" s="616" t="s">
        <v>1119</v>
      </c>
      <c r="F666" s="617" t="s">
        <v>1120</v>
      </c>
      <c r="G666" s="616" t="s">
        <v>698</v>
      </c>
      <c r="H666" s="617"/>
      <c r="I666" s="617"/>
      <c r="J666" s="617" t="s">
        <v>1121</v>
      </c>
      <c r="K666" s="618"/>
      <c r="L666" s="616"/>
      <c r="M666" s="616"/>
      <c r="N666" s="617"/>
      <c r="O666" s="617"/>
      <c r="P666" s="617"/>
      <c r="Q666" s="617"/>
      <c r="R666" s="619"/>
      <c r="S666" s="617"/>
      <c r="T666" s="616" t="s">
        <v>221</v>
      </c>
    </row>
    <row r="667" ht="34.5">
      <c r="A667" s="616" t="s">
        <v>668</v>
      </c>
      <c r="B667" s="616" t="s">
        <v>669</v>
      </c>
      <c r="C667" s="616" t="s">
        <v>1116</v>
      </c>
      <c r="D667" s="616" t="s">
        <v>216</v>
      </c>
      <c r="E667" s="616" t="s">
        <v>1119</v>
      </c>
      <c r="F667" s="617" t="s">
        <v>1120</v>
      </c>
      <c r="G667" s="616" t="s">
        <v>698</v>
      </c>
      <c r="H667" s="617"/>
      <c r="I667" s="617"/>
      <c r="J667" s="617" t="s">
        <v>1122</v>
      </c>
      <c r="K667" s="618"/>
      <c r="L667" s="616"/>
      <c r="M667" s="616"/>
      <c r="N667" s="617"/>
      <c r="O667" s="617"/>
      <c r="P667" s="617"/>
      <c r="Q667" s="617"/>
      <c r="R667" s="619"/>
      <c r="S667" s="617"/>
      <c r="T667" s="616" t="s">
        <v>221</v>
      </c>
    </row>
    <row r="668" ht="34.5">
      <c r="A668" s="616" t="s">
        <v>668</v>
      </c>
      <c r="B668" s="616" t="s">
        <v>669</v>
      </c>
      <c r="C668" s="616" t="s">
        <v>1123</v>
      </c>
      <c r="D668" s="616" t="s">
        <v>1124</v>
      </c>
      <c r="E668" s="616" t="s">
        <v>1119</v>
      </c>
      <c r="F668" s="617" t="s">
        <v>1120</v>
      </c>
      <c r="G668" s="616" t="s">
        <v>698</v>
      </c>
      <c r="H668" s="617"/>
      <c r="I668" s="617"/>
      <c r="J668" s="617" t="s">
        <v>1125</v>
      </c>
      <c r="K668" s="618"/>
      <c r="L668" s="616"/>
      <c r="M668" s="616"/>
      <c r="N668" s="617"/>
      <c r="O668" s="617"/>
      <c r="P668" s="617"/>
      <c r="Q668" s="617"/>
      <c r="R668" s="619"/>
      <c r="S668" s="617"/>
      <c r="T668" s="616" t="s">
        <v>221</v>
      </c>
    </row>
    <row r="669" ht="34.5">
      <c r="A669" s="616" t="s">
        <v>668</v>
      </c>
      <c r="B669" s="616" t="s">
        <v>669</v>
      </c>
      <c r="C669" s="616" t="s">
        <v>1126</v>
      </c>
      <c r="D669" s="616" t="s">
        <v>1127</v>
      </c>
      <c r="E669" s="616" t="s">
        <v>1119</v>
      </c>
      <c r="F669" s="617" t="s">
        <v>1120</v>
      </c>
      <c r="G669" s="616" t="s">
        <v>698</v>
      </c>
      <c r="H669" s="617"/>
      <c r="I669" s="617"/>
      <c r="J669" s="617" t="s">
        <v>1128</v>
      </c>
      <c r="K669" s="618"/>
      <c r="L669" s="616"/>
      <c r="M669" s="616"/>
      <c r="N669" s="617"/>
      <c r="O669" s="617"/>
      <c r="P669" s="617"/>
      <c r="Q669" s="617"/>
      <c r="R669" s="619"/>
      <c r="S669" s="617"/>
      <c r="T669" s="616" t="s">
        <v>221</v>
      </c>
    </row>
    <row r="670" ht="34.5">
      <c r="A670" s="616" t="s">
        <v>668</v>
      </c>
      <c r="B670" s="616" t="s">
        <v>669</v>
      </c>
      <c r="C670" s="616" t="s">
        <v>1129</v>
      </c>
      <c r="D670" s="616" t="s">
        <v>216</v>
      </c>
      <c r="E670" s="616" t="s">
        <v>1119</v>
      </c>
      <c r="F670" s="617" t="s">
        <v>1120</v>
      </c>
      <c r="G670" s="616" t="s">
        <v>698</v>
      </c>
      <c r="H670" s="617"/>
      <c r="I670" s="617"/>
      <c r="J670" s="617" t="s">
        <v>1130</v>
      </c>
      <c r="K670" s="618"/>
      <c r="L670" s="616"/>
      <c r="M670" s="616"/>
      <c r="N670" s="617"/>
      <c r="O670" s="617"/>
      <c r="P670" s="617"/>
      <c r="Q670" s="617"/>
      <c r="R670" s="619"/>
      <c r="S670" s="617"/>
      <c r="T670" s="616" t="s">
        <v>221</v>
      </c>
    </row>
    <row r="671" ht="34.5">
      <c r="A671" s="616" t="s">
        <v>668</v>
      </c>
      <c r="B671" s="616" t="s">
        <v>669</v>
      </c>
      <c r="C671" s="616" t="s">
        <v>1129</v>
      </c>
      <c r="D671" s="616" t="s">
        <v>216</v>
      </c>
      <c r="E671" s="616" t="s">
        <v>1119</v>
      </c>
      <c r="F671" s="617" t="s">
        <v>1120</v>
      </c>
      <c r="G671" s="616" t="s">
        <v>698</v>
      </c>
      <c r="H671" s="617"/>
      <c r="I671" s="617"/>
      <c r="J671" s="617" t="s">
        <v>1131</v>
      </c>
      <c r="K671" s="618"/>
      <c r="L671" s="616"/>
      <c r="M671" s="616"/>
      <c r="N671" s="617"/>
      <c r="O671" s="617"/>
      <c r="P671" s="617"/>
      <c r="Q671" s="617"/>
      <c r="R671" s="619"/>
      <c r="S671" s="617"/>
      <c r="T671" s="616" t="s">
        <v>221</v>
      </c>
    </row>
    <row r="672" ht="34.5">
      <c r="A672" s="616" t="s">
        <v>668</v>
      </c>
      <c r="B672" s="616" t="s">
        <v>669</v>
      </c>
      <c r="C672" s="616" t="s">
        <v>1129</v>
      </c>
      <c r="D672" s="616" t="s">
        <v>216</v>
      </c>
      <c r="E672" s="616" t="s">
        <v>1119</v>
      </c>
      <c r="F672" s="617" t="s">
        <v>1120</v>
      </c>
      <c r="G672" s="616" t="s">
        <v>698</v>
      </c>
      <c r="H672" s="617"/>
      <c r="I672" s="617"/>
      <c r="J672" s="617" t="s">
        <v>1132</v>
      </c>
      <c r="K672" s="618"/>
      <c r="L672" s="616"/>
      <c r="M672" s="616"/>
      <c r="N672" s="617"/>
      <c r="O672" s="617"/>
      <c r="P672" s="617"/>
      <c r="Q672" s="617"/>
      <c r="R672" s="619"/>
      <c r="S672" s="617"/>
      <c r="T672" s="616" t="s">
        <v>221</v>
      </c>
    </row>
    <row r="673" ht="34.5">
      <c r="A673" s="616" t="s">
        <v>668</v>
      </c>
      <c r="B673" s="616" t="s">
        <v>669</v>
      </c>
      <c r="C673" s="616" t="s">
        <v>1129</v>
      </c>
      <c r="D673" s="616" t="s">
        <v>216</v>
      </c>
      <c r="E673" s="616" t="s">
        <v>1119</v>
      </c>
      <c r="F673" s="617" t="s">
        <v>1120</v>
      </c>
      <c r="G673" s="616" t="s">
        <v>698</v>
      </c>
      <c r="H673" s="617"/>
      <c r="I673" s="617"/>
      <c r="J673" s="617" t="s">
        <v>1133</v>
      </c>
      <c r="K673" s="618"/>
      <c r="L673" s="616"/>
      <c r="M673" s="616"/>
      <c r="N673" s="617"/>
      <c r="O673" s="617"/>
      <c r="P673" s="617"/>
      <c r="Q673" s="617"/>
      <c r="R673" s="619"/>
      <c r="S673" s="617"/>
      <c r="T673" s="616" t="s">
        <v>221</v>
      </c>
    </row>
    <row r="674" ht="34.5">
      <c r="A674" s="616" t="s">
        <v>668</v>
      </c>
      <c r="B674" s="616" t="s">
        <v>669</v>
      </c>
      <c r="C674" s="616" t="s">
        <v>1129</v>
      </c>
      <c r="D674" s="616" t="s">
        <v>216</v>
      </c>
      <c r="E674" s="616" t="s">
        <v>1119</v>
      </c>
      <c r="F674" s="617" t="s">
        <v>1120</v>
      </c>
      <c r="G674" s="616" t="s">
        <v>698</v>
      </c>
      <c r="H674" s="617"/>
      <c r="I674" s="617"/>
      <c r="J674" s="617" t="s">
        <v>1134</v>
      </c>
      <c r="K674" s="618"/>
      <c r="L674" s="616"/>
      <c r="M674" s="616"/>
      <c r="N674" s="617"/>
      <c r="O674" s="617"/>
      <c r="P674" s="617"/>
      <c r="Q674" s="617"/>
      <c r="R674" s="619"/>
      <c r="S674" s="617"/>
      <c r="T674" s="616" t="s">
        <v>221</v>
      </c>
    </row>
    <row r="675" ht="34.5">
      <c r="A675" s="616" t="s">
        <v>668</v>
      </c>
      <c r="B675" s="616" t="s">
        <v>669</v>
      </c>
      <c r="C675" s="616" t="s">
        <v>1129</v>
      </c>
      <c r="D675" s="616" t="s">
        <v>216</v>
      </c>
      <c r="E675" s="616" t="s">
        <v>1119</v>
      </c>
      <c r="F675" s="617" t="s">
        <v>1120</v>
      </c>
      <c r="G675" s="616" t="s">
        <v>698</v>
      </c>
      <c r="H675" s="617"/>
      <c r="I675" s="617"/>
      <c r="J675" s="617" t="s">
        <v>1135</v>
      </c>
      <c r="K675" s="618"/>
      <c r="L675" s="616"/>
      <c r="M675" s="616"/>
      <c r="N675" s="617"/>
      <c r="O675" s="617"/>
      <c r="P675" s="617"/>
      <c r="Q675" s="617"/>
      <c r="R675" s="619"/>
      <c r="S675" s="617"/>
      <c r="T675" s="616" t="s">
        <v>221</v>
      </c>
    </row>
    <row r="676" ht="34.5">
      <c r="A676" s="616" t="s">
        <v>1136</v>
      </c>
      <c r="B676" s="616" t="s">
        <v>1137</v>
      </c>
      <c r="C676" s="616" t="s">
        <v>663</v>
      </c>
      <c r="D676" s="616" t="s">
        <v>216</v>
      </c>
      <c r="E676" s="616" t="s">
        <v>671</v>
      </c>
      <c r="F676" s="617" t="s">
        <v>672</v>
      </c>
      <c r="G676" s="616" t="s">
        <v>673</v>
      </c>
      <c r="H676" s="617"/>
      <c r="I676" s="617"/>
      <c r="J676" s="617" t="s">
        <v>674</v>
      </c>
      <c r="K676" s="618"/>
      <c r="L676" s="616"/>
      <c r="M676" s="616"/>
      <c r="N676" s="617"/>
      <c r="O676" s="617"/>
      <c r="P676" s="617"/>
      <c r="Q676" s="617"/>
      <c r="R676" s="619"/>
      <c r="S676" s="617"/>
      <c r="T676" s="616" t="s">
        <v>221</v>
      </c>
    </row>
    <row r="677" ht="34.5">
      <c r="A677" s="616" t="s">
        <v>1136</v>
      </c>
      <c r="B677" s="616" t="s">
        <v>1137</v>
      </c>
      <c r="C677" s="616" t="s">
        <v>663</v>
      </c>
      <c r="D677" s="616" t="s">
        <v>1138</v>
      </c>
      <c r="E677" s="616" t="s">
        <v>671</v>
      </c>
      <c r="F677" s="617" t="s">
        <v>672</v>
      </c>
      <c r="G677" s="616" t="s">
        <v>673</v>
      </c>
      <c r="H677" s="617"/>
      <c r="I677" s="617"/>
      <c r="J677" s="617" t="s">
        <v>1139</v>
      </c>
      <c r="K677" s="618"/>
      <c r="L677" s="616"/>
      <c r="M677" s="616"/>
      <c r="N677" s="617"/>
      <c r="O677" s="617"/>
      <c r="P677" s="617"/>
      <c r="Q677" s="617"/>
      <c r="R677" s="619"/>
      <c r="S677" s="617"/>
      <c r="T677" s="616" t="s">
        <v>221</v>
      </c>
    </row>
    <row r="678" ht="34.5">
      <c r="A678" s="616" t="s">
        <v>1136</v>
      </c>
      <c r="B678" s="616" t="s">
        <v>1137</v>
      </c>
      <c r="C678" s="616" t="s">
        <v>1140</v>
      </c>
      <c r="D678" s="616" t="s">
        <v>216</v>
      </c>
      <c r="E678" s="616" t="s">
        <v>671</v>
      </c>
      <c r="F678" s="617" t="s">
        <v>672</v>
      </c>
      <c r="G678" s="616" t="s">
        <v>673</v>
      </c>
      <c r="H678" s="617"/>
      <c r="I678" s="617"/>
      <c r="J678" s="617" t="s">
        <v>679</v>
      </c>
      <c r="K678" s="618"/>
      <c r="L678" s="616"/>
      <c r="M678" s="616"/>
      <c r="N678" s="617"/>
      <c r="O678" s="617"/>
      <c r="P678" s="617"/>
      <c r="Q678" s="617"/>
      <c r="R678" s="619"/>
      <c r="S678" s="617"/>
      <c r="T678" s="616" t="s">
        <v>221</v>
      </c>
    </row>
    <row r="679" ht="34.5">
      <c r="A679" s="616" t="s">
        <v>1136</v>
      </c>
      <c r="B679" s="616" t="s">
        <v>1137</v>
      </c>
      <c r="C679" s="616" t="s">
        <v>1140</v>
      </c>
      <c r="D679" s="616" t="s">
        <v>216</v>
      </c>
      <c r="E679" s="616" t="s">
        <v>671</v>
      </c>
      <c r="F679" s="617" t="s">
        <v>672</v>
      </c>
      <c r="G679" s="616" t="s">
        <v>673</v>
      </c>
      <c r="H679" s="617"/>
      <c r="I679" s="617"/>
      <c r="J679" s="617" t="s">
        <v>1141</v>
      </c>
      <c r="K679" s="618"/>
      <c r="L679" s="616"/>
      <c r="M679" s="616"/>
      <c r="N679" s="617"/>
      <c r="O679" s="617"/>
      <c r="P679" s="617"/>
      <c r="Q679" s="617"/>
      <c r="R679" s="619"/>
      <c r="S679" s="617"/>
      <c r="T679" s="616" t="s">
        <v>221</v>
      </c>
    </row>
    <row r="680" ht="34.5">
      <c r="A680" s="616" t="s">
        <v>1136</v>
      </c>
      <c r="B680" s="616" t="s">
        <v>1137</v>
      </c>
      <c r="C680" s="616" t="s">
        <v>1140</v>
      </c>
      <c r="D680" s="616" t="s">
        <v>1142</v>
      </c>
      <c r="E680" s="616" t="s">
        <v>671</v>
      </c>
      <c r="F680" s="617" t="s">
        <v>672</v>
      </c>
      <c r="G680" s="616" t="s">
        <v>673</v>
      </c>
      <c r="H680" s="617"/>
      <c r="I680" s="617"/>
      <c r="J680" s="617" t="s">
        <v>1143</v>
      </c>
      <c r="K680" s="618"/>
      <c r="L680" s="616"/>
      <c r="M680" s="616"/>
      <c r="N680" s="617"/>
      <c r="O680" s="617"/>
      <c r="P680" s="617"/>
      <c r="Q680" s="617"/>
      <c r="R680" s="619"/>
      <c r="S680" s="617"/>
      <c r="T680" s="616" t="s">
        <v>221</v>
      </c>
    </row>
    <row r="681" ht="34.5">
      <c r="A681" s="616" t="s">
        <v>1136</v>
      </c>
      <c r="B681" s="616" t="s">
        <v>1137</v>
      </c>
      <c r="C681" s="616" t="s">
        <v>1140</v>
      </c>
      <c r="D681" s="616" t="s">
        <v>216</v>
      </c>
      <c r="E681" s="616" t="s">
        <v>671</v>
      </c>
      <c r="F681" s="617" t="s">
        <v>672</v>
      </c>
      <c r="G681" s="616" t="s">
        <v>673</v>
      </c>
      <c r="H681" s="617"/>
      <c r="I681" s="617"/>
      <c r="J681" s="617" t="s">
        <v>1144</v>
      </c>
      <c r="K681" s="618">
        <v>80213343</v>
      </c>
      <c r="L681" s="616" t="s">
        <v>611</v>
      </c>
      <c r="M681" s="616"/>
      <c r="N681" s="617"/>
      <c r="O681" s="617"/>
      <c r="P681" s="617"/>
      <c r="Q681" s="617"/>
      <c r="R681" s="619"/>
      <c r="S681" s="617"/>
      <c r="T681" s="616" t="s">
        <v>221</v>
      </c>
    </row>
    <row r="682" ht="34.5">
      <c r="A682" s="616" t="s">
        <v>1136</v>
      </c>
      <c r="B682" s="616" t="s">
        <v>1137</v>
      </c>
      <c r="C682" s="616" t="s">
        <v>1140</v>
      </c>
      <c r="D682" s="616" t="s">
        <v>216</v>
      </c>
      <c r="E682" s="616" t="s">
        <v>671</v>
      </c>
      <c r="F682" s="617" t="s">
        <v>672</v>
      </c>
      <c r="G682" s="616" t="s">
        <v>673</v>
      </c>
      <c r="H682" s="617"/>
      <c r="I682" s="617"/>
      <c r="J682" s="617" t="s">
        <v>1145</v>
      </c>
      <c r="K682" s="618">
        <v>2.75</v>
      </c>
      <c r="L682" s="616" t="s">
        <v>611</v>
      </c>
      <c r="M682" s="616"/>
      <c r="N682" s="617"/>
      <c r="O682" s="617"/>
      <c r="P682" s="617"/>
      <c r="Q682" s="617"/>
      <c r="R682" s="619"/>
      <c r="S682" s="617"/>
      <c r="T682" s="616" t="s">
        <v>221</v>
      </c>
    </row>
    <row r="683" ht="34.5">
      <c r="A683" s="616" t="s">
        <v>1136</v>
      </c>
      <c r="B683" s="616" t="s">
        <v>1137</v>
      </c>
      <c r="C683" s="616" t="s">
        <v>1146</v>
      </c>
      <c r="D683" s="616" t="s">
        <v>1147</v>
      </c>
      <c r="E683" s="616" t="s">
        <v>687</v>
      </c>
      <c r="F683" s="617" t="s">
        <v>688</v>
      </c>
      <c r="G683" s="616" t="s">
        <v>689</v>
      </c>
      <c r="H683" s="617"/>
      <c r="I683" s="617"/>
      <c r="J683" s="617" t="s">
        <v>1148</v>
      </c>
      <c r="K683" s="618"/>
      <c r="L683" s="616"/>
      <c r="M683" s="616"/>
      <c r="N683" s="617"/>
      <c r="O683" s="617"/>
      <c r="P683" s="617"/>
      <c r="Q683" s="617"/>
      <c r="R683" s="619"/>
      <c r="S683" s="617"/>
      <c r="T683" s="616" t="s">
        <v>221</v>
      </c>
    </row>
    <row r="684" ht="34.5">
      <c r="A684" s="616" t="s">
        <v>1136</v>
      </c>
      <c r="B684" s="616" t="s">
        <v>1137</v>
      </c>
      <c r="C684" s="616" t="s">
        <v>1146</v>
      </c>
      <c r="D684" s="616" t="s">
        <v>216</v>
      </c>
      <c r="E684" s="616" t="s">
        <v>687</v>
      </c>
      <c r="F684" s="617" t="s">
        <v>688</v>
      </c>
      <c r="G684" s="616" t="s">
        <v>689</v>
      </c>
      <c r="H684" s="617"/>
      <c r="I684" s="617"/>
      <c r="J684" s="617" t="s">
        <v>1149</v>
      </c>
      <c r="K684" s="618">
        <v>4680414</v>
      </c>
      <c r="L684" s="616" t="s">
        <v>611</v>
      </c>
      <c r="M684" s="616"/>
      <c r="N684" s="617"/>
      <c r="O684" s="617"/>
      <c r="P684" s="617"/>
      <c r="Q684" s="617"/>
      <c r="R684" s="619"/>
      <c r="S684" s="617"/>
      <c r="T684" s="616" t="s">
        <v>221</v>
      </c>
    </row>
    <row r="685" ht="34.5">
      <c r="A685" s="616" t="s">
        <v>1136</v>
      </c>
      <c r="B685" s="616" t="s">
        <v>1137</v>
      </c>
      <c r="C685" s="616" t="s">
        <v>1146</v>
      </c>
      <c r="D685" s="616" t="s">
        <v>216</v>
      </c>
      <c r="E685" s="616" t="s">
        <v>692</v>
      </c>
      <c r="F685" s="617" t="s">
        <v>693</v>
      </c>
      <c r="G685" s="616" t="s">
        <v>694</v>
      </c>
      <c r="H685" s="617"/>
      <c r="I685" s="617"/>
      <c r="J685" s="617" t="s">
        <v>1150</v>
      </c>
      <c r="K685" s="618">
        <v>3547807</v>
      </c>
      <c r="L685" s="616" t="s">
        <v>611</v>
      </c>
      <c r="M685" s="616"/>
      <c r="N685" s="617"/>
      <c r="O685" s="617"/>
      <c r="P685" s="617"/>
      <c r="Q685" s="617"/>
      <c r="R685" s="619"/>
      <c r="S685" s="617"/>
      <c r="T685" s="616" t="s">
        <v>221</v>
      </c>
    </row>
    <row r="686" ht="34.5">
      <c r="A686" s="616" t="s">
        <v>1136</v>
      </c>
      <c r="B686" s="616" t="s">
        <v>1137</v>
      </c>
      <c r="C686" s="616" t="s">
        <v>1146</v>
      </c>
      <c r="D686" s="616" t="s">
        <v>216</v>
      </c>
      <c r="E686" s="616" t="s">
        <v>696</v>
      </c>
      <c r="F686" s="617" t="s">
        <v>697</v>
      </c>
      <c r="G686" s="616" t="s">
        <v>698</v>
      </c>
      <c r="H686" s="617"/>
      <c r="I686" s="617"/>
      <c r="J686" s="617" t="s">
        <v>699</v>
      </c>
      <c r="K686" s="618"/>
      <c r="L686" s="616"/>
      <c r="M686" s="616"/>
      <c r="N686" s="617"/>
      <c r="O686" s="617"/>
      <c r="P686" s="617"/>
      <c r="Q686" s="617"/>
      <c r="R686" s="619"/>
      <c r="S686" s="617"/>
      <c r="T686" s="616" t="s">
        <v>221</v>
      </c>
    </row>
    <row r="687" ht="34.5">
      <c r="A687" s="616" t="s">
        <v>1136</v>
      </c>
      <c r="B687" s="616" t="s">
        <v>1137</v>
      </c>
      <c r="C687" s="616" t="s">
        <v>1146</v>
      </c>
      <c r="D687" s="616" t="s">
        <v>675</v>
      </c>
      <c r="E687" s="616" t="s">
        <v>696</v>
      </c>
      <c r="F687" s="617" t="s">
        <v>697</v>
      </c>
      <c r="G687" s="616" t="s">
        <v>698</v>
      </c>
      <c r="H687" s="617"/>
      <c r="I687" s="617"/>
      <c r="J687" s="617" t="s">
        <v>676</v>
      </c>
      <c r="K687" s="618"/>
      <c r="L687" s="616"/>
      <c r="M687" s="616"/>
      <c r="N687" s="617"/>
      <c r="O687" s="617"/>
      <c r="P687" s="617"/>
      <c r="Q687" s="617"/>
      <c r="R687" s="619"/>
      <c r="S687" s="617"/>
      <c r="T687" s="616" t="s">
        <v>221</v>
      </c>
    </row>
    <row r="688" ht="34.5">
      <c r="A688" s="616" t="s">
        <v>1136</v>
      </c>
      <c r="B688" s="616" t="s">
        <v>1137</v>
      </c>
      <c r="C688" s="616" t="s">
        <v>1151</v>
      </c>
      <c r="D688" s="616" t="s">
        <v>216</v>
      </c>
      <c r="E688" s="616" t="s">
        <v>696</v>
      </c>
      <c r="F688" s="617" t="s">
        <v>697</v>
      </c>
      <c r="G688" s="616" t="s">
        <v>698</v>
      </c>
      <c r="H688" s="617"/>
      <c r="I688" s="617"/>
      <c r="J688" s="617" t="s">
        <v>704</v>
      </c>
      <c r="K688" s="618"/>
      <c r="L688" s="616"/>
      <c r="M688" s="616"/>
      <c r="N688" s="617"/>
      <c r="O688" s="617"/>
      <c r="P688" s="617"/>
      <c r="Q688" s="617"/>
      <c r="R688" s="619"/>
      <c r="S688" s="617"/>
      <c r="T688" s="616" t="s">
        <v>221</v>
      </c>
    </row>
    <row r="689" ht="34.5">
      <c r="A689" s="616" t="s">
        <v>1136</v>
      </c>
      <c r="B689" s="616" t="s">
        <v>1137</v>
      </c>
      <c r="C689" s="616" t="s">
        <v>1151</v>
      </c>
      <c r="D689" s="616" t="s">
        <v>681</v>
      </c>
      <c r="E689" s="616" t="s">
        <v>696</v>
      </c>
      <c r="F689" s="617" t="s">
        <v>697</v>
      </c>
      <c r="G689" s="616" t="s">
        <v>698</v>
      </c>
      <c r="H689" s="617"/>
      <c r="I689" s="617"/>
      <c r="J689" s="617" t="s">
        <v>682</v>
      </c>
      <c r="K689" s="618"/>
      <c r="L689" s="616"/>
      <c r="M689" s="616"/>
      <c r="N689" s="617"/>
      <c r="O689" s="617"/>
      <c r="P689" s="617"/>
      <c r="Q689" s="617"/>
      <c r="R689" s="619"/>
      <c r="S689" s="617"/>
      <c r="T689" s="616" t="s">
        <v>221</v>
      </c>
    </row>
    <row r="690" ht="34.5">
      <c r="A690" s="616" t="s">
        <v>1136</v>
      </c>
      <c r="B690" s="616" t="s">
        <v>1137</v>
      </c>
      <c r="C690" s="616" t="s">
        <v>1151</v>
      </c>
      <c r="D690" s="616" t="s">
        <v>216</v>
      </c>
      <c r="E690" s="616" t="s">
        <v>696</v>
      </c>
      <c r="F690" s="617" t="s">
        <v>697</v>
      </c>
      <c r="G690" s="616" t="s">
        <v>698</v>
      </c>
      <c r="H690" s="617"/>
      <c r="I690" s="617"/>
      <c r="J690" s="617" t="s">
        <v>1152</v>
      </c>
      <c r="K690" s="618"/>
      <c r="L690" s="616"/>
      <c r="M690" s="616"/>
      <c r="N690" s="617"/>
      <c r="O690" s="617"/>
      <c r="P690" s="617"/>
      <c r="Q690" s="617"/>
      <c r="R690" s="619"/>
      <c r="S690" s="617"/>
      <c r="T690" s="616" t="s">
        <v>221</v>
      </c>
    </row>
    <row r="691" ht="34.5">
      <c r="A691" s="616" t="s">
        <v>1136</v>
      </c>
      <c r="B691" s="616" t="s">
        <v>1137</v>
      </c>
      <c r="C691" s="616" t="s">
        <v>1151</v>
      </c>
      <c r="D691" s="616" t="s">
        <v>216</v>
      </c>
      <c r="E691" s="616" t="s">
        <v>696</v>
      </c>
      <c r="F691" s="617" t="s">
        <v>697</v>
      </c>
      <c r="G691" s="616" t="s">
        <v>698</v>
      </c>
      <c r="H691" s="617"/>
      <c r="I691" s="617"/>
      <c r="J691" s="617" t="s">
        <v>1153</v>
      </c>
      <c r="K691" s="618">
        <v>153404683</v>
      </c>
      <c r="L691" s="616" t="s">
        <v>611</v>
      </c>
      <c r="M691" s="616"/>
      <c r="N691" s="617"/>
      <c r="O691" s="617"/>
      <c r="P691" s="617"/>
      <c r="Q691" s="617"/>
      <c r="R691" s="619"/>
      <c r="S691" s="617"/>
      <c r="T691" s="616" t="s">
        <v>221</v>
      </c>
    </row>
    <row r="692" ht="34.5">
      <c r="A692" s="616" t="s">
        <v>1136</v>
      </c>
      <c r="B692" s="616" t="s">
        <v>1137</v>
      </c>
      <c r="C692" s="616" t="s">
        <v>1151</v>
      </c>
      <c r="D692" s="616" t="s">
        <v>216</v>
      </c>
      <c r="E692" s="616" t="s">
        <v>696</v>
      </c>
      <c r="F692" s="617" t="s">
        <v>697</v>
      </c>
      <c r="G692" s="616" t="s">
        <v>698</v>
      </c>
      <c r="H692" s="617"/>
      <c r="I692" s="617"/>
      <c r="J692" s="617" t="s">
        <v>1154</v>
      </c>
      <c r="K692" s="618">
        <v>301697831</v>
      </c>
      <c r="L692" s="616" t="s">
        <v>611</v>
      </c>
      <c r="M692" s="616"/>
      <c r="N692" s="617"/>
      <c r="O692" s="617"/>
      <c r="P692" s="617"/>
      <c r="Q692" s="617"/>
      <c r="R692" s="619"/>
      <c r="S692" s="617"/>
      <c r="T692" s="616" t="s">
        <v>221</v>
      </c>
    </row>
    <row r="693" ht="34.5">
      <c r="A693" s="616" t="s">
        <v>1136</v>
      </c>
      <c r="B693" s="616" t="s">
        <v>1137</v>
      </c>
      <c r="C693" s="616" t="s">
        <v>1151</v>
      </c>
      <c r="D693" s="616" t="s">
        <v>216</v>
      </c>
      <c r="E693" s="616" t="s">
        <v>696</v>
      </c>
      <c r="F693" s="617" t="s">
        <v>697</v>
      </c>
      <c r="G693" s="616" t="s">
        <v>698</v>
      </c>
      <c r="H693" s="617"/>
      <c r="I693" s="617"/>
      <c r="J693" s="617" t="s">
        <v>677</v>
      </c>
      <c r="K693" s="618"/>
      <c r="L693" s="616"/>
      <c r="M693" s="616"/>
      <c r="N693" s="617"/>
      <c r="O693" s="617"/>
      <c r="P693" s="617"/>
      <c r="Q693" s="617"/>
      <c r="R693" s="619"/>
      <c r="S693" s="617"/>
      <c r="T693" s="616" t="s">
        <v>221</v>
      </c>
    </row>
    <row r="694" ht="34.5">
      <c r="A694" s="616" t="s">
        <v>1136</v>
      </c>
      <c r="B694" s="616" t="s">
        <v>1137</v>
      </c>
      <c r="C694" s="616" t="s">
        <v>1155</v>
      </c>
      <c r="D694" s="616" t="s">
        <v>216</v>
      </c>
      <c r="E694" s="616" t="s">
        <v>696</v>
      </c>
      <c r="F694" s="617" t="s">
        <v>697</v>
      </c>
      <c r="G694" s="616" t="s">
        <v>698</v>
      </c>
      <c r="H694" s="617"/>
      <c r="I694" s="617"/>
      <c r="J694" s="617" t="s">
        <v>679</v>
      </c>
      <c r="K694" s="618"/>
      <c r="L694" s="616"/>
      <c r="M694" s="616"/>
      <c r="N694" s="617"/>
      <c r="O694" s="617"/>
      <c r="P694" s="617"/>
      <c r="Q694" s="617"/>
      <c r="R694" s="619"/>
      <c r="S694" s="617"/>
      <c r="T694" s="616" t="s">
        <v>221</v>
      </c>
    </row>
    <row r="695" ht="34.5">
      <c r="A695" s="616" t="s">
        <v>1136</v>
      </c>
      <c r="B695" s="616" t="s">
        <v>1137</v>
      </c>
      <c r="C695" s="616" t="s">
        <v>1155</v>
      </c>
      <c r="D695" s="616" t="s">
        <v>216</v>
      </c>
      <c r="E695" s="616" t="s">
        <v>696</v>
      </c>
      <c r="F695" s="617" t="s">
        <v>697</v>
      </c>
      <c r="G695" s="616" t="s">
        <v>698</v>
      </c>
      <c r="H695" s="617"/>
      <c r="I695" s="617"/>
      <c r="J695" s="617" t="s">
        <v>1141</v>
      </c>
      <c r="K695" s="618"/>
      <c r="L695" s="616"/>
      <c r="M695" s="616"/>
      <c r="N695" s="617"/>
      <c r="O695" s="617"/>
      <c r="P695" s="617"/>
      <c r="Q695" s="617"/>
      <c r="R695" s="619"/>
      <c r="S695" s="617"/>
      <c r="T695" s="616" t="s">
        <v>221</v>
      </c>
    </row>
    <row r="696" ht="34.5">
      <c r="A696" s="616" t="s">
        <v>1136</v>
      </c>
      <c r="B696" s="616" t="s">
        <v>1137</v>
      </c>
      <c r="C696" s="616" t="s">
        <v>1155</v>
      </c>
      <c r="D696" s="616" t="s">
        <v>216</v>
      </c>
      <c r="E696" s="616" t="s">
        <v>696</v>
      </c>
      <c r="F696" s="617" t="s">
        <v>697</v>
      </c>
      <c r="G696" s="616" t="s">
        <v>698</v>
      </c>
      <c r="H696" s="617"/>
      <c r="I696" s="617"/>
      <c r="J696" s="617" t="s">
        <v>712</v>
      </c>
      <c r="K696" s="618"/>
      <c r="L696" s="616"/>
      <c r="M696" s="616"/>
      <c r="N696" s="617"/>
      <c r="O696" s="617"/>
      <c r="P696" s="617"/>
      <c r="Q696" s="617"/>
      <c r="R696" s="619"/>
      <c r="S696" s="617"/>
      <c r="T696" s="616" t="s">
        <v>221</v>
      </c>
    </row>
    <row r="697" ht="34.5">
      <c r="A697" s="616" t="s">
        <v>1136</v>
      </c>
      <c r="B697" s="616" t="s">
        <v>1137</v>
      </c>
      <c r="C697" s="616" t="s">
        <v>1155</v>
      </c>
      <c r="D697" s="616" t="s">
        <v>216</v>
      </c>
      <c r="E697" s="616" t="s">
        <v>696</v>
      </c>
      <c r="F697" s="617" t="s">
        <v>697</v>
      </c>
      <c r="G697" s="616" t="s">
        <v>698</v>
      </c>
      <c r="H697" s="617"/>
      <c r="I697" s="617"/>
      <c r="J697" s="617" t="s">
        <v>713</v>
      </c>
      <c r="K697" s="618"/>
      <c r="L697" s="616"/>
      <c r="M697" s="616"/>
      <c r="N697" s="617"/>
      <c r="O697" s="617"/>
      <c r="P697" s="617"/>
      <c r="Q697" s="617"/>
      <c r="R697" s="619"/>
      <c r="S697" s="617"/>
      <c r="T697" s="616" t="s">
        <v>221</v>
      </c>
    </row>
    <row r="698" ht="34.5">
      <c r="A698" s="616" t="s">
        <v>1136</v>
      </c>
      <c r="B698" s="616" t="s">
        <v>1137</v>
      </c>
      <c r="C698" s="616" t="s">
        <v>1155</v>
      </c>
      <c r="D698" s="616" t="s">
        <v>686</v>
      </c>
      <c r="E698" s="616" t="s">
        <v>696</v>
      </c>
      <c r="F698" s="617" t="s">
        <v>697</v>
      </c>
      <c r="G698" s="616" t="s">
        <v>698</v>
      </c>
      <c r="H698" s="617"/>
      <c r="I698" s="617"/>
      <c r="J698" s="617" t="s">
        <v>690</v>
      </c>
      <c r="K698" s="618"/>
      <c r="L698" s="616"/>
      <c r="M698" s="616"/>
      <c r="N698" s="617"/>
      <c r="O698" s="617"/>
      <c r="P698" s="617"/>
      <c r="Q698" s="617"/>
      <c r="R698" s="619"/>
      <c r="S698" s="617"/>
      <c r="T698" s="616" t="s">
        <v>221</v>
      </c>
    </row>
    <row r="699" ht="34.5">
      <c r="A699" s="616" t="s">
        <v>1136</v>
      </c>
      <c r="B699" s="616" t="s">
        <v>1137</v>
      </c>
      <c r="C699" s="616" t="s">
        <v>1155</v>
      </c>
      <c r="D699" s="616" t="s">
        <v>216</v>
      </c>
      <c r="E699" s="616" t="s">
        <v>696</v>
      </c>
      <c r="F699" s="617" t="s">
        <v>697</v>
      </c>
      <c r="G699" s="616" t="s">
        <v>698</v>
      </c>
      <c r="H699" s="617"/>
      <c r="I699" s="617"/>
      <c r="J699" s="617" t="s">
        <v>1156</v>
      </c>
      <c r="K699" s="618">
        <v>6260</v>
      </c>
      <c r="L699" s="616" t="s">
        <v>611</v>
      </c>
      <c r="M699" s="616"/>
      <c r="N699" s="617"/>
      <c r="O699" s="617"/>
      <c r="P699" s="617"/>
      <c r="Q699" s="617"/>
      <c r="R699" s="619"/>
      <c r="S699" s="617"/>
      <c r="T699" s="616" t="s">
        <v>221</v>
      </c>
    </row>
    <row r="700" ht="34.5">
      <c r="A700" s="616" t="s">
        <v>1136</v>
      </c>
      <c r="B700" s="616" t="s">
        <v>1137</v>
      </c>
      <c r="C700" s="616" t="s">
        <v>1155</v>
      </c>
      <c r="D700" s="616" t="s">
        <v>216</v>
      </c>
      <c r="E700" s="616" t="s">
        <v>696</v>
      </c>
      <c r="F700" s="617" t="s">
        <v>697</v>
      </c>
      <c r="G700" s="616" t="s">
        <v>698</v>
      </c>
      <c r="H700" s="617"/>
      <c r="I700" s="617"/>
      <c r="J700" s="617" t="s">
        <v>717</v>
      </c>
      <c r="K700" s="618"/>
      <c r="L700" s="616"/>
      <c r="M700" s="616"/>
      <c r="N700" s="617"/>
      <c r="O700" s="617"/>
      <c r="P700" s="617"/>
      <c r="Q700" s="617"/>
      <c r="R700" s="619"/>
      <c r="S700" s="617"/>
      <c r="T700" s="616" t="s">
        <v>221</v>
      </c>
    </row>
    <row r="701" ht="34.5">
      <c r="A701" s="616" t="s">
        <v>1136</v>
      </c>
      <c r="B701" s="616" t="s">
        <v>1137</v>
      </c>
      <c r="C701" s="616" t="s">
        <v>1155</v>
      </c>
      <c r="D701" s="616" t="s">
        <v>700</v>
      </c>
      <c r="E701" s="616" t="s">
        <v>696</v>
      </c>
      <c r="F701" s="617" t="s">
        <v>697</v>
      </c>
      <c r="G701" s="616" t="s">
        <v>698</v>
      </c>
      <c r="H701" s="617"/>
      <c r="I701" s="617"/>
      <c r="J701" s="617" t="s">
        <v>701</v>
      </c>
      <c r="K701" s="618"/>
      <c r="L701" s="616"/>
      <c r="M701" s="616"/>
      <c r="N701" s="617"/>
      <c r="O701" s="617"/>
      <c r="P701" s="617"/>
      <c r="Q701" s="617"/>
      <c r="R701" s="619"/>
      <c r="S701" s="617"/>
      <c r="T701" s="616" t="s">
        <v>221</v>
      </c>
    </row>
    <row r="702" ht="34.5">
      <c r="A702" s="616" t="s">
        <v>1136</v>
      </c>
      <c r="B702" s="616" t="s">
        <v>1137</v>
      </c>
      <c r="C702" s="616" t="s">
        <v>1155</v>
      </c>
      <c r="D702" s="616" t="s">
        <v>216</v>
      </c>
      <c r="E702" s="616" t="s">
        <v>696</v>
      </c>
      <c r="F702" s="617" t="s">
        <v>697</v>
      </c>
      <c r="G702" s="616" t="s">
        <v>698</v>
      </c>
      <c r="H702" s="617"/>
      <c r="I702" s="617"/>
      <c r="J702" s="617" t="s">
        <v>1157</v>
      </c>
      <c r="K702" s="618"/>
      <c r="L702" s="616"/>
      <c r="M702" s="616"/>
      <c r="N702" s="617"/>
      <c r="O702" s="617"/>
      <c r="P702" s="617"/>
      <c r="Q702" s="617"/>
      <c r="R702" s="619"/>
      <c r="S702" s="617"/>
      <c r="T702" s="616" t="s">
        <v>221</v>
      </c>
    </row>
    <row r="703" ht="34.5">
      <c r="A703" s="616" t="s">
        <v>1136</v>
      </c>
      <c r="B703" s="616" t="s">
        <v>1137</v>
      </c>
      <c r="C703" s="616" t="s">
        <v>1155</v>
      </c>
      <c r="D703" s="616" t="s">
        <v>216</v>
      </c>
      <c r="E703" s="616" t="s">
        <v>696</v>
      </c>
      <c r="F703" s="617" t="s">
        <v>697</v>
      </c>
      <c r="G703" s="616" t="s">
        <v>698</v>
      </c>
      <c r="H703" s="617"/>
      <c r="I703" s="617"/>
      <c r="J703" s="617" t="s">
        <v>1158</v>
      </c>
      <c r="K703" s="618">
        <v>29208650</v>
      </c>
      <c r="L703" s="616" t="s">
        <v>611</v>
      </c>
      <c r="M703" s="616"/>
      <c r="N703" s="617"/>
      <c r="O703" s="617"/>
      <c r="P703" s="617"/>
      <c r="Q703" s="617"/>
      <c r="R703" s="619"/>
      <c r="S703" s="617"/>
      <c r="T703" s="616" t="s">
        <v>221</v>
      </c>
    </row>
    <row r="704" ht="34.5">
      <c r="A704" s="616" t="s">
        <v>1136</v>
      </c>
      <c r="B704" s="616" t="s">
        <v>1137</v>
      </c>
      <c r="C704" s="616" t="s">
        <v>1155</v>
      </c>
      <c r="D704" s="616" t="s">
        <v>216</v>
      </c>
      <c r="E704" s="616" t="s">
        <v>696</v>
      </c>
      <c r="F704" s="617" t="s">
        <v>697</v>
      </c>
      <c r="G704" s="616" t="s">
        <v>698</v>
      </c>
      <c r="H704" s="617"/>
      <c r="I704" s="617"/>
      <c r="J704" s="617" t="s">
        <v>1159</v>
      </c>
      <c r="K704" s="618"/>
      <c r="L704" s="616"/>
      <c r="M704" s="616"/>
      <c r="N704" s="617"/>
      <c r="O704" s="617"/>
      <c r="P704" s="617"/>
      <c r="Q704" s="617"/>
      <c r="R704" s="619"/>
      <c r="S704" s="617"/>
      <c r="T704" s="616" t="s">
        <v>221</v>
      </c>
    </row>
    <row r="705" ht="34.5">
      <c r="A705" s="616" t="s">
        <v>1136</v>
      </c>
      <c r="B705" s="616" t="s">
        <v>1137</v>
      </c>
      <c r="C705" s="616" t="s">
        <v>1160</v>
      </c>
      <c r="D705" s="616" t="s">
        <v>705</v>
      </c>
      <c r="E705" s="616" t="s">
        <v>725</v>
      </c>
      <c r="F705" s="617" t="s">
        <v>726</v>
      </c>
      <c r="G705" s="616" t="s">
        <v>727</v>
      </c>
      <c r="H705" s="617"/>
      <c r="I705" s="617"/>
      <c r="J705" s="617" t="s">
        <v>706</v>
      </c>
      <c r="K705" s="618"/>
      <c r="L705" s="616"/>
      <c r="M705" s="616"/>
      <c r="N705" s="617"/>
      <c r="O705" s="617"/>
      <c r="P705" s="617"/>
      <c r="Q705" s="617"/>
      <c r="R705" s="619"/>
      <c r="S705" s="617"/>
      <c r="T705" s="616" t="s">
        <v>221</v>
      </c>
    </row>
    <row r="706" ht="34.5">
      <c r="A706" s="616" t="s">
        <v>1136</v>
      </c>
      <c r="B706" s="616" t="s">
        <v>1137</v>
      </c>
      <c r="C706" s="616" t="s">
        <v>1160</v>
      </c>
      <c r="D706" s="616" t="s">
        <v>216</v>
      </c>
      <c r="E706" s="616" t="s">
        <v>725</v>
      </c>
      <c r="F706" s="617" t="s">
        <v>726</v>
      </c>
      <c r="G706" s="616" t="s">
        <v>727</v>
      </c>
      <c r="H706" s="617"/>
      <c r="I706" s="617"/>
      <c r="J706" s="617" t="s">
        <v>1161</v>
      </c>
      <c r="K706" s="618"/>
      <c r="L706" s="616"/>
      <c r="M706" s="616"/>
      <c r="N706" s="617"/>
      <c r="O706" s="617"/>
      <c r="P706" s="617"/>
      <c r="Q706" s="617"/>
      <c r="R706" s="619"/>
      <c r="S706" s="617"/>
      <c r="T706" s="616" t="s">
        <v>221</v>
      </c>
    </row>
    <row r="707" ht="34.5">
      <c r="A707" s="616" t="s">
        <v>1136</v>
      </c>
      <c r="B707" s="616" t="s">
        <v>1137</v>
      </c>
      <c r="C707" s="616" t="s">
        <v>1160</v>
      </c>
      <c r="D707" s="616" t="s">
        <v>216</v>
      </c>
      <c r="E707" s="616" t="s">
        <v>725</v>
      </c>
      <c r="F707" s="617" t="s">
        <v>726</v>
      </c>
      <c r="G707" s="616" t="s">
        <v>727</v>
      </c>
      <c r="H707" s="617"/>
      <c r="I707" s="617"/>
      <c r="J707" s="617" t="s">
        <v>1162</v>
      </c>
      <c r="K707" s="618">
        <v>125275182</v>
      </c>
      <c r="L707" s="616" t="s">
        <v>611</v>
      </c>
      <c r="M707" s="616"/>
      <c r="N707" s="617"/>
      <c r="O707" s="617"/>
      <c r="P707" s="617"/>
      <c r="Q707" s="617"/>
      <c r="R707" s="619"/>
      <c r="S707" s="617"/>
      <c r="T707" s="616" t="s">
        <v>221</v>
      </c>
    </row>
    <row r="708" ht="34.5">
      <c r="A708" s="616" t="s">
        <v>1136</v>
      </c>
      <c r="B708" s="616" t="s">
        <v>1137</v>
      </c>
      <c r="C708" s="616" t="s">
        <v>1160</v>
      </c>
      <c r="D708" s="616" t="s">
        <v>216</v>
      </c>
      <c r="E708" s="616" t="s">
        <v>725</v>
      </c>
      <c r="F708" s="617" t="s">
        <v>726</v>
      </c>
      <c r="G708" s="616" t="s">
        <v>727</v>
      </c>
      <c r="H708" s="617"/>
      <c r="I708" s="617"/>
      <c r="J708" s="617" t="s">
        <v>702</v>
      </c>
      <c r="K708" s="618"/>
      <c r="L708" s="616"/>
      <c r="M708" s="616"/>
      <c r="N708" s="617"/>
      <c r="O708" s="617"/>
      <c r="P708" s="617"/>
      <c r="Q708" s="617"/>
      <c r="R708" s="619"/>
      <c r="S708" s="617"/>
      <c r="T708" s="616" t="s">
        <v>221</v>
      </c>
    </row>
    <row r="709" ht="34.5">
      <c r="A709" s="616" t="s">
        <v>1136</v>
      </c>
      <c r="B709" s="616" t="s">
        <v>1137</v>
      </c>
      <c r="C709" s="616" t="s">
        <v>1163</v>
      </c>
      <c r="D709" s="616" t="s">
        <v>216</v>
      </c>
      <c r="E709" s="616" t="s">
        <v>725</v>
      </c>
      <c r="F709" s="617" t="s">
        <v>726</v>
      </c>
      <c r="G709" s="616" t="s">
        <v>727</v>
      </c>
      <c r="H709" s="617"/>
      <c r="I709" s="617"/>
      <c r="J709" s="617" t="s">
        <v>679</v>
      </c>
      <c r="K709" s="618"/>
      <c r="L709" s="616"/>
      <c r="M709" s="616"/>
      <c r="N709" s="617"/>
      <c r="O709" s="617"/>
      <c r="P709" s="617"/>
      <c r="Q709" s="617"/>
      <c r="R709" s="619"/>
      <c r="S709" s="617"/>
      <c r="T709" s="616" t="s">
        <v>221</v>
      </c>
    </row>
    <row r="710" ht="34.5">
      <c r="A710" s="616" t="s">
        <v>1136</v>
      </c>
      <c r="B710" s="616" t="s">
        <v>1137</v>
      </c>
      <c r="C710" s="616" t="s">
        <v>1163</v>
      </c>
      <c r="D710" s="616" t="s">
        <v>216</v>
      </c>
      <c r="E710" s="616" t="s">
        <v>725</v>
      </c>
      <c r="F710" s="617" t="s">
        <v>726</v>
      </c>
      <c r="G710" s="616" t="s">
        <v>727</v>
      </c>
      <c r="H710" s="617"/>
      <c r="I710" s="617"/>
      <c r="J710" s="617" t="s">
        <v>1164</v>
      </c>
      <c r="K710" s="618"/>
      <c r="L710" s="616"/>
      <c r="M710" s="616"/>
      <c r="N710" s="617"/>
      <c r="O710" s="617"/>
      <c r="P710" s="617"/>
      <c r="Q710" s="617"/>
      <c r="R710" s="619"/>
      <c r="S710" s="617"/>
      <c r="T710" s="616" t="s">
        <v>221</v>
      </c>
    </row>
    <row r="711" ht="34.5">
      <c r="A711" s="616" t="s">
        <v>1136</v>
      </c>
      <c r="B711" s="616" t="s">
        <v>1137</v>
      </c>
      <c r="C711" s="616" t="s">
        <v>1163</v>
      </c>
      <c r="D711" s="616" t="s">
        <v>216</v>
      </c>
      <c r="E711" s="616" t="s">
        <v>725</v>
      </c>
      <c r="F711" s="617" t="s">
        <v>726</v>
      </c>
      <c r="G711" s="616" t="s">
        <v>727</v>
      </c>
      <c r="H711" s="617"/>
      <c r="I711" s="617"/>
      <c r="J711" s="617" t="s">
        <v>733</v>
      </c>
      <c r="K711" s="618"/>
      <c r="L711" s="616"/>
      <c r="M711" s="616"/>
      <c r="N711" s="617"/>
      <c r="O711" s="617"/>
      <c r="P711" s="617"/>
      <c r="Q711" s="617"/>
      <c r="R711" s="619"/>
      <c r="S711" s="617"/>
      <c r="T711" s="616" t="s">
        <v>221</v>
      </c>
    </row>
    <row r="712" ht="34.5">
      <c r="A712" s="616" t="s">
        <v>1136</v>
      </c>
      <c r="B712" s="616" t="s">
        <v>1137</v>
      </c>
      <c r="C712" s="616" t="s">
        <v>1163</v>
      </c>
      <c r="D712" s="616" t="s">
        <v>714</v>
      </c>
      <c r="E712" s="616" t="s">
        <v>725</v>
      </c>
      <c r="F712" s="617" t="s">
        <v>726</v>
      </c>
      <c r="G712" s="616" t="s">
        <v>727</v>
      </c>
      <c r="H712" s="617"/>
      <c r="I712" s="617"/>
      <c r="J712" s="617" t="s">
        <v>715</v>
      </c>
      <c r="K712" s="618"/>
      <c r="L712" s="616"/>
      <c r="M712" s="616"/>
      <c r="N712" s="617"/>
      <c r="O712" s="617"/>
      <c r="P712" s="617"/>
      <c r="Q712" s="617"/>
      <c r="R712" s="619"/>
      <c r="S712" s="617"/>
      <c r="T712" s="616" t="s">
        <v>221</v>
      </c>
    </row>
    <row r="713" ht="34.5">
      <c r="A713" s="616" t="s">
        <v>1136</v>
      </c>
      <c r="B713" s="616" t="s">
        <v>1137</v>
      </c>
      <c r="C713" s="616" t="s">
        <v>1163</v>
      </c>
      <c r="D713" s="616" t="s">
        <v>216</v>
      </c>
      <c r="E713" s="616" t="s">
        <v>725</v>
      </c>
      <c r="F713" s="617" t="s">
        <v>726</v>
      </c>
      <c r="G713" s="616" t="s">
        <v>727</v>
      </c>
      <c r="H713" s="617"/>
      <c r="I713" s="617"/>
      <c r="J713" s="617" t="s">
        <v>736</v>
      </c>
      <c r="K713" s="618"/>
      <c r="L713" s="616"/>
      <c r="M713" s="616"/>
      <c r="N713" s="617"/>
      <c r="O713" s="617"/>
      <c r="P713" s="617"/>
      <c r="Q713" s="617"/>
      <c r="R713" s="619"/>
      <c r="S713" s="617"/>
      <c r="T713" s="616" t="s">
        <v>221</v>
      </c>
    </row>
    <row r="714" ht="34.5">
      <c r="A714" s="616" t="s">
        <v>1136</v>
      </c>
      <c r="B714" s="616" t="s">
        <v>1137</v>
      </c>
      <c r="C714" s="616" t="s">
        <v>1163</v>
      </c>
      <c r="D714" s="616" t="s">
        <v>216</v>
      </c>
      <c r="E714" s="616" t="s">
        <v>725</v>
      </c>
      <c r="F714" s="617" t="s">
        <v>726</v>
      </c>
      <c r="G714" s="616" t="s">
        <v>727</v>
      </c>
      <c r="H714" s="617"/>
      <c r="I714" s="617"/>
      <c r="J714" s="617" t="s">
        <v>737</v>
      </c>
      <c r="K714" s="618"/>
      <c r="L714" s="616"/>
      <c r="M714" s="616"/>
      <c r="N714" s="617"/>
      <c r="O714" s="617"/>
      <c r="P714" s="617"/>
      <c r="Q714" s="617"/>
      <c r="R714" s="619"/>
      <c r="S714" s="617"/>
      <c r="T714" s="616" t="s">
        <v>221</v>
      </c>
    </row>
    <row r="715" ht="34.5">
      <c r="A715" s="616" t="s">
        <v>1136</v>
      </c>
      <c r="B715" s="616" t="s">
        <v>1137</v>
      </c>
      <c r="C715" s="616" t="s">
        <v>1163</v>
      </c>
      <c r="D715" s="616" t="s">
        <v>718</v>
      </c>
      <c r="E715" s="616" t="s">
        <v>725</v>
      </c>
      <c r="F715" s="617" t="s">
        <v>726</v>
      </c>
      <c r="G715" s="616" t="s">
        <v>727</v>
      </c>
      <c r="H715" s="617"/>
      <c r="I715" s="617"/>
      <c r="J715" s="617" t="s">
        <v>719</v>
      </c>
      <c r="K715" s="618"/>
      <c r="L715" s="616"/>
      <c r="M715" s="616"/>
      <c r="N715" s="617"/>
      <c r="O715" s="617"/>
      <c r="P715" s="617"/>
      <c r="Q715" s="617"/>
      <c r="R715" s="619"/>
      <c r="S715" s="617"/>
      <c r="T715" s="616" t="s">
        <v>221</v>
      </c>
    </row>
    <row r="716" ht="34.5">
      <c r="A716" s="616" t="s">
        <v>1136</v>
      </c>
      <c r="B716" s="616" t="s">
        <v>1137</v>
      </c>
      <c r="C716" s="616" t="s">
        <v>1163</v>
      </c>
      <c r="D716" s="616" t="s">
        <v>216</v>
      </c>
      <c r="E716" s="616" t="s">
        <v>725</v>
      </c>
      <c r="F716" s="617" t="s">
        <v>726</v>
      </c>
      <c r="G716" s="616" t="s">
        <v>727</v>
      </c>
      <c r="H716" s="617"/>
      <c r="I716" s="617"/>
      <c r="J716" s="617" t="s">
        <v>740</v>
      </c>
      <c r="K716" s="618"/>
      <c r="L716" s="616"/>
      <c r="M716" s="616"/>
      <c r="N716" s="617"/>
      <c r="O716" s="617"/>
      <c r="P716" s="617"/>
      <c r="Q716" s="617"/>
      <c r="R716" s="619"/>
      <c r="S716" s="617"/>
      <c r="T716" s="616" t="s">
        <v>221</v>
      </c>
    </row>
    <row r="717" ht="34.5">
      <c r="A717" s="616" t="s">
        <v>1136</v>
      </c>
      <c r="B717" s="616" t="s">
        <v>1137</v>
      </c>
      <c r="C717" s="616" t="s">
        <v>1163</v>
      </c>
      <c r="D717" s="616" t="s">
        <v>216</v>
      </c>
      <c r="E717" s="616" t="s">
        <v>725</v>
      </c>
      <c r="F717" s="617" t="s">
        <v>726</v>
      </c>
      <c r="G717" s="616" t="s">
        <v>727</v>
      </c>
      <c r="H717" s="617"/>
      <c r="I717" s="617"/>
      <c r="J717" s="617" t="s">
        <v>741</v>
      </c>
      <c r="K717" s="618"/>
      <c r="L717" s="616"/>
      <c r="M717" s="616"/>
      <c r="N717" s="617"/>
      <c r="O717" s="617"/>
      <c r="P717" s="617"/>
      <c r="Q717" s="617"/>
      <c r="R717" s="619"/>
      <c r="S717" s="617"/>
      <c r="T717" s="616" t="s">
        <v>221</v>
      </c>
    </row>
    <row r="718" ht="34.5">
      <c r="A718" s="616" t="s">
        <v>1136</v>
      </c>
      <c r="B718" s="616" t="s">
        <v>1137</v>
      </c>
      <c r="C718" s="616" t="s">
        <v>1163</v>
      </c>
      <c r="D718" s="616" t="s">
        <v>216</v>
      </c>
      <c r="E718" s="616" t="s">
        <v>725</v>
      </c>
      <c r="F718" s="617" t="s">
        <v>726</v>
      </c>
      <c r="G718" s="616" t="s">
        <v>727</v>
      </c>
      <c r="H718" s="617"/>
      <c r="I718" s="617"/>
      <c r="J718" s="617" t="s">
        <v>1165</v>
      </c>
      <c r="K718" s="618">
        <v>174973688</v>
      </c>
      <c r="L718" s="616" t="s">
        <v>611</v>
      </c>
      <c r="M718" s="616"/>
      <c r="N718" s="617"/>
      <c r="O718" s="617"/>
      <c r="P718" s="617"/>
      <c r="Q718" s="617"/>
      <c r="R718" s="619"/>
      <c r="S718" s="617"/>
      <c r="T718" s="616" t="s">
        <v>221</v>
      </c>
    </row>
    <row r="719" ht="34.5">
      <c r="A719" s="616" t="s">
        <v>1136</v>
      </c>
      <c r="B719" s="616" t="s">
        <v>1137</v>
      </c>
      <c r="C719" s="616" t="s">
        <v>1163</v>
      </c>
      <c r="D719" s="616" t="s">
        <v>724</v>
      </c>
      <c r="E719" s="616" t="s">
        <v>725</v>
      </c>
      <c r="F719" s="617" t="s">
        <v>726</v>
      </c>
      <c r="G719" s="616" t="s">
        <v>727</v>
      </c>
      <c r="H719" s="617"/>
      <c r="I719" s="617"/>
      <c r="J719" s="617" t="s">
        <v>728</v>
      </c>
      <c r="K719" s="618"/>
      <c r="L719" s="616"/>
      <c r="M719" s="616"/>
      <c r="N719" s="617"/>
      <c r="O719" s="617"/>
      <c r="P719" s="617"/>
      <c r="Q719" s="617"/>
      <c r="R719" s="619"/>
      <c r="S719" s="617"/>
      <c r="T719" s="616" t="s">
        <v>221</v>
      </c>
    </row>
    <row r="720" ht="34.5">
      <c r="A720" s="616" t="s">
        <v>1136</v>
      </c>
      <c r="B720" s="616" t="s">
        <v>1137</v>
      </c>
      <c r="C720" s="616" t="s">
        <v>1166</v>
      </c>
      <c r="D720" s="616" t="s">
        <v>734</v>
      </c>
      <c r="E720" s="616" t="s">
        <v>749</v>
      </c>
      <c r="F720" s="617" t="s">
        <v>750</v>
      </c>
      <c r="G720" s="616" t="s">
        <v>751</v>
      </c>
      <c r="H720" s="617"/>
      <c r="I720" s="617"/>
      <c r="J720" s="617" t="s">
        <v>735</v>
      </c>
      <c r="K720" s="618"/>
      <c r="L720" s="616"/>
      <c r="M720" s="616"/>
      <c r="N720" s="617"/>
      <c r="O720" s="617"/>
      <c r="P720" s="617"/>
      <c r="Q720" s="617"/>
      <c r="R720" s="619"/>
      <c r="S720" s="617"/>
      <c r="T720" s="616" t="s">
        <v>221</v>
      </c>
    </row>
    <row r="721" ht="34.5">
      <c r="A721" s="616" t="s">
        <v>1136</v>
      </c>
      <c r="B721" s="616" t="s">
        <v>1137</v>
      </c>
      <c r="C721" s="616" t="s">
        <v>1166</v>
      </c>
      <c r="D721" s="616" t="s">
        <v>216</v>
      </c>
      <c r="E721" s="616" t="s">
        <v>749</v>
      </c>
      <c r="F721" s="617" t="s">
        <v>750</v>
      </c>
      <c r="G721" s="616" t="s">
        <v>751</v>
      </c>
      <c r="H721" s="617"/>
      <c r="I721" s="617"/>
      <c r="J721" s="617" t="s">
        <v>722</v>
      </c>
      <c r="K721" s="618"/>
      <c r="L721" s="616"/>
      <c r="M721" s="616"/>
      <c r="N721" s="617"/>
      <c r="O721" s="617"/>
      <c r="P721" s="617"/>
      <c r="Q721" s="617"/>
      <c r="R721" s="619"/>
      <c r="S721" s="617"/>
      <c r="T721" s="616" t="s">
        <v>221</v>
      </c>
    </row>
    <row r="722" ht="34.5">
      <c r="A722" s="616" t="s">
        <v>1136</v>
      </c>
      <c r="B722" s="616" t="s">
        <v>1137</v>
      </c>
      <c r="C722" s="616" t="s">
        <v>670</v>
      </c>
      <c r="D722" s="616" t="s">
        <v>216</v>
      </c>
      <c r="E722" s="616" t="s">
        <v>755</v>
      </c>
      <c r="F722" s="617" t="s">
        <v>756</v>
      </c>
      <c r="G722" s="616" t="s">
        <v>727</v>
      </c>
      <c r="H722" s="617"/>
      <c r="I722" s="617"/>
      <c r="J722" s="617" t="s">
        <v>757</v>
      </c>
      <c r="K722" s="618"/>
      <c r="L722" s="616"/>
      <c r="M722" s="616"/>
      <c r="N722" s="617"/>
      <c r="O722" s="617"/>
      <c r="P722" s="617"/>
      <c r="Q722" s="617"/>
      <c r="R722" s="619"/>
      <c r="S722" s="617"/>
      <c r="T722" s="616" t="s">
        <v>221</v>
      </c>
    </row>
    <row r="723" ht="34.5">
      <c r="A723" s="616" t="s">
        <v>1136</v>
      </c>
      <c r="B723" s="616" t="s">
        <v>1137</v>
      </c>
      <c r="C723" s="616" t="s">
        <v>670</v>
      </c>
      <c r="D723" s="616" t="s">
        <v>216</v>
      </c>
      <c r="E723" s="616" t="s">
        <v>755</v>
      </c>
      <c r="F723" s="617" t="s">
        <v>756</v>
      </c>
      <c r="G723" s="616" t="s">
        <v>727</v>
      </c>
      <c r="H723" s="617"/>
      <c r="I723" s="617"/>
      <c r="J723" s="617" t="s">
        <v>758</v>
      </c>
      <c r="K723" s="618"/>
      <c r="L723" s="616"/>
      <c r="M723" s="616"/>
      <c r="N723" s="617"/>
      <c r="O723" s="617"/>
      <c r="P723" s="617"/>
      <c r="Q723" s="617"/>
      <c r="R723" s="619"/>
      <c r="S723" s="617"/>
      <c r="T723" s="616" t="s">
        <v>221</v>
      </c>
    </row>
    <row r="724" ht="34.5">
      <c r="A724" s="616" t="s">
        <v>1136</v>
      </c>
      <c r="B724" s="616" t="s">
        <v>1137</v>
      </c>
      <c r="C724" s="616" t="s">
        <v>670</v>
      </c>
      <c r="D724" s="616" t="s">
        <v>738</v>
      </c>
      <c r="E724" s="616" t="s">
        <v>755</v>
      </c>
      <c r="F724" s="617" t="s">
        <v>756</v>
      </c>
      <c r="G724" s="616" t="s">
        <v>727</v>
      </c>
      <c r="H724" s="617"/>
      <c r="I724" s="617"/>
      <c r="J724" s="617" t="s">
        <v>739</v>
      </c>
      <c r="K724" s="618"/>
      <c r="L724" s="616"/>
      <c r="M724" s="616"/>
      <c r="N724" s="617"/>
      <c r="O724" s="617"/>
      <c r="P724" s="617"/>
      <c r="Q724" s="617"/>
      <c r="R724" s="619"/>
      <c r="S724" s="617"/>
      <c r="T724" s="616" t="s">
        <v>221</v>
      </c>
    </row>
    <row r="725" ht="34.5">
      <c r="A725" s="616" t="s">
        <v>1136</v>
      </c>
      <c r="B725" s="616" t="s">
        <v>1137</v>
      </c>
      <c r="C725" s="616" t="s">
        <v>670</v>
      </c>
      <c r="D725" s="616" t="s">
        <v>216</v>
      </c>
      <c r="E725" s="616" t="s">
        <v>755</v>
      </c>
      <c r="F725" s="617" t="s">
        <v>756</v>
      </c>
      <c r="G725" s="616" t="s">
        <v>727</v>
      </c>
      <c r="H725" s="617"/>
      <c r="I725" s="617"/>
      <c r="J725" s="617" t="s">
        <v>764</v>
      </c>
      <c r="K725" s="618"/>
      <c r="L725" s="616"/>
      <c r="M725" s="616"/>
      <c r="N725" s="617"/>
      <c r="O725" s="617"/>
      <c r="P725" s="617"/>
      <c r="Q725" s="617"/>
      <c r="R725" s="619"/>
      <c r="S725" s="617"/>
      <c r="T725" s="616" t="s">
        <v>221</v>
      </c>
    </row>
    <row r="726" ht="34.5">
      <c r="A726" s="616" t="s">
        <v>1136</v>
      </c>
      <c r="B726" s="616" t="s">
        <v>1137</v>
      </c>
      <c r="C726" s="616" t="s">
        <v>670</v>
      </c>
      <c r="D726" s="616" t="s">
        <v>216</v>
      </c>
      <c r="E726" s="616" t="s">
        <v>755</v>
      </c>
      <c r="F726" s="617" t="s">
        <v>756</v>
      </c>
      <c r="G726" s="616" t="s">
        <v>727</v>
      </c>
      <c r="H726" s="617"/>
      <c r="I726" s="617"/>
      <c r="J726" s="617" t="s">
        <v>765</v>
      </c>
      <c r="K726" s="618"/>
      <c r="L726" s="616"/>
      <c r="M726" s="616"/>
      <c r="N726" s="617"/>
      <c r="O726" s="617"/>
      <c r="P726" s="617"/>
      <c r="Q726" s="617"/>
      <c r="R726" s="619"/>
      <c r="S726" s="617"/>
      <c r="T726" s="616" t="s">
        <v>221</v>
      </c>
    </row>
    <row r="727" ht="34.5">
      <c r="A727" s="616" t="s">
        <v>1136</v>
      </c>
      <c r="B727" s="616" t="s">
        <v>1137</v>
      </c>
      <c r="C727" s="616" t="s">
        <v>670</v>
      </c>
      <c r="D727" s="616" t="s">
        <v>743</v>
      </c>
      <c r="E727" s="616" t="s">
        <v>755</v>
      </c>
      <c r="F727" s="617" t="s">
        <v>756</v>
      </c>
      <c r="G727" s="616" t="s">
        <v>727</v>
      </c>
      <c r="H727" s="617"/>
      <c r="I727" s="617"/>
      <c r="J727" s="617" t="s">
        <v>744</v>
      </c>
      <c r="K727" s="618"/>
      <c r="L727" s="616"/>
      <c r="M727" s="616"/>
      <c r="N727" s="617"/>
      <c r="O727" s="617"/>
      <c r="P727" s="617"/>
      <c r="Q727" s="617"/>
      <c r="R727" s="619"/>
      <c r="S727" s="617"/>
      <c r="T727" s="616" t="s">
        <v>221</v>
      </c>
    </row>
    <row r="728" ht="34.5">
      <c r="A728" s="616" t="s">
        <v>1136</v>
      </c>
      <c r="B728" s="616" t="s">
        <v>1137</v>
      </c>
      <c r="C728" s="616" t="s">
        <v>670</v>
      </c>
      <c r="D728" s="616" t="s">
        <v>216</v>
      </c>
      <c r="E728" s="616" t="s">
        <v>755</v>
      </c>
      <c r="F728" s="617" t="s">
        <v>756</v>
      </c>
      <c r="G728" s="616" t="s">
        <v>727</v>
      </c>
      <c r="H728" s="617"/>
      <c r="I728" s="617"/>
      <c r="J728" s="617" t="s">
        <v>768</v>
      </c>
      <c r="K728" s="618"/>
      <c r="L728" s="616"/>
      <c r="M728" s="616"/>
      <c r="N728" s="617"/>
      <c r="O728" s="617"/>
      <c r="P728" s="617"/>
      <c r="Q728" s="617"/>
      <c r="R728" s="619"/>
      <c r="S728" s="617"/>
      <c r="T728" s="616" t="s">
        <v>221</v>
      </c>
    </row>
    <row r="729" ht="34.5">
      <c r="A729" s="616" t="s">
        <v>1136</v>
      </c>
      <c r="B729" s="616" t="s">
        <v>1137</v>
      </c>
      <c r="C729" s="616" t="s">
        <v>670</v>
      </c>
      <c r="D729" s="616" t="s">
        <v>216</v>
      </c>
      <c r="E729" s="616" t="s">
        <v>755</v>
      </c>
      <c r="F729" s="617" t="s">
        <v>756</v>
      </c>
      <c r="G729" s="616" t="s">
        <v>727</v>
      </c>
      <c r="H729" s="617"/>
      <c r="I729" s="617"/>
      <c r="J729" s="617" t="s">
        <v>731</v>
      </c>
      <c r="K729" s="618"/>
      <c r="L729" s="616"/>
      <c r="M729" s="616"/>
      <c r="N729" s="617"/>
      <c r="O729" s="617"/>
      <c r="P729" s="617"/>
      <c r="Q729" s="617"/>
      <c r="R729" s="619"/>
      <c r="S729" s="617"/>
      <c r="T729" s="616" t="s">
        <v>221</v>
      </c>
    </row>
    <row r="730" ht="34.5">
      <c r="A730" s="616" t="s">
        <v>1136</v>
      </c>
      <c r="B730" s="616" t="s">
        <v>1137</v>
      </c>
      <c r="C730" s="616" t="s">
        <v>678</v>
      </c>
      <c r="D730" s="616" t="s">
        <v>216</v>
      </c>
      <c r="E730" s="616" t="s">
        <v>755</v>
      </c>
      <c r="F730" s="617" t="s">
        <v>756</v>
      </c>
      <c r="G730" s="616" t="s">
        <v>727</v>
      </c>
      <c r="H730" s="617"/>
      <c r="I730" s="617"/>
      <c r="J730" s="617" t="s">
        <v>679</v>
      </c>
      <c r="K730" s="618"/>
      <c r="L730" s="616"/>
      <c r="M730" s="616"/>
      <c r="N730" s="617"/>
      <c r="O730" s="617"/>
      <c r="P730" s="617"/>
      <c r="Q730" s="617"/>
      <c r="R730" s="619"/>
      <c r="S730" s="617"/>
      <c r="T730" s="616" t="s">
        <v>221</v>
      </c>
    </row>
    <row r="731" ht="34.5">
      <c r="A731" s="616" t="s">
        <v>1136</v>
      </c>
      <c r="B731" s="616" t="s">
        <v>1137</v>
      </c>
      <c r="C731" s="616" t="s">
        <v>678</v>
      </c>
      <c r="D731" s="616" t="s">
        <v>216</v>
      </c>
      <c r="E731" s="616" t="s">
        <v>755</v>
      </c>
      <c r="F731" s="617" t="s">
        <v>756</v>
      </c>
      <c r="G731" s="616" t="s">
        <v>727</v>
      </c>
      <c r="H731" s="617"/>
      <c r="I731" s="617"/>
      <c r="J731" s="617" t="s">
        <v>1167</v>
      </c>
      <c r="K731" s="618"/>
      <c r="L731" s="616"/>
      <c r="M731" s="616"/>
      <c r="N731" s="617"/>
      <c r="O731" s="617"/>
      <c r="P731" s="617"/>
      <c r="Q731" s="617"/>
      <c r="R731" s="619"/>
      <c r="S731" s="617"/>
      <c r="T731" s="616" t="s">
        <v>221</v>
      </c>
    </row>
    <row r="732" ht="34.5">
      <c r="A732" s="616" t="s">
        <v>1136</v>
      </c>
      <c r="B732" s="616" t="s">
        <v>1137</v>
      </c>
      <c r="C732" s="616" t="s">
        <v>678</v>
      </c>
      <c r="D732" s="616" t="s">
        <v>748</v>
      </c>
      <c r="E732" s="616" t="s">
        <v>772</v>
      </c>
      <c r="F732" s="617" t="s">
        <v>773</v>
      </c>
      <c r="G732" s="616" t="s">
        <v>698</v>
      </c>
      <c r="H732" s="617"/>
      <c r="I732" s="617"/>
      <c r="J732" s="617" t="s">
        <v>752</v>
      </c>
      <c r="K732" s="618"/>
      <c r="L732" s="616"/>
      <c r="M732" s="616"/>
      <c r="N732" s="617"/>
      <c r="O732" s="617"/>
      <c r="P732" s="617"/>
      <c r="Q732" s="617"/>
      <c r="R732" s="619"/>
      <c r="S732" s="617"/>
      <c r="T732" s="616" t="s">
        <v>221</v>
      </c>
    </row>
    <row r="733" ht="34.5">
      <c r="A733" s="616" t="s">
        <v>1136</v>
      </c>
      <c r="B733" s="616" t="s">
        <v>1137</v>
      </c>
      <c r="C733" s="616" t="s">
        <v>678</v>
      </c>
      <c r="D733" s="616" t="s">
        <v>216</v>
      </c>
      <c r="E733" s="616" t="s">
        <v>772</v>
      </c>
      <c r="F733" s="617" t="s">
        <v>773</v>
      </c>
      <c r="G733" s="616" t="s">
        <v>698</v>
      </c>
      <c r="H733" s="617"/>
      <c r="I733" s="617"/>
      <c r="J733" s="617" t="s">
        <v>775</v>
      </c>
      <c r="K733" s="618"/>
      <c r="L733" s="616"/>
      <c r="M733" s="616"/>
      <c r="N733" s="617"/>
      <c r="O733" s="617"/>
      <c r="P733" s="617"/>
      <c r="Q733" s="617"/>
      <c r="R733" s="619"/>
      <c r="S733" s="617"/>
      <c r="T733" s="616" t="s">
        <v>221</v>
      </c>
    </row>
    <row r="734" ht="34.5">
      <c r="A734" s="616" t="s">
        <v>1136</v>
      </c>
      <c r="B734" s="616" t="s">
        <v>1137</v>
      </c>
      <c r="C734" s="616" t="s">
        <v>678</v>
      </c>
      <c r="D734" s="616" t="s">
        <v>759</v>
      </c>
      <c r="E734" s="616" t="s">
        <v>772</v>
      </c>
      <c r="F734" s="617" t="s">
        <v>773</v>
      </c>
      <c r="G734" s="616" t="s">
        <v>698</v>
      </c>
      <c r="H734" s="617"/>
      <c r="I734" s="617"/>
      <c r="J734" s="617" t="s">
        <v>760</v>
      </c>
      <c r="K734" s="618"/>
      <c r="L734" s="616"/>
      <c r="M734" s="616"/>
      <c r="N734" s="617"/>
      <c r="O734" s="617"/>
      <c r="P734" s="617"/>
      <c r="Q734" s="617"/>
      <c r="R734" s="619"/>
      <c r="S734" s="617"/>
      <c r="T734" s="616" t="s">
        <v>221</v>
      </c>
    </row>
    <row r="735" ht="34.5">
      <c r="A735" s="616" t="s">
        <v>1136</v>
      </c>
      <c r="B735" s="616" t="s">
        <v>1137</v>
      </c>
      <c r="C735" s="616" t="s">
        <v>678</v>
      </c>
      <c r="D735" s="616" t="s">
        <v>216</v>
      </c>
      <c r="E735" s="616" t="s">
        <v>772</v>
      </c>
      <c r="F735" s="617" t="s">
        <v>773</v>
      </c>
      <c r="G735" s="616" t="s">
        <v>698</v>
      </c>
      <c r="H735" s="617"/>
      <c r="I735" s="617"/>
      <c r="J735" s="617" t="s">
        <v>778</v>
      </c>
      <c r="K735" s="618"/>
      <c r="L735" s="616"/>
      <c r="M735" s="616"/>
      <c r="N735" s="617"/>
      <c r="O735" s="617"/>
      <c r="P735" s="617"/>
      <c r="Q735" s="617"/>
      <c r="R735" s="619"/>
      <c r="S735" s="617"/>
      <c r="T735" s="616" t="s">
        <v>221</v>
      </c>
    </row>
    <row r="736" ht="34.5">
      <c r="A736" s="616" t="s">
        <v>1136</v>
      </c>
      <c r="B736" s="616" t="s">
        <v>1137</v>
      </c>
      <c r="C736" s="616" t="s">
        <v>678</v>
      </c>
      <c r="D736" s="616" t="s">
        <v>216</v>
      </c>
      <c r="E736" s="616" t="s">
        <v>772</v>
      </c>
      <c r="F736" s="617" t="s">
        <v>773</v>
      </c>
      <c r="G736" s="616" t="s">
        <v>698</v>
      </c>
      <c r="H736" s="617"/>
      <c r="I736" s="617"/>
      <c r="J736" s="617" t="s">
        <v>1168</v>
      </c>
      <c r="K736" s="618"/>
      <c r="L736" s="616"/>
      <c r="M736" s="616"/>
      <c r="N736" s="617"/>
      <c r="O736" s="617"/>
      <c r="P736" s="617"/>
      <c r="Q736" s="617"/>
      <c r="R736" s="619"/>
      <c r="S736" s="617"/>
      <c r="T736" s="616" t="s">
        <v>221</v>
      </c>
    </row>
    <row r="737" ht="34.5">
      <c r="A737" s="616" t="s">
        <v>1136</v>
      </c>
      <c r="B737" s="616" t="s">
        <v>1137</v>
      </c>
      <c r="C737" s="616" t="s">
        <v>678</v>
      </c>
      <c r="D737" s="616" t="s">
        <v>216</v>
      </c>
      <c r="E737" s="616" t="s">
        <v>772</v>
      </c>
      <c r="F737" s="617" t="s">
        <v>773</v>
      </c>
      <c r="G737" s="616" t="s">
        <v>698</v>
      </c>
      <c r="H737" s="617"/>
      <c r="I737" s="617"/>
      <c r="J737" s="617" t="s">
        <v>780</v>
      </c>
      <c r="K737" s="618"/>
      <c r="L737" s="616"/>
      <c r="M737" s="616"/>
      <c r="N737" s="617"/>
      <c r="O737" s="617"/>
      <c r="P737" s="617"/>
      <c r="Q737" s="617"/>
      <c r="R737" s="619"/>
      <c r="S737" s="617"/>
      <c r="T737" s="616" t="s">
        <v>221</v>
      </c>
    </row>
    <row r="738" ht="34.5">
      <c r="A738" s="616" t="s">
        <v>1136</v>
      </c>
      <c r="B738" s="616" t="s">
        <v>1137</v>
      </c>
      <c r="C738" s="616" t="s">
        <v>678</v>
      </c>
      <c r="D738" s="616" t="s">
        <v>216</v>
      </c>
      <c r="E738" s="616" t="s">
        <v>772</v>
      </c>
      <c r="F738" s="617" t="s">
        <v>773</v>
      </c>
      <c r="G738" s="616" t="s">
        <v>698</v>
      </c>
      <c r="H738" s="617"/>
      <c r="I738" s="617"/>
      <c r="J738" s="617" t="s">
        <v>1169</v>
      </c>
      <c r="K738" s="618">
        <v>86861200</v>
      </c>
      <c r="L738" s="616" t="s">
        <v>611</v>
      </c>
      <c r="M738" s="616"/>
      <c r="N738" s="617"/>
      <c r="O738" s="617"/>
      <c r="P738" s="617"/>
      <c r="Q738" s="617"/>
      <c r="R738" s="619"/>
      <c r="S738" s="617"/>
      <c r="T738" s="616" t="s">
        <v>221</v>
      </c>
    </row>
    <row r="739" ht="34.5">
      <c r="A739" s="616" t="s">
        <v>1136</v>
      </c>
      <c r="B739" s="616" t="s">
        <v>1137</v>
      </c>
      <c r="C739" s="616" t="s">
        <v>678</v>
      </c>
      <c r="D739" s="616" t="s">
        <v>216</v>
      </c>
      <c r="E739" s="616" t="s">
        <v>772</v>
      </c>
      <c r="F739" s="617" t="s">
        <v>773</v>
      </c>
      <c r="G739" s="616" t="s">
        <v>698</v>
      </c>
      <c r="H739" s="617"/>
      <c r="I739" s="617"/>
      <c r="J739" s="617" t="s">
        <v>746</v>
      </c>
      <c r="K739" s="618"/>
      <c r="L739" s="616"/>
      <c r="M739" s="616"/>
      <c r="N739" s="617"/>
      <c r="O739" s="617"/>
      <c r="P739" s="617"/>
      <c r="Q739" s="617"/>
      <c r="R739" s="619"/>
      <c r="S739" s="617"/>
      <c r="T739" s="616" t="s">
        <v>221</v>
      </c>
    </row>
    <row r="740" ht="34.5">
      <c r="A740" s="616" t="s">
        <v>1136</v>
      </c>
      <c r="B740" s="616" t="s">
        <v>1137</v>
      </c>
      <c r="C740" s="616" t="s">
        <v>685</v>
      </c>
      <c r="D740" s="616" t="s">
        <v>216</v>
      </c>
      <c r="E740" s="616" t="s">
        <v>772</v>
      </c>
      <c r="F740" s="617" t="s">
        <v>773</v>
      </c>
      <c r="G740" s="616" t="s">
        <v>698</v>
      </c>
      <c r="H740" s="617"/>
      <c r="I740" s="617"/>
      <c r="J740" s="617" t="s">
        <v>679</v>
      </c>
      <c r="K740" s="618"/>
      <c r="L740" s="616"/>
      <c r="M740" s="616"/>
      <c r="N740" s="617"/>
      <c r="O740" s="617"/>
      <c r="P740" s="617"/>
      <c r="Q740" s="617"/>
      <c r="R740" s="619"/>
      <c r="S740" s="617"/>
      <c r="T740" s="616" t="s">
        <v>221</v>
      </c>
    </row>
    <row r="741" ht="34.5">
      <c r="A741" s="616" t="s">
        <v>1136</v>
      </c>
      <c r="B741" s="616" t="s">
        <v>1137</v>
      </c>
      <c r="C741" s="616" t="s">
        <v>685</v>
      </c>
      <c r="D741" s="616" t="s">
        <v>216</v>
      </c>
      <c r="E741" s="616" t="s">
        <v>772</v>
      </c>
      <c r="F741" s="617" t="s">
        <v>773</v>
      </c>
      <c r="G741" s="616" t="s">
        <v>698</v>
      </c>
      <c r="H741" s="617"/>
      <c r="I741" s="617"/>
      <c r="J741" s="617" t="s">
        <v>1170</v>
      </c>
      <c r="K741" s="618"/>
      <c r="L741" s="616"/>
      <c r="M741" s="616"/>
      <c r="N741" s="617"/>
      <c r="O741" s="617"/>
      <c r="P741" s="617"/>
      <c r="Q741" s="617"/>
      <c r="R741" s="619"/>
      <c r="S741" s="617"/>
      <c r="T741" s="616" t="s">
        <v>221</v>
      </c>
    </row>
    <row r="742" ht="34.5">
      <c r="A742" s="616" t="s">
        <v>1136</v>
      </c>
      <c r="B742" s="616" t="s">
        <v>1137</v>
      </c>
      <c r="C742" s="616" t="s">
        <v>685</v>
      </c>
      <c r="D742" s="616" t="s">
        <v>216</v>
      </c>
      <c r="E742" s="616" t="s">
        <v>772</v>
      </c>
      <c r="F742" s="617" t="s">
        <v>773</v>
      </c>
      <c r="G742" s="616" t="s">
        <v>698</v>
      </c>
      <c r="H742" s="617"/>
      <c r="I742" s="617"/>
      <c r="J742" s="617" t="s">
        <v>1171</v>
      </c>
      <c r="K742" s="618"/>
      <c r="L742" s="616"/>
      <c r="M742" s="616"/>
      <c r="N742" s="617"/>
      <c r="O742" s="617"/>
      <c r="P742" s="617"/>
      <c r="Q742" s="617"/>
      <c r="R742" s="619"/>
      <c r="S742" s="617"/>
      <c r="T742" s="616" t="s">
        <v>221</v>
      </c>
    </row>
    <row r="743" ht="34.5">
      <c r="A743" s="616" t="s">
        <v>1136</v>
      </c>
      <c r="B743" s="616" t="s">
        <v>1137</v>
      </c>
      <c r="C743" s="616" t="s">
        <v>685</v>
      </c>
      <c r="D743" s="616" t="s">
        <v>762</v>
      </c>
      <c r="E743" s="616" t="s">
        <v>772</v>
      </c>
      <c r="F743" s="617" t="s">
        <v>773</v>
      </c>
      <c r="G743" s="616" t="s">
        <v>698</v>
      </c>
      <c r="H743" s="617"/>
      <c r="I743" s="617"/>
      <c r="J743" s="617" t="s">
        <v>763</v>
      </c>
      <c r="K743" s="618"/>
      <c r="L743" s="616"/>
      <c r="M743" s="616"/>
      <c r="N743" s="617"/>
      <c r="O743" s="617"/>
      <c r="P743" s="617"/>
      <c r="Q743" s="617"/>
      <c r="R743" s="619"/>
      <c r="S743" s="617"/>
      <c r="T743" s="616" t="s">
        <v>221</v>
      </c>
    </row>
    <row r="744" ht="34.5">
      <c r="A744" s="616" t="s">
        <v>1136</v>
      </c>
      <c r="B744" s="616" t="s">
        <v>1137</v>
      </c>
      <c r="C744" s="616" t="s">
        <v>685</v>
      </c>
      <c r="D744" s="616" t="s">
        <v>216</v>
      </c>
      <c r="E744" s="616" t="s">
        <v>772</v>
      </c>
      <c r="F744" s="617" t="s">
        <v>773</v>
      </c>
      <c r="G744" s="616" t="s">
        <v>698</v>
      </c>
      <c r="H744" s="617"/>
      <c r="I744" s="617"/>
      <c r="J744" s="617" t="s">
        <v>786</v>
      </c>
      <c r="K744" s="618"/>
      <c r="L744" s="616"/>
      <c r="M744" s="616"/>
      <c r="N744" s="617"/>
      <c r="O744" s="617"/>
      <c r="P744" s="617"/>
      <c r="Q744" s="617"/>
      <c r="R744" s="619"/>
      <c r="S744" s="617"/>
      <c r="T744" s="616" t="s">
        <v>221</v>
      </c>
    </row>
    <row r="745" ht="34.5">
      <c r="A745" s="616" t="s">
        <v>1136</v>
      </c>
      <c r="B745" s="616" t="s">
        <v>1137</v>
      </c>
      <c r="C745" s="616" t="s">
        <v>685</v>
      </c>
      <c r="D745" s="616" t="s">
        <v>216</v>
      </c>
      <c r="E745" s="616" t="s">
        <v>772</v>
      </c>
      <c r="F745" s="617" t="s">
        <v>773</v>
      </c>
      <c r="G745" s="616" t="s">
        <v>698</v>
      </c>
      <c r="H745" s="617"/>
      <c r="I745" s="617"/>
      <c r="J745" s="617" t="s">
        <v>1172</v>
      </c>
      <c r="K745" s="618"/>
      <c r="L745" s="616"/>
      <c r="M745" s="616"/>
      <c r="N745" s="617"/>
      <c r="O745" s="617"/>
      <c r="P745" s="617"/>
      <c r="Q745" s="617"/>
      <c r="R745" s="619"/>
      <c r="S745" s="617"/>
      <c r="T745" s="616" t="s">
        <v>221</v>
      </c>
    </row>
    <row r="746" ht="34.5">
      <c r="A746" s="616" t="s">
        <v>1136</v>
      </c>
      <c r="B746" s="616" t="s">
        <v>1137</v>
      </c>
      <c r="C746" s="616" t="s">
        <v>685</v>
      </c>
      <c r="D746" s="616" t="s">
        <v>216</v>
      </c>
      <c r="E746" s="616" t="s">
        <v>772</v>
      </c>
      <c r="F746" s="617" t="s">
        <v>773</v>
      </c>
      <c r="G746" s="616" t="s">
        <v>698</v>
      </c>
      <c r="H746" s="617"/>
      <c r="I746" s="617"/>
      <c r="J746" s="617" t="s">
        <v>788</v>
      </c>
      <c r="K746" s="618"/>
      <c r="L746" s="616"/>
      <c r="M746" s="616"/>
      <c r="N746" s="617"/>
      <c r="O746" s="617"/>
      <c r="P746" s="617"/>
      <c r="Q746" s="617"/>
      <c r="R746" s="619"/>
      <c r="S746" s="617"/>
      <c r="T746" s="616" t="s">
        <v>221</v>
      </c>
    </row>
    <row r="747" ht="34.5">
      <c r="A747" s="616" t="s">
        <v>1136</v>
      </c>
      <c r="B747" s="616" t="s">
        <v>1137</v>
      </c>
      <c r="C747" s="616" t="s">
        <v>685</v>
      </c>
      <c r="D747" s="616" t="s">
        <v>216</v>
      </c>
      <c r="E747" s="616" t="s">
        <v>772</v>
      </c>
      <c r="F747" s="617" t="s">
        <v>773</v>
      </c>
      <c r="G747" s="616" t="s">
        <v>698</v>
      </c>
      <c r="H747" s="617"/>
      <c r="I747" s="617"/>
      <c r="J747" s="617" t="s">
        <v>789</v>
      </c>
      <c r="K747" s="618"/>
      <c r="L747" s="616"/>
      <c r="M747" s="616"/>
      <c r="N747" s="617"/>
      <c r="O747" s="617"/>
      <c r="P747" s="617"/>
      <c r="Q747" s="617"/>
      <c r="R747" s="619"/>
      <c r="S747" s="617"/>
      <c r="T747" s="616" t="s">
        <v>221</v>
      </c>
    </row>
    <row r="748" ht="34.5">
      <c r="A748" s="616" t="s">
        <v>1136</v>
      </c>
      <c r="B748" s="616" t="s">
        <v>1137</v>
      </c>
      <c r="C748" s="616" t="s">
        <v>685</v>
      </c>
      <c r="D748" s="616" t="s">
        <v>216</v>
      </c>
      <c r="E748" s="616" t="s">
        <v>772</v>
      </c>
      <c r="F748" s="617" t="s">
        <v>773</v>
      </c>
      <c r="G748" s="616" t="s">
        <v>698</v>
      </c>
      <c r="H748" s="617"/>
      <c r="I748" s="617"/>
      <c r="J748" s="617" t="s">
        <v>790</v>
      </c>
      <c r="K748" s="618"/>
      <c r="L748" s="616"/>
      <c r="M748" s="616"/>
      <c r="N748" s="617"/>
      <c r="O748" s="617"/>
      <c r="P748" s="617"/>
      <c r="Q748" s="617"/>
      <c r="R748" s="619"/>
      <c r="S748" s="617"/>
      <c r="T748" s="616" t="s">
        <v>221</v>
      </c>
    </row>
    <row r="749" ht="34.5">
      <c r="A749" s="616" t="s">
        <v>1136</v>
      </c>
      <c r="B749" s="616" t="s">
        <v>1137</v>
      </c>
      <c r="C749" s="616" t="s">
        <v>685</v>
      </c>
      <c r="D749" s="616" t="s">
        <v>216</v>
      </c>
      <c r="E749" s="616" t="s">
        <v>772</v>
      </c>
      <c r="F749" s="617" t="s">
        <v>773</v>
      </c>
      <c r="G749" s="616" t="s">
        <v>698</v>
      </c>
      <c r="H749" s="617"/>
      <c r="I749" s="617"/>
      <c r="J749" s="617" t="s">
        <v>791</v>
      </c>
      <c r="K749" s="618"/>
      <c r="L749" s="616"/>
      <c r="M749" s="616"/>
      <c r="N749" s="617"/>
      <c r="O749" s="617"/>
      <c r="P749" s="617"/>
      <c r="Q749" s="617"/>
      <c r="R749" s="619"/>
      <c r="S749" s="617"/>
      <c r="T749" s="616" t="s">
        <v>221</v>
      </c>
    </row>
    <row r="750" ht="34.5">
      <c r="A750" s="616" t="s">
        <v>1136</v>
      </c>
      <c r="B750" s="616" t="s">
        <v>1137</v>
      </c>
      <c r="C750" s="616" t="s">
        <v>685</v>
      </c>
      <c r="D750" s="616" t="s">
        <v>216</v>
      </c>
      <c r="E750" s="616" t="s">
        <v>772</v>
      </c>
      <c r="F750" s="617" t="s">
        <v>773</v>
      </c>
      <c r="G750" s="616" t="s">
        <v>698</v>
      </c>
      <c r="H750" s="617"/>
      <c r="I750" s="617"/>
      <c r="J750" s="617" t="s">
        <v>792</v>
      </c>
      <c r="K750" s="618"/>
      <c r="L750" s="616"/>
      <c r="M750" s="616"/>
      <c r="N750" s="617"/>
      <c r="O750" s="617"/>
      <c r="P750" s="617"/>
      <c r="Q750" s="617"/>
      <c r="R750" s="619"/>
      <c r="S750" s="617"/>
      <c r="T750" s="616" t="s">
        <v>221</v>
      </c>
    </row>
    <row r="751" ht="34.5">
      <c r="A751" s="616" t="s">
        <v>1136</v>
      </c>
      <c r="B751" s="616" t="s">
        <v>1137</v>
      </c>
      <c r="C751" s="616" t="s">
        <v>685</v>
      </c>
      <c r="D751" s="616" t="s">
        <v>216</v>
      </c>
      <c r="E751" s="616" t="s">
        <v>772</v>
      </c>
      <c r="F751" s="617" t="s">
        <v>773</v>
      </c>
      <c r="G751" s="616" t="s">
        <v>698</v>
      </c>
      <c r="H751" s="617"/>
      <c r="I751" s="617"/>
      <c r="J751" s="617" t="s">
        <v>753</v>
      </c>
      <c r="K751" s="618"/>
      <c r="L751" s="616"/>
      <c r="M751" s="616"/>
      <c r="N751" s="617"/>
      <c r="O751" s="617"/>
      <c r="P751" s="617"/>
      <c r="Q751" s="617"/>
      <c r="R751" s="619"/>
      <c r="S751" s="617"/>
      <c r="T751" s="616" t="s">
        <v>221</v>
      </c>
    </row>
    <row r="752" ht="34.5">
      <c r="A752" s="616" t="s">
        <v>1136</v>
      </c>
      <c r="B752" s="616" t="s">
        <v>1137</v>
      </c>
      <c r="C752" s="616" t="s">
        <v>703</v>
      </c>
      <c r="D752" s="616" t="s">
        <v>216</v>
      </c>
      <c r="E752" s="616" t="s">
        <v>772</v>
      </c>
      <c r="F752" s="617" t="s">
        <v>773</v>
      </c>
      <c r="G752" s="616" t="s">
        <v>698</v>
      </c>
      <c r="H752" s="617"/>
      <c r="I752" s="617"/>
      <c r="J752" s="617" t="s">
        <v>796</v>
      </c>
      <c r="K752" s="618"/>
      <c r="L752" s="616"/>
      <c r="M752" s="616"/>
      <c r="N752" s="617"/>
      <c r="O752" s="617"/>
      <c r="P752" s="617"/>
      <c r="Q752" s="617"/>
      <c r="R752" s="619"/>
      <c r="S752" s="617"/>
      <c r="T752" s="616" t="s">
        <v>221</v>
      </c>
    </row>
    <row r="753" ht="34.5">
      <c r="A753" s="616" t="s">
        <v>1136</v>
      </c>
      <c r="B753" s="616" t="s">
        <v>1137</v>
      </c>
      <c r="C753" s="616" t="s">
        <v>703</v>
      </c>
      <c r="D753" s="616" t="s">
        <v>216</v>
      </c>
      <c r="E753" s="616" t="s">
        <v>772</v>
      </c>
      <c r="F753" s="617" t="s">
        <v>773</v>
      </c>
      <c r="G753" s="616" t="s">
        <v>698</v>
      </c>
      <c r="H753" s="617"/>
      <c r="I753" s="617"/>
      <c r="J753" s="617" t="s">
        <v>1173</v>
      </c>
      <c r="K753" s="618"/>
      <c r="L753" s="616"/>
      <c r="M753" s="616"/>
      <c r="N753" s="617"/>
      <c r="O753" s="617"/>
      <c r="P753" s="617"/>
      <c r="Q753" s="617"/>
      <c r="R753" s="619"/>
      <c r="S753" s="617"/>
      <c r="T753" s="616" t="s">
        <v>221</v>
      </c>
    </row>
    <row r="754" ht="34.5">
      <c r="A754" s="616" t="s">
        <v>1136</v>
      </c>
      <c r="B754" s="616" t="s">
        <v>1137</v>
      </c>
      <c r="C754" s="616" t="s">
        <v>703</v>
      </c>
      <c r="D754" s="616" t="s">
        <v>216</v>
      </c>
      <c r="E754" s="616" t="s">
        <v>772</v>
      </c>
      <c r="F754" s="617" t="s">
        <v>773</v>
      </c>
      <c r="G754" s="616" t="s">
        <v>698</v>
      </c>
      <c r="H754" s="617"/>
      <c r="I754" s="617"/>
      <c r="J754" s="617" t="s">
        <v>798</v>
      </c>
      <c r="K754" s="618"/>
      <c r="L754" s="616"/>
      <c r="M754" s="616"/>
      <c r="N754" s="617"/>
      <c r="O754" s="617"/>
      <c r="P754" s="617"/>
      <c r="Q754" s="617"/>
      <c r="R754" s="619"/>
      <c r="S754" s="617"/>
      <c r="T754" s="616" t="s">
        <v>221</v>
      </c>
    </row>
    <row r="755" ht="34.5">
      <c r="A755" s="616" t="s">
        <v>1136</v>
      </c>
      <c r="B755" s="616" t="s">
        <v>1137</v>
      </c>
      <c r="C755" s="616" t="s">
        <v>703</v>
      </c>
      <c r="D755" s="616" t="s">
        <v>216</v>
      </c>
      <c r="E755" s="616" t="s">
        <v>772</v>
      </c>
      <c r="F755" s="617" t="s">
        <v>773</v>
      </c>
      <c r="G755" s="616" t="s">
        <v>698</v>
      </c>
      <c r="H755" s="617"/>
      <c r="I755" s="617"/>
      <c r="J755" s="617" t="s">
        <v>1174</v>
      </c>
      <c r="K755" s="618"/>
      <c r="L755" s="616"/>
      <c r="M755" s="616"/>
      <c r="N755" s="617"/>
      <c r="O755" s="617"/>
      <c r="P755" s="617"/>
      <c r="Q755" s="617"/>
      <c r="R755" s="619"/>
      <c r="S755" s="617"/>
      <c r="T755" s="616" t="s">
        <v>221</v>
      </c>
    </row>
    <row r="756" ht="34.5">
      <c r="A756" s="616" t="s">
        <v>1136</v>
      </c>
      <c r="B756" s="616" t="s">
        <v>1137</v>
      </c>
      <c r="C756" s="616" t="s">
        <v>703</v>
      </c>
      <c r="D756" s="616" t="s">
        <v>216</v>
      </c>
      <c r="E756" s="616" t="s">
        <v>772</v>
      </c>
      <c r="F756" s="617" t="s">
        <v>773</v>
      </c>
      <c r="G756" s="616" t="s">
        <v>698</v>
      </c>
      <c r="H756" s="617"/>
      <c r="I756" s="617"/>
      <c r="J756" s="617" t="s">
        <v>800</v>
      </c>
      <c r="K756" s="618"/>
      <c r="L756" s="616"/>
      <c r="M756" s="616"/>
      <c r="N756" s="617"/>
      <c r="O756" s="617"/>
      <c r="P756" s="617"/>
      <c r="Q756" s="617"/>
      <c r="R756" s="619"/>
      <c r="S756" s="617"/>
      <c r="T756" s="616" t="s">
        <v>221</v>
      </c>
    </row>
    <row r="757" ht="34.5">
      <c r="A757" s="616" t="s">
        <v>1136</v>
      </c>
      <c r="B757" s="616" t="s">
        <v>1137</v>
      </c>
      <c r="C757" s="616" t="s">
        <v>703</v>
      </c>
      <c r="D757" s="616" t="s">
        <v>766</v>
      </c>
      <c r="E757" s="616" t="s">
        <v>772</v>
      </c>
      <c r="F757" s="617" t="s">
        <v>773</v>
      </c>
      <c r="G757" s="616" t="s">
        <v>698</v>
      </c>
      <c r="H757" s="617"/>
      <c r="I757" s="617"/>
      <c r="J757" s="617" t="s">
        <v>1175</v>
      </c>
      <c r="K757" s="618"/>
      <c r="L757" s="616"/>
      <c r="M757" s="616"/>
      <c r="N757" s="617"/>
      <c r="O757" s="617"/>
      <c r="P757" s="617"/>
      <c r="Q757" s="617"/>
      <c r="R757" s="619"/>
      <c r="S757" s="617"/>
      <c r="T757" s="616" t="s">
        <v>221</v>
      </c>
    </row>
    <row r="758" ht="34.5">
      <c r="A758" s="616" t="s">
        <v>1136</v>
      </c>
      <c r="B758" s="616" t="s">
        <v>1137</v>
      </c>
      <c r="C758" s="616" t="s">
        <v>703</v>
      </c>
      <c r="D758" s="616" t="s">
        <v>216</v>
      </c>
      <c r="E758" s="616" t="s">
        <v>772</v>
      </c>
      <c r="F758" s="617" t="s">
        <v>773</v>
      </c>
      <c r="G758" s="616" t="s">
        <v>698</v>
      </c>
      <c r="H758" s="617"/>
      <c r="I758" s="617"/>
      <c r="J758" s="617" t="s">
        <v>769</v>
      </c>
      <c r="K758" s="618"/>
      <c r="L758" s="616"/>
      <c r="M758" s="616"/>
      <c r="N758" s="617"/>
      <c r="O758" s="617"/>
      <c r="P758" s="617"/>
      <c r="Q758" s="617"/>
      <c r="R758" s="619"/>
      <c r="S758" s="617"/>
      <c r="T758" s="616" t="s">
        <v>221</v>
      </c>
    </row>
    <row r="759" ht="34.5">
      <c r="A759" s="616" t="s">
        <v>1136</v>
      </c>
      <c r="B759" s="616" t="s">
        <v>1137</v>
      </c>
      <c r="C759" s="616" t="s">
        <v>711</v>
      </c>
      <c r="D759" s="616" t="s">
        <v>216</v>
      </c>
      <c r="E759" s="616" t="s">
        <v>772</v>
      </c>
      <c r="F759" s="617" t="s">
        <v>773</v>
      </c>
      <c r="G759" s="616" t="s">
        <v>698</v>
      </c>
      <c r="H759" s="617"/>
      <c r="I759" s="617"/>
      <c r="J759" s="617" t="s">
        <v>1176</v>
      </c>
      <c r="K759" s="618"/>
      <c r="L759" s="616"/>
      <c r="M759" s="616"/>
      <c r="N759" s="617"/>
      <c r="O759" s="617"/>
      <c r="P759" s="617"/>
      <c r="Q759" s="617"/>
      <c r="R759" s="619"/>
      <c r="S759" s="617"/>
      <c r="T759" s="616" t="s">
        <v>221</v>
      </c>
    </row>
    <row r="760" ht="34.5">
      <c r="A760" s="616" t="s">
        <v>1136</v>
      </c>
      <c r="B760" s="616" t="s">
        <v>1137</v>
      </c>
      <c r="C760" s="616" t="s">
        <v>711</v>
      </c>
      <c r="D760" s="616" t="s">
        <v>776</v>
      </c>
      <c r="E760" s="616" t="s">
        <v>772</v>
      </c>
      <c r="F760" s="617" t="s">
        <v>773</v>
      </c>
      <c r="G760" s="616" t="s">
        <v>698</v>
      </c>
      <c r="H760" s="617"/>
      <c r="I760" s="617"/>
      <c r="J760" s="617" t="s">
        <v>1177</v>
      </c>
      <c r="K760" s="618"/>
      <c r="L760" s="616"/>
      <c r="M760" s="616"/>
      <c r="N760" s="617"/>
      <c r="O760" s="617"/>
      <c r="P760" s="617"/>
      <c r="Q760" s="617"/>
      <c r="R760" s="619"/>
      <c r="S760" s="617"/>
      <c r="T760" s="616" t="s">
        <v>221</v>
      </c>
    </row>
    <row r="761" ht="34.5">
      <c r="A761" s="616" t="s">
        <v>1136</v>
      </c>
      <c r="B761" s="616" t="s">
        <v>1137</v>
      </c>
      <c r="C761" s="616" t="s">
        <v>711</v>
      </c>
      <c r="D761" s="616" t="s">
        <v>801</v>
      </c>
      <c r="E761" s="616" t="s">
        <v>808</v>
      </c>
      <c r="F761" s="617" t="s">
        <v>809</v>
      </c>
      <c r="G761" s="616" t="s">
        <v>698</v>
      </c>
      <c r="H761" s="617"/>
      <c r="I761" s="617"/>
      <c r="J761" s="617" t="s">
        <v>1178</v>
      </c>
      <c r="K761" s="618"/>
      <c r="L761" s="616"/>
      <c r="M761" s="616"/>
      <c r="N761" s="617"/>
      <c r="O761" s="617"/>
      <c r="P761" s="617"/>
      <c r="Q761" s="617"/>
      <c r="R761" s="619"/>
      <c r="S761" s="617"/>
      <c r="T761" s="616" t="s">
        <v>221</v>
      </c>
    </row>
    <row r="762" ht="34.5">
      <c r="A762" s="616" t="s">
        <v>1136</v>
      </c>
      <c r="B762" s="616" t="s">
        <v>1137</v>
      </c>
      <c r="C762" s="616" t="s">
        <v>723</v>
      </c>
      <c r="D762" s="616" t="s">
        <v>216</v>
      </c>
      <c r="E762" s="616" t="s">
        <v>811</v>
      </c>
      <c r="F762" s="617" t="s">
        <v>812</v>
      </c>
      <c r="G762" s="616" t="s">
        <v>698</v>
      </c>
      <c r="H762" s="617"/>
      <c r="I762" s="617"/>
      <c r="J762" s="617" t="s">
        <v>1179</v>
      </c>
      <c r="K762" s="618">
        <v>70009751</v>
      </c>
      <c r="L762" s="616" t="s">
        <v>611</v>
      </c>
      <c r="M762" s="616"/>
      <c r="N762" s="617"/>
      <c r="O762" s="617"/>
      <c r="P762" s="617"/>
      <c r="Q762" s="617"/>
      <c r="R762" s="619"/>
      <c r="S762" s="617"/>
      <c r="T762" s="616" t="s">
        <v>221</v>
      </c>
    </row>
    <row r="763" ht="34.5">
      <c r="A763" s="616" t="s">
        <v>1136</v>
      </c>
      <c r="B763" s="616" t="s">
        <v>1137</v>
      </c>
      <c r="C763" s="616" t="s">
        <v>723</v>
      </c>
      <c r="D763" s="616" t="s">
        <v>216</v>
      </c>
      <c r="E763" s="616" t="s">
        <v>811</v>
      </c>
      <c r="F763" s="617" t="s">
        <v>812</v>
      </c>
      <c r="G763" s="616" t="s">
        <v>698</v>
      </c>
      <c r="H763" s="617"/>
      <c r="I763" s="617"/>
      <c r="J763" s="617" t="s">
        <v>816</v>
      </c>
      <c r="K763" s="618"/>
      <c r="L763" s="616"/>
      <c r="M763" s="616"/>
      <c r="N763" s="617"/>
      <c r="O763" s="617"/>
      <c r="P763" s="617"/>
      <c r="Q763" s="617"/>
      <c r="R763" s="619"/>
      <c r="S763" s="617"/>
      <c r="T763" s="616" t="s">
        <v>221</v>
      </c>
    </row>
    <row r="764" ht="34.5">
      <c r="A764" s="616" t="s">
        <v>1136</v>
      </c>
      <c r="B764" s="616" t="s">
        <v>1137</v>
      </c>
      <c r="C764" s="616" t="s">
        <v>723</v>
      </c>
      <c r="D764" s="616" t="s">
        <v>807</v>
      </c>
      <c r="E764" s="616" t="s">
        <v>811</v>
      </c>
      <c r="F764" s="617" t="s">
        <v>812</v>
      </c>
      <c r="G764" s="616" t="s">
        <v>698</v>
      </c>
      <c r="H764" s="617"/>
      <c r="I764" s="617"/>
      <c r="J764" s="617" t="s">
        <v>810</v>
      </c>
      <c r="K764" s="618"/>
      <c r="L764" s="616"/>
      <c r="M764" s="616"/>
      <c r="N764" s="617"/>
      <c r="O764" s="617"/>
      <c r="P764" s="617"/>
      <c r="Q764" s="617"/>
      <c r="R764" s="619"/>
      <c r="S764" s="617"/>
      <c r="T764" s="616" t="s">
        <v>221</v>
      </c>
    </row>
    <row r="765" ht="34.5">
      <c r="A765" s="616" t="s">
        <v>1136</v>
      </c>
      <c r="B765" s="616" t="s">
        <v>1137</v>
      </c>
      <c r="C765" s="616" t="s">
        <v>723</v>
      </c>
      <c r="D765" s="616" t="s">
        <v>817</v>
      </c>
      <c r="E765" s="616" t="s">
        <v>820</v>
      </c>
      <c r="F765" s="617" t="s">
        <v>821</v>
      </c>
      <c r="G765" s="616" t="s">
        <v>727</v>
      </c>
      <c r="H765" s="617"/>
      <c r="I765" s="617"/>
      <c r="J765" s="617" t="s">
        <v>818</v>
      </c>
      <c r="K765" s="618"/>
      <c r="L765" s="616"/>
      <c r="M765" s="616"/>
      <c r="N765" s="617"/>
      <c r="O765" s="617"/>
      <c r="P765" s="617"/>
      <c r="Q765" s="617"/>
      <c r="R765" s="619"/>
      <c r="S765" s="617"/>
      <c r="T765" s="616" t="s">
        <v>221</v>
      </c>
    </row>
    <row r="766" ht="34.5">
      <c r="A766" s="616" t="s">
        <v>1136</v>
      </c>
      <c r="B766" s="616" t="s">
        <v>1137</v>
      </c>
      <c r="C766" s="616" t="s">
        <v>723</v>
      </c>
      <c r="D766" s="616" t="s">
        <v>216</v>
      </c>
      <c r="E766" s="616" t="s">
        <v>820</v>
      </c>
      <c r="F766" s="617" t="s">
        <v>821</v>
      </c>
      <c r="G766" s="616" t="s">
        <v>727</v>
      </c>
      <c r="H766" s="617"/>
      <c r="I766" s="617"/>
      <c r="J766" s="617" t="s">
        <v>1180</v>
      </c>
      <c r="K766" s="618">
        <v>153404683</v>
      </c>
      <c r="L766" s="616" t="s">
        <v>611</v>
      </c>
      <c r="M766" s="616"/>
      <c r="N766" s="617"/>
      <c r="O766" s="617"/>
      <c r="P766" s="617"/>
      <c r="Q766" s="617"/>
      <c r="R766" s="619"/>
      <c r="S766" s="617"/>
      <c r="T766" s="616" t="s">
        <v>221</v>
      </c>
    </row>
    <row r="767" ht="34.5">
      <c r="A767" s="616" t="s">
        <v>1136</v>
      </c>
      <c r="B767" s="616" t="s">
        <v>1137</v>
      </c>
      <c r="C767" s="616" t="s">
        <v>723</v>
      </c>
      <c r="D767" s="616" t="s">
        <v>216</v>
      </c>
      <c r="E767" s="616" t="s">
        <v>820</v>
      </c>
      <c r="F767" s="617" t="s">
        <v>821</v>
      </c>
      <c r="G767" s="616" t="s">
        <v>727</v>
      </c>
      <c r="H767" s="617"/>
      <c r="I767" s="617"/>
      <c r="J767" s="617" t="s">
        <v>824</v>
      </c>
      <c r="K767" s="618"/>
      <c r="L767" s="616"/>
      <c r="M767" s="616"/>
      <c r="N767" s="617"/>
      <c r="O767" s="617"/>
      <c r="P767" s="617"/>
      <c r="Q767" s="617"/>
      <c r="R767" s="619"/>
      <c r="S767" s="617"/>
      <c r="T767" s="616" t="s">
        <v>221</v>
      </c>
    </row>
    <row r="768" ht="34.5">
      <c r="A768" s="616" t="s">
        <v>1136</v>
      </c>
      <c r="B768" s="616" t="s">
        <v>1137</v>
      </c>
      <c r="C768" s="616" t="s">
        <v>723</v>
      </c>
      <c r="D768" s="616" t="s">
        <v>216</v>
      </c>
      <c r="E768" s="616" t="s">
        <v>820</v>
      </c>
      <c r="F768" s="617" t="s">
        <v>821</v>
      </c>
      <c r="G768" s="616" t="s">
        <v>727</v>
      </c>
      <c r="H768" s="617"/>
      <c r="I768" s="617"/>
      <c r="J768" s="617" t="s">
        <v>793</v>
      </c>
      <c r="K768" s="618"/>
      <c r="L768" s="616"/>
      <c r="M768" s="616"/>
      <c r="N768" s="617"/>
      <c r="O768" s="617"/>
      <c r="P768" s="617"/>
      <c r="Q768" s="617"/>
      <c r="R768" s="619"/>
      <c r="S768" s="617"/>
      <c r="T768" s="616" t="s">
        <v>221</v>
      </c>
    </row>
    <row r="769" ht="34.5">
      <c r="A769" s="616" t="s">
        <v>1136</v>
      </c>
      <c r="B769" s="616" t="s">
        <v>1137</v>
      </c>
      <c r="C769" s="616" t="s">
        <v>732</v>
      </c>
      <c r="D769" s="616" t="s">
        <v>216</v>
      </c>
      <c r="E769" s="616" t="s">
        <v>820</v>
      </c>
      <c r="F769" s="617" t="s">
        <v>821</v>
      </c>
      <c r="G769" s="616" t="s">
        <v>727</v>
      </c>
      <c r="H769" s="617"/>
      <c r="I769" s="617"/>
      <c r="J769" s="617" t="s">
        <v>825</v>
      </c>
      <c r="K769" s="618"/>
      <c r="L769" s="616"/>
      <c r="M769" s="616"/>
      <c r="N769" s="617"/>
      <c r="O769" s="617"/>
      <c r="P769" s="617"/>
      <c r="Q769" s="617"/>
      <c r="R769" s="619"/>
      <c r="S769" s="617"/>
      <c r="T769" s="616" t="s">
        <v>221</v>
      </c>
    </row>
    <row r="770" ht="34.5">
      <c r="A770" s="616" t="s">
        <v>1136</v>
      </c>
      <c r="B770" s="616" t="s">
        <v>1137</v>
      </c>
      <c r="C770" s="616" t="s">
        <v>732</v>
      </c>
      <c r="D770" s="616" t="s">
        <v>819</v>
      </c>
      <c r="E770" s="616" t="s">
        <v>820</v>
      </c>
      <c r="F770" s="617" t="s">
        <v>821</v>
      </c>
      <c r="G770" s="616" t="s">
        <v>727</v>
      </c>
      <c r="H770" s="617"/>
      <c r="I770" s="617"/>
      <c r="J770" s="617" t="s">
        <v>822</v>
      </c>
      <c r="K770" s="618"/>
      <c r="L770" s="616"/>
      <c r="M770" s="616"/>
      <c r="N770" s="617"/>
      <c r="O770" s="617"/>
      <c r="P770" s="617"/>
      <c r="Q770" s="617"/>
      <c r="R770" s="619"/>
      <c r="S770" s="617"/>
      <c r="T770" s="616" t="s">
        <v>221</v>
      </c>
    </row>
    <row r="771" ht="34.5">
      <c r="A771" s="616" t="s">
        <v>1136</v>
      </c>
      <c r="B771" s="616" t="s">
        <v>1137</v>
      </c>
      <c r="C771" s="616" t="s">
        <v>732</v>
      </c>
      <c r="D771" s="616" t="s">
        <v>216</v>
      </c>
      <c r="E771" s="616" t="s">
        <v>820</v>
      </c>
      <c r="F771" s="617" t="s">
        <v>821</v>
      </c>
      <c r="G771" s="616" t="s">
        <v>727</v>
      </c>
      <c r="H771" s="617"/>
      <c r="I771" s="617"/>
      <c r="J771" s="617" t="s">
        <v>830</v>
      </c>
      <c r="K771" s="618"/>
      <c r="L771" s="616"/>
      <c r="M771" s="616"/>
      <c r="N771" s="617"/>
      <c r="O771" s="617"/>
      <c r="P771" s="617"/>
      <c r="Q771" s="617"/>
      <c r="R771" s="619"/>
      <c r="S771" s="617"/>
      <c r="T771" s="616" t="s">
        <v>221</v>
      </c>
    </row>
    <row r="772" ht="34.5">
      <c r="A772" s="616" t="s">
        <v>1136</v>
      </c>
      <c r="B772" s="616" t="s">
        <v>1137</v>
      </c>
      <c r="C772" s="616" t="s">
        <v>732</v>
      </c>
      <c r="D772" s="616" t="s">
        <v>826</v>
      </c>
      <c r="E772" s="616" t="s">
        <v>820</v>
      </c>
      <c r="F772" s="617" t="s">
        <v>821</v>
      </c>
      <c r="G772" s="616" t="s">
        <v>727</v>
      </c>
      <c r="H772" s="617"/>
      <c r="I772" s="617"/>
      <c r="J772" s="617" t="s">
        <v>827</v>
      </c>
      <c r="K772" s="618"/>
      <c r="L772" s="616"/>
      <c r="M772" s="616"/>
      <c r="N772" s="617"/>
      <c r="O772" s="617"/>
      <c r="P772" s="617"/>
      <c r="Q772" s="617"/>
      <c r="R772" s="619"/>
      <c r="S772" s="617"/>
      <c r="T772" s="616" t="s">
        <v>221</v>
      </c>
    </row>
    <row r="773" ht="34.5">
      <c r="A773" s="616" t="s">
        <v>1136</v>
      </c>
      <c r="B773" s="616" t="s">
        <v>1137</v>
      </c>
      <c r="C773" s="616" t="s">
        <v>732</v>
      </c>
      <c r="D773" s="616" t="s">
        <v>831</v>
      </c>
      <c r="E773" s="616" t="s">
        <v>834</v>
      </c>
      <c r="F773" s="617" t="s">
        <v>835</v>
      </c>
      <c r="G773" s="616" t="s">
        <v>698</v>
      </c>
      <c r="H773" s="617"/>
      <c r="I773" s="617"/>
      <c r="J773" s="617" t="s">
        <v>832</v>
      </c>
      <c r="K773" s="618"/>
      <c r="L773" s="616"/>
      <c r="M773" s="616"/>
      <c r="N773" s="617"/>
      <c r="O773" s="617"/>
      <c r="P773" s="617"/>
      <c r="Q773" s="617"/>
      <c r="R773" s="619"/>
      <c r="S773" s="617"/>
      <c r="T773" s="616" t="s">
        <v>221</v>
      </c>
    </row>
    <row r="774" ht="34.5">
      <c r="A774" s="616" t="s">
        <v>1136</v>
      </c>
      <c r="B774" s="616" t="s">
        <v>1137</v>
      </c>
      <c r="C774" s="616" t="s">
        <v>732</v>
      </c>
      <c r="D774" s="616" t="s">
        <v>216</v>
      </c>
      <c r="E774" s="616" t="s">
        <v>834</v>
      </c>
      <c r="F774" s="617" t="s">
        <v>835</v>
      </c>
      <c r="G774" s="616" t="s">
        <v>698</v>
      </c>
      <c r="H774" s="617"/>
      <c r="I774" s="617"/>
      <c r="J774" s="617" t="s">
        <v>837</v>
      </c>
      <c r="K774" s="618"/>
      <c r="L774" s="616"/>
      <c r="M774" s="616"/>
      <c r="N774" s="617"/>
      <c r="O774" s="617"/>
      <c r="P774" s="617"/>
      <c r="Q774" s="617"/>
      <c r="R774" s="619"/>
      <c r="S774" s="617"/>
      <c r="T774" s="616" t="s">
        <v>221</v>
      </c>
    </row>
    <row r="775" ht="34.5">
      <c r="A775" s="616" t="s">
        <v>1136</v>
      </c>
      <c r="B775" s="616" t="s">
        <v>1137</v>
      </c>
      <c r="C775" s="616" t="s">
        <v>732</v>
      </c>
      <c r="D775" s="616" t="s">
        <v>833</v>
      </c>
      <c r="E775" s="616" t="s">
        <v>834</v>
      </c>
      <c r="F775" s="617" t="s">
        <v>835</v>
      </c>
      <c r="G775" s="616" t="s">
        <v>698</v>
      </c>
      <c r="H775" s="617"/>
      <c r="I775" s="617"/>
      <c r="J775" s="617" t="s">
        <v>836</v>
      </c>
      <c r="K775" s="618"/>
      <c r="L775" s="616"/>
      <c r="M775" s="616"/>
      <c r="N775" s="617"/>
      <c r="O775" s="617"/>
      <c r="P775" s="617"/>
      <c r="Q775" s="617"/>
      <c r="R775" s="619"/>
      <c r="S775" s="617"/>
      <c r="T775" s="616" t="s">
        <v>221</v>
      </c>
    </row>
    <row r="776" ht="34.5">
      <c r="A776" s="616" t="s">
        <v>1136</v>
      </c>
      <c r="B776" s="616" t="s">
        <v>1137</v>
      </c>
      <c r="C776" s="616" t="s">
        <v>732</v>
      </c>
      <c r="D776" s="616" t="s">
        <v>216</v>
      </c>
      <c r="E776" s="616" t="s">
        <v>834</v>
      </c>
      <c r="F776" s="617" t="s">
        <v>835</v>
      </c>
      <c r="G776" s="616" t="s">
        <v>698</v>
      </c>
      <c r="H776" s="617"/>
      <c r="I776" s="617"/>
      <c r="J776" s="617" t="s">
        <v>840</v>
      </c>
      <c r="K776" s="618"/>
      <c r="L776" s="616"/>
      <c r="M776" s="616"/>
      <c r="N776" s="617"/>
      <c r="O776" s="617"/>
      <c r="P776" s="617"/>
      <c r="Q776" s="617"/>
      <c r="R776" s="619"/>
      <c r="S776" s="617"/>
      <c r="T776" s="616" t="s">
        <v>221</v>
      </c>
    </row>
    <row r="777" ht="34.5">
      <c r="A777" s="616" t="s">
        <v>1136</v>
      </c>
      <c r="B777" s="616" t="s">
        <v>1137</v>
      </c>
      <c r="C777" s="616" t="s">
        <v>732</v>
      </c>
      <c r="D777" s="616" t="s">
        <v>838</v>
      </c>
      <c r="E777" s="616" t="s">
        <v>834</v>
      </c>
      <c r="F777" s="617" t="s">
        <v>835</v>
      </c>
      <c r="G777" s="616" t="s">
        <v>698</v>
      </c>
      <c r="H777" s="617"/>
      <c r="I777" s="617"/>
      <c r="J777" s="617" t="s">
        <v>839</v>
      </c>
      <c r="K777" s="618"/>
      <c r="L777" s="616"/>
      <c r="M777" s="616"/>
      <c r="N777" s="617"/>
      <c r="O777" s="617"/>
      <c r="P777" s="617"/>
      <c r="Q777" s="617"/>
      <c r="R777" s="619"/>
      <c r="S777" s="617"/>
      <c r="T777" s="616" t="s">
        <v>221</v>
      </c>
    </row>
    <row r="778" ht="34.5">
      <c r="A778" s="616" t="s">
        <v>1136</v>
      </c>
      <c r="B778" s="616" t="s">
        <v>1137</v>
      </c>
      <c r="C778" s="616" t="s">
        <v>747</v>
      </c>
      <c r="D778" s="616" t="s">
        <v>216</v>
      </c>
      <c r="E778" s="616" t="s">
        <v>834</v>
      </c>
      <c r="F778" s="617" t="s">
        <v>835</v>
      </c>
      <c r="G778" s="616" t="s">
        <v>698</v>
      </c>
      <c r="H778" s="617"/>
      <c r="I778" s="617"/>
      <c r="J778" s="617" t="s">
        <v>679</v>
      </c>
      <c r="K778" s="618"/>
      <c r="L778" s="616"/>
      <c r="M778" s="616"/>
      <c r="N778" s="617"/>
      <c r="O778" s="617"/>
      <c r="P778" s="617"/>
      <c r="Q778" s="617"/>
      <c r="R778" s="619"/>
      <c r="S778" s="617"/>
      <c r="T778" s="616" t="s">
        <v>221</v>
      </c>
    </row>
    <row r="779" ht="34.5">
      <c r="A779" s="616" t="s">
        <v>1136</v>
      </c>
      <c r="B779" s="616" t="s">
        <v>1137</v>
      </c>
      <c r="C779" s="616" t="s">
        <v>747</v>
      </c>
      <c r="D779" s="616" t="s">
        <v>216</v>
      </c>
      <c r="E779" s="616" t="s">
        <v>834</v>
      </c>
      <c r="F779" s="617" t="s">
        <v>835</v>
      </c>
      <c r="G779" s="616" t="s">
        <v>698</v>
      </c>
      <c r="H779" s="617"/>
      <c r="I779" s="617"/>
      <c r="J779" s="617" t="s">
        <v>1167</v>
      </c>
      <c r="K779" s="618"/>
      <c r="L779" s="616"/>
      <c r="M779" s="616"/>
      <c r="N779" s="617"/>
      <c r="O779" s="617"/>
      <c r="P779" s="617"/>
      <c r="Q779" s="617"/>
      <c r="R779" s="619"/>
      <c r="S779" s="617"/>
      <c r="T779" s="616" t="s">
        <v>221</v>
      </c>
    </row>
    <row r="780" ht="34.5">
      <c r="A780" s="616" t="s">
        <v>1136</v>
      </c>
      <c r="B780" s="616" t="s">
        <v>1137</v>
      </c>
      <c r="C780" s="616" t="s">
        <v>747</v>
      </c>
      <c r="D780" s="616" t="s">
        <v>841</v>
      </c>
      <c r="E780" s="616" t="s">
        <v>845</v>
      </c>
      <c r="F780" s="617" t="s">
        <v>846</v>
      </c>
      <c r="G780" s="616" t="s">
        <v>727</v>
      </c>
      <c r="H780" s="617"/>
      <c r="I780" s="617"/>
      <c r="J780" s="617" t="s">
        <v>842</v>
      </c>
      <c r="K780" s="618"/>
      <c r="L780" s="616"/>
      <c r="M780" s="616"/>
      <c r="N780" s="617"/>
      <c r="O780" s="617"/>
      <c r="P780" s="617"/>
      <c r="Q780" s="617"/>
      <c r="R780" s="619"/>
      <c r="S780" s="617"/>
      <c r="T780" s="616" t="s">
        <v>221</v>
      </c>
    </row>
    <row r="781" ht="34.5">
      <c r="A781" s="616" t="s">
        <v>1136</v>
      </c>
      <c r="B781" s="616" t="s">
        <v>1137</v>
      </c>
      <c r="C781" s="616" t="s">
        <v>747</v>
      </c>
      <c r="D781" s="616" t="s">
        <v>216</v>
      </c>
      <c r="E781" s="616" t="s">
        <v>845</v>
      </c>
      <c r="F781" s="617" t="s">
        <v>846</v>
      </c>
      <c r="G781" s="616" t="s">
        <v>727</v>
      </c>
      <c r="H781" s="617"/>
      <c r="I781" s="617"/>
      <c r="J781" s="617" t="s">
        <v>848</v>
      </c>
      <c r="K781" s="618"/>
      <c r="L781" s="616"/>
      <c r="M781" s="616"/>
      <c r="N781" s="617"/>
      <c r="O781" s="617"/>
      <c r="P781" s="617"/>
      <c r="Q781" s="617"/>
      <c r="R781" s="619"/>
      <c r="S781" s="617"/>
      <c r="T781" s="616" t="s">
        <v>221</v>
      </c>
    </row>
    <row r="782" ht="34.5">
      <c r="A782" s="616" t="s">
        <v>1136</v>
      </c>
      <c r="B782" s="616" t="s">
        <v>1137</v>
      </c>
      <c r="C782" s="616" t="s">
        <v>747</v>
      </c>
      <c r="D782" s="616" t="s">
        <v>216</v>
      </c>
      <c r="E782" s="616" t="s">
        <v>845</v>
      </c>
      <c r="F782" s="617" t="s">
        <v>846</v>
      </c>
      <c r="G782" s="616" t="s">
        <v>727</v>
      </c>
      <c r="H782" s="617"/>
      <c r="I782" s="617"/>
      <c r="J782" s="617" t="s">
        <v>850</v>
      </c>
      <c r="K782" s="618"/>
      <c r="L782" s="616"/>
      <c r="M782" s="616"/>
      <c r="N782" s="617"/>
      <c r="O782" s="617"/>
      <c r="P782" s="617"/>
      <c r="Q782" s="617"/>
      <c r="R782" s="619"/>
      <c r="S782" s="617"/>
      <c r="T782" s="616" t="s">
        <v>221</v>
      </c>
    </row>
    <row r="783" ht="34.5">
      <c r="A783" s="616" t="s">
        <v>1136</v>
      </c>
      <c r="B783" s="616" t="s">
        <v>1137</v>
      </c>
      <c r="C783" s="616" t="s">
        <v>747</v>
      </c>
      <c r="D783" s="616" t="s">
        <v>216</v>
      </c>
      <c r="E783" s="616" t="s">
        <v>845</v>
      </c>
      <c r="F783" s="617" t="s">
        <v>846</v>
      </c>
      <c r="G783" s="616" t="s">
        <v>727</v>
      </c>
      <c r="H783" s="617"/>
      <c r="I783" s="617"/>
      <c r="J783" s="617" t="s">
        <v>851</v>
      </c>
      <c r="K783" s="618"/>
      <c r="L783" s="616"/>
      <c r="M783" s="616"/>
      <c r="N783" s="617"/>
      <c r="O783" s="617"/>
      <c r="P783" s="617"/>
      <c r="Q783" s="617"/>
      <c r="R783" s="619"/>
      <c r="S783" s="617"/>
      <c r="T783" s="616" t="s">
        <v>221</v>
      </c>
    </row>
    <row r="784" ht="34.5">
      <c r="A784" s="616" t="s">
        <v>1136</v>
      </c>
      <c r="B784" s="616" t="s">
        <v>1137</v>
      </c>
      <c r="C784" s="616" t="s">
        <v>747</v>
      </c>
      <c r="D784" s="616" t="s">
        <v>216</v>
      </c>
      <c r="E784" s="616" t="s">
        <v>845</v>
      </c>
      <c r="F784" s="617" t="s">
        <v>846</v>
      </c>
      <c r="G784" s="616" t="s">
        <v>727</v>
      </c>
      <c r="H784" s="617"/>
      <c r="I784" s="617"/>
      <c r="J784" s="617" t="s">
        <v>1181</v>
      </c>
      <c r="K784" s="618">
        <v>125275182</v>
      </c>
      <c r="L784" s="616" t="s">
        <v>611</v>
      </c>
      <c r="M784" s="616"/>
      <c r="N784" s="617"/>
      <c r="O784" s="617"/>
      <c r="P784" s="617"/>
      <c r="Q784" s="617"/>
      <c r="R784" s="619"/>
      <c r="S784" s="617"/>
      <c r="T784" s="616" t="s">
        <v>221</v>
      </c>
    </row>
    <row r="785" ht="34.5">
      <c r="A785" s="616" t="s">
        <v>1136</v>
      </c>
      <c r="B785" s="616" t="s">
        <v>1137</v>
      </c>
      <c r="C785" s="616" t="s">
        <v>747</v>
      </c>
      <c r="D785" s="616" t="s">
        <v>216</v>
      </c>
      <c r="E785" s="616" t="s">
        <v>845</v>
      </c>
      <c r="F785" s="617" t="s">
        <v>846</v>
      </c>
      <c r="G785" s="616" t="s">
        <v>727</v>
      </c>
      <c r="H785" s="617"/>
      <c r="I785" s="617"/>
      <c r="J785" s="617" t="s">
        <v>853</v>
      </c>
      <c r="K785" s="618"/>
      <c r="L785" s="616"/>
      <c r="M785" s="616"/>
      <c r="N785" s="617"/>
      <c r="O785" s="617"/>
      <c r="P785" s="617"/>
      <c r="Q785" s="617"/>
      <c r="R785" s="619"/>
      <c r="S785" s="617"/>
      <c r="T785" s="616" t="s">
        <v>221</v>
      </c>
    </row>
    <row r="786" ht="34.5">
      <c r="A786" s="616" t="s">
        <v>1136</v>
      </c>
      <c r="B786" s="616" t="s">
        <v>1137</v>
      </c>
      <c r="C786" s="616" t="s">
        <v>747</v>
      </c>
      <c r="D786" s="616" t="s">
        <v>844</v>
      </c>
      <c r="E786" s="616" t="s">
        <v>845</v>
      </c>
      <c r="F786" s="617" t="s">
        <v>846</v>
      </c>
      <c r="G786" s="616" t="s">
        <v>727</v>
      </c>
      <c r="H786" s="617"/>
      <c r="I786" s="617"/>
      <c r="J786" s="617" t="s">
        <v>847</v>
      </c>
      <c r="K786" s="618"/>
      <c r="L786" s="616"/>
      <c r="M786" s="616"/>
      <c r="N786" s="617"/>
      <c r="O786" s="617"/>
      <c r="P786" s="617"/>
      <c r="Q786" s="617"/>
      <c r="R786" s="619"/>
      <c r="S786" s="617"/>
      <c r="T786" s="616" t="s">
        <v>221</v>
      </c>
    </row>
    <row r="787" ht="34.5">
      <c r="A787" s="616" t="s">
        <v>1136</v>
      </c>
      <c r="B787" s="616" t="s">
        <v>1137</v>
      </c>
      <c r="C787" s="616" t="s">
        <v>754</v>
      </c>
      <c r="D787" s="616" t="s">
        <v>216</v>
      </c>
      <c r="E787" s="616" t="s">
        <v>856</v>
      </c>
      <c r="F787" s="617" t="s">
        <v>1182</v>
      </c>
      <c r="G787" s="616" t="s">
        <v>727</v>
      </c>
      <c r="H787" s="617"/>
      <c r="I787" s="617"/>
      <c r="J787" s="617" t="s">
        <v>867</v>
      </c>
      <c r="K787" s="618"/>
      <c r="L787" s="616"/>
      <c r="M787" s="616"/>
      <c r="N787" s="617"/>
      <c r="O787" s="617"/>
      <c r="P787" s="617"/>
      <c r="Q787" s="617"/>
      <c r="R787" s="619"/>
      <c r="S787" s="617"/>
      <c r="T787" s="616" t="s">
        <v>221</v>
      </c>
    </row>
    <row r="788" ht="34.5">
      <c r="A788" s="616" t="s">
        <v>1136</v>
      </c>
      <c r="B788" s="616" t="s">
        <v>1137</v>
      </c>
      <c r="C788" s="616" t="s">
        <v>754</v>
      </c>
      <c r="D788" s="616" t="s">
        <v>854</v>
      </c>
      <c r="E788" s="616" t="s">
        <v>856</v>
      </c>
      <c r="F788" s="617" t="s">
        <v>1182</v>
      </c>
      <c r="G788" s="616" t="s">
        <v>727</v>
      </c>
      <c r="H788" s="617"/>
      <c r="I788" s="617"/>
      <c r="J788" s="617" t="s">
        <v>855</v>
      </c>
      <c r="K788" s="618"/>
      <c r="L788" s="616"/>
      <c r="M788" s="616"/>
      <c r="N788" s="617"/>
      <c r="O788" s="617"/>
      <c r="P788" s="617"/>
      <c r="Q788" s="617"/>
      <c r="R788" s="619"/>
      <c r="S788" s="617"/>
      <c r="T788" s="616" t="s">
        <v>221</v>
      </c>
    </row>
    <row r="789" ht="34.5">
      <c r="A789" s="616" t="s">
        <v>1136</v>
      </c>
      <c r="B789" s="616" t="s">
        <v>1137</v>
      </c>
      <c r="C789" s="616" t="s">
        <v>754</v>
      </c>
      <c r="D789" s="616" t="s">
        <v>216</v>
      </c>
      <c r="E789" s="616" t="s">
        <v>856</v>
      </c>
      <c r="F789" s="617" t="s">
        <v>1182</v>
      </c>
      <c r="G789" s="616" t="s">
        <v>727</v>
      </c>
      <c r="H789" s="617"/>
      <c r="I789" s="617"/>
      <c r="J789" s="617" t="s">
        <v>870</v>
      </c>
      <c r="K789" s="618"/>
      <c r="L789" s="616"/>
      <c r="M789" s="616"/>
      <c r="N789" s="617"/>
      <c r="O789" s="617"/>
      <c r="P789" s="617"/>
      <c r="Q789" s="617"/>
      <c r="R789" s="619"/>
      <c r="S789" s="617"/>
      <c r="T789" s="616" t="s">
        <v>221</v>
      </c>
    </row>
    <row r="790" ht="34.5">
      <c r="A790" s="616" t="s">
        <v>1136</v>
      </c>
      <c r="B790" s="616" t="s">
        <v>1137</v>
      </c>
      <c r="C790" s="616" t="s">
        <v>754</v>
      </c>
      <c r="D790" s="616" t="s">
        <v>859</v>
      </c>
      <c r="E790" s="616" t="s">
        <v>856</v>
      </c>
      <c r="F790" s="617" t="s">
        <v>1182</v>
      </c>
      <c r="G790" s="616" t="s">
        <v>727</v>
      </c>
      <c r="H790" s="617"/>
      <c r="I790" s="617"/>
      <c r="J790" s="617" t="s">
        <v>860</v>
      </c>
      <c r="K790" s="618"/>
      <c r="L790" s="616"/>
      <c r="M790" s="616"/>
      <c r="N790" s="617"/>
      <c r="O790" s="617"/>
      <c r="P790" s="617"/>
      <c r="Q790" s="617"/>
      <c r="R790" s="619"/>
      <c r="S790" s="617"/>
      <c r="T790" s="616" t="s">
        <v>221</v>
      </c>
    </row>
    <row r="791" ht="34.5">
      <c r="A791" s="616" t="s">
        <v>1136</v>
      </c>
      <c r="B791" s="616" t="s">
        <v>1137</v>
      </c>
      <c r="C791" s="616" t="s">
        <v>754</v>
      </c>
      <c r="D791" s="616" t="s">
        <v>216</v>
      </c>
      <c r="E791" s="616" t="s">
        <v>856</v>
      </c>
      <c r="F791" s="617" t="s">
        <v>1182</v>
      </c>
      <c r="G791" s="616" t="s">
        <v>727</v>
      </c>
      <c r="H791" s="617"/>
      <c r="I791" s="617"/>
      <c r="J791" s="617" t="s">
        <v>1183</v>
      </c>
      <c r="K791" s="618"/>
      <c r="L791" s="616"/>
      <c r="M791" s="616"/>
      <c r="N791" s="617"/>
      <c r="O791" s="617"/>
      <c r="P791" s="617"/>
      <c r="Q791" s="617"/>
      <c r="R791" s="619"/>
      <c r="S791" s="617"/>
      <c r="T791" s="616" t="s">
        <v>221</v>
      </c>
    </row>
    <row r="792" ht="34.5">
      <c r="A792" s="616" t="s">
        <v>1136</v>
      </c>
      <c r="B792" s="616" t="s">
        <v>1137</v>
      </c>
      <c r="C792" s="616" t="s">
        <v>754</v>
      </c>
      <c r="D792" s="616" t="s">
        <v>863</v>
      </c>
      <c r="E792" s="616" t="s">
        <v>856</v>
      </c>
      <c r="F792" s="617" t="s">
        <v>1182</v>
      </c>
      <c r="G792" s="616" t="s">
        <v>727</v>
      </c>
      <c r="H792" s="617"/>
      <c r="I792" s="617"/>
      <c r="J792" s="617" t="s">
        <v>864</v>
      </c>
      <c r="K792" s="618"/>
      <c r="L792" s="616"/>
      <c r="M792" s="616"/>
      <c r="N792" s="617"/>
      <c r="O792" s="617"/>
      <c r="P792" s="617"/>
      <c r="Q792" s="617"/>
      <c r="R792" s="619"/>
      <c r="S792" s="617"/>
      <c r="T792" s="616" t="s">
        <v>221</v>
      </c>
    </row>
    <row r="793" ht="34.5">
      <c r="A793" s="616" t="s">
        <v>1136</v>
      </c>
      <c r="B793" s="616" t="s">
        <v>1137</v>
      </c>
      <c r="C793" s="616" t="s">
        <v>770</v>
      </c>
      <c r="D793" s="616" t="s">
        <v>216</v>
      </c>
      <c r="E793" s="616" t="s">
        <v>856</v>
      </c>
      <c r="F793" s="617" t="s">
        <v>1182</v>
      </c>
      <c r="G793" s="616" t="s">
        <v>727</v>
      </c>
      <c r="H793" s="617"/>
      <c r="I793" s="617"/>
      <c r="J793" s="617" t="s">
        <v>679</v>
      </c>
      <c r="K793" s="618"/>
      <c r="L793" s="616"/>
      <c r="M793" s="616"/>
      <c r="N793" s="617"/>
      <c r="O793" s="617"/>
      <c r="P793" s="617"/>
      <c r="Q793" s="617"/>
      <c r="R793" s="619"/>
      <c r="S793" s="617"/>
      <c r="T793" s="616" t="s">
        <v>221</v>
      </c>
    </row>
    <row r="794" ht="34.5">
      <c r="A794" s="616" t="s">
        <v>1136</v>
      </c>
      <c r="B794" s="616" t="s">
        <v>1137</v>
      </c>
      <c r="C794" s="616" t="s">
        <v>770</v>
      </c>
      <c r="D794" s="616" t="s">
        <v>216</v>
      </c>
      <c r="E794" s="616" t="s">
        <v>856</v>
      </c>
      <c r="F794" s="617" t="s">
        <v>1182</v>
      </c>
      <c r="G794" s="616" t="s">
        <v>727</v>
      </c>
      <c r="H794" s="617"/>
      <c r="I794" s="617"/>
      <c r="J794" s="617" t="s">
        <v>1167</v>
      </c>
      <c r="K794" s="618"/>
      <c r="L794" s="616"/>
      <c r="M794" s="616"/>
      <c r="N794" s="617"/>
      <c r="O794" s="617"/>
      <c r="P794" s="617"/>
      <c r="Q794" s="617"/>
      <c r="R794" s="619"/>
      <c r="S794" s="617"/>
      <c r="T794" s="616" t="s">
        <v>221</v>
      </c>
    </row>
    <row r="795" ht="34.5">
      <c r="A795" s="616" t="s">
        <v>1136</v>
      </c>
      <c r="B795" s="616" t="s">
        <v>1137</v>
      </c>
      <c r="C795" s="616" t="s">
        <v>770</v>
      </c>
      <c r="D795" s="616" t="s">
        <v>868</v>
      </c>
      <c r="E795" s="616" t="s">
        <v>865</v>
      </c>
      <c r="F795" s="617" t="s">
        <v>1184</v>
      </c>
      <c r="G795" s="616" t="s">
        <v>698</v>
      </c>
      <c r="H795" s="617"/>
      <c r="I795" s="617"/>
      <c r="J795" s="617" t="s">
        <v>869</v>
      </c>
      <c r="K795" s="618"/>
      <c r="L795" s="616"/>
      <c r="M795" s="616"/>
      <c r="N795" s="617"/>
      <c r="O795" s="617"/>
      <c r="P795" s="617"/>
      <c r="Q795" s="617"/>
      <c r="R795" s="619"/>
      <c r="S795" s="617"/>
      <c r="T795" s="616" t="s">
        <v>221</v>
      </c>
    </row>
    <row r="796" ht="34.5">
      <c r="A796" s="616" t="s">
        <v>1136</v>
      </c>
      <c r="B796" s="616" t="s">
        <v>1137</v>
      </c>
      <c r="C796" s="616" t="s">
        <v>770</v>
      </c>
      <c r="D796" s="616" t="s">
        <v>216</v>
      </c>
      <c r="E796" s="616" t="s">
        <v>865</v>
      </c>
      <c r="F796" s="617" t="s">
        <v>1184</v>
      </c>
      <c r="G796" s="616" t="s">
        <v>698</v>
      </c>
      <c r="H796" s="617"/>
      <c r="I796" s="617"/>
      <c r="J796" s="617" t="s">
        <v>882</v>
      </c>
      <c r="K796" s="618"/>
      <c r="L796" s="616"/>
      <c r="M796" s="616"/>
      <c r="N796" s="617"/>
      <c r="O796" s="617"/>
      <c r="P796" s="617"/>
      <c r="Q796" s="617"/>
      <c r="R796" s="619"/>
      <c r="S796" s="617"/>
      <c r="T796" s="616" t="s">
        <v>221</v>
      </c>
    </row>
    <row r="797" ht="34.5">
      <c r="A797" s="616" t="s">
        <v>1136</v>
      </c>
      <c r="B797" s="616" t="s">
        <v>1137</v>
      </c>
      <c r="C797" s="616" t="s">
        <v>770</v>
      </c>
      <c r="D797" s="616" t="s">
        <v>216</v>
      </c>
      <c r="E797" s="616" t="s">
        <v>865</v>
      </c>
      <c r="F797" s="617" t="s">
        <v>1184</v>
      </c>
      <c r="G797" s="616" t="s">
        <v>698</v>
      </c>
      <c r="H797" s="617"/>
      <c r="I797" s="617"/>
      <c r="J797" s="617" t="s">
        <v>883</v>
      </c>
      <c r="K797" s="618"/>
      <c r="L797" s="616"/>
      <c r="M797" s="616"/>
      <c r="N797" s="617"/>
      <c r="O797" s="617"/>
      <c r="P797" s="617"/>
      <c r="Q797" s="617"/>
      <c r="R797" s="619"/>
      <c r="S797" s="617"/>
      <c r="T797" s="616" t="s">
        <v>221</v>
      </c>
    </row>
    <row r="798" ht="34.5">
      <c r="A798" s="616" t="s">
        <v>1136</v>
      </c>
      <c r="B798" s="616" t="s">
        <v>1137</v>
      </c>
      <c r="C798" s="616" t="s">
        <v>770</v>
      </c>
      <c r="D798" s="616" t="s">
        <v>871</v>
      </c>
      <c r="E798" s="616" t="s">
        <v>879</v>
      </c>
      <c r="F798" s="617" t="s">
        <v>1185</v>
      </c>
      <c r="G798" s="616" t="s">
        <v>889</v>
      </c>
      <c r="H798" s="617"/>
      <c r="I798" s="617"/>
      <c r="J798" s="617" t="s">
        <v>872</v>
      </c>
      <c r="K798" s="618"/>
      <c r="L798" s="616"/>
      <c r="M798" s="616"/>
      <c r="N798" s="617"/>
      <c r="O798" s="617"/>
      <c r="P798" s="617"/>
      <c r="Q798" s="617"/>
      <c r="R798" s="619"/>
      <c r="S798" s="617"/>
      <c r="T798" s="616" t="s">
        <v>221</v>
      </c>
    </row>
    <row r="799" ht="34.5">
      <c r="A799" s="616" t="s">
        <v>1136</v>
      </c>
      <c r="B799" s="616" t="s">
        <v>1137</v>
      </c>
      <c r="C799" s="616" t="s">
        <v>770</v>
      </c>
      <c r="D799" s="616" t="s">
        <v>216</v>
      </c>
      <c r="E799" s="616" t="s">
        <v>879</v>
      </c>
      <c r="F799" s="617" t="s">
        <v>1185</v>
      </c>
      <c r="G799" s="616" t="s">
        <v>889</v>
      </c>
      <c r="H799" s="617"/>
      <c r="I799" s="617"/>
      <c r="J799" s="617" t="s">
        <v>1186</v>
      </c>
      <c r="K799" s="618"/>
      <c r="L799" s="616"/>
      <c r="M799" s="616"/>
      <c r="N799" s="617"/>
      <c r="O799" s="617"/>
      <c r="P799" s="617"/>
      <c r="Q799" s="617"/>
      <c r="R799" s="619"/>
      <c r="S799" s="617"/>
      <c r="T799" s="616" t="s">
        <v>221</v>
      </c>
    </row>
    <row r="800" ht="34.5">
      <c r="A800" s="616" t="s">
        <v>1136</v>
      </c>
      <c r="B800" s="616" t="s">
        <v>1137</v>
      </c>
      <c r="C800" s="616" t="s">
        <v>770</v>
      </c>
      <c r="D800" s="616" t="s">
        <v>874</v>
      </c>
      <c r="E800" s="616" t="s">
        <v>879</v>
      </c>
      <c r="F800" s="617" t="s">
        <v>1185</v>
      </c>
      <c r="G800" s="616" t="s">
        <v>889</v>
      </c>
      <c r="H800" s="617"/>
      <c r="I800" s="617"/>
      <c r="J800" s="617" t="s">
        <v>875</v>
      </c>
      <c r="K800" s="618"/>
      <c r="L800" s="616"/>
      <c r="M800" s="616"/>
      <c r="N800" s="617"/>
      <c r="O800" s="617"/>
      <c r="P800" s="617"/>
      <c r="Q800" s="617"/>
      <c r="R800" s="619"/>
      <c r="S800" s="617"/>
      <c r="T800" s="616" t="s">
        <v>221</v>
      </c>
    </row>
    <row r="801" ht="34.5">
      <c r="A801" s="616" t="s">
        <v>1136</v>
      </c>
      <c r="B801" s="616" t="s">
        <v>1137</v>
      </c>
      <c r="C801" s="616" t="s">
        <v>770</v>
      </c>
      <c r="D801" s="616" t="s">
        <v>216</v>
      </c>
      <c r="E801" s="616" t="s">
        <v>879</v>
      </c>
      <c r="F801" s="617" t="s">
        <v>1185</v>
      </c>
      <c r="G801" s="616" t="s">
        <v>889</v>
      </c>
      <c r="H801" s="617"/>
      <c r="I801" s="617"/>
      <c r="J801" s="617" t="s">
        <v>891</v>
      </c>
      <c r="K801" s="618"/>
      <c r="L801" s="616"/>
      <c r="M801" s="616"/>
      <c r="N801" s="617"/>
      <c r="O801" s="617"/>
      <c r="P801" s="617"/>
      <c r="Q801" s="617"/>
      <c r="R801" s="619"/>
      <c r="S801" s="617"/>
      <c r="T801" s="616" t="s">
        <v>221</v>
      </c>
    </row>
    <row r="802" ht="34.5">
      <c r="A802" s="616" t="s">
        <v>1136</v>
      </c>
      <c r="B802" s="616" t="s">
        <v>1137</v>
      </c>
      <c r="C802" s="616" t="s">
        <v>783</v>
      </c>
      <c r="D802" s="616" t="s">
        <v>216</v>
      </c>
      <c r="E802" s="616" t="s">
        <v>887</v>
      </c>
      <c r="F802" s="617" t="s">
        <v>1187</v>
      </c>
      <c r="G802" s="616" t="s">
        <v>894</v>
      </c>
      <c r="H802" s="617"/>
      <c r="I802" s="617"/>
      <c r="J802" s="617" t="s">
        <v>1188</v>
      </c>
      <c r="K802" s="618">
        <v>2000000</v>
      </c>
      <c r="L802" s="616" t="s">
        <v>611</v>
      </c>
      <c r="M802" s="616"/>
      <c r="N802" s="617"/>
      <c r="O802" s="617"/>
      <c r="P802" s="617"/>
      <c r="Q802" s="617"/>
      <c r="R802" s="619"/>
      <c r="S802" s="617"/>
      <c r="T802" s="616" t="s">
        <v>221</v>
      </c>
    </row>
    <row r="803" ht="34.5">
      <c r="A803" s="616" t="s">
        <v>1136</v>
      </c>
      <c r="B803" s="616" t="s">
        <v>1137</v>
      </c>
      <c r="C803" s="616" t="s">
        <v>783</v>
      </c>
      <c r="D803" s="616" t="s">
        <v>216</v>
      </c>
      <c r="E803" s="616" t="s">
        <v>887</v>
      </c>
      <c r="F803" s="617" t="s">
        <v>1187</v>
      </c>
      <c r="G803" s="616" t="s">
        <v>894</v>
      </c>
      <c r="H803" s="617"/>
      <c r="I803" s="617"/>
      <c r="J803" s="617" t="s">
        <v>1189</v>
      </c>
      <c r="K803" s="618">
        <v>96002266</v>
      </c>
      <c r="L803" s="616" t="s">
        <v>611</v>
      </c>
      <c r="M803" s="616"/>
      <c r="N803" s="617"/>
      <c r="O803" s="617"/>
      <c r="P803" s="617"/>
      <c r="Q803" s="617"/>
      <c r="R803" s="619"/>
      <c r="S803" s="617"/>
      <c r="T803" s="616" t="s">
        <v>221</v>
      </c>
    </row>
    <row r="804" ht="34.5">
      <c r="A804" s="616" t="s">
        <v>1136</v>
      </c>
      <c r="B804" s="616" t="s">
        <v>1137</v>
      </c>
      <c r="C804" s="616" t="s">
        <v>783</v>
      </c>
      <c r="D804" s="616" t="s">
        <v>878</v>
      </c>
      <c r="E804" s="616" t="s">
        <v>892</v>
      </c>
      <c r="F804" s="617" t="s">
        <v>1190</v>
      </c>
      <c r="G804" s="616" t="s">
        <v>902</v>
      </c>
      <c r="H804" s="617"/>
      <c r="I804" s="617"/>
      <c r="J804" s="617" t="s">
        <v>881</v>
      </c>
      <c r="K804" s="618"/>
      <c r="L804" s="616"/>
      <c r="M804" s="616"/>
      <c r="N804" s="617"/>
      <c r="O804" s="617"/>
      <c r="P804" s="617"/>
      <c r="Q804" s="617"/>
      <c r="R804" s="619"/>
      <c r="S804" s="617"/>
      <c r="T804" s="616" t="s">
        <v>221</v>
      </c>
    </row>
    <row r="805" ht="34.5">
      <c r="A805" s="616" t="s">
        <v>1136</v>
      </c>
      <c r="B805" s="616" t="s">
        <v>1137</v>
      </c>
      <c r="C805" s="616" t="s">
        <v>783</v>
      </c>
      <c r="D805" s="616" t="s">
        <v>886</v>
      </c>
      <c r="E805" s="616" t="s">
        <v>900</v>
      </c>
      <c r="F805" s="617" t="s">
        <v>1191</v>
      </c>
      <c r="G805" s="616" t="s">
        <v>694</v>
      </c>
      <c r="H805" s="617"/>
      <c r="I805" s="617"/>
      <c r="J805" s="617" t="s">
        <v>890</v>
      </c>
      <c r="K805" s="618"/>
      <c r="L805" s="616"/>
      <c r="M805" s="616"/>
      <c r="N805" s="617"/>
      <c r="O805" s="617"/>
      <c r="P805" s="617"/>
      <c r="Q805" s="617"/>
      <c r="R805" s="619"/>
      <c r="S805" s="617"/>
      <c r="T805" s="616" t="s">
        <v>221</v>
      </c>
    </row>
    <row r="806" ht="34.5">
      <c r="A806" s="616" t="s">
        <v>1136</v>
      </c>
      <c r="B806" s="616" t="s">
        <v>1137</v>
      </c>
      <c r="C806" s="616" t="s">
        <v>783</v>
      </c>
      <c r="D806" s="616" t="s">
        <v>216</v>
      </c>
      <c r="E806" s="616" t="s">
        <v>900</v>
      </c>
      <c r="F806" s="617" t="s">
        <v>1191</v>
      </c>
      <c r="G806" s="616" t="s">
        <v>694</v>
      </c>
      <c r="H806" s="617"/>
      <c r="I806" s="617"/>
      <c r="J806" s="617" t="s">
        <v>1192</v>
      </c>
      <c r="K806" s="618"/>
      <c r="L806" s="616"/>
      <c r="M806" s="616"/>
      <c r="N806" s="617"/>
      <c r="O806" s="617"/>
      <c r="P806" s="617"/>
      <c r="Q806" s="617"/>
      <c r="R806" s="619"/>
      <c r="S806" s="617"/>
      <c r="T806" s="616" t="s">
        <v>221</v>
      </c>
    </row>
    <row r="807" ht="34.5">
      <c r="A807" s="616" t="s">
        <v>1136</v>
      </c>
      <c r="B807" s="616" t="s">
        <v>1137</v>
      </c>
      <c r="C807" s="616" t="s">
        <v>794</v>
      </c>
      <c r="D807" s="616" t="s">
        <v>216</v>
      </c>
      <c r="E807" s="616" t="s">
        <v>900</v>
      </c>
      <c r="F807" s="617" t="s">
        <v>1191</v>
      </c>
      <c r="G807" s="616" t="s">
        <v>694</v>
      </c>
      <c r="H807" s="617"/>
      <c r="I807" s="617"/>
      <c r="J807" s="617" t="s">
        <v>679</v>
      </c>
      <c r="K807" s="618"/>
      <c r="L807" s="616"/>
      <c r="M807" s="616"/>
      <c r="N807" s="617"/>
      <c r="O807" s="617"/>
      <c r="P807" s="617"/>
      <c r="Q807" s="617"/>
      <c r="R807" s="619"/>
      <c r="S807" s="617"/>
      <c r="T807" s="616" t="s">
        <v>221</v>
      </c>
    </row>
    <row r="808" ht="34.5">
      <c r="A808" s="616" t="s">
        <v>1136</v>
      </c>
      <c r="B808" s="616" t="s">
        <v>1137</v>
      </c>
      <c r="C808" s="616" t="s">
        <v>794</v>
      </c>
      <c r="D808" s="616" t="s">
        <v>216</v>
      </c>
      <c r="E808" s="616" t="s">
        <v>900</v>
      </c>
      <c r="F808" s="617" t="s">
        <v>1191</v>
      </c>
      <c r="G808" s="616" t="s">
        <v>694</v>
      </c>
      <c r="H808" s="617"/>
      <c r="I808" s="617"/>
      <c r="J808" s="617" t="s">
        <v>1167</v>
      </c>
      <c r="K808" s="618"/>
      <c r="L808" s="616"/>
      <c r="M808" s="616"/>
      <c r="N808" s="617"/>
      <c r="O808" s="617"/>
      <c r="P808" s="617"/>
      <c r="Q808" s="617"/>
      <c r="R808" s="619"/>
      <c r="S808" s="617"/>
      <c r="T808" s="616" t="s">
        <v>221</v>
      </c>
    </row>
    <row r="809" ht="34.5">
      <c r="A809" s="616" t="s">
        <v>1136</v>
      </c>
      <c r="B809" s="616" t="s">
        <v>1137</v>
      </c>
      <c r="C809" s="616" t="s">
        <v>794</v>
      </c>
      <c r="D809" s="616" t="s">
        <v>899</v>
      </c>
      <c r="E809" s="616" t="s">
        <v>905</v>
      </c>
      <c r="F809" s="617" t="s">
        <v>1193</v>
      </c>
      <c r="G809" s="616" t="s">
        <v>913</v>
      </c>
      <c r="H809" s="617"/>
      <c r="I809" s="617"/>
      <c r="J809" s="617" t="s">
        <v>903</v>
      </c>
      <c r="K809" s="618"/>
      <c r="L809" s="616"/>
      <c r="M809" s="616"/>
      <c r="N809" s="617"/>
      <c r="O809" s="617"/>
      <c r="P809" s="617"/>
      <c r="Q809" s="617"/>
      <c r="R809" s="619"/>
      <c r="S809" s="617"/>
      <c r="T809" s="616" t="s">
        <v>221</v>
      </c>
    </row>
    <row r="810" ht="34.5">
      <c r="A810" s="616" t="s">
        <v>1136</v>
      </c>
      <c r="B810" s="616" t="s">
        <v>1137</v>
      </c>
      <c r="C810" s="616" t="s">
        <v>794</v>
      </c>
      <c r="D810" s="616" t="s">
        <v>216</v>
      </c>
      <c r="E810" s="616" t="s">
        <v>911</v>
      </c>
      <c r="F810" s="617" t="s">
        <v>1194</v>
      </c>
      <c r="G810" s="616" t="s">
        <v>894</v>
      </c>
      <c r="H810" s="617"/>
      <c r="I810" s="617"/>
      <c r="J810" s="617" t="s">
        <v>917</v>
      </c>
      <c r="K810" s="618"/>
      <c r="L810" s="616"/>
      <c r="M810" s="616"/>
      <c r="N810" s="617"/>
      <c r="O810" s="617"/>
      <c r="P810" s="617"/>
      <c r="Q810" s="617"/>
      <c r="R810" s="619"/>
      <c r="S810" s="617"/>
      <c r="T810" s="616" t="s">
        <v>221</v>
      </c>
    </row>
    <row r="811" ht="34.5">
      <c r="A811" s="616" t="s">
        <v>1136</v>
      </c>
      <c r="B811" s="616" t="s">
        <v>1137</v>
      </c>
      <c r="C811" s="616" t="s">
        <v>794</v>
      </c>
      <c r="D811" s="616" t="s">
        <v>216</v>
      </c>
      <c r="E811" s="616" t="s">
        <v>911</v>
      </c>
      <c r="F811" s="617" t="s">
        <v>1194</v>
      </c>
      <c r="G811" s="616" t="s">
        <v>894</v>
      </c>
      <c r="H811" s="617"/>
      <c r="I811" s="617"/>
      <c r="J811" s="617" t="s">
        <v>1195</v>
      </c>
      <c r="K811" s="618">
        <v>15562</v>
      </c>
      <c r="L811" s="616" t="s">
        <v>611</v>
      </c>
      <c r="M811" s="616"/>
      <c r="N811" s="617"/>
      <c r="O811" s="617"/>
      <c r="P811" s="617"/>
      <c r="Q811" s="617"/>
      <c r="R811" s="619"/>
      <c r="S811" s="617"/>
      <c r="T811" s="616" t="s">
        <v>221</v>
      </c>
    </row>
    <row r="812" ht="34.5">
      <c r="A812" s="616" t="s">
        <v>1136</v>
      </c>
      <c r="B812" s="616" t="s">
        <v>1137</v>
      </c>
      <c r="C812" s="616" t="s">
        <v>794</v>
      </c>
      <c r="D812" s="616" t="s">
        <v>216</v>
      </c>
      <c r="E812" s="616" t="s">
        <v>911</v>
      </c>
      <c r="F812" s="617" t="s">
        <v>1194</v>
      </c>
      <c r="G812" s="616" t="s">
        <v>894</v>
      </c>
      <c r="H812" s="617"/>
      <c r="I812" s="617"/>
      <c r="J812" s="617" t="s">
        <v>919</v>
      </c>
      <c r="K812" s="618"/>
      <c r="L812" s="616"/>
      <c r="M812" s="616"/>
      <c r="N812" s="617"/>
      <c r="O812" s="617"/>
      <c r="P812" s="617"/>
      <c r="Q812" s="617"/>
      <c r="R812" s="619"/>
      <c r="S812" s="617"/>
      <c r="T812" s="616" t="s">
        <v>221</v>
      </c>
    </row>
    <row r="813" ht="34.5">
      <c r="A813" s="616" t="s">
        <v>1136</v>
      </c>
      <c r="B813" s="616" t="s">
        <v>1137</v>
      </c>
      <c r="C813" s="616" t="s">
        <v>794</v>
      </c>
      <c r="D813" s="616" t="s">
        <v>216</v>
      </c>
      <c r="E813" s="616" t="s">
        <v>911</v>
      </c>
      <c r="F813" s="617" t="s">
        <v>1194</v>
      </c>
      <c r="G813" s="616" t="s">
        <v>894</v>
      </c>
      <c r="H813" s="617"/>
      <c r="I813" s="617"/>
      <c r="J813" s="617" t="s">
        <v>1196</v>
      </c>
      <c r="K813" s="618">
        <v>12351</v>
      </c>
      <c r="L813" s="616" t="s">
        <v>611</v>
      </c>
      <c r="M813" s="616"/>
      <c r="N813" s="617"/>
      <c r="O813" s="617"/>
      <c r="P813" s="617"/>
      <c r="Q813" s="617"/>
      <c r="R813" s="619"/>
      <c r="S813" s="617"/>
      <c r="T813" s="616" t="s">
        <v>221</v>
      </c>
    </row>
    <row r="814" ht="34.5">
      <c r="A814" s="616" t="s">
        <v>1136</v>
      </c>
      <c r="B814" s="616" t="s">
        <v>1137</v>
      </c>
      <c r="C814" s="616" t="s">
        <v>794</v>
      </c>
      <c r="D814" s="616" t="s">
        <v>216</v>
      </c>
      <c r="E814" s="616" t="s">
        <v>911</v>
      </c>
      <c r="F814" s="617" t="s">
        <v>1194</v>
      </c>
      <c r="G814" s="616" t="s">
        <v>894</v>
      </c>
      <c r="H814" s="617"/>
      <c r="I814" s="617"/>
      <c r="J814" s="617" t="s">
        <v>920</v>
      </c>
      <c r="K814" s="618">
        <v>14264</v>
      </c>
      <c r="L814" s="616" t="s">
        <v>611</v>
      </c>
      <c r="M814" s="616"/>
      <c r="N814" s="617"/>
      <c r="O814" s="617"/>
      <c r="P814" s="617"/>
      <c r="Q814" s="617"/>
      <c r="R814" s="619"/>
      <c r="S814" s="617"/>
      <c r="T814" s="616" t="s">
        <v>221</v>
      </c>
    </row>
    <row r="815" ht="34.5">
      <c r="A815" s="616" t="s">
        <v>1136</v>
      </c>
      <c r="B815" s="616" t="s">
        <v>1137</v>
      </c>
      <c r="C815" s="616" t="s">
        <v>794</v>
      </c>
      <c r="D815" s="616" t="s">
        <v>216</v>
      </c>
      <c r="E815" s="616" t="s">
        <v>911</v>
      </c>
      <c r="F815" s="617" t="s">
        <v>1194</v>
      </c>
      <c r="G815" s="616" t="s">
        <v>894</v>
      </c>
      <c r="H815" s="617"/>
      <c r="I815" s="617"/>
      <c r="J815" s="617" t="s">
        <v>921</v>
      </c>
      <c r="K815" s="618"/>
      <c r="L815" s="616"/>
      <c r="M815" s="616"/>
      <c r="N815" s="617"/>
      <c r="O815" s="617"/>
      <c r="P815" s="617"/>
      <c r="Q815" s="617"/>
      <c r="R815" s="619"/>
      <c r="S815" s="617"/>
      <c r="T815" s="616" t="s">
        <v>221</v>
      </c>
    </row>
    <row r="816" ht="34.5">
      <c r="A816" s="616" t="s">
        <v>1136</v>
      </c>
      <c r="B816" s="616" t="s">
        <v>1137</v>
      </c>
      <c r="C816" s="616" t="s">
        <v>794</v>
      </c>
      <c r="D816" s="616" t="s">
        <v>216</v>
      </c>
      <c r="E816" s="616" t="s">
        <v>911</v>
      </c>
      <c r="F816" s="617" t="s">
        <v>1194</v>
      </c>
      <c r="G816" s="616" t="s">
        <v>894</v>
      </c>
      <c r="H816" s="617"/>
      <c r="I816" s="617"/>
      <c r="J816" s="617" t="s">
        <v>922</v>
      </c>
      <c r="K816" s="618"/>
      <c r="L816" s="616"/>
      <c r="M816" s="616"/>
      <c r="N816" s="617"/>
      <c r="O816" s="617"/>
      <c r="P816" s="617"/>
      <c r="Q816" s="617"/>
      <c r="R816" s="619"/>
      <c r="S816" s="617"/>
      <c r="T816" s="616" t="s">
        <v>221</v>
      </c>
    </row>
    <row r="817" ht="34.5">
      <c r="A817" s="616" t="s">
        <v>1136</v>
      </c>
      <c r="B817" s="616" t="s">
        <v>1137</v>
      </c>
      <c r="C817" s="616" t="s">
        <v>794</v>
      </c>
      <c r="D817" s="616" t="s">
        <v>216</v>
      </c>
      <c r="E817" s="616" t="s">
        <v>911</v>
      </c>
      <c r="F817" s="617" t="s">
        <v>1194</v>
      </c>
      <c r="G817" s="616" t="s">
        <v>894</v>
      </c>
      <c r="H817" s="617"/>
      <c r="I817" s="617"/>
      <c r="J817" s="617" t="s">
        <v>923</v>
      </c>
      <c r="K817" s="618"/>
      <c r="L817" s="616"/>
      <c r="M817" s="616"/>
      <c r="N817" s="617"/>
      <c r="O817" s="617"/>
      <c r="P817" s="617"/>
      <c r="Q817" s="617"/>
      <c r="R817" s="619"/>
      <c r="S817" s="617"/>
      <c r="T817" s="616" t="s">
        <v>221</v>
      </c>
    </row>
    <row r="818" ht="34.5">
      <c r="A818" s="616" t="s">
        <v>1136</v>
      </c>
      <c r="B818" s="616" t="s">
        <v>1137</v>
      </c>
      <c r="C818" s="616" t="s">
        <v>794</v>
      </c>
      <c r="D818" s="616" t="s">
        <v>216</v>
      </c>
      <c r="E818" s="616" t="s">
        <v>911</v>
      </c>
      <c r="F818" s="617" t="s">
        <v>1194</v>
      </c>
      <c r="G818" s="616" t="s">
        <v>894</v>
      </c>
      <c r="H818" s="617"/>
      <c r="I818" s="617"/>
      <c r="J818" s="617" t="s">
        <v>924</v>
      </c>
      <c r="K818" s="618"/>
      <c r="L818" s="616"/>
      <c r="M818" s="616"/>
      <c r="N818" s="617"/>
      <c r="O818" s="617"/>
      <c r="P818" s="617"/>
      <c r="Q818" s="617"/>
      <c r="R818" s="619"/>
      <c r="S818" s="617"/>
      <c r="T818" s="616" t="s">
        <v>221</v>
      </c>
    </row>
    <row r="819" ht="34.5">
      <c r="A819" s="616" t="s">
        <v>1136</v>
      </c>
      <c r="B819" s="616" t="s">
        <v>1137</v>
      </c>
      <c r="C819" s="616" t="s">
        <v>794</v>
      </c>
      <c r="D819" s="616" t="s">
        <v>216</v>
      </c>
      <c r="E819" s="616" t="s">
        <v>911</v>
      </c>
      <c r="F819" s="617" t="s">
        <v>1194</v>
      </c>
      <c r="G819" s="616" t="s">
        <v>894</v>
      </c>
      <c r="H819" s="617"/>
      <c r="I819" s="617"/>
      <c r="J819" s="617" t="s">
        <v>1197</v>
      </c>
      <c r="K819" s="618">
        <v>5864</v>
      </c>
      <c r="L819" s="616" t="s">
        <v>611</v>
      </c>
      <c r="M819" s="616"/>
      <c r="N819" s="617"/>
      <c r="O819" s="617"/>
      <c r="P819" s="617"/>
      <c r="Q819" s="617"/>
      <c r="R819" s="619"/>
      <c r="S819" s="617"/>
      <c r="T819" s="616" t="s">
        <v>221</v>
      </c>
    </row>
    <row r="820" ht="34.5">
      <c r="A820" s="616" t="s">
        <v>1136</v>
      </c>
      <c r="B820" s="616" t="s">
        <v>1137</v>
      </c>
      <c r="C820" s="616" t="s">
        <v>803</v>
      </c>
      <c r="D820" s="616" t="s">
        <v>216</v>
      </c>
      <c r="E820" s="616" t="s">
        <v>915</v>
      </c>
      <c r="F820" s="617" t="s">
        <v>1198</v>
      </c>
      <c r="G820" s="616" t="s">
        <v>930</v>
      </c>
      <c r="H820" s="617"/>
      <c r="I820" s="617"/>
      <c r="J820" s="617" t="s">
        <v>931</v>
      </c>
      <c r="K820" s="618"/>
      <c r="L820" s="616"/>
      <c r="M820" s="616"/>
      <c r="N820" s="617"/>
      <c r="O820" s="617"/>
      <c r="P820" s="617"/>
      <c r="Q820" s="617"/>
      <c r="R820" s="619"/>
      <c r="S820" s="617"/>
      <c r="T820" s="616" t="s">
        <v>221</v>
      </c>
    </row>
    <row r="821" ht="34.5">
      <c r="A821" s="616" t="s">
        <v>1136</v>
      </c>
      <c r="B821" s="616" t="s">
        <v>1137</v>
      </c>
      <c r="C821" s="616" t="s">
        <v>803</v>
      </c>
      <c r="D821" s="616" t="s">
        <v>904</v>
      </c>
      <c r="E821" s="616" t="s">
        <v>915</v>
      </c>
      <c r="F821" s="617" t="s">
        <v>1198</v>
      </c>
      <c r="G821" s="616" t="s">
        <v>930</v>
      </c>
      <c r="H821" s="617"/>
      <c r="I821" s="617"/>
      <c r="J821" s="617" t="s">
        <v>907</v>
      </c>
      <c r="K821" s="618"/>
      <c r="L821" s="616"/>
      <c r="M821" s="616"/>
      <c r="N821" s="617"/>
      <c r="O821" s="617"/>
      <c r="P821" s="617"/>
      <c r="Q821" s="617"/>
      <c r="R821" s="619"/>
      <c r="S821" s="617"/>
      <c r="T821" s="616" t="s">
        <v>221</v>
      </c>
    </row>
    <row r="822" ht="34.5">
      <c r="A822" s="616" t="s">
        <v>1136</v>
      </c>
      <c r="B822" s="616" t="s">
        <v>1137</v>
      </c>
      <c r="C822" s="616" t="s">
        <v>803</v>
      </c>
      <c r="D822" s="616" t="s">
        <v>216</v>
      </c>
      <c r="E822" s="616" t="s">
        <v>915</v>
      </c>
      <c r="F822" s="617" t="s">
        <v>1198</v>
      </c>
      <c r="G822" s="616" t="s">
        <v>930</v>
      </c>
      <c r="H822" s="617"/>
      <c r="I822" s="617"/>
      <c r="J822" s="617" t="s">
        <v>934</v>
      </c>
      <c r="K822" s="618"/>
      <c r="L822" s="616"/>
      <c r="M822" s="616"/>
      <c r="N822" s="617"/>
      <c r="O822" s="617"/>
      <c r="P822" s="617"/>
      <c r="Q822" s="617"/>
      <c r="R822" s="619"/>
      <c r="S822" s="617"/>
      <c r="T822" s="616" t="s">
        <v>221</v>
      </c>
    </row>
    <row r="823" ht="34.5">
      <c r="A823" s="616" t="s">
        <v>1136</v>
      </c>
      <c r="B823" s="616" t="s">
        <v>1137</v>
      </c>
      <c r="C823" s="616" t="s">
        <v>803</v>
      </c>
      <c r="D823" s="616" t="s">
        <v>216</v>
      </c>
      <c r="E823" s="616" t="s">
        <v>915</v>
      </c>
      <c r="F823" s="617" t="s">
        <v>1198</v>
      </c>
      <c r="G823" s="616" t="s">
        <v>930</v>
      </c>
      <c r="H823" s="617"/>
      <c r="I823" s="617"/>
      <c r="J823" s="617" t="s">
        <v>935</v>
      </c>
      <c r="K823" s="618"/>
      <c r="L823" s="616"/>
      <c r="M823" s="616"/>
      <c r="N823" s="617"/>
      <c r="O823" s="617"/>
      <c r="P823" s="617"/>
      <c r="Q823" s="617"/>
      <c r="R823" s="619"/>
      <c r="S823" s="617"/>
      <c r="T823" s="616" t="s">
        <v>221</v>
      </c>
    </row>
    <row r="824" ht="34.5">
      <c r="A824" s="616" t="s">
        <v>1136</v>
      </c>
      <c r="B824" s="616" t="s">
        <v>1137</v>
      </c>
      <c r="C824" s="616" t="s">
        <v>803</v>
      </c>
      <c r="D824" s="616" t="s">
        <v>216</v>
      </c>
      <c r="E824" s="616" t="s">
        <v>915</v>
      </c>
      <c r="F824" s="617" t="s">
        <v>1198</v>
      </c>
      <c r="G824" s="616" t="s">
        <v>930</v>
      </c>
      <c r="H824" s="617"/>
      <c r="I824" s="617"/>
      <c r="J824" s="617" t="s">
        <v>936</v>
      </c>
      <c r="K824" s="618"/>
      <c r="L824" s="616"/>
      <c r="M824" s="616"/>
      <c r="N824" s="617"/>
      <c r="O824" s="617"/>
      <c r="P824" s="617"/>
      <c r="Q824" s="617"/>
      <c r="R824" s="619"/>
      <c r="S824" s="617"/>
      <c r="T824" s="616" t="s">
        <v>221</v>
      </c>
    </row>
    <row r="825" ht="34.5">
      <c r="A825" s="616" t="s">
        <v>1136</v>
      </c>
      <c r="B825" s="616" t="s">
        <v>1137</v>
      </c>
      <c r="C825" s="616" t="s">
        <v>803</v>
      </c>
      <c r="D825" s="616" t="s">
        <v>216</v>
      </c>
      <c r="E825" s="616" t="s">
        <v>928</v>
      </c>
      <c r="F825" s="617" t="s">
        <v>1199</v>
      </c>
      <c r="G825" s="616" t="s">
        <v>698</v>
      </c>
      <c r="H825" s="617"/>
      <c r="I825" s="617"/>
      <c r="J825" s="617" t="s">
        <v>1200</v>
      </c>
      <c r="K825" s="618">
        <v>2934842204</v>
      </c>
      <c r="L825" s="616" t="s">
        <v>611</v>
      </c>
      <c r="M825" s="616"/>
      <c r="N825" s="617"/>
      <c r="O825" s="617"/>
      <c r="P825" s="617"/>
      <c r="Q825" s="617"/>
      <c r="R825" s="619"/>
      <c r="S825" s="617"/>
      <c r="T825" s="616" t="s">
        <v>221</v>
      </c>
    </row>
    <row r="826" ht="34.5">
      <c r="A826" s="616" t="s">
        <v>1136</v>
      </c>
      <c r="B826" s="616" t="s">
        <v>1137</v>
      </c>
      <c r="C826" s="616" t="s">
        <v>803</v>
      </c>
      <c r="D826" s="616" t="s">
        <v>910</v>
      </c>
      <c r="E826" s="616" t="s">
        <v>928</v>
      </c>
      <c r="F826" s="617" t="s">
        <v>1199</v>
      </c>
      <c r="G826" s="616" t="s">
        <v>698</v>
      </c>
      <c r="H826" s="617"/>
      <c r="I826" s="617"/>
      <c r="J826" s="617" t="s">
        <v>914</v>
      </c>
      <c r="K826" s="618"/>
      <c r="L826" s="616"/>
      <c r="M826" s="616"/>
      <c r="N826" s="617"/>
      <c r="O826" s="617"/>
      <c r="P826" s="617"/>
      <c r="Q826" s="617"/>
      <c r="R826" s="619"/>
      <c r="S826" s="617"/>
      <c r="T826" s="616" t="s">
        <v>221</v>
      </c>
    </row>
    <row r="827" ht="34.5">
      <c r="A827" s="616" t="s">
        <v>1136</v>
      </c>
      <c r="B827" s="616" t="s">
        <v>1137</v>
      </c>
      <c r="C827" s="616" t="s">
        <v>803</v>
      </c>
      <c r="D827" s="616" t="s">
        <v>216</v>
      </c>
      <c r="E827" s="616" t="s">
        <v>928</v>
      </c>
      <c r="F827" s="617" t="s">
        <v>1199</v>
      </c>
      <c r="G827" s="616" t="s">
        <v>698</v>
      </c>
      <c r="H827" s="617"/>
      <c r="I827" s="617"/>
      <c r="J827" s="617" t="s">
        <v>942</v>
      </c>
      <c r="K827" s="618"/>
      <c r="L827" s="616"/>
      <c r="M827" s="616"/>
      <c r="N827" s="617"/>
      <c r="O827" s="617"/>
      <c r="P827" s="617"/>
      <c r="Q827" s="617"/>
      <c r="R827" s="619"/>
      <c r="S827" s="617"/>
      <c r="T827" s="616" t="s">
        <v>221</v>
      </c>
    </row>
    <row r="828" ht="34.5">
      <c r="A828" s="616" t="s">
        <v>1136</v>
      </c>
      <c r="B828" s="616" t="s">
        <v>1137</v>
      </c>
      <c r="C828" s="616" t="s">
        <v>815</v>
      </c>
      <c r="D828" s="616" t="s">
        <v>932</v>
      </c>
      <c r="E828" s="616" t="s">
        <v>937</v>
      </c>
      <c r="F828" s="617" t="s">
        <v>1201</v>
      </c>
      <c r="G828" s="616" t="s">
        <v>698</v>
      </c>
      <c r="H828" s="617"/>
      <c r="I828" s="617"/>
      <c r="J828" s="617" t="s">
        <v>933</v>
      </c>
      <c r="K828" s="618"/>
      <c r="L828" s="616"/>
      <c r="M828" s="616"/>
      <c r="N828" s="617"/>
      <c r="O828" s="617"/>
      <c r="P828" s="617"/>
      <c r="Q828" s="617"/>
      <c r="R828" s="619"/>
      <c r="S828" s="617"/>
      <c r="T828" s="616" t="s">
        <v>221</v>
      </c>
    </row>
    <row r="829" ht="34.5">
      <c r="A829" s="616" t="s">
        <v>1136</v>
      </c>
      <c r="B829" s="616" t="s">
        <v>1137</v>
      </c>
      <c r="C829" s="616" t="s">
        <v>815</v>
      </c>
      <c r="D829" s="616" t="s">
        <v>216</v>
      </c>
      <c r="E829" s="616" t="s">
        <v>945</v>
      </c>
      <c r="F829" s="617" t="s">
        <v>1202</v>
      </c>
      <c r="G829" s="616" t="s">
        <v>950</v>
      </c>
      <c r="H829" s="617"/>
      <c r="I829" s="617"/>
      <c r="J829" s="617" t="s">
        <v>1203</v>
      </c>
      <c r="K829" s="618"/>
      <c r="L829" s="616"/>
      <c r="M829" s="616"/>
      <c r="N829" s="617"/>
      <c r="O829" s="617"/>
      <c r="P829" s="617"/>
      <c r="Q829" s="617"/>
      <c r="R829" s="619"/>
      <c r="S829" s="617"/>
      <c r="T829" s="616" t="s">
        <v>221</v>
      </c>
    </row>
    <row r="830" ht="34.5">
      <c r="A830" s="616" t="s">
        <v>1136</v>
      </c>
      <c r="B830" s="616" t="s">
        <v>1137</v>
      </c>
      <c r="C830" s="616" t="s">
        <v>815</v>
      </c>
      <c r="D830" s="616" t="s">
        <v>216</v>
      </c>
      <c r="E830" s="616" t="s">
        <v>945</v>
      </c>
      <c r="F830" s="617" t="s">
        <v>1202</v>
      </c>
      <c r="G830" s="616" t="s">
        <v>950</v>
      </c>
      <c r="H830" s="617"/>
      <c r="I830" s="617"/>
      <c r="J830" s="617" t="s">
        <v>1204</v>
      </c>
      <c r="K830" s="618"/>
      <c r="L830" s="616"/>
      <c r="M830" s="616"/>
      <c r="N830" s="617"/>
      <c r="O830" s="617"/>
      <c r="P830" s="617"/>
      <c r="Q830" s="617"/>
      <c r="R830" s="619"/>
      <c r="S830" s="617"/>
      <c r="T830" s="616" t="s">
        <v>221</v>
      </c>
    </row>
    <row r="831" ht="34.5">
      <c r="A831" s="616" t="s">
        <v>1136</v>
      </c>
      <c r="B831" s="616" t="s">
        <v>1137</v>
      </c>
      <c r="C831" s="616" t="s">
        <v>815</v>
      </c>
      <c r="D831" s="616" t="s">
        <v>216</v>
      </c>
      <c r="E831" s="616" t="s">
        <v>945</v>
      </c>
      <c r="F831" s="617" t="s">
        <v>1202</v>
      </c>
      <c r="G831" s="616" t="s">
        <v>950</v>
      </c>
      <c r="H831" s="617"/>
      <c r="I831" s="617"/>
      <c r="J831" s="617" t="s">
        <v>1205</v>
      </c>
      <c r="K831" s="618"/>
      <c r="L831" s="616"/>
      <c r="M831" s="616"/>
      <c r="N831" s="617"/>
      <c r="O831" s="617"/>
      <c r="P831" s="617"/>
      <c r="Q831" s="617"/>
      <c r="R831" s="619"/>
      <c r="S831" s="617"/>
      <c r="T831" s="616" t="s">
        <v>221</v>
      </c>
    </row>
    <row r="832" ht="34.5">
      <c r="A832" s="616" t="s">
        <v>1136</v>
      </c>
      <c r="B832" s="616" t="s">
        <v>1137</v>
      </c>
      <c r="C832" s="616" t="s">
        <v>815</v>
      </c>
      <c r="D832" s="616" t="s">
        <v>216</v>
      </c>
      <c r="E832" s="616" t="s">
        <v>945</v>
      </c>
      <c r="F832" s="617" t="s">
        <v>1202</v>
      </c>
      <c r="G832" s="616" t="s">
        <v>950</v>
      </c>
      <c r="H832" s="617"/>
      <c r="I832" s="617"/>
      <c r="J832" s="617" t="s">
        <v>954</v>
      </c>
      <c r="K832" s="618">
        <v>-1500000</v>
      </c>
      <c r="L832" s="616" t="s">
        <v>611</v>
      </c>
      <c r="M832" s="616"/>
      <c r="N832" s="617"/>
      <c r="O832" s="617"/>
      <c r="P832" s="617"/>
      <c r="Q832" s="617"/>
      <c r="R832" s="619"/>
      <c r="S832" s="617"/>
      <c r="T832" s="616" t="s">
        <v>221</v>
      </c>
    </row>
    <row r="833" ht="34.5">
      <c r="A833" s="616" t="s">
        <v>1136</v>
      </c>
      <c r="B833" s="616" t="s">
        <v>1137</v>
      </c>
      <c r="C833" s="616" t="s">
        <v>815</v>
      </c>
      <c r="D833" s="616" t="s">
        <v>216</v>
      </c>
      <c r="E833" s="616" t="s">
        <v>945</v>
      </c>
      <c r="F833" s="617" t="s">
        <v>1202</v>
      </c>
      <c r="G833" s="616" t="s">
        <v>950</v>
      </c>
      <c r="H833" s="617"/>
      <c r="I833" s="617"/>
      <c r="J833" s="617" t="s">
        <v>955</v>
      </c>
      <c r="K833" s="618"/>
      <c r="L833" s="616"/>
      <c r="M833" s="616"/>
      <c r="N833" s="617"/>
      <c r="O833" s="617"/>
      <c r="P833" s="617"/>
      <c r="Q833" s="617"/>
      <c r="R833" s="619"/>
      <c r="S833" s="617"/>
      <c r="T833" s="616" t="s">
        <v>221</v>
      </c>
    </row>
    <row r="834" ht="34.5">
      <c r="A834" s="616" t="s">
        <v>1136</v>
      </c>
      <c r="B834" s="616" t="s">
        <v>1137</v>
      </c>
      <c r="C834" s="616" t="s">
        <v>815</v>
      </c>
      <c r="D834" s="616" t="s">
        <v>940</v>
      </c>
      <c r="E834" s="616" t="s">
        <v>945</v>
      </c>
      <c r="F834" s="617" t="s">
        <v>1202</v>
      </c>
      <c r="G834" s="616" t="s">
        <v>950</v>
      </c>
      <c r="H834" s="617"/>
      <c r="I834" s="617"/>
      <c r="J834" s="617" t="s">
        <v>941</v>
      </c>
      <c r="K834" s="618"/>
      <c r="L834" s="616"/>
      <c r="M834" s="616"/>
      <c r="N834" s="617"/>
      <c r="O834" s="617"/>
      <c r="P834" s="617"/>
      <c r="Q834" s="617"/>
      <c r="R834" s="619"/>
      <c r="S834" s="617"/>
      <c r="T834" s="616" t="s">
        <v>221</v>
      </c>
    </row>
    <row r="835" ht="34.5">
      <c r="A835" s="616" t="s">
        <v>1136</v>
      </c>
      <c r="B835" s="616" t="s">
        <v>1137</v>
      </c>
      <c r="C835" s="616" t="s">
        <v>815</v>
      </c>
      <c r="D835" s="616" t="s">
        <v>216</v>
      </c>
      <c r="E835" s="616" t="s">
        <v>945</v>
      </c>
      <c r="F835" s="617" t="s">
        <v>1202</v>
      </c>
      <c r="G835" s="616" t="s">
        <v>950</v>
      </c>
      <c r="H835" s="617"/>
      <c r="I835" s="617"/>
      <c r="J835" s="617" t="s">
        <v>1206</v>
      </c>
      <c r="K835" s="618"/>
      <c r="L835" s="616"/>
      <c r="M835" s="616"/>
      <c r="N835" s="617"/>
      <c r="O835" s="617"/>
      <c r="P835" s="617"/>
      <c r="Q835" s="617"/>
      <c r="R835" s="619"/>
      <c r="S835" s="617"/>
      <c r="T835" s="616" t="s">
        <v>221</v>
      </c>
    </row>
    <row r="836" ht="34.5">
      <c r="A836" s="616" t="s">
        <v>1136</v>
      </c>
      <c r="B836" s="616" t="s">
        <v>1137</v>
      </c>
      <c r="C836" s="616" t="s">
        <v>829</v>
      </c>
      <c r="D836" s="616" t="s">
        <v>216</v>
      </c>
      <c r="E836" s="616" t="s">
        <v>945</v>
      </c>
      <c r="F836" s="617" t="s">
        <v>1202</v>
      </c>
      <c r="G836" s="616" t="s">
        <v>950</v>
      </c>
      <c r="H836" s="617"/>
      <c r="I836" s="617"/>
      <c r="J836" s="617" t="s">
        <v>679</v>
      </c>
      <c r="K836" s="618"/>
      <c r="L836" s="616"/>
      <c r="M836" s="616"/>
      <c r="N836" s="617"/>
      <c r="O836" s="617"/>
      <c r="P836" s="617"/>
      <c r="Q836" s="617"/>
      <c r="R836" s="619"/>
      <c r="S836" s="617"/>
      <c r="T836" s="616" t="s">
        <v>221</v>
      </c>
    </row>
    <row r="837" ht="34.5">
      <c r="A837" s="616" t="s">
        <v>1136</v>
      </c>
      <c r="B837" s="616" t="s">
        <v>1137</v>
      </c>
      <c r="C837" s="616" t="s">
        <v>829</v>
      </c>
      <c r="D837" s="616" t="s">
        <v>216</v>
      </c>
      <c r="E837" s="616" t="s">
        <v>945</v>
      </c>
      <c r="F837" s="617" t="s">
        <v>1202</v>
      </c>
      <c r="G837" s="616" t="s">
        <v>950</v>
      </c>
      <c r="H837" s="617"/>
      <c r="I837" s="617"/>
      <c r="J837" s="617" t="s">
        <v>1164</v>
      </c>
      <c r="K837" s="618"/>
      <c r="L837" s="616"/>
      <c r="M837" s="616"/>
      <c r="N837" s="617"/>
      <c r="O837" s="617"/>
      <c r="P837" s="617"/>
      <c r="Q837" s="617"/>
      <c r="R837" s="619"/>
      <c r="S837" s="617"/>
      <c r="T837" s="616" t="s">
        <v>221</v>
      </c>
    </row>
    <row r="838" ht="34.5">
      <c r="A838" s="616" t="s">
        <v>1136</v>
      </c>
      <c r="B838" s="616" t="s">
        <v>1137</v>
      </c>
      <c r="C838" s="616" t="s">
        <v>829</v>
      </c>
      <c r="D838" s="616" t="s">
        <v>216</v>
      </c>
      <c r="E838" s="616" t="s">
        <v>945</v>
      </c>
      <c r="F838" s="617" t="s">
        <v>1202</v>
      </c>
      <c r="G838" s="616" t="s">
        <v>950</v>
      </c>
      <c r="H838" s="617"/>
      <c r="I838" s="617"/>
      <c r="J838" s="617" t="s">
        <v>1207</v>
      </c>
      <c r="K838" s="618"/>
      <c r="L838" s="616"/>
      <c r="M838" s="616"/>
      <c r="N838" s="617"/>
      <c r="O838" s="617"/>
      <c r="P838" s="617"/>
      <c r="Q838" s="617"/>
      <c r="R838" s="619"/>
      <c r="S838" s="617"/>
      <c r="T838" s="616" t="s">
        <v>221</v>
      </c>
    </row>
    <row r="839" ht="34.5">
      <c r="A839" s="616" t="s">
        <v>1136</v>
      </c>
      <c r="B839" s="616" t="s">
        <v>1137</v>
      </c>
      <c r="C839" s="616" t="s">
        <v>829</v>
      </c>
      <c r="D839" s="616" t="s">
        <v>944</v>
      </c>
      <c r="E839" s="616" t="s">
        <v>945</v>
      </c>
      <c r="F839" s="617" t="s">
        <v>1202</v>
      </c>
      <c r="G839" s="616" t="s">
        <v>950</v>
      </c>
      <c r="H839" s="617"/>
      <c r="I839" s="617"/>
      <c r="J839" s="617" t="s">
        <v>947</v>
      </c>
      <c r="K839" s="618"/>
      <c r="L839" s="616"/>
      <c r="M839" s="616"/>
      <c r="N839" s="617"/>
      <c r="O839" s="617"/>
      <c r="P839" s="617"/>
      <c r="Q839" s="617"/>
      <c r="R839" s="619"/>
      <c r="S839" s="617"/>
      <c r="T839" s="616" t="s">
        <v>221</v>
      </c>
    </row>
    <row r="840" ht="34.5">
      <c r="A840" s="616" t="s">
        <v>1136</v>
      </c>
      <c r="B840" s="616" t="s">
        <v>1137</v>
      </c>
      <c r="C840" s="616" t="s">
        <v>829</v>
      </c>
      <c r="D840" s="616" t="s">
        <v>216</v>
      </c>
      <c r="E840" s="616" t="s">
        <v>945</v>
      </c>
      <c r="F840" s="617" t="s">
        <v>1202</v>
      </c>
      <c r="G840" s="616" t="s">
        <v>950</v>
      </c>
      <c r="H840" s="617"/>
      <c r="I840" s="617"/>
      <c r="J840" s="617" t="s">
        <v>964</v>
      </c>
      <c r="K840" s="618"/>
      <c r="L840" s="616"/>
      <c r="M840" s="616"/>
      <c r="N840" s="617"/>
      <c r="O840" s="617"/>
      <c r="P840" s="617"/>
      <c r="Q840" s="617"/>
      <c r="R840" s="619"/>
      <c r="S840" s="617"/>
      <c r="T840" s="616" t="s">
        <v>221</v>
      </c>
    </row>
    <row r="841" ht="34.5">
      <c r="A841" s="616" t="s">
        <v>1136</v>
      </c>
      <c r="B841" s="616" t="s">
        <v>1137</v>
      </c>
      <c r="C841" s="616" t="s">
        <v>829</v>
      </c>
      <c r="D841" s="616" t="s">
        <v>216</v>
      </c>
      <c r="E841" s="616" t="s">
        <v>945</v>
      </c>
      <c r="F841" s="617" t="s">
        <v>1202</v>
      </c>
      <c r="G841" s="616" t="s">
        <v>950</v>
      </c>
      <c r="H841" s="617"/>
      <c r="I841" s="617"/>
      <c r="J841" s="617" t="s">
        <v>965</v>
      </c>
      <c r="K841" s="618"/>
      <c r="L841" s="616"/>
      <c r="M841" s="616"/>
      <c r="N841" s="617"/>
      <c r="O841" s="617"/>
      <c r="P841" s="617"/>
      <c r="Q841" s="617"/>
      <c r="R841" s="619"/>
      <c r="S841" s="617"/>
      <c r="T841" s="616" t="s">
        <v>221</v>
      </c>
    </row>
    <row r="842" ht="34.5">
      <c r="A842" s="616" t="s">
        <v>1136</v>
      </c>
      <c r="B842" s="616" t="s">
        <v>1137</v>
      </c>
      <c r="C842" s="616" t="s">
        <v>829</v>
      </c>
      <c r="D842" s="616" t="s">
        <v>956</v>
      </c>
      <c r="E842" s="616" t="s">
        <v>945</v>
      </c>
      <c r="F842" s="617" t="s">
        <v>1202</v>
      </c>
      <c r="G842" s="616" t="s">
        <v>950</v>
      </c>
      <c r="H842" s="617"/>
      <c r="I842" s="617"/>
      <c r="J842" s="617" t="s">
        <v>957</v>
      </c>
      <c r="K842" s="618"/>
      <c r="L842" s="616"/>
      <c r="M842" s="616"/>
      <c r="N842" s="617"/>
      <c r="O842" s="617"/>
      <c r="P842" s="617"/>
      <c r="Q842" s="617"/>
      <c r="R842" s="619"/>
      <c r="S842" s="617"/>
      <c r="T842" s="616" t="s">
        <v>221</v>
      </c>
    </row>
    <row r="843" ht="34.5">
      <c r="A843" s="616" t="s">
        <v>1136</v>
      </c>
      <c r="B843" s="616" t="s">
        <v>1137</v>
      </c>
      <c r="C843" s="616" t="s">
        <v>829</v>
      </c>
      <c r="D843" s="616" t="s">
        <v>216</v>
      </c>
      <c r="E843" s="616" t="s">
        <v>945</v>
      </c>
      <c r="F843" s="617" t="s">
        <v>1202</v>
      </c>
      <c r="G843" s="616" t="s">
        <v>950</v>
      </c>
      <c r="H843" s="617"/>
      <c r="I843" s="617"/>
      <c r="J843" s="617" t="s">
        <v>968</v>
      </c>
      <c r="K843" s="618"/>
      <c r="L843" s="616"/>
      <c r="M843" s="616"/>
      <c r="N843" s="617"/>
      <c r="O843" s="617"/>
      <c r="P843" s="617"/>
      <c r="Q843" s="617"/>
      <c r="R843" s="619"/>
      <c r="S843" s="617"/>
      <c r="T843" s="616" t="s">
        <v>221</v>
      </c>
    </row>
    <row r="844" ht="34.5">
      <c r="A844" s="616" t="s">
        <v>1136</v>
      </c>
      <c r="B844" s="616" t="s">
        <v>1137</v>
      </c>
      <c r="C844" s="616" t="s">
        <v>829</v>
      </c>
      <c r="D844" s="616" t="s">
        <v>962</v>
      </c>
      <c r="E844" s="616" t="s">
        <v>945</v>
      </c>
      <c r="F844" s="617" t="s">
        <v>1202</v>
      </c>
      <c r="G844" s="616" t="s">
        <v>950</v>
      </c>
      <c r="H844" s="617"/>
      <c r="I844" s="617"/>
      <c r="J844" s="617" t="s">
        <v>963</v>
      </c>
      <c r="K844" s="618"/>
      <c r="L844" s="616"/>
      <c r="M844" s="616"/>
      <c r="N844" s="617"/>
      <c r="O844" s="617"/>
      <c r="P844" s="617"/>
      <c r="Q844" s="617"/>
      <c r="R844" s="619"/>
      <c r="S844" s="617"/>
      <c r="T844" s="616" t="s">
        <v>221</v>
      </c>
    </row>
    <row r="845" ht="34.5">
      <c r="A845" s="616" t="s">
        <v>1136</v>
      </c>
      <c r="B845" s="616" t="s">
        <v>1137</v>
      </c>
      <c r="C845" s="616" t="s">
        <v>843</v>
      </c>
      <c r="D845" s="616" t="s">
        <v>216</v>
      </c>
      <c r="E845" s="616" t="s">
        <v>945</v>
      </c>
      <c r="F845" s="617" t="s">
        <v>1202</v>
      </c>
      <c r="G845" s="616" t="s">
        <v>950</v>
      </c>
      <c r="H845" s="617"/>
      <c r="I845" s="617"/>
      <c r="J845" s="617" t="s">
        <v>973</v>
      </c>
      <c r="K845" s="618"/>
      <c r="L845" s="616"/>
      <c r="M845" s="616"/>
      <c r="N845" s="617"/>
      <c r="O845" s="617"/>
      <c r="P845" s="617"/>
      <c r="Q845" s="617"/>
      <c r="R845" s="619"/>
      <c r="S845" s="617"/>
      <c r="T845" s="616" t="s">
        <v>221</v>
      </c>
    </row>
    <row r="846" ht="34.5">
      <c r="A846" s="616" t="s">
        <v>1136</v>
      </c>
      <c r="B846" s="616" t="s">
        <v>1137</v>
      </c>
      <c r="C846" s="616" t="s">
        <v>843</v>
      </c>
      <c r="D846" s="616" t="s">
        <v>966</v>
      </c>
      <c r="E846" s="616" t="s">
        <v>945</v>
      </c>
      <c r="F846" s="617" t="s">
        <v>1202</v>
      </c>
      <c r="G846" s="616" t="s">
        <v>950</v>
      </c>
      <c r="H846" s="617"/>
      <c r="I846" s="617"/>
      <c r="J846" s="617" t="s">
        <v>967</v>
      </c>
      <c r="K846" s="618"/>
      <c r="L846" s="616"/>
      <c r="M846" s="616"/>
      <c r="N846" s="617"/>
      <c r="O846" s="617"/>
      <c r="P846" s="617"/>
      <c r="Q846" s="617"/>
      <c r="R846" s="619"/>
      <c r="S846" s="617"/>
      <c r="T846" s="616" t="s">
        <v>221</v>
      </c>
    </row>
    <row r="847" ht="34.5">
      <c r="A847" s="616" t="s">
        <v>1136</v>
      </c>
      <c r="B847" s="616" t="s">
        <v>1137</v>
      </c>
      <c r="C847" s="616" t="s">
        <v>843</v>
      </c>
      <c r="D847" s="616" t="s">
        <v>216</v>
      </c>
      <c r="E847" s="616" t="s">
        <v>945</v>
      </c>
      <c r="F847" s="617" t="s">
        <v>1202</v>
      </c>
      <c r="G847" s="616" t="s">
        <v>950</v>
      </c>
      <c r="H847" s="617"/>
      <c r="I847" s="617"/>
      <c r="J847" s="617" t="s">
        <v>1208</v>
      </c>
      <c r="K847" s="618"/>
      <c r="L847" s="616"/>
      <c r="M847" s="616"/>
      <c r="N847" s="617"/>
      <c r="O847" s="617"/>
      <c r="P847" s="617"/>
      <c r="Q847" s="617"/>
      <c r="R847" s="619"/>
      <c r="S847" s="617"/>
      <c r="T847" s="616" t="s">
        <v>221</v>
      </c>
    </row>
    <row r="848" ht="34.5">
      <c r="A848" s="616" t="s">
        <v>1136</v>
      </c>
      <c r="B848" s="616" t="s">
        <v>1137</v>
      </c>
      <c r="C848" s="616" t="s">
        <v>843</v>
      </c>
      <c r="D848" s="616" t="s">
        <v>216</v>
      </c>
      <c r="E848" s="616" t="s">
        <v>945</v>
      </c>
      <c r="F848" s="617" t="s">
        <v>1202</v>
      </c>
      <c r="G848" s="616" t="s">
        <v>950</v>
      </c>
      <c r="H848" s="617"/>
      <c r="I848" s="617"/>
      <c r="J848" s="617" t="s">
        <v>976</v>
      </c>
      <c r="K848" s="618"/>
      <c r="L848" s="616"/>
      <c r="M848" s="616"/>
      <c r="N848" s="617"/>
      <c r="O848" s="617"/>
      <c r="P848" s="617"/>
      <c r="Q848" s="617"/>
      <c r="R848" s="619"/>
      <c r="S848" s="617"/>
      <c r="T848" s="616" t="s">
        <v>221</v>
      </c>
    </row>
    <row r="849" ht="34.5">
      <c r="A849" s="616" t="s">
        <v>1136</v>
      </c>
      <c r="B849" s="616" t="s">
        <v>1137</v>
      </c>
      <c r="C849" s="616" t="s">
        <v>843</v>
      </c>
      <c r="D849" s="616" t="s">
        <v>216</v>
      </c>
      <c r="E849" s="616" t="s">
        <v>945</v>
      </c>
      <c r="F849" s="617" t="s">
        <v>1202</v>
      </c>
      <c r="G849" s="616" t="s">
        <v>950</v>
      </c>
      <c r="H849" s="617"/>
      <c r="I849" s="617"/>
      <c r="J849" s="617" t="s">
        <v>1209</v>
      </c>
      <c r="K849" s="618"/>
      <c r="L849" s="616"/>
      <c r="M849" s="616"/>
      <c r="N849" s="617"/>
      <c r="O849" s="617"/>
      <c r="P849" s="617"/>
      <c r="Q849" s="617"/>
      <c r="R849" s="619"/>
      <c r="S849" s="617"/>
      <c r="T849" s="616" t="s">
        <v>221</v>
      </c>
    </row>
    <row r="850" ht="34.5">
      <c r="A850" s="616" t="s">
        <v>1136</v>
      </c>
      <c r="B850" s="616" t="s">
        <v>1137</v>
      </c>
      <c r="C850" s="616" t="s">
        <v>861</v>
      </c>
      <c r="D850" s="616" t="s">
        <v>216</v>
      </c>
      <c r="E850" s="616" t="s">
        <v>948</v>
      </c>
      <c r="F850" s="617" t="s">
        <v>1210</v>
      </c>
      <c r="G850" s="616" t="s">
        <v>982</v>
      </c>
      <c r="H850" s="617"/>
      <c r="I850" s="617"/>
      <c r="J850" s="617" t="s">
        <v>983</v>
      </c>
      <c r="K850" s="618"/>
      <c r="L850" s="616"/>
      <c r="M850" s="616"/>
      <c r="N850" s="617"/>
      <c r="O850" s="617"/>
      <c r="P850" s="617"/>
      <c r="Q850" s="617"/>
      <c r="R850" s="619"/>
      <c r="S850" s="617"/>
      <c r="T850" s="616" t="s">
        <v>221</v>
      </c>
    </row>
    <row r="851" ht="34.5">
      <c r="A851" s="616" t="s">
        <v>1136</v>
      </c>
      <c r="B851" s="616" t="s">
        <v>1137</v>
      </c>
      <c r="C851" s="616" t="s">
        <v>861</v>
      </c>
      <c r="D851" s="616" t="s">
        <v>969</v>
      </c>
      <c r="E851" s="616" t="s">
        <v>948</v>
      </c>
      <c r="F851" s="617" t="s">
        <v>1210</v>
      </c>
      <c r="G851" s="616" t="s">
        <v>982</v>
      </c>
      <c r="H851" s="617"/>
      <c r="I851" s="617"/>
      <c r="J851" s="617" t="s">
        <v>970</v>
      </c>
      <c r="K851" s="618"/>
      <c r="L851" s="616"/>
      <c r="M851" s="616"/>
      <c r="N851" s="617"/>
      <c r="O851" s="617"/>
      <c r="P851" s="617"/>
      <c r="Q851" s="617"/>
      <c r="R851" s="619"/>
      <c r="S851" s="617"/>
      <c r="T851" s="616" t="s">
        <v>221</v>
      </c>
    </row>
    <row r="852" ht="34.5">
      <c r="A852" s="616" t="s">
        <v>1136</v>
      </c>
      <c r="B852" s="616" t="s">
        <v>1137</v>
      </c>
      <c r="C852" s="616" t="s">
        <v>877</v>
      </c>
      <c r="D852" s="616" t="s">
        <v>216</v>
      </c>
      <c r="E852" s="616" t="s">
        <v>980</v>
      </c>
      <c r="F852" s="617" t="s">
        <v>1211</v>
      </c>
      <c r="G852" s="616" t="s">
        <v>698</v>
      </c>
      <c r="H852" s="617"/>
      <c r="I852" s="617"/>
      <c r="J852" s="617" t="s">
        <v>989</v>
      </c>
      <c r="K852" s="618"/>
      <c r="L852" s="616"/>
      <c r="M852" s="616"/>
      <c r="N852" s="617"/>
      <c r="O852" s="617"/>
      <c r="P852" s="617"/>
      <c r="Q852" s="617"/>
      <c r="R852" s="619"/>
      <c r="S852" s="617"/>
      <c r="T852" s="616" t="s">
        <v>221</v>
      </c>
    </row>
    <row r="853" ht="34.5">
      <c r="A853" s="616" t="s">
        <v>1136</v>
      </c>
      <c r="B853" s="616" t="s">
        <v>1137</v>
      </c>
      <c r="C853" s="616" t="s">
        <v>877</v>
      </c>
      <c r="D853" s="616" t="s">
        <v>974</v>
      </c>
      <c r="E853" s="616" t="s">
        <v>980</v>
      </c>
      <c r="F853" s="617" t="s">
        <v>1211</v>
      </c>
      <c r="G853" s="616" t="s">
        <v>698</v>
      </c>
      <c r="H853" s="617"/>
      <c r="I853" s="617"/>
      <c r="J853" s="617" t="s">
        <v>975</v>
      </c>
      <c r="K853" s="618"/>
      <c r="L853" s="616"/>
      <c r="M853" s="616"/>
      <c r="N853" s="617"/>
      <c r="O853" s="617"/>
      <c r="P853" s="617"/>
      <c r="Q853" s="617"/>
      <c r="R853" s="619"/>
      <c r="S853" s="617"/>
      <c r="T853" s="616" t="s">
        <v>221</v>
      </c>
    </row>
    <row r="854" ht="34.5">
      <c r="A854" s="616" t="s">
        <v>1136</v>
      </c>
      <c r="B854" s="616" t="s">
        <v>1137</v>
      </c>
      <c r="C854" s="616" t="s">
        <v>877</v>
      </c>
      <c r="D854" s="616" t="s">
        <v>216</v>
      </c>
      <c r="E854" s="616" t="s">
        <v>987</v>
      </c>
      <c r="F854" s="617" t="s">
        <v>1212</v>
      </c>
      <c r="G854" s="616" t="s">
        <v>894</v>
      </c>
      <c r="H854" s="617"/>
      <c r="I854" s="617"/>
      <c r="J854" s="617" t="s">
        <v>994</v>
      </c>
      <c r="K854" s="618"/>
      <c r="L854" s="616"/>
      <c r="M854" s="616"/>
      <c r="N854" s="617"/>
      <c r="O854" s="617"/>
      <c r="P854" s="617"/>
      <c r="Q854" s="617"/>
      <c r="R854" s="619"/>
      <c r="S854" s="617"/>
      <c r="T854" s="616" t="s">
        <v>221</v>
      </c>
    </row>
    <row r="855" ht="34.5">
      <c r="A855" s="616" t="s">
        <v>1136</v>
      </c>
      <c r="B855" s="616" t="s">
        <v>1137</v>
      </c>
      <c r="C855" s="616" t="s">
        <v>877</v>
      </c>
      <c r="D855" s="616" t="s">
        <v>984</v>
      </c>
      <c r="E855" s="616" t="s">
        <v>987</v>
      </c>
      <c r="F855" s="617" t="s">
        <v>1212</v>
      </c>
      <c r="G855" s="616" t="s">
        <v>894</v>
      </c>
      <c r="H855" s="617"/>
      <c r="I855" s="617"/>
      <c r="J855" s="617" t="s">
        <v>985</v>
      </c>
      <c r="K855" s="618"/>
      <c r="L855" s="616"/>
      <c r="M855" s="616"/>
      <c r="N855" s="617"/>
      <c r="O855" s="617"/>
      <c r="P855" s="617"/>
      <c r="Q855" s="617"/>
      <c r="R855" s="619"/>
      <c r="S855" s="617"/>
      <c r="T855" s="616" t="s">
        <v>221</v>
      </c>
    </row>
    <row r="856" ht="34.5">
      <c r="A856" s="616" t="s">
        <v>1136</v>
      </c>
      <c r="B856" s="616" t="s">
        <v>1137</v>
      </c>
      <c r="C856" s="616" t="s">
        <v>877</v>
      </c>
      <c r="D856" s="616" t="s">
        <v>216</v>
      </c>
      <c r="E856" s="616" t="s">
        <v>987</v>
      </c>
      <c r="F856" s="617" t="s">
        <v>1212</v>
      </c>
      <c r="G856" s="616" t="s">
        <v>894</v>
      </c>
      <c r="H856" s="617"/>
      <c r="I856" s="617"/>
      <c r="J856" s="617" t="s">
        <v>959</v>
      </c>
      <c r="K856" s="618"/>
      <c r="L856" s="616"/>
      <c r="M856" s="616"/>
      <c r="N856" s="617"/>
      <c r="O856" s="617"/>
      <c r="P856" s="617"/>
      <c r="Q856" s="617"/>
      <c r="R856" s="619"/>
      <c r="S856" s="617"/>
      <c r="T856" s="616" t="s">
        <v>221</v>
      </c>
    </row>
    <row r="857" ht="34.5">
      <c r="A857" s="616" t="s">
        <v>1136</v>
      </c>
      <c r="B857" s="616" t="s">
        <v>1137</v>
      </c>
      <c r="C857" s="616" t="s">
        <v>885</v>
      </c>
      <c r="D857" s="616" t="s">
        <v>216</v>
      </c>
      <c r="E857" s="616" t="s">
        <v>987</v>
      </c>
      <c r="F857" s="617" t="s">
        <v>1212</v>
      </c>
      <c r="G857" s="616" t="s">
        <v>894</v>
      </c>
      <c r="H857" s="617"/>
      <c r="I857" s="617"/>
      <c r="J857" s="617" t="s">
        <v>998</v>
      </c>
      <c r="K857" s="618"/>
      <c r="L857" s="616"/>
      <c r="M857" s="616"/>
      <c r="N857" s="617"/>
      <c r="O857" s="617"/>
      <c r="P857" s="617"/>
      <c r="Q857" s="617"/>
      <c r="R857" s="619"/>
      <c r="S857" s="617"/>
      <c r="T857" s="616" t="s">
        <v>221</v>
      </c>
    </row>
    <row r="858" ht="34.5">
      <c r="A858" s="616" t="s">
        <v>1136</v>
      </c>
      <c r="B858" s="616" t="s">
        <v>1137</v>
      </c>
      <c r="C858" s="616" t="s">
        <v>885</v>
      </c>
      <c r="D858" s="616" t="s">
        <v>216</v>
      </c>
      <c r="E858" s="616" t="s">
        <v>987</v>
      </c>
      <c r="F858" s="617" t="s">
        <v>1212</v>
      </c>
      <c r="G858" s="616" t="s">
        <v>894</v>
      </c>
      <c r="H858" s="617"/>
      <c r="I858" s="617"/>
      <c r="J858" s="617" t="s">
        <v>999</v>
      </c>
      <c r="K858" s="618"/>
      <c r="L858" s="616"/>
      <c r="M858" s="616"/>
      <c r="N858" s="617"/>
      <c r="O858" s="617"/>
      <c r="P858" s="617"/>
      <c r="Q858" s="617"/>
      <c r="R858" s="619"/>
      <c r="S858" s="617"/>
      <c r="T858" s="616" t="s">
        <v>221</v>
      </c>
    </row>
    <row r="859" ht="34.5">
      <c r="A859" s="616" t="s">
        <v>1136</v>
      </c>
      <c r="B859" s="616" t="s">
        <v>1137</v>
      </c>
      <c r="C859" s="616" t="s">
        <v>885</v>
      </c>
      <c r="D859" s="616" t="s">
        <v>990</v>
      </c>
      <c r="E859" s="616" t="s">
        <v>987</v>
      </c>
      <c r="F859" s="617" t="s">
        <v>1212</v>
      </c>
      <c r="G859" s="616" t="s">
        <v>894</v>
      </c>
      <c r="H859" s="617"/>
      <c r="I859" s="617"/>
      <c r="J859" s="617" t="s">
        <v>991</v>
      </c>
      <c r="K859" s="618"/>
      <c r="L859" s="616"/>
      <c r="M859" s="616"/>
      <c r="N859" s="617"/>
      <c r="O859" s="617"/>
      <c r="P859" s="617"/>
      <c r="Q859" s="617"/>
      <c r="R859" s="619"/>
      <c r="S859" s="617"/>
      <c r="T859" s="616" t="s">
        <v>221</v>
      </c>
    </row>
    <row r="860" ht="34.5">
      <c r="A860" s="616" t="s">
        <v>1136</v>
      </c>
      <c r="B860" s="616" t="s">
        <v>1137</v>
      </c>
      <c r="C860" s="616" t="s">
        <v>885</v>
      </c>
      <c r="D860" s="616" t="s">
        <v>995</v>
      </c>
      <c r="E860" s="616" t="s">
        <v>987</v>
      </c>
      <c r="F860" s="617" t="s">
        <v>1212</v>
      </c>
      <c r="G860" s="616" t="s">
        <v>894</v>
      </c>
      <c r="H860" s="617"/>
      <c r="I860" s="617"/>
      <c r="J860" s="617" t="s">
        <v>996</v>
      </c>
      <c r="K860" s="618"/>
      <c r="L860" s="616"/>
      <c r="M860" s="616"/>
      <c r="N860" s="617"/>
      <c r="O860" s="617"/>
      <c r="P860" s="617"/>
      <c r="Q860" s="617"/>
      <c r="R860" s="619"/>
      <c r="S860" s="617"/>
      <c r="T860" s="616" t="s">
        <v>221</v>
      </c>
    </row>
    <row r="861" ht="34.5">
      <c r="A861" s="616" t="s">
        <v>1136</v>
      </c>
      <c r="B861" s="616" t="s">
        <v>1137</v>
      </c>
      <c r="C861" s="616" t="s">
        <v>885</v>
      </c>
      <c r="D861" s="616" t="s">
        <v>216</v>
      </c>
      <c r="E861" s="616" t="s">
        <v>987</v>
      </c>
      <c r="F861" s="617" t="s">
        <v>1212</v>
      </c>
      <c r="G861" s="616" t="s">
        <v>894</v>
      </c>
      <c r="H861" s="617"/>
      <c r="I861" s="617"/>
      <c r="J861" s="617" t="s">
        <v>1004</v>
      </c>
      <c r="K861" s="618"/>
      <c r="L861" s="616"/>
      <c r="M861" s="616"/>
      <c r="N861" s="617"/>
      <c r="O861" s="617"/>
      <c r="P861" s="617"/>
      <c r="Q861" s="617"/>
      <c r="R861" s="619"/>
      <c r="S861" s="617"/>
      <c r="T861" s="616" t="s">
        <v>221</v>
      </c>
    </row>
    <row r="862" ht="34.5">
      <c r="A862" s="616" t="s">
        <v>1136</v>
      </c>
      <c r="B862" s="616" t="s">
        <v>1137</v>
      </c>
      <c r="C862" s="616" t="s">
        <v>885</v>
      </c>
      <c r="D862" s="616" t="s">
        <v>1000</v>
      </c>
      <c r="E862" s="616" t="s">
        <v>987</v>
      </c>
      <c r="F862" s="617" t="s">
        <v>1212</v>
      </c>
      <c r="G862" s="616" t="s">
        <v>894</v>
      </c>
      <c r="H862" s="617"/>
      <c r="I862" s="617"/>
      <c r="J862" s="617" t="s">
        <v>1001</v>
      </c>
      <c r="K862" s="618"/>
      <c r="L862" s="616"/>
      <c r="M862" s="616"/>
      <c r="N862" s="617"/>
      <c r="O862" s="617"/>
      <c r="P862" s="617"/>
      <c r="Q862" s="617"/>
      <c r="R862" s="619"/>
      <c r="S862" s="617"/>
      <c r="T862" s="616" t="s">
        <v>221</v>
      </c>
    </row>
    <row r="863" ht="34.5">
      <c r="A863" s="616" t="s">
        <v>1136</v>
      </c>
      <c r="B863" s="616" t="s">
        <v>1137</v>
      </c>
      <c r="C863" s="616" t="s">
        <v>885</v>
      </c>
      <c r="D863" s="616" t="s">
        <v>1002</v>
      </c>
      <c r="E863" s="616" t="s">
        <v>987</v>
      </c>
      <c r="F863" s="617" t="s">
        <v>1212</v>
      </c>
      <c r="G863" s="616" t="s">
        <v>894</v>
      </c>
      <c r="H863" s="617"/>
      <c r="I863" s="617"/>
      <c r="J863" s="617" t="s">
        <v>1003</v>
      </c>
      <c r="K863" s="618"/>
      <c r="L863" s="616"/>
      <c r="M863" s="616"/>
      <c r="N863" s="617"/>
      <c r="O863" s="617"/>
      <c r="P863" s="617"/>
      <c r="Q863" s="617"/>
      <c r="R863" s="619"/>
      <c r="S863" s="617"/>
      <c r="T863" s="616" t="s">
        <v>221</v>
      </c>
    </row>
    <row r="864" ht="34.5">
      <c r="A864" s="616" t="s">
        <v>1136</v>
      </c>
      <c r="B864" s="616" t="s">
        <v>1137</v>
      </c>
      <c r="C864" s="616" t="s">
        <v>885</v>
      </c>
      <c r="D864" s="616" t="s">
        <v>216</v>
      </c>
      <c r="E864" s="616" t="s">
        <v>987</v>
      </c>
      <c r="F864" s="617" t="s">
        <v>1212</v>
      </c>
      <c r="G864" s="616" t="s">
        <v>894</v>
      </c>
      <c r="H864" s="617"/>
      <c r="I864" s="617"/>
      <c r="J864" s="617" t="s">
        <v>1213</v>
      </c>
      <c r="K864" s="618">
        <v>151038705</v>
      </c>
      <c r="L864" s="616" t="s">
        <v>611</v>
      </c>
      <c r="M864" s="616"/>
      <c r="N864" s="617"/>
      <c r="O864" s="617"/>
      <c r="P864" s="617"/>
      <c r="Q864" s="617"/>
      <c r="R864" s="619"/>
      <c r="S864" s="617"/>
      <c r="T864" s="616" t="s">
        <v>221</v>
      </c>
    </row>
    <row r="865" ht="34.5">
      <c r="A865" s="616" t="s">
        <v>1136</v>
      </c>
      <c r="B865" s="616" t="s">
        <v>1137</v>
      </c>
      <c r="C865" s="616" t="s">
        <v>885</v>
      </c>
      <c r="D865" s="616" t="s">
        <v>216</v>
      </c>
      <c r="E865" s="616" t="s">
        <v>987</v>
      </c>
      <c r="F865" s="617" t="s">
        <v>1212</v>
      </c>
      <c r="G865" s="616" t="s">
        <v>894</v>
      </c>
      <c r="H865" s="617"/>
      <c r="I865" s="617"/>
      <c r="J865" s="617" t="s">
        <v>971</v>
      </c>
      <c r="K865" s="618"/>
      <c r="L865" s="616"/>
      <c r="M865" s="616"/>
      <c r="N865" s="617"/>
      <c r="O865" s="617"/>
      <c r="P865" s="617"/>
      <c r="Q865" s="617"/>
      <c r="R865" s="619"/>
      <c r="S865" s="617"/>
      <c r="T865" s="616" t="s">
        <v>221</v>
      </c>
    </row>
    <row r="866" ht="34.5">
      <c r="A866" s="616" t="s">
        <v>1136</v>
      </c>
      <c r="B866" s="616" t="s">
        <v>1137</v>
      </c>
      <c r="C866" s="616" t="s">
        <v>898</v>
      </c>
      <c r="D866" s="616" t="s">
        <v>216</v>
      </c>
      <c r="E866" s="616" t="s">
        <v>987</v>
      </c>
      <c r="F866" s="617" t="s">
        <v>1212</v>
      </c>
      <c r="G866" s="616" t="s">
        <v>894</v>
      </c>
      <c r="H866" s="617"/>
      <c r="I866" s="617"/>
      <c r="J866" s="617" t="s">
        <v>1214</v>
      </c>
      <c r="K866" s="618"/>
      <c r="L866" s="616"/>
      <c r="M866" s="616"/>
      <c r="N866" s="617"/>
      <c r="O866" s="617"/>
      <c r="P866" s="617"/>
      <c r="Q866" s="617"/>
      <c r="R866" s="619"/>
      <c r="S866" s="617"/>
      <c r="T866" s="616" t="s">
        <v>221</v>
      </c>
    </row>
    <row r="867" ht="34.5">
      <c r="A867" s="616" t="s">
        <v>1136</v>
      </c>
      <c r="B867" s="616" t="s">
        <v>1137</v>
      </c>
      <c r="C867" s="616" t="s">
        <v>898</v>
      </c>
      <c r="D867" s="616" t="s">
        <v>216</v>
      </c>
      <c r="E867" s="616" t="s">
        <v>987</v>
      </c>
      <c r="F867" s="617" t="s">
        <v>1212</v>
      </c>
      <c r="G867" s="616" t="s">
        <v>894</v>
      </c>
      <c r="H867" s="617"/>
      <c r="I867" s="617"/>
      <c r="J867" s="617" t="s">
        <v>1013</v>
      </c>
      <c r="K867" s="618"/>
      <c r="L867" s="616"/>
      <c r="M867" s="616"/>
      <c r="N867" s="617"/>
      <c r="O867" s="617"/>
      <c r="P867" s="617"/>
      <c r="Q867" s="617"/>
      <c r="R867" s="619"/>
      <c r="S867" s="617"/>
      <c r="T867" s="616" t="s">
        <v>221</v>
      </c>
    </row>
    <row r="868" ht="34.5">
      <c r="A868" s="616" t="s">
        <v>1136</v>
      </c>
      <c r="B868" s="616" t="s">
        <v>1137</v>
      </c>
      <c r="C868" s="616" t="s">
        <v>898</v>
      </c>
      <c r="D868" s="616" t="s">
        <v>216</v>
      </c>
      <c r="E868" s="616" t="s">
        <v>987</v>
      </c>
      <c r="F868" s="617" t="s">
        <v>1212</v>
      </c>
      <c r="G868" s="616" t="s">
        <v>894</v>
      </c>
      <c r="H868" s="617"/>
      <c r="I868" s="617"/>
      <c r="J868" s="617" t="s">
        <v>1014</v>
      </c>
      <c r="K868" s="618"/>
      <c r="L868" s="616"/>
      <c r="M868" s="616"/>
      <c r="N868" s="617"/>
      <c r="O868" s="617"/>
      <c r="P868" s="617"/>
      <c r="Q868" s="617"/>
      <c r="R868" s="619"/>
      <c r="S868" s="617"/>
      <c r="T868" s="616" t="s">
        <v>221</v>
      </c>
    </row>
    <row r="869" ht="34.5">
      <c r="A869" s="616" t="s">
        <v>1136</v>
      </c>
      <c r="B869" s="616" t="s">
        <v>1137</v>
      </c>
      <c r="C869" s="616" t="s">
        <v>898</v>
      </c>
      <c r="D869" s="616" t="s">
        <v>216</v>
      </c>
      <c r="E869" s="616" t="s">
        <v>987</v>
      </c>
      <c r="F869" s="617" t="s">
        <v>1212</v>
      </c>
      <c r="G869" s="616" t="s">
        <v>894</v>
      </c>
      <c r="H869" s="617"/>
      <c r="I869" s="617"/>
      <c r="J869" s="617" t="s">
        <v>1215</v>
      </c>
      <c r="K869" s="618">
        <v>87863198</v>
      </c>
      <c r="L869" s="616" t="s">
        <v>611</v>
      </c>
      <c r="M869" s="616"/>
      <c r="N869" s="617"/>
      <c r="O869" s="617"/>
      <c r="P869" s="617"/>
      <c r="Q869" s="617"/>
      <c r="R869" s="619"/>
      <c r="S869" s="617"/>
      <c r="T869" s="616" t="s">
        <v>221</v>
      </c>
    </row>
    <row r="870" ht="34.5">
      <c r="A870" s="616" t="s">
        <v>1136</v>
      </c>
      <c r="B870" s="616" t="s">
        <v>1137</v>
      </c>
      <c r="C870" s="616" t="s">
        <v>898</v>
      </c>
      <c r="D870" s="616" t="s">
        <v>216</v>
      </c>
      <c r="E870" s="616" t="s">
        <v>987</v>
      </c>
      <c r="F870" s="617" t="s">
        <v>1212</v>
      </c>
      <c r="G870" s="616" t="s">
        <v>894</v>
      </c>
      <c r="H870" s="617"/>
      <c r="I870" s="617"/>
      <c r="J870" s="617" t="s">
        <v>1216</v>
      </c>
      <c r="K870" s="618"/>
      <c r="L870" s="616"/>
      <c r="M870" s="616"/>
      <c r="N870" s="617"/>
      <c r="O870" s="617"/>
      <c r="P870" s="617"/>
      <c r="Q870" s="617"/>
      <c r="R870" s="619"/>
      <c r="S870" s="617"/>
      <c r="T870" s="616" t="s">
        <v>221</v>
      </c>
    </row>
    <row r="871" ht="34.5">
      <c r="A871" s="616" t="s">
        <v>1136</v>
      </c>
      <c r="B871" s="616" t="s">
        <v>1137</v>
      </c>
      <c r="C871" s="616" t="s">
        <v>898</v>
      </c>
      <c r="D871" s="616" t="s">
        <v>216</v>
      </c>
      <c r="E871" s="616" t="s">
        <v>987</v>
      </c>
      <c r="F871" s="617" t="s">
        <v>1212</v>
      </c>
      <c r="G871" s="616" t="s">
        <v>894</v>
      </c>
      <c r="H871" s="617"/>
      <c r="I871" s="617"/>
      <c r="J871" s="617" t="s">
        <v>1217</v>
      </c>
      <c r="K871" s="618"/>
      <c r="L871" s="616"/>
      <c r="M871" s="616"/>
      <c r="N871" s="617"/>
      <c r="O871" s="617"/>
      <c r="P871" s="617"/>
      <c r="Q871" s="617"/>
      <c r="R871" s="619"/>
      <c r="S871" s="617"/>
      <c r="T871" s="616" t="s">
        <v>221</v>
      </c>
    </row>
    <row r="872" ht="34.5">
      <c r="A872" s="616" t="s">
        <v>1136</v>
      </c>
      <c r="B872" s="616" t="s">
        <v>1137</v>
      </c>
      <c r="C872" s="616" t="s">
        <v>898</v>
      </c>
      <c r="D872" s="616" t="s">
        <v>216</v>
      </c>
      <c r="E872" s="616" t="s">
        <v>987</v>
      </c>
      <c r="F872" s="617" t="s">
        <v>1212</v>
      </c>
      <c r="G872" s="616" t="s">
        <v>894</v>
      </c>
      <c r="H872" s="617"/>
      <c r="I872" s="617"/>
      <c r="J872" s="617" t="s">
        <v>1020</v>
      </c>
      <c r="K872" s="618"/>
      <c r="L872" s="616"/>
      <c r="M872" s="616"/>
      <c r="N872" s="617"/>
      <c r="O872" s="617"/>
      <c r="P872" s="617"/>
      <c r="Q872" s="617"/>
      <c r="R872" s="619"/>
      <c r="S872" s="617"/>
      <c r="T872" s="616" t="s">
        <v>221</v>
      </c>
    </row>
    <row r="873" ht="34.5">
      <c r="A873" s="616" t="s">
        <v>1136</v>
      </c>
      <c r="B873" s="616" t="s">
        <v>1137</v>
      </c>
      <c r="C873" s="616" t="s">
        <v>898</v>
      </c>
      <c r="D873" s="616" t="s">
        <v>1005</v>
      </c>
      <c r="E873" s="616" t="s">
        <v>987</v>
      </c>
      <c r="F873" s="617" t="s">
        <v>1212</v>
      </c>
      <c r="G873" s="616" t="s">
        <v>894</v>
      </c>
      <c r="H873" s="617"/>
      <c r="I873" s="617"/>
      <c r="J873" s="617" t="s">
        <v>1218</v>
      </c>
      <c r="K873" s="618"/>
      <c r="L873" s="616"/>
      <c r="M873" s="616"/>
      <c r="N873" s="617"/>
      <c r="O873" s="617"/>
      <c r="P873" s="617"/>
      <c r="Q873" s="617"/>
      <c r="R873" s="619"/>
      <c r="S873" s="617"/>
      <c r="T873" s="616" t="s">
        <v>221</v>
      </c>
    </row>
    <row r="874" ht="34.5">
      <c r="A874" s="616" t="s">
        <v>1136</v>
      </c>
      <c r="B874" s="616" t="s">
        <v>1137</v>
      </c>
      <c r="C874" s="616" t="s">
        <v>898</v>
      </c>
      <c r="D874" s="616" t="s">
        <v>216</v>
      </c>
      <c r="E874" s="616" t="s">
        <v>987</v>
      </c>
      <c r="F874" s="617" t="s">
        <v>1212</v>
      </c>
      <c r="G874" s="616" t="s">
        <v>894</v>
      </c>
      <c r="H874" s="617"/>
      <c r="I874" s="617"/>
      <c r="J874" s="617" t="s">
        <v>978</v>
      </c>
      <c r="K874" s="618"/>
      <c r="L874" s="616"/>
      <c r="M874" s="616"/>
      <c r="N874" s="617"/>
      <c r="O874" s="617"/>
      <c r="P874" s="617"/>
      <c r="Q874" s="617"/>
      <c r="R874" s="619"/>
      <c r="S874" s="617"/>
      <c r="T874" s="616" t="s">
        <v>221</v>
      </c>
    </row>
    <row r="875" ht="34.5">
      <c r="A875" s="616" t="s">
        <v>1136</v>
      </c>
      <c r="B875" s="616" t="s">
        <v>1137</v>
      </c>
      <c r="C875" s="616" t="s">
        <v>909</v>
      </c>
      <c r="D875" s="616" t="s">
        <v>216</v>
      </c>
      <c r="E875" s="616" t="s">
        <v>987</v>
      </c>
      <c r="F875" s="617" t="s">
        <v>1212</v>
      </c>
      <c r="G875" s="616" t="s">
        <v>894</v>
      </c>
      <c r="H875" s="617"/>
      <c r="I875" s="617"/>
      <c r="J875" s="617" t="s">
        <v>1023</v>
      </c>
      <c r="K875" s="618"/>
      <c r="L875" s="616"/>
      <c r="M875" s="616"/>
      <c r="N875" s="617"/>
      <c r="O875" s="617"/>
      <c r="P875" s="617"/>
      <c r="Q875" s="617"/>
      <c r="R875" s="619"/>
      <c r="S875" s="617"/>
      <c r="T875" s="616" t="s">
        <v>221</v>
      </c>
    </row>
    <row r="876" ht="34.5">
      <c r="A876" s="616" t="s">
        <v>1136</v>
      </c>
      <c r="B876" s="616" t="s">
        <v>1137</v>
      </c>
      <c r="C876" s="616" t="s">
        <v>909</v>
      </c>
      <c r="D876" s="616" t="s">
        <v>216</v>
      </c>
      <c r="E876" s="616" t="s">
        <v>987</v>
      </c>
      <c r="F876" s="617" t="s">
        <v>1212</v>
      </c>
      <c r="G876" s="616" t="s">
        <v>894</v>
      </c>
      <c r="H876" s="617"/>
      <c r="I876" s="617"/>
      <c r="J876" s="617" t="s">
        <v>1024</v>
      </c>
      <c r="K876" s="618"/>
      <c r="L876" s="616"/>
      <c r="M876" s="616"/>
      <c r="N876" s="617"/>
      <c r="O876" s="617"/>
      <c r="P876" s="617"/>
      <c r="Q876" s="617"/>
      <c r="R876" s="619"/>
      <c r="S876" s="617"/>
      <c r="T876" s="616" t="s">
        <v>221</v>
      </c>
    </row>
    <row r="877" ht="34.5">
      <c r="A877" s="616" t="s">
        <v>1136</v>
      </c>
      <c r="B877" s="616" t="s">
        <v>1137</v>
      </c>
      <c r="C877" s="616" t="s">
        <v>909</v>
      </c>
      <c r="D877" s="616" t="s">
        <v>216</v>
      </c>
      <c r="E877" s="616" t="s">
        <v>987</v>
      </c>
      <c r="F877" s="617" t="s">
        <v>1212</v>
      </c>
      <c r="G877" s="616" t="s">
        <v>894</v>
      </c>
      <c r="H877" s="617"/>
      <c r="I877" s="617"/>
      <c r="J877" s="617" t="s">
        <v>1219</v>
      </c>
      <c r="K877" s="618"/>
      <c r="L877" s="616"/>
      <c r="M877" s="616"/>
      <c r="N877" s="617"/>
      <c r="O877" s="617"/>
      <c r="P877" s="617"/>
      <c r="Q877" s="617"/>
      <c r="R877" s="619"/>
      <c r="S877" s="617"/>
      <c r="T877" s="616" t="s">
        <v>221</v>
      </c>
    </row>
    <row r="878" ht="34.5">
      <c r="A878" s="616" t="s">
        <v>1136</v>
      </c>
      <c r="B878" s="616" t="s">
        <v>1137</v>
      </c>
      <c r="C878" s="616" t="s">
        <v>909</v>
      </c>
      <c r="D878" s="616" t="s">
        <v>216</v>
      </c>
      <c r="E878" s="616" t="s">
        <v>987</v>
      </c>
      <c r="F878" s="617" t="s">
        <v>1212</v>
      </c>
      <c r="G878" s="616" t="s">
        <v>894</v>
      </c>
      <c r="H878" s="617"/>
      <c r="I878" s="617"/>
      <c r="J878" s="617" t="s">
        <v>1220</v>
      </c>
      <c r="K878" s="618">
        <v>15637168</v>
      </c>
      <c r="L878" s="616" t="s">
        <v>611</v>
      </c>
      <c r="M878" s="616"/>
      <c r="N878" s="617"/>
      <c r="O878" s="617"/>
      <c r="P878" s="617"/>
      <c r="Q878" s="617"/>
      <c r="R878" s="619"/>
      <c r="S878" s="617"/>
      <c r="T878" s="616" t="s">
        <v>221</v>
      </c>
    </row>
    <row r="879" ht="34.5">
      <c r="A879" s="616" t="s">
        <v>1136</v>
      </c>
      <c r="B879" s="616" t="s">
        <v>1137</v>
      </c>
      <c r="C879" s="616" t="s">
        <v>909</v>
      </c>
      <c r="D879" s="616" t="s">
        <v>216</v>
      </c>
      <c r="E879" s="616" t="s">
        <v>987</v>
      </c>
      <c r="F879" s="617" t="s">
        <v>1212</v>
      </c>
      <c r="G879" s="616" t="s">
        <v>894</v>
      </c>
      <c r="H879" s="617"/>
      <c r="I879" s="617"/>
      <c r="J879" s="617" t="s">
        <v>1029</v>
      </c>
      <c r="K879" s="618"/>
      <c r="L879" s="616"/>
      <c r="M879" s="616"/>
      <c r="N879" s="617"/>
      <c r="O879" s="617"/>
      <c r="P879" s="617"/>
      <c r="Q879" s="617"/>
      <c r="R879" s="619"/>
      <c r="S879" s="617"/>
      <c r="T879" s="616" t="s">
        <v>221</v>
      </c>
    </row>
    <row r="880" ht="34.5">
      <c r="A880" s="616" t="s">
        <v>1136</v>
      </c>
      <c r="B880" s="616" t="s">
        <v>1137</v>
      </c>
      <c r="C880" s="616" t="s">
        <v>909</v>
      </c>
      <c r="D880" s="616" t="s">
        <v>216</v>
      </c>
      <c r="E880" s="616" t="s">
        <v>987</v>
      </c>
      <c r="F880" s="617" t="s">
        <v>1212</v>
      </c>
      <c r="G880" s="616" t="s">
        <v>894</v>
      </c>
      <c r="H880" s="617"/>
      <c r="I880" s="617"/>
      <c r="J880" s="617" t="s">
        <v>1030</v>
      </c>
      <c r="K880" s="618"/>
      <c r="L880" s="616"/>
      <c r="M880" s="616"/>
      <c r="N880" s="617"/>
      <c r="O880" s="617"/>
      <c r="P880" s="617"/>
      <c r="Q880" s="617"/>
      <c r="R880" s="619"/>
      <c r="S880" s="617"/>
      <c r="T880" s="616" t="s">
        <v>221</v>
      </c>
    </row>
    <row r="881" ht="34.5">
      <c r="A881" s="616" t="s">
        <v>1136</v>
      </c>
      <c r="B881" s="616" t="s">
        <v>1137</v>
      </c>
      <c r="C881" s="616" t="s">
        <v>909</v>
      </c>
      <c r="D881" s="616" t="s">
        <v>216</v>
      </c>
      <c r="E881" s="616" t="s">
        <v>987</v>
      </c>
      <c r="F881" s="617" t="s">
        <v>1212</v>
      </c>
      <c r="G881" s="616" t="s">
        <v>894</v>
      </c>
      <c r="H881" s="617"/>
      <c r="I881" s="617"/>
      <c r="J881" s="617" t="s">
        <v>1031</v>
      </c>
      <c r="K881" s="618"/>
      <c r="L881" s="616"/>
      <c r="M881" s="616"/>
      <c r="N881" s="617"/>
      <c r="O881" s="617"/>
      <c r="P881" s="617"/>
      <c r="Q881" s="617"/>
      <c r="R881" s="619"/>
      <c r="S881" s="617"/>
      <c r="T881" s="616" t="s">
        <v>221</v>
      </c>
    </row>
    <row r="882" ht="34.5">
      <c r="A882" s="616" t="s">
        <v>1136</v>
      </c>
      <c r="B882" s="616" t="s">
        <v>1137</v>
      </c>
      <c r="C882" s="616" t="s">
        <v>909</v>
      </c>
      <c r="D882" s="616" t="s">
        <v>216</v>
      </c>
      <c r="E882" s="616" t="s">
        <v>987</v>
      </c>
      <c r="F882" s="617" t="s">
        <v>1212</v>
      </c>
      <c r="G882" s="616" t="s">
        <v>894</v>
      </c>
      <c r="H882" s="617"/>
      <c r="I882" s="617"/>
      <c r="J882" s="617" t="s">
        <v>1032</v>
      </c>
      <c r="K882" s="618"/>
      <c r="L882" s="616"/>
      <c r="M882" s="616"/>
      <c r="N882" s="617"/>
      <c r="O882" s="617"/>
      <c r="P882" s="617"/>
      <c r="Q882" s="617"/>
      <c r="R882" s="619"/>
      <c r="S882" s="617"/>
      <c r="T882" s="616" t="s">
        <v>221</v>
      </c>
    </row>
    <row r="883" ht="34.5">
      <c r="A883" s="616" t="s">
        <v>1136</v>
      </c>
      <c r="B883" s="616" t="s">
        <v>1137</v>
      </c>
      <c r="C883" s="616" t="s">
        <v>909</v>
      </c>
      <c r="D883" s="616" t="s">
        <v>216</v>
      </c>
      <c r="E883" s="616" t="s">
        <v>987</v>
      </c>
      <c r="F883" s="617" t="s">
        <v>1212</v>
      </c>
      <c r="G883" s="616" t="s">
        <v>894</v>
      </c>
      <c r="H883" s="617"/>
      <c r="I883" s="617"/>
      <c r="J883" s="617" t="s">
        <v>1033</v>
      </c>
      <c r="K883" s="618"/>
      <c r="L883" s="616"/>
      <c r="M883" s="616"/>
      <c r="N883" s="617"/>
      <c r="O883" s="617"/>
      <c r="P883" s="617"/>
      <c r="Q883" s="617"/>
      <c r="R883" s="619"/>
      <c r="S883" s="617"/>
      <c r="T883" s="616" t="s">
        <v>221</v>
      </c>
    </row>
    <row r="884" ht="34.5">
      <c r="A884" s="616" t="s">
        <v>1136</v>
      </c>
      <c r="B884" s="616" t="s">
        <v>1137</v>
      </c>
      <c r="C884" s="616" t="s">
        <v>909</v>
      </c>
      <c r="D884" s="616" t="s">
        <v>216</v>
      </c>
      <c r="E884" s="616" t="s">
        <v>987</v>
      </c>
      <c r="F884" s="617" t="s">
        <v>1212</v>
      </c>
      <c r="G884" s="616" t="s">
        <v>894</v>
      </c>
      <c r="H884" s="617"/>
      <c r="I884" s="617"/>
      <c r="J884" s="617" t="s">
        <v>1034</v>
      </c>
      <c r="K884" s="618"/>
      <c r="L884" s="616"/>
      <c r="M884" s="616"/>
      <c r="N884" s="617"/>
      <c r="O884" s="617"/>
      <c r="P884" s="617"/>
      <c r="Q884" s="617"/>
      <c r="R884" s="619"/>
      <c r="S884" s="617"/>
      <c r="T884" s="616" t="s">
        <v>221</v>
      </c>
    </row>
    <row r="885" ht="34.5">
      <c r="A885" s="616" t="s">
        <v>1136</v>
      </c>
      <c r="B885" s="616" t="s">
        <v>1137</v>
      </c>
      <c r="C885" s="616" t="s">
        <v>909</v>
      </c>
      <c r="D885" s="616" t="s">
        <v>216</v>
      </c>
      <c r="E885" s="616" t="s">
        <v>987</v>
      </c>
      <c r="F885" s="617" t="s">
        <v>1212</v>
      </c>
      <c r="G885" s="616" t="s">
        <v>894</v>
      </c>
      <c r="H885" s="617"/>
      <c r="I885" s="617"/>
      <c r="J885" s="617" t="s">
        <v>1035</v>
      </c>
      <c r="K885" s="618"/>
      <c r="L885" s="616"/>
      <c r="M885" s="616"/>
      <c r="N885" s="617"/>
      <c r="O885" s="617"/>
      <c r="P885" s="617"/>
      <c r="Q885" s="617"/>
      <c r="R885" s="619"/>
      <c r="S885" s="617"/>
      <c r="T885" s="616" t="s">
        <v>221</v>
      </c>
    </row>
    <row r="886" ht="34.5">
      <c r="A886" s="616" t="s">
        <v>1136</v>
      </c>
      <c r="B886" s="616" t="s">
        <v>1137</v>
      </c>
      <c r="C886" s="616" t="s">
        <v>909</v>
      </c>
      <c r="D886" s="616" t="s">
        <v>216</v>
      </c>
      <c r="E886" s="616" t="s">
        <v>987</v>
      </c>
      <c r="F886" s="617" t="s">
        <v>1212</v>
      </c>
      <c r="G886" s="616" t="s">
        <v>894</v>
      </c>
      <c r="H886" s="617"/>
      <c r="I886" s="617"/>
      <c r="J886" s="617" t="s">
        <v>1036</v>
      </c>
      <c r="K886" s="618"/>
      <c r="L886" s="616"/>
      <c r="M886" s="616"/>
      <c r="N886" s="617"/>
      <c r="O886" s="617"/>
      <c r="P886" s="617"/>
      <c r="Q886" s="617"/>
      <c r="R886" s="619"/>
      <c r="S886" s="617"/>
      <c r="T886" s="616" t="s">
        <v>221</v>
      </c>
    </row>
    <row r="887" ht="34.5">
      <c r="A887" s="616" t="s">
        <v>1136</v>
      </c>
      <c r="B887" s="616" t="s">
        <v>1137</v>
      </c>
      <c r="C887" s="616" t="s">
        <v>909</v>
      </c>
      <c r="D887" s="616" t="s">
        <v>216</v>
      </c>
      <c r="E887" s="616" t="s">
        <v>987</v>
      </c>
      <c r="F887" s="617" t="s">
        <v>1212</v>
      </c>
      <c r="G887" s="616" t="s">
        <v>894</v>
      </c>
      <c r="H887" s="617"/>
      <c r="I887" s="617"/>
      <c r="J887" s="617" t="s">
        <v>1221</v>
      </c>
      <c r="K887" s="618"/>
      <c r="L887" s="616"/>
      <c r="M887" s="616"/>
      <c r="N887" s="617"/>
      <c r="O887" s="617"/>
      <c r="P887" s="617"/>
      <c r="Q887" s="617"/>
      <c r="R887" s="619"/>
      <c r="S887" s="617"/>
      <c r="T887" s="616" t="s">
        <v>221</v>
      </c>
    </row>
    <row r="888" ht="34.5">
      <c r="A888" s="616" t="s">
        <v>1136</v>
      </c>
      <c r="B888" s="616" t="s">
        <v>1137</v>
      </c>
      <c r="C888" s="616" t="s">
        <v>927</v>
      </c>
      <c r="D888" s="616" t="s">
        <v>216</v>
      </c>
      <c r="E888" s="616" t="s">
        <v>987</v>
      </c>
      <c r="F888" s="617" t="s">
        <v>1212</v>
      </c>
      <c r="G888" s="616" t="s">
        <v>894</v>
      </c>
      <c r="H888" s="617"/>
      <c r="I888" s="617"/>
      <c r="J888" s="617" t="s">
        <v>1037</v>
      </c>
      <c r="K888" s="618"/>
      <c r="L888" s="616"/>
      <c r="M888" s="616"/>
      <c r="N888" s="617"/>
      <c r="O888" s="617"/>
      <c r="P888" s="617"/>
      <c r="Q888" s="617"/>
      <c r="R888" s="619"/>
      <c r="S888" s="617"/>
      <c r="T888" s="616" t="s">
        <v>221</v>
      </c>
    </row>
    <row r="889" ht="34.5">
      <c r="A889" s="616" t="s">
        <v>1136</v>
      </c>
      <c r="B889" s="616" t="s">
        <v>1137</v>
      </c>
      <c r="C889" s="616" t="s">
        <v>927</v>
      </c>
      <c r="D889" s="616" t="s">
        <v>216</v>
      </c>
      <c r="E889" s="616" t="s">
        <v>987</v>
      </c>
      <c r="F889" s="617" t="s">
        <v>1212</v>
      </c>
      <c r="G889" s="616" t="s">
        <v>894</v>
      </c>
      <c r="H889" s="617"/>
      <c r="I889" s="617"/>
      <c r="J889" s="617" t="s">
        <v>1038</v>
      </c>
      <c r="K889" s="618"/>
      <c r="L889" s="616"/>
      <c r="M889" s="616"/>
      <c r="N889" s="617"/>
      <c r="O889" s="617"/>
      <c r="P889" s="617"/>
      <c r="Q889" s="617"/>
      <c r="R889" s="619"/>
      <c r="S889" s="617"/>
      <c r="T889" s="616" t="s">
        <v>221</v>
      </c>
    </row>
    <row r="890" ht="34.5">
      <c r="A890" s="616" t="s">
        <v>1136</v>
      </c>
      <c r="B890" s="616" t="s">
        <v>1137</v>
      </c>
      <c r="C890" s="616" t="s">
        <v>927</v>
      </c>
      <c r="D890" s="616" t="s">
        <v>216</v>
      </c>
      <c r="E890" s="616" t="s">
        <v>987</v>
      </c>
      <c r="F890" s="617" t="s">
        <v>1212</v>
      </c>
      <c r="G890" s="616" t="s">
        <v>894</v>
      </c>
      <c r="H890" s="617"/>
      <c r="I890" s="617"/>
      <c r="J890" s="617" t="s">
        <v>1222</v>
      </c>
      <c r="K890" s="618"/>
      <c r="L890" s="616"/>
      <c r="M890" s="616"/>
      <c r="N890" s="617"/>
      <c r="O890" s="617"/>
      <c r="P890" s="617"/>
      <c r="Q890" s="617"/>
      <c r="R890" s="619"/>
      <c r="S890" s="617"/>
      <c r="T890" s="616" t="s">
        <v>221</v>
      </c>
    </row>
    <row r="891" ht="34.5">
      <c r="A891" s="616" t="s">
        <v>1136</v>
      </c>
      <c r="B891" s="616" t="s">
        <v>1137</v>
      </c>
      <c r="C891" s="616" t="s">
        <v>927</v>
      </c>
      <c r="D891" s="616" t="s">
        <v>216</v>
      </c>
      <c r="E891" s="616" t="s">
        <v>987</v>
      </c>
      <c r="F891" s="617" t="s">
        <v>1212</v>
      </c>
      <c r="G891" s="616" t="s">
        <v>894</v>
      </c>
      <c r="H891" s="617"/>
      <c r="I891" s="617"/>
      <c r="J891" s="617" t="s">
        <v>1223</v>
      </c>
      <c r="K891" s="618"/>
      <c r="L891" s="616"/>
      <c r="M891" s="616"/>
      <c r="N891" s="617"/>
      <c r="O891" s="617"/>
      <c r="P891" s="617"/>
      <c r="Q891" s="617"/>
      <c r="R891" s="619"/>
      <c r="S891" s="617"/>
      <c r="T891" s="616" t="s">
        <v>221</v>
      </c>
    </row>
    <row r="892" ht="34.5">
      <c r="A892" s="616" t="s">
        <v>1136</v>
      </c>
      <c r="B892" s="616" t="s">
        <v>1137</v>
      </c>
      <c r="C892" s="616" t="s">
        <v>927</v>
      </c>
      <c r="D892" s="616" t="s">
        <v>216</v>
      </c>
      <c r="E892" s="616" t="s">
        <v>987</v>
      </c>
      <c r="F892" s="617" t="s">
        <v>1212</v>
      </c>
      <c r="G892" s="616" t="s">
        <v>894</v>
      </c>
      <c r="H892" s="617"/>
      <c r="I892" s="617"/>
      <c r="J892" s="617" t="s">
        <v>1224</v>
      </c>
      <c r="K892" s="618">
        <v>-10000000</v>
      </c>
      <c r="L892" s="616" t="s">
        <v>611</v>
      </c>
      <c r="M892" s="616"/>
      <c r="N892" s="617"/>
      <c r="O892" s="617"/>
      <c r="P892" s="617"/>
      <c r="Q892" s="617"/>
      <c r="R892" s="619"/>
      <c r="S892" s="617"/>
      <c r="T892" s="616" t="s">
        <v>221</v>
      </c>
    </row>
    <row r="893" ht="34.5">
      <c r="A893" s="616" t="s">
        <v>1136</v>
      </c>
      <c r="B893" s="616" t="s">
        <v>1137</v>
      </c>
      <c r="C893" s="616" t="s">
        <v>927</v>
      </c>
      <c r="D893" s="616" t="s">
        <v>216</v>
      </c>
      <c r="E893" s="616" t="s">
        <v>987</v>
      </c>
      <c r="F893" s="617" t="s">
        <v>1212</v>
      </c>
      <c r="G893" s="616" t="s">
        <v>894</v>
      </c>
      <c r="H893" s="617"/>
      <c r="I893" s="617"/>
      <c r="J893" s="617" t="s">
        <v>1225</v>
      </c>
      <c r="K893" s="618"/>
      <c r="L893" s="616"/>
      <c r="M893" s="616"/>
      <c r="N893" s="617"/>
      <c r="O893" s="617"/>
      <c r="P893" s="617"/>
      <c r="Q893" s="617"/>
      <c r="R893" s="619"/>
      <c r="S893" s="617"/>
      <c r="T893" s="616" t="s">
        <v>221</v>
      </c>
    </row>
    <row r="894" ht="34.5">
      <c r="A894" s="616" t="s">
        <v>1136</v>
      </c>
      <c r="B894" s="616" t="s">
        <v>1137</v>
      </c>
      <c r="C894" s="616" t="s">
        <v>927</v>
      </c>
      <c r="D894" s="616" t="s">
        <v>216</v>
      </c>
      <c r="E894" s="616" t="s">
        <v>987</v>
      </c>
      <c r="F894" s="617" t="s">
        <v>1212</v>
      </c>
      <c r="G894" s="616" t="s">
        <v>894</v>
      </c>
      <c r="H894" s="617"/>
      <c r="I894" s="617"/>
      <c r="J894" s="617" t="s">
        <v>1044</v>
      </c>
      <c r="K894" s="618"/>
      <c r="L894" s="616"/>
      <c r="M894" s="616"/>
      <c r="N894" s="617"/>
      <c r="O894" s="617"/>
      <c r="P894" s="617"/>
      <c r="Q894" s="617"/>
      <c r="R894" s="619"/>
      <c r="S894" s="617"/>
      <c r="T894" s="616" t="s">
        <v>221</v>
      </c>
    </row>
    <row r="895" ht="34.5">
      <c r="A895" s="616" t="s">
        <v>1136</v>
      </c>
      <c r="B895" s="616" t="s">
        <v>1137</v>
      </c>
      <c r="C895" s="616" t="s">
        <v>927</v>
      </c>
      <c r="D895" s="616" t="s">
        <v>216</v>
      </c>
      <c r="E895" s="616" t="s">
        <v>987</v>
      </c>
      <c r="F895" s="617" t="s">
        <v>1212</v>
      </c>
      <c r="G895" s="616" t="s">
        <v>894</v>
      </c>
      <c r="H895" s="617"/>
      <c r="I895" s="617"/>
      <c r="J895" s="617" t="s">
        <v>1045</v>
      </c>
      <c r="K895" s="618"/>
      <c r="L895" s="616"/>
      <c r="M895" s="616"/>
      <c r="N895" s="617"/>
      <c r="O895" s="617"/>
      <c r="P895" s="617"/>
      <c r="Q895" s="617"/>
      <c r="R895" s="619"/>
      <c r="S895" s="617"/>
      <c r="T895" s="616" t="s">
        <v>221</v>
      </c>
    </row>
    <row r="896" ht="34.5">
      <c r="A896" s="616" t="s">
        <v>1136</v>
      </c>
      <c r="B896" s="616" t="s">
        <v>1137</v>
      </c>
      <c r="C896" s="616" t="s">
        <v>927</v>
      </c>
      <c r="D896" s="616" t="s">
        <v>216</v>
      </c>
      <c r="E896" s="616" t="s">
        <v>987</v>
      </c>
      <c r="F896" s="617" t="s">
        <v>1212</v>
      </c>
      <c r="G896" s="616" t="s">
        <v>894</v>
      </c>
      <c r="H896" s="617"/>
      <c r="I896" s="617"/>
      <c r="J896" s="617" t="s">
        <v>1046</v>
      </c>
      <c r="K896" s="618"/>
      <c r="L896" s="616"/>
      <c r="M896" s="616"/>
      <c r="N896" s="617"/>
      <c r="O896" s="617"/>
      <c r="P896" s="617"/>
      <c r="Q896" s="617"/>
      <c r="R896" s="619"/>
      <c r="S896" s="617"/>
      <c r="T896" s="616" t="s">
        <v>221</v>
      </c>
    </row>
    <row r="897" ht="34.5">
      <c r="A897" s="616" t="s">
        <v>1136</v>
      </c>
      <c r="B897" s="616" t="s">
        <v>1137</v>
      </c>
      <c r="C897" s="616" t="s">
        <v>927</v>
      </c>
      <c r="D897" s="616" t="s">
        <v>216</v>
      </c>
      <c r="E897" s="616" t="s">
        <v>987</v>
      </c>
      <c r="F897" s="617" t="s">
        <v>1212</v>
      </c>
      <c r="G897" s="616" t="s">
        <v>894</v>
      </c>
      <c r="H897" s="617"/>
      <c r="I897" s="617"/>
      <c r="J897" s="617" t="s">
        <v>1226</v>
      </c>
      <c r="K897" s="618"/>
      <c r="L897" s="616"/>
      <c r="M897" s="616"/>
      <c r="N897" s="617"/>
      <c r="O897" s="617"/>
      <c r="P897" s="617"/>
      <c r="Q897" s="617"/>
      <c r="R897" s="619"/>
      <c r="S897" s="617"/>
      <c r="T897" s="616" t="s">
        <v>221</v>
      </c>
    </row>
    <row r="898" ht="34.5">
      <c r="A898" s="616" t="s">
        <v>1136</v>
      </c>
      <c r="B898" s="616" t="s">
        <v>1137</v>
      </c>
      <c r="C898" s="616" t="s">
        <v>943</v>
      </c>
      <c r="D898" s="616" t="s">
        <v>216</v>
      </c>
      <c r="E898" s="616" t="s">
        <v>987</v>
      </c>
      <c r="F898" s="617" t="s">
        <v>1212</v>
      </c>
      <c r="G898" s="616" t="s">
        <v>894</v>
      </c>
      <c r="H898" s="617"/>
      <c r="I898" s="617"/>
      <c r="J898" s="617" t="s">
        <v>1047</v>
      </c>
      <c r="K898" s="618"/>
      <c r="L898" s="616"/>
      <c r="M898" s="616"/>
      <c r="N898" s="617"/>
      <c r="O898" s="617"/>
      <c r="P898" s="617"/>
      <c r="Q898" s="617"/>
      <c r="R898" s="619"/>
      <c r="S898" s="617"/>
      <c r="T898" s="616" t="s">
        <v>221</v>
      </c>
    </row>
    <row r="899" ht="34.5">
      <c r="A899" s="616" t="s">
        <v>1136</v>
      </c>
      <c r="B899" s="616" t="s">
        <v>1137</v>
      </c>
      <c r="C899" s="616" t="s">
        <v>943</v>
      </c>
      <c r="D899" s="616" t="s">
        <v>216</v>
      </c>
      <c r="E899" s="616" t="s">
        <v>987</v>
      </c>
      <c r="F899" s="617" t="s">
        <v>1212</v>
      </c>
      <c r="G899" s="616" t="s">
        <v>894</v>
      </c>
      <c r="H899" s="617"/>
      <c r="I899" s="617"/>
      <c r="J899" s="617" t="s">
        <v>1048</v>
      </c>
      <c r="K899" s="618"/>
      <c r="L899" s="616"/>
      <c r="M899" s="616"/>
      <c r="N899" s="617"/>
      <c r="O899" s="617"/>
      <c r="P899" s="617"/>
      <c r="Q899" s="617"/>
      <c r="R899" s="619"/>
      <c r="S899" s="617"/>
      <c r="T899" s="616" t="s">
        <v>221</v>
      </c>
    </row>
    <row r="900" ht="34.5">
      <c r="A900" s="616" t="s">
        <v>1136</v>
      </c>
      <c r="B900" s="616" t="s">
        <v>1137</v>
      </c>
      <c r="C900" s="616" t="s">
        <v>943</v>
      </c>
      <c r="D900" s="616" t="s">
        <v>216</v>
      </c>
      <c r="E900" s="616" t="s">
        <v>987</v>
      </c>
      <c r="F900" s="617" t="s">
        <v>1212</v>
      </c>
      <c r="G900" s="616" t="s">
        <v>894</v>
      </c>
      <c r="H900" s="617"/>
      <c r="I900" s="617"/>
      <c r="J900" s="617" t="s">
        <v>1049</v>
      </c>
      <c r="K900" s="618"/>
      <c r="L900" s="616"/>
      <c r="M900" s="616"/>
      <c r="N900" s="617"/>
      <c r="O900" s="617"/>
      <c r="P900" s="617"/>
      <c r="Q900" s="617"/>
      <c r="R900" s="619"/>
      <c r="S900" s="617"/>
      <c r="T900" s="616" t="s">
        <v>221</v>
      </c>
    </row>
    <row r="901" ht="34.5">
      <c r="A901" s="616" t="s">
        <v>1136</v>
      </c>
      <c r="B901" s="616" t="s">
        <v>1137</v>
      </c>
      <c r="C901" s="616" t="s">
        <v>943</v>
      </c>
      <c r="D901" s="616" t="s">
        <v>216</v>
      </c>
      <c r="E901" s="616" t="s">
        <v>987</v>
      </c>
      <c r="F901" s="617" t="s">
        <v>1212</v>
      </c>
      <c r="G901" s="616" t="s">
        <v>894</v>
      </c>
      <c r="H901" s="617"/>
      <c r="I901" s="617"/>
      <c r="J901" s="617" t="s">
        <v>1050</v>
      </c>
      <c r="K901" s="618"/>
      <c r="L901" s="616"/>
      <c r="M901" s="616"/>
      <c r="N901" s="617"/>
      <c r="O901" s="617"/>
      <c r="P901" s="617"/>
      <c r="Q901" s="617"/>
      <c r="R901" s="619"/>
      <c r="S901" s="617"/>
      <c r="T901" s="616" t="s">
        <v>221</v>
      </c>
    </row>
    <row r="902" ht="34.5">
      <c r="A902" s="616" t="s">
        <v>1136</v>
      </c>
      <c r="B902" s="616" t="s">
        <v>1137</v>
      </c>
      <c r="C902" s="616" t="s">
        <v>943</v>
      </c>
      <c r="D902" s="616" t="s">
        <v>216</v>
      </c>
      <c r="E902" s="616" t="s">
        <v>987</v>
      </c>
      <c r="F902" s="617" t="s">
        <v>1212</v>
      </c>
      <c r="G902" s="616" t="s">
        <v>894</v>
      </c>
      <c r="H902" s="617"/>
      <c r="I902" s="617"/>
      <c r="J902" s="617" t="s">
        <v>1227</v>
      </c>
      <c r="K902" s="618">
        <v>32324680</v>
      </c>
      <c r="L902" s="616" t="s">
        <v>611</v>
      </c>
      <c r="M902" s="616"/>
      <c r="N902" s="617"/>
      <c r="O902" s="617"/>
      <c r="P902" s="617"/>
      <c r="Q902" s="617"/>
      <c r="R902" s="619"/>
      <c r="S902" s="617"/>
      <c r="T902" s="616" t="s">
        <v>221</v>
      </c>
    </row>
    <row r="903" ht="34.5">
      <c r="A903" s="616" t="s">
        <v>1136</v>
      </c>
      <c r="B903" s="616" t="s">
        <v>1137</v>
      </c>
      <c r="C903" s="616" t="s">
        <v>943</v>
      </c>
      <c r="D903" s="616" t="s">
        <v>216</v>
      </c>
      <c r="E903" s="616" t="s">
        <v>987</v>
      </c>
      <c r="F903" s="617" t="s">
        <v>1212</v>
      </c>
      <c r="G903" s="616" t="s">
        <v>894</v>
      </c>
      <c r="H903" s="617"/>
      <c r="I903" s="617"/>
      <c r="J903" s="617" t="s">
        <v>1228</v>
      </c>
      <c r="K903" s="618"/>
      <c r="L903" s="616"/>
      <c r="M903" s="616"/>
      <c r="N903" s="617"/>
      <c r="O903" s="617"/>
      <c r="P903" s="617"/>
      <c r="Q903" s="617"/>
      <c r="R903" s="619"/>
      <c r="S903" s="617"/>
      <c r="T903" s="616" t="s">
        <v>221</v>
      </c>
    </row>
    <row r="904" ht="34.5">
      <c r="A904" s="616" t="s">
        <v>1136</v>
      </c>
      <c r="B904" s="616" t="s">
        <v>1137</v>
      </c>
      <c r="C904" s="616" t="s">
        <v>943</v>
      </c>
      <c r="D904" s="616" t="s">
        <v>1021</v>
      </c>
      <c r="E904" s="616" t="s">
        <v>987</v>
      </c>
      <c r="F904" s="617" t="s">
        <v>1212</v>
      </c>
      <c r="G904" s="616" t="s">
        <v>894</v>
      </c>
      <c r="H904" s="617"/>
      <c r="I904" s="617"/>
      <c r="J904" s="617" t="s">
        <v>1229</v>
      </c>
      <c r="K904" s="618"/>
      <c r="L904" s="616"/>
      <c r="M904" s="616"/>
      <c r="N904" s="617"/>
      <c r="O904" s="617"/>
      <c r="P904" s="617"/>
      <c r="Q904" s="617"/>
      <c r="R904" s="619"/>
      <c r="S904" s="617"/>
      <c r="T904" s="616" t="s">
        <v>221</v>
      </c>
    </row>
    <row r="905" ht="34.5">
      <c r="A905" s="616" t="s">
        <v>1136</v>
      </c>
      <c r="B905" s="616" t="s">
        <v>1137</v>
      </c>
      <c r="C905" s="616" t="s">
        <v>943</v>
      </c>
      <c r="D905" s="616" t="s">
        <v>216</v>
      </c>
      <c r="E905" s="616" t="s">
        <v>987</v>
      </c>
      <c r="F905" s="617" t="s">
        <v>1212</v>
      </c>
      <c r="G905" s="616" t="s">
        <v>894</v>
      </c>
      <c r="H905" s="617"/>
      <c r="I905" s="617"/>
      <c r="J905" s="617" t="s">
        <v>1057</v>
      </c>
      <c r="K905" s="618"/>
      <c r="L905" s="616"/>
      <c r="M905" s="616"/>
      <c r="N905" s="617"/>
      <c r="O905" s="617"/>
      <c r="P905" s="617"/>
      <c r="Q905" s="617"/>
      <c r="R905" s="619"/>
      <c r="S905" s="617"/>
      <c r="T905" s="616" t="s">
        <v>221</v>
      </c>
    </row>
    <row r="906" ht="34.5">
      <c r="A906" s="616" t="s">
        <v>1136</v>
      </c>
      <c r="B906" s="616" t="s">
        <v>1137</v>
      </c>
      <c r="C906" s="616" t="s">
        <v>943</v>
      </c>
      <c r="D906" s="616" t="s">
        <v>216</v>
      </c>
      <c r="E906" s="616" t="s">
        <v>987</v>
      </c>
      <c r="F906" s="617" t="s">
        <v>1212</v>
      </c>
      <c r="G906" s="616" t="s">
        <v>894</v>
      </c>
      <c r="H906" s="617"/>
      <c r="I906" s="617"/>
      <c r="J906" s="617" t="s">
        <v>1058</v>
      </c>
      <c r="K906" s="618"/>
      <c r="L906" s="616"/>
      <c r="M906" s="616"/>
      <c r="N906" s="617"/>
      <c r="O906" s="617"/>
      <c r="P906" s="617"/>
      <c r="Q906" s="617"/>
      <c r="R906" s="619"/>
      <c r="S906" s="617"/>
      <c r="T906" s="616" t="s">
        <v>221</v>
      </c>
    </row>
    <row r="907" ht="34.5">
      <c r="A907" s="616" t="s">
        <v>1136</v>
      </c>
      <c r="B907" s="616" t="s">
        <v>1137</v>
      </c>
      <c r="C907" s="616" t="s">
        <v>943</v>
      </c>
      <c r="D907" s="616" t="s">
        <v>216</v>
      </c>
      <c r="E907" s="616" t="s">
        <v>987</v>
      </c>
      <c r="F907" s="617" t="s">
        <v>1212</v>
      </c>
      <c r="G907" s="616" t="s">
        <v>894</v>
      </c>
      <c r="H907" s="617"/>
      <c r="I907" s="617"/>
      <c r="J907" s="617" t="s">
        <v>1059</v>
      </c>
      <c r="K907" s="618"/>
      <c r="L907" s="616"/>
      <c r="M907" s="616"/>
      <c r="N907" s="617"/>
      <c r="O907" s="617"/>
      <c r="P907" s="617"/>
      <c r="Q907" s="617"/>
      <c r="R907" s="619"/>
      <c r="S907" s="617"/>
      <c r="T907" s="616" t="s">
        <v>221</v>
      </c>
    </row>
    <row r="908" ht="34.5">
      <c r="A908" s="616" t="s">
        <v>1136</v>
      </c>
      <c r="B908" s="616" t="s">
        <v>1137</v>
      </c>
      <c r="C908" s="616" t="s">
        <v>943</v>
      </c>
      <c r="D908" s="616" t="s">
        <v>216</v>
      </c>
      <c r="E908" s="616" t="s">
        <v>987</v>
      </c>
      <c r="F908" s="617" t="s">
        <v>1212</v>
      </c>
      <c r="G908" s="616" t="s">
        <v>894</v>
      </c>
      <c r="H908" s="617"/>
      <c r="I908" s="617"/>
      <c r="J908" s="617" t="s">
        <v>1010</v>
      </c>
      <c r="K908" s="618"/>
      <c r="L908" s="616"/>
      <c r="M908" s="616"/>
      <c r="N908" s="617"/>
      <c r="O908" s="617"/>
      <c r="P908" s="617"/>
      <c r="Q908" s="617"/>
      <c r="R908" s="619"/>
      <c r="S908" s="617"/>
      <c r="T908" s="616" t="s">
        <v>221</v>
      </c>
    </row>
    <row r="909" ht="34.5">
      <c r="A909" s="616" t="s">
        <v>1136</v>
      </c>
      <c r="B909" s="616" t="s">
        <v>1137</v>
      </c>
      <c r="C909" s="616" t="s">
        <v>960</v>
      </c>
      <c r="D909" s="616" t="s">
        <v>216</v>
      </c>
      <c r="E909" s="616" t="s">
        <v>987</v>
      </c>
      <c r="F909" s="617" t="s">
        <v>1212</v>
      </c>
      <c r="G909" s="616" t="s">
        <v>894</v>
      </c>
      <c r="H909" s="617"/>
      <c r="I909" s="617"/>
      <c r="J909" s="617" t="s">
        <v>679</v>
      </c>
      <c r="K909" s="618"/>
      <c r="L909" s="616"/>
      <c r="M909" s="616"/>
      <c r="N909" s="617"/>
      <c r="O909" s="617"/>
      <c r="P909" s="617"/>
      <c r="Q909" s="617"/>
      <c r="R909" s="619"/>
      <c r="S909" s="617"/>
      <c r="T909" s="616" t="s">
        <v>221</v>
      </c>
    </row>
    <row r="910" ht="34.5">
      <c r="A910" s="616" t="s">
        <v>1136</v>
      </c>
      <c r="B910" s="616" t="s">
        <v>1137</v>
      </c>
      <c r="C910" s="616" t="s">
        <v>960</v>
      </c>
      <c r="D910" s="616" t="s">
        <v>216</v>
      </c>
      <c r="E910" s="616" t="s">
        <v>987</v>
      </c>
      <c r="F910" s="617" t="s">
        <v>1212</v>
      </c>
      <c r="G910" s="616" t="s">
        <v>894</v>
      </c>
      <c r="H910" s="617"/>
      <c r="I910" s="617"/>
      <c r="J910" s="617" t="s">
        <v>1167</v>
      </c>
      <c r="K910" s="618"/>
      <c r="L910" s="616"/>
      <c r="M910" s="616"/>
      <c r="N910" s="617"/>
      <c r="O910" s="617"/>
      <c r="P910" s="617"/>
      <c r="Q910" s="617"/>
      <c r="R910" s="619"/>
      <c r="S910" s="617"/>
      <c r="T910" s="616" t="s">
        <v>221</v>
      </c>
    </row>
    <row r="911" ht="34.5">
      <c r="A911" s="616" t="s">
        <v>1136</v>
      </c>
      <c r="B911" s="616" t="s">
        <v>1137</v>
      </c>
      <c r="C911" s="616" t="s">
        <v>960</v>
      </c>
      <c r="D911" s="616" t="s">
        <v>1230</v>
      </c>
      <c r="E911" s="616" t="s">
        <v>987</v>
      </c>
      <c r="F911" s="617" t="s">
        <v>1212</v>
      </c>
      <c r="G911" s="616" t="s">
        <v>894</v>
      </c>
      <c r="H911" s="617"/>
      <c r="I911" s="617"/>
      <c r="J911" s="617" t="s">
        <v>1231</v>
      </c>
      <c r="K911" s="618"/>
      <c r="L911" s="616"/>
      <c r="M911" s="616"/>
      <c r="N911" s="617"/>
      <c r="O911" s="617"/>
      <c r="P911" s="617"/>
      <c r="Q911" s="617"/>
      <c r="R911" s="619"/>
      <c r="S911" s="617"/>
      <c r="T911" s="616" t="s">
        <v>221</v>
      </c>
    </row>
    <row r="912" ht="34.5">
      <c r="A912" s="616" t="s">
        <v>1136</v>
      </c>
      <c r="B912" s="616" t="s">
        <v>1137</v>
      </c>
      <c r="C912" s="616" t="s">
        <v>960</v>
      </c>
      <c r="D912" s="616" t="s">
        <v>216</v>
      </c>
      <c r="E912" s="616" t="s">
        <v>987</v>
      </c>
      <c r="F912" s="617" t="s">
        <v>1212</v>
      </c>
      <c r="G912" s="616" t="s">
        <v>894</v>
      </c>
      <c r="H912" s="617"/>
      <c r="I912" s="617"/>
      <c r="J912" s="617" t="s">
        <v>1063</v>
      </c>
      <c r="K912" s="618"/>
      <c r="L912" s="616"/>
      <c r="M912" s="616"/>
      <c r="N912" s="617"/>
      <c r="O912" s="617"/>
      <c r="P912" s="617"/>
      <c r="Q912" s="617"/>
      <c r="R912" s="619"/>
      <c r="S912" s="617"/>
      <c r="T912" s="616" t="s">
        <v>221</v>
      </c>
    </row>
    <row r="913" ht="34.5">
      <c r="A913" s="616" t="s">
        <v>1136</v>
      </c>
      <c r="B913" s="616" t="s">
        <v>1137</v>
      </c>
      <c r="C913" s="616" t="s">
        <v>960</v>
      </c>
      <c r="D913" s="616" t="s">
        <v>216</v>
      </c>
      <c r="E913" s="616" t="s">
        <v>987</v>
      </c>
      <c r="F913" s="617" t="s">
        <v>1212</v>
      </c>
      <c r="G913" s="616" t="s">
        <v>894</v>
      </c>
      <c r="H913" s="617"/>
      <c r="I913" s="617"/>
      <c r="J913" s="617" t="s">
        <v>1064</v>
      </c>
      <c r="K913" s="618">
        <v>2000000</v>
      </c>
      <c r="L913" s="616" t="s">
        <v>611</v>
      </c>
      <c r="M913" s="616"/>
      <c r="N913" s="617"/>
      <c r="O913" s="617"/>
      <c r="P913" s="617"/>
      <c r="Q913" s="617"/>
      <c r="R913" s="619"/>
      <c r="S913" s="617"/>
      <c r="T913" s="616" t="s">
        <v>221</v>
      </c>
    </row>
    <row r="914" ht="34.5">
      <c r="A914" s="616" t="s">
        <v>1136</v>
      </c>
      <c r="B914" s="616" t="s">
        <v>1137</v>
      </c>
      <c r="C914" s="616" t="s">
        <v>960</v>
      </c>
      <c r="D914" s="616" t="s">
        <v>216</v>
      </c>
      <c r="E914" s="616" t="s">
        <v>987</v>
      </c>
      <c r="F914" s="617" t="s">
        <v>1212</v>
      </c>
      <c r="G914" s="616" t="s">
        <v>894</v>
      </c>
      <c r="H914" s="617"/>
      <c r="I914" s="617"/>
      <c r="J914" s="617" t="s">
        <v>1065</v>
      </c>
      <c r="K914" s="618"/>
      <c r="L914" s="616"/>
      <c r="M914" s="616"/>
      <c r="N914" s="617"/>
      <c r="O914" s="617"/>
      <c r="P914" s="617"/>
      <c r="Q914" s="617"/>
      <c r="R914" s="619"/>
      <c r="S914" s="617"/>
      <c r="T914" s="616" t="s">
        <v>221</v>
      </c>
    </row>
    <row r="915" ht="34.5">
      <c r="A915" s="616" t="s">
        <v>1136</v>
      </c>
      <c r="B915" s="616" t="s">
        <v>1137</v>
      </c>
      <c r="C915" s="616" t="s">
        <v>960</v>
      </c>
      <c r="D915" s="616" t="s">
        <v>1055</v>
      </c>
      <c r="E915" s="616" t="s">
        <v>987</v>
      </c>
      <c r="F915" s="617" t="s">
        <v>1212</v>
      </c>
      <c r="G915" s="616" t="s">
        <v>894</v>
      </c>
      <c r="H915" s="617"/>
      <c r="I915" s="617"/>
      <c r="J915" s="617" t="s">
        <v>1056</v>
      </c>
      <c r="K915" s="618"/>
      <c r="L915" s="616"/>
      <c r="M915" s="616"/>
      <c r="N915" s="617"/>
      <c r="O915" s="617"/>
      <c r="P915" s="617"/>
      <c r="Q915" s="617"/>
      <c r="R915" s="619"/>
      <c r="S915" s="617"/>
      <c r="T915" s="616" t="s">
        <v>221</v>
      </c>
    </row>
    <row r="916" ht="34.5">
      <c r="A916" s="616" t="s">
        <v>1136</v>
      </c>
      <c r="B916" s="616" t="s">
        <v>1137</v>
      </c>
      <c r="C916" s="616" t="s">
        <v>960</v>
      </c>
      <c r="D916" s="616" t="s">
        <v>216</v>
      </c>
      <c r="E916" s="616" t="s">
        <v>992</v>
      </c>
      <c r="F916" s="617" t="s">
        <v>1232</v>
      </c>
      <c r="G916" s="616" t="s">
        <v>727</v>
      </c>
      <c r="H916" s="617"/>
      <c r="I916" s="617"/>
      <c r="J916" s="617" t="s">
        <v>1233</v>
      </c>
      <c r="K916" s="618"/>
      <c r="L916" s="616"/>
      <c r="M916" s="616"/>
      <c r="N916" s="617"/>
      <c r="O916" s="617"/>
      <c r="P916" s="617"/>
      <c r="Q916" s="617"/>
      <c r="R916" s="619"/>
      <c r="S916" s="617"/>
      <c r="T916" s="616" t="s">
        <v>221</v>
      </c>
    </row>
    <row r="917" ht="34.5">
      <c r="A917" s="616" t="s">
        <v>1136</v>
      </c>
      <c r="B917" s="616" t="s">
        <v>1137</v>
      </c>
      <c r="C917" s="616" t="s">
        <v>960</v>
      </c>
      <c r="D917" s="616" t="s">
        <v>216</v>
      </c>
      <c r="E917" s="616" t="s">
        <v>992</v>
      </c>
      <c r="F917" s="617" t="s">
        <v>1232</v>
      </c>
      <c r="G917" s="616" t="s">
        <v>727</v>
      </c>
      <c r="H917" s="617"/>
      <c r="I917" s="617"/>
      <c r="J917" s="617" t="s">
        <v>1234</v>
      </c>
      <c r="K917" s="618"/>
      <c r="L917" s="616"/>
      <c r="M917" s="616"/>
      <c r="N917" s="617"/>
      <c r="O917" s="617"/>
      <c r="P917" s="617"/>
      <c r="Q917" s="617"/>
      <c r="R917" s="619"/>
      <c r="S917" s="617"/>
      <c r="T917" s="616" t="s">
        <v>221</v>
      </c>
    </row>
    <row r="918" ht="34.5">
      <c r="A918" s="616" t="s">
        <v>1136</v>
      </c>
      <c r="B918" s="616" t="s">
        <v>1137</v>
      </c>
      <c r="C918" s="616" t="s">
        <v>960</v>
      </c>
      <c r="D918" s="616" t="s">
        <v>216</v>
      </c>
      <c r="E918" s="616" t="s">
        <v>992</v>
      </c>
      <c r="F918" s="617" t="s">
        <v>1232</v>
      </c>
      <c r="G918" s="616" t="s">
        <v>727</v>
      </c>
      <c r="H918" s="617"/>
      <c r="I918" s="617"/>
      <c r="J918" s="617" t="s">
        <v>1235</v>
      </c>
      <c r="K918" s="618"/>
      <c r="L918" s="616"/>
      <c r="M918" s="616"/>
      <c r="N918" s="617"/>
      <c r="O918" s="617"/>
      <c r="P918" s="617"/>
      <c r="Q918" s="617"/>
      <c r="R918" s="619"/>
      <c r="S918" s="617"/>
      <c r="T918" s="616" t="s">
        <v>221</v>
      </c>
    </row>
    <row r="919" ht="34.5">
      <c r="A919" s="616" t="s">
        <v>1136</v>
      </c>
      <c r="B919" s="616" t="s">
        <v>1137</v>
      </c>
      <c r="C919" s="616" t="s">
        <v>960</v>
      </c>
      <c r="D919" s="616" t="s">
        <v>216</v>
      </c>
      <c r="E919" s="616" t="s">
        <v>992</v>
      </c>
      <c r="F919" s="617" t="s">
        <v>1232</v>
      </c>
      <c r="G919" s="616" t="s">
        <v>727</v>
      </c>
      <c r="H919" s="617"/>
      <c r="I919" s="617"/>
      <c r="J919" s="617" t="s">
        <v>1236</v>
      </c>
      <c r="K919" s="618"/>
      <c r="L919" s="616"/>
      <c r="M919" s="616"/>
      <c r="N919" s="617"/>
      <c r="O919" s="617"/>
      <c r="P919" s="617"/>
      <c r="Q919" s="617"/>
      <c r="R919" s="619"/>
      <c r="S919" s="617"/>
      <c r="T919" s="616" t="s">
        <v>221</v>
      </c>
    </row>
    <row r="920" ht="34.5">
      <c r="A920" s="616" t="s">
        <v>1136</v>
      </c>
      <c r="B920" s="616" t="s">
        <v>1137</v>
      </c>
      <c r="C920" s="616" t="s">
        <v>960</v>
      </c>
      <c r="D920" s="616" t="s">
        <v>216</v>
      </c>
      <c r="E920" s="616" t="s">
        <v>992</v>
      </c>
      <c r="F920" s="617" t="s">
        <v>1232</v>
      </c>
      <c r="G920" s="616" t="s">
        <v>727</v>
      </c>
      <c r="H920" s="617"/>
      <c r="I920" s="617"/>
      <c r="J920" s="617" t="s">
        <v>1017</v>
      </c>
      <c r="K920" s="618"/>
      <c r="L920" s="616"/>
      <c r="M920" s="616"/>
      <c r="N920" s="617"/>
      <c r="O920" s="617"/>
      <c r="P920" s="617"/>
      <c r="Q920" s="617"/>
      <c r="R920" s="619"/>
      <c r="S920" s="617"/>
      <c r="T920" s="616" t="s">
        <v>221</v>
      </c>
    </row>
    <row r="921" ht="34.5">
      <c r="A921" s="616" t="s">
        <v>1136</v>
      </c>
      <c r="B921" s="616" t="s">
        <v>1137</v>
      </c>
      <c r="C921" s="616" t="s">
        <v>972</v>
      </c>
      <c r="D921" s="616" t="s">
        <v>216</v>
      </c>
      <c r="E921" s="616" t="s">
        <v>1068</v>
      </c>
      <c r="F921" s="617" t="s">
        <v>1237</v>
      </c>
      <c r="G921" s="616" t="s">
        <v>727</v>
      </c>
      <c r="H921" s="617"/>
      <c r="I921" s="617"/>
      <c r="J921" s="617" t="s">
        <v>1238</v>
      </c>
      <c r="K921" s="618"/>
      <c r="L921" s="616"/>
      <c r="M921" s="616"/>
      <c r="N921" s="617"/>
      <c r="O921" s="617"/>
      <c r="P921" s="617"/>
      <c r="Q921" s="617"/>
      <c r="R921" s="619"/>
      <c r="S921" s="617"/>
      <c r="T921" s="616" t="s">
        <v>221</v>
      </c>
    </row>
    <row r="922" ht="34.5">
      <c r="A922" s="616" t="s">
        <v>1136</v>
      </c>
      <c r="B922" s="616" t="s">
        <v>1137</v>
      </c>
      <c r="C922" s="616" t="s">
        <v>972</v>
      </c>
      <c r="D922" s="616" t="s">
        <v>216</v>
      </c>
      <c r="E922" s="616" t="s">
        <v>1068</v>
      </c>
      <c r="F922" s="617" t="s">
        <v>1237</v>
      </c>
      <c r="G922" s="616" t="s">
        <v>727</v>
      </c>
      <c r="H922" s="617"/>
      <c r="I922" s="617"/>
      <c r="J922" s="617" t="s">
        <v>1239</v>
      </c>
      <c r="K922" s="618"/>
      <c r="L922" s="616"/>
      <c r="M922" s="616"/>
      <c r="N922" s="617"/>
      <c r="O922" s="617"/>
      <c r="P922" s="617"/>
      <c r="Q922" s="617"/>
      <c r="R922" s="619"/>
      <c r="S922" s="617"/>
      <c r="T922" s="616" t="s">
        <v>221</v>
      </c>
    </row>
    <row r="923" ht="34.5">
      <c r="A923" s="616" t="s">
        <v>1136</v>
      </c>
      <c r="B923" s="616" t="s">
        <v>1137</v>
      </c>
      <c r="C923" s="616" t="s">
        <v>972</v>
      </c>
      <c r="D923" s="616" t="s">
        <v>1060</v>
      </c>
      <c r="E923" s="616" t="s">
        <v>1068</v>
      </c>
      <c r="F923" s="617" t="s">
        <v>1237</v>
      </c>
      <c r="G923" s="616" t="s">
        <v>727</v>
      </c>
      <c r="H923" s="617"/>
      <c r="I923" s="617"/>
      <c r="J923" s="617" t="s">
        <v>1061</v>
      </c>
      <c r="K923" s="618"/>
      <c r="L923" s="616"/>
      <c r="M923" s="616"/>
      <c r="N923" s="617"/>
      <c r="O923" s="617"/>
      <c r="P923" s="617"/>
      <c r="Q923" s="617"/>
      <c r="R923" s="619"/>
      <c r="S923" s="617"/>
      <c r="T923" s="616" t="s">
        <v>221</v>
      </c>
    </row>
    <row r="924" ht="34.5">
      <c r="A924" s="616" t="s">
        <v>1136</v>
      </c>
      <c r="B924" s="616" t="s">
        <v>1137</v>
      </c>
      <c r="C924" s="616" t="s">
        <v>972</v>
      </c>
      <c r="D924" s="616" t="s">
        <v>216</v>
      </c>
      <c r="E924" s="616" t="s">
        <v>1068</v>
      </c>
      <c r="F924" s="617" t="s">
        <v>1237</v>
      </c>
      <c r="G924" s="616" t="s">
        <v>727</v>
      </c>
      <c r="H924" s="617"/>
      <c r="I924" s="617"/>
      <c r="J924" s="617" t="s">
        <v>1240</v>
      </c>
      <c r="K924" s="618"/>
      <c r="L924" s="616"/>
      <c r="M924" s="616"/>
      <c r="N924" s="617"/>
      <c r="O924" s="617"/>
      <c r="P924" s="617"/>
      <c r="Q924" s="617"/>
      <c r="R924" s="619"/>
      <c r="S924" s="617"/>
      <c r="T924" s="616" t="s">
        <v>221</v>
      </c>
    </row>
    <row r="925" ht="34.5">
      <c r="A925" s="616" t="s">
        <v>1136</v>
      </c>
      <c r="B925" s="616" t="s">
        <v>1137</v>
      </c>
      <c r="C925" s="616" t="s">
        <v>972</v>
      </c>
      <c r="D925" s="616" t="s">
        <v>216</v>
      </c>
      <c r="E925" s="616" t="s">
        <v>1068</v>
      </c>
      <c r="F925" s="617" t="s">
        <v>1237</v>
      </c>
      <c r="G925" s="616" t="s">
        <v>727</v>
      </c>
      <c r="H925" s="617"/>
      <c r="I925" s="617"/>
      <c r="J925" s="617" t="s">
        <v>1241</v>
      </c>
      <c r="K925" s="618"/>
      <c r="L925" s="616"/>
      <c r="M925" s="616"/>
      <c r="N925" s="617"/>
      <c r="O925" s="617"/>
      <c r="P925" s="617"/>
      <c r="Q925" s="617"/>
      <c r="R925" s="619"/>
      <c r="S925" s="617"/>
      <c r="T925" s="616" t="s">
        <v>221</v>
      </c>
    </row>
    <row r="926" ht="34.5">
      <c r="A926" s="616" t="s">
        <v>1136</v>
      </c>
      <c r="B926" s="616" t="s">
        <v>1137</v>
      </c>
      <c r="C926" s="616" t="s">
        <v>972</v>
      </c>
      <c r="D926" s="616" t="s">
        <v>1066</v>
      </c>
      <c r="E926" s="616" t="s">
        <v>1068</v>
      </c>
      <c r="F926" s="617" t="s">
        <v>1237</v>
      </c>
      <c r="G926" s="616" t="s">
        <v>727</v>
      </c>
      <c r="H926" s="617"/>
      <c r="I926" s="617"/>
      <c r="J926" s="617" t="s">
        <v>1067</v>
      </c>
      <c r="K926" s="618"/>
      <c r="L926" s="616"/>
      <c r="M926" s="616"/>
      <c r="N926" s="617"/>
      <c r="O926" s="617"/>
      <c r="P926" s="617"/>
      <c r="Q926" s="617"/>
      <c r="R926" s="619"/>
      <c r="S926" s="617"/>
      <c r="T926" s="616" t="s">
        <v>221</v>
      </c>
    </row>
    <row r="927" ht="34.5">
      <c r="A927" s="616" t="s">
        <v>1136</v>
      </c>
      <c r="B927" s="616" t="s">
        <v>1137</v>
      </c>
      <c r="C927" s="616" t="s">
        <v>972</v>
      </c>
      <c r="D927" s="616" t="s">
        <v>216</v>
      </c>
      <c r="E927" s="616" t="s">
        <v>1074</v>
      </c>
      <c r="F927" s="617" t="s">
        <v>1242</v>
      </c>
      <c r="G927" s="616" t="s">
        <v>698</v>
      </c>
      <c r="H927" s="617"/>
      <c r="I927" s="617"/>
      <c r="J927" s="617" t="s">
        <v>1243</v>
      </c>
      <c r="K927" s="618"/>
      <c r="L927" s="616"/>
      <c r="M927" s="616"/>
      <c r="N927" s="617"/>
      <c r="O927" s="617"/>
      <c r="P927" s="617"/>
      <c r="Q927" s="617"/>
      <c r="R927" s="619"/>
      <c r="S927" s="617"/>
      <c r="T927" s="616" t="s">
        <v>221</v>
      </c>
    </row>
    <row r="928" ht="34.5">
      <c r="A928" s="616" t="s">
        <v>1136</v>
      </c>
      <c r="B928" s="616" t="s">
        <v>1137</v>
      </c>
      <c r="C928" s="616" t="s">
        <v>979</v>
      </c>
      <c r="D928" s="616" t="s">
        <v>1078</v>
      </c>
      <c r="E928" s="616" t="s">
        <v>1074</v>
      </c>
      <c r="F928" s="617" t="s">
        <v>1242</v>
      </c>
      <c r="G928" s="616" t="s">
        <v>698</v>
      </c>
      <c r="H928" s="617"/>
      <c r="I928" s="617"/>
      <c r="J928" s="617" t="s">
        <v>1079</v>
      </c>
      <c r="K928" s="618"/>
      <c r="L928" s="616"/>
      <c r="M928" s="616"/>
      <c r="N928" s="617"/>
      <c r="O928" s="617"/>
      <c r="P928" s="617"/>
      <c r="Q928" s="617"/>
      <c r="R928" s="619"/>
      <c r="S928" s="617"/>
      <c r="T928" s="616" t="s">
        <v>221</v>
      </c>
    </row>
    <row r="929" ht="34.5">
      <c r="A929" s="616" t="s">
        <v>1136</v>
      </c>
      <c r="B929" s="616" t="s">
        <v>1137</v>
      </c>
      <c r="C929" s="616" t="s">
        <v>986</v>
      </c>
      <c r="D929" s="616" t="s">
        <v>1081</v>
      </c>
      <c r="E929" s="616" t="s">
        <v>1074</v>
      </c>
      <c r="F929" s="617" t="s">
        <v>1242</v>
      </c>
      <c r="G929" s="616" t="s">
        <v>698</v>
      </c>
      <c r="H929" s="617"/>
      <c r="I929" s="617"/>
      <c r="J929" s="617" t="s">
        <v>1244</v>
      </c>
      <c r="K929" s="618"/>
      <c r="L929" s="616"/>
      <c r="M929" s="616"/>
      <c r="N929" s="617"/>
      <c r="O929" s="617"/>
      <c r="P929" s="617"/>
      <c r="Q929" s="617"/>
      <c r="R929" s="619"/>
      <c r="S929" s="617"/>
      <c r="T929" s="616" t="s">
        <v>221</v>
      </c>
    </row>
    <row r="930" ht="34.5">
      <c r="A930" s="616" t="s">
        <v>1136</v>
      </c>
      <c r="B930" s="616" t="s">
        <v>1137</v>
      </c>
      <c r="C930" s="616" t="s">
        <v>997</v>
      </c>
      <c r="D930" s="616" t="s">
        <v>216</v>
      </c>
      <c r="E930" s="616" t="s">
        <v>1074</v>
      </c>
      <c r="F930" s="617" t="s">
        <v>1242</v>
      </c>
      <c r="G930" s="616" t="s">
        <v>698</v>
      </c>
      <c r="H930" s="617"/>
      <c r="I930" s="617"/>
      <c r="J930" s="617" t="s">
        <v>1130</v>
      </c>
      <c r="K930" s="618"/>
      <c r="L930" s="616"/>
      <c r="M930" s="616"/>
      <c r="N930" s="617"/>
      <c r="O930" s="617"/>
      <c r="P930" s="617"/>
      <c r="Q930" s="617"/>
      <c r="R930" s="619"/>
      <c r="S930" s="617"/>
      <c r="T930" s="616" t="s">
        <v>221</v>
      </c>
    </row>
    <row r="931" ht="34.5">
      <c r="A931" s="616" t="s">
        <v>1136</v>
      </c>
      <c r="B931" s="616" t="s">
        <v>1137</v>
      </c>
      <c r="C931" s="616" t="s">
        <v>997</v>
      </c>
      <c r="D931" s="616" t="s">
        <v>216</v>
      </c>
      <c r="E931" s="616" t="s">
        <v>1074</v>
      </c>
      <c r="F931" s="617" t="s">
        <v>1242</v>
      </c>
      <c r="G931" s="616" t="s">
        <v>698</v>
      </c>
      <c r="H931" s="617"/>
      <c r="I931" s="617"/>
      <c r="J931" s="617" t="s">
        <v>1131</v>
      </c>
      <c r="K931" s="618"/>
      <c r="L931" s="616"/>
      <c r="M931" s="616"/>
      <c r="N931" s="617"/>
      <c r="O931" s="617"/>
      <c r="P931" s="617"/>
      <c r="Q931" s="617"/>
      <c r="R931" s="619"/>
      <c r="S931" s="617"/>
      <c r="T931" s="616" t="s">
        <v>221</v>
      </c>
    </row>
    <row r="932" ht="34.5">
      <c r="A932" s="616" t="s">
        <v>1136</v>
      </c>
      <c r="B932" s="616" t="s">
        <v>1137</v>
      </c>
      <c r="C932" s="616" t="s">
        <v>997</v>
      </c>
      <c r="D932" s="616" t="s">
        <v>216</v>
      </c>
      <c r="E932" s="616" t="s">
        <v>1074</v>
      </c>
      <c r="F932" s="617" t="s">
        <v>1242</v>
      </c>
      <c r="G932" s="616" t="s">
        <v>698</v>
      </c>
      <c r="H932" s="617"/>
      <c r="I932" s="617"/>
      <c r="J932" s="617" t="s">
        <v>1132</v>
      </c>
      <c r="K932" s="618"/>
      <c r="L932" s="616"/>
      <c r="M932" s="616"/>
      <c r="N932" s="617"/>
      <c r="O932" s="617"/>
      <c r="P932" s="617"/>
      <c r="Q932" s="617"/>
      <c r="R932" s="619"/>
      <c r="S932" s="617"/>
      <c r="T932" s="616" t="s">
        <v>221</v>
      </c>
    </row>
    <row r="933" ht="34.5">
      <c r="A933" s="616" t="s">
        <v>1136</v>
      </c>
      <c r="B933" s="616" t="s">
        <v>1137</v>
      </c>
      <c r="C933" s="616" t="s">
        <v>997</v>
      </c>
      <c r="D933" s="616" t="s">
        <v>216</v>
      </c>
      <c r="E933" s="616" t="s">
        <v>1074</v>
      </c>
      <c r="F933" s="617" t="s">
        <v>1242</v>
      </c>
      <c r="G933" s="616" t="s">
        <v>698</v>
      </c>
      <c r="H933" s="617"/>
      <c r="I933" s="617"/>
      <c r="J933" s="617" t="s">
        <v>1133</v>
      </c>
      <c r="K933" s="618"/>
      <c r="L933" s="616"/>
      <c r="M933" s="616"/>
      <c r="N933" s="617"/>
      <c r="O933" s="617"/>
      <c r="P933" s="617"/>
      <c r="Q933" s="617"/>
      <c r="R933" s="619"/>
      <c r="S933" s="617"/>
      <c r="T933" s="616" t="s">
        <v>221</v>
      </c>
    </row>
    <row r="934" ht="34.5">
      <c r="A934" s="616" t="s">
        <v>1136</v>
      </c>
      <c r="B934" s="616" t="s">
        <v>1137</v>
      </c>
      <c r="C934" s="616" t="s">
        <v>997</v>
      </c>
      <c r="D934" s="616" t="s">
        <v>216</v>
      </c>
      <c r="E934" s="616" t="s">
        <v>1074</v>
      </c>
      <c r="F934" s="617" t="s">
        <v>1242</v>
      </c>
      <c r="G934" s="616" t="s">
        <v>698</v>
      </c>
      <c r="H934" s="617"/>
      <c r="I934" s="617"/>
      <c r="J934" s="617" t="s">
        <v>1245</v>
      </c>
      <c r="K934" s="618"/>
      <c r="L934" s="616"/>
      <c r="M934" s="616"/>
      <c r="N934" s="617"/>
      <c r="O934" s="617"/>
      <c r="P934" s="617"/>
      <c r="Q934" s="617"/>
      <c r="R934" s="619"/>
      <c r="S934" s="617"/>
      <c r="T934" s="616" t="s">
        <v>221</v>
      </c>
    </row>
    <row r="935" ht="34.5">
      <c r="A935" s="616" t="s">
        <v>1136</v>
      </c>
      <c r="B935" s="616" t="s">
        <v>1137</v>
      </c>
      <c r="C935" s="616" t="s">
        <v>997</v>
      </c>
      <c r="D935" s="616" t="s">
        <v>216</v>
      </c>
      <c r="E935" s="616" t="s">
        <v>1074</v>
      </c>
      <c r="F935" s="617" t="s">
        <v>1242</v>
      </c>
      <c r="G935" s="616" t="s">
        <v>698</v>
      </c>
      <c r="H935" s="617"/>
      <c r="I935" s="617"/>
      <c r="J935" s="617" t="s">
        <v>1246</v>
      </c>
      <c r="K935" s="618"/>
      <c r="L935" s="616"/>
      <c r="M935" s="616"/>
      <c r="N935" s="617"/>
      <c r="O935" s="617"/>
      <c r="P935" s="617"/>
      <c r="Q935" s="617"/>
      <c r="R935" s="619"/>
      <c r="S935" s="617"/>
      <c r="T935" s="616" t="s">
        <v>221</v>
      </c>
    </row>
    <row r="936" ht="34.5">
      <c r="A936" s="616" t="s">
        <v>1247</v>
      </c>
      <c r="B936" s="616" t="s">
        <v>1248</v>
      </c>
      <c r="C936" s="616" t="s">
        <v>593</v>
      </c>
      <c r="D936" s="616" t="s">
        <v>216</v>
      </c>
      <c r="E936" s="616" t="s">
        <v>1249</v>
      </c>
      <c r="F936" s="617" t="s">
        <v>1250</v>
      </c>
      <c r="G936" s="616" t="s">
        <v>219</v>
      </c>
      <c r="H936" s="617"/>
      <c r="I936" s="617"/>
      <c r="J936" s="617" t="s">
        <v>1251</v>
      </c>
      <c r="K936" s="618"/>
      <c r="L936" s="616"/>
      <c r="M936" s="616"/>
      <c r="N936" s="617"/>
      <c r="O936" s="617"/>
      <c r="P936" s="617"/>
      <c r="Q936" s="617"/>
      <c r="R936" s="619"/>
      <c r="S936" s="617"/>
      <c r="T936" s="616" t="s">
        <v>221</v>
      </c>
    </row>
    <row r="937" ht="34.5">
      <c r="A937" s="616" t="s">
        <v>1247</v>
      </c>
      <c r="B937" s="616" t="s">
        <v>1248</v>
      </c>
      <c r="C937" s="616" t="s">
        <v>593</v>
      </c>
      <c r="D937" s="616" t="s">
        <v>216</v>
      </c>
      <c r="E937" s="616" t="s">
        <v>1249</v>
      </c>
      <c r="F937" s="617" t="s">
        <v>1250</v>
      </c>
      <c r="G937" s="616" t="s">
        <v>219</v>
      </c>
      <c r="H937" s="617"/>
      <c r="I937" s="617"/>
      <c r="J937" s="617" t="s">
        <v>1252</v>
      </c>
      <c r="K937" s="618"/>
      <c r="L937" s="616"/>
      <c r="M937" s="616"/>
      <c r="N937" s="617"/>
      <c r="O937" s="617"/>
      <c r="P937" s="617"/>
      <c r="Q937" s="617"/>
      <c r="R937" s="619"/>
      <c r="S937" s="617"/>
      <c r="T937" s="616" t="s">
        <v>221</v>
      </c>
    </row>
    <row r="938" ht="34.5">
      <c r="A938" s="616" t="s">
        <v>1247</v>
      </c>
      <c r="B938" s="616" t="s">
        <v>1248</v>
      </c>
      <c r="C938" s="616" t="s">
        <v>593</v>
      </c>
      <c r="D938" s="616" t="s">
        <v>216</v>
      </c>
      <c r="E938" s="616" t="s">
        <v>1249</v>
      </c>
      <c r="F938" s="617" t="s">
        <v>1250</v>
      </c>
      <c r="G938" s="616" t="s">
        <v>219</v>
      </c>
      <c r="H938" s="617"/>
      <c r="I938" s="617"/>
      <c r="J938" s="617" t="s">
        <v>1253</v>
      </c>
      <c r="K938" s="618"/>
      <c r="L938" s="616"/>
      <c r="M938" s="616"/>
      <c r="N938" s="617"/>
      <c r="O938" s="617"/>
      <c r="P938" s="617"/>
      <c r="Q938" s="617"/>
      <c r="R938" s="619"/>
      <c r="S938" s="617"/>
      <c r="T938" s="616" t="s">
        <v>221</v>
      </c>
    </row>
    <row r="939" ht="34.5">
      <c r="A939" s="616" t="s">
        <v>1247</v>
      </c>
      <c r="B939" s="616" t="s">
        <v>1248</v>
      </c>
      <c r="C939" s="616" t="s">
        <v>593</v>
      </c>
      <c r="D939" s="616" t="s">
        <v>216</v>
      </c>
      <c r="E939" s="616" t="s">
        <v>1249</v>
      </c>
      <c r="F939" s="617" t="s">
        <v>1250</v>
      </c>
      <c r="G939" s="616" t="s">
        <v>219</v>
      </c>
      <c r="H939" s="617"/>
      <c r="I939" s="617"/>
      <c r="J939" s="617" t="s">
        <v>1254</v>
      </c>
      <c r="K939" s="618"/>
      <c r="L939" s="616"/>
      <c r="M939" s="616"/>
      <c r="N939" s="617"/>
      <c r="O939" s="617"/>
      <c r="P939" s="617"/>
      <c r="Q939" s="617"/>
      <c r="R939" s="619"/>
      <c r="S939" s="617"/>
      <c r="T939" s="616" t="s">
        <v>221</v>
      </c>
    </row>
    <row r="940" ht="34.5">
      <c r="A940" s="616" t="s">
        <v>1247</v>
      </c>
      <c r="B940" s="616" t="s">
        <v>1248</v>
      </c>
      <c r="C940" s="616" t="s">
        <v>593</v>
      </c>
      <c r="D940" s="616" t="s">
        <v>216</v>
      </c>
      <c r="E940" s="616" t="s">
        <v>1249</v>
      </c>
      <c r="F940" s="617" t="s">
        <v>1250</v>
      </c>
      <c r="G940" s="616" t="s">
        <v>219</v>
      </c>
      <c r="H940" s="617"/>
      <c r="I940" s="617"/>
      <c r="J940" s="617" t="s">
        <v>1255</v>
      </c>
      <c r="K940" s="618"/>
      <c r="L940" s="616"/>
      <c r="M940" s="616"/>
      <c r="N940" s="617"/>
      <c r="O940" s="617"/>
      <c r="P940" s="617"/>
      <c r="Q940" s="617"/>
      <c r="R940" s="619"/>
      <c r="S940" s="617"/>
      <c r="T940" s="616" t="s">
        <v>221</v>
      </c>
    </row>
    <row r="941" ht="34.5">
      <c r="A941" s="616" t="s">
        <v>1247</v>
      </c>
      <c r="B941" s="616" t="s">
        <v>1248</v>
      </c>
      <c r="C941" s="616" t="s">
        <v>593</v>
      </c>
      <c r="D941" s="616" t="s">
        <v>216</v>
      </c>
      <c r="E941" s="616" t="s">
        <v>1249</v>
      </c>
      <c r="F941" s="617" t="s">
        <v>1250</v>
      </c>
      <c r="G941" s="616" t="s">
        <v>219</v>
      </c>
      <c r="H941" s="617"/>
      <c r="I941" s="617"/>
      <c r="J941" s="617" t="s">
        <v>1256</v>
      </c>
      <c r="K941" s="618"/>
      <c r="L941" s="616"/>
      <c r="M941" s="616"/>
      <c r="N941" s="617"/>
      <c r="O941" s="617"/>
      <c r="P941" s="617"/>
      <c r="Q941" s="617"/>
      <c r="R941" s="619"/>
      <c r="S941" s="617"/>
      <c r="T941" s="616" t="s">
        <v>221</v>
      </c>
    </row>
    <row r="942" ht="34.5">
      <c r="A942" s="616" t="s">
        <v>1247</v>
      </c>
      <c r="B942" s="616" t="s">
        <v>1248</v>
      </c>
      <c r="C942" s="616" t="s">
        <v>593</v>
      </c>
      <c r="D942" s="616" t="s">
        <v>216</v>
      </c>
      <c r="E942" s="616" t="s">
        <v>1249</v>
      </c>
      <c r="F942" s="617" t="s">
        <v>1250</v>
      </c>
      <c r="G942" s="616" t="s">
        <v>219</v>
      </c>
      <c r="H942" s="617"/>
      <c r="I942" s="617"/>
      <c r="J942" s="617" t="s">
        <v>1257</v>
      </c>
      <c r="K942" s="618"/>
      <c r="L942" s="616"/>
      <c r="M942" s="616"/>
      <c r="N942" s="617"/>
      <c r="O942" s="617"/>
      <c r="P942" s="617"/>
      <c r="Q942" s="617"/>
      <c r="R942" s="619"/>
      <c r="S942" s="617"/>
      <c r="T942" s="616" t="s">
        <v>221</v>
      </c>
    </row>
    <row r="943" ht="34.5">
      <c r="A943" s="616" t="s">
        <v>1247</v>
      </c>
      <c r="B943" s="616" t="s">
        <v>1248</v>
      </c>
      <c r="C943" s="616" t="s">
        <v>593</v>
      </c>
      <c r="D943" s="616" t="s">
        <v>216</v>
      </c>
      <c r="E943" s="616" t="s">
        <v>1249</v>
      </c>
      <c r="F943" s="617" t="s">
        <v>1250</v>
      </c>
      <c r="G943" s="616" t="s">
        <v>219</v>
      </c>
      <c r="H943" s="617"/>
      <c r="I943" s="617"/>
      <c r="J943" s="617" t="s">
        <v>1258</v>
      </c>
      <c r="K943" s="618"/>
      <c r="L943" s="616"/>
      <c r="M943" s="616"/>
      <c r="N943" s="617"/>
      <c r="O943" s="617"/>
      <c r="P943" s="617"/>
      <c r="Q943" s="617"/>
      <c r="R943" s="619"/>
      <c r="S943" s="617"/>
      <c r="T943" s="616" t="s">
        <v>221</v>
      </c>
    </row>
    <row r="944" ht="34.5">
      <c r="A944" s="616" t="s">
        <v>1247</v>
      </c>
      <c r="B944" s="616" t="s">
        <v>1248</v>
      </c>
      <c r="C944" s="616" t="s">
        <v>604</v>
      </c>
      <c r="D944" s="616" t="s">
        <v>216</v>
      </c>
      <c r="E944" s="616" t="s">
        <v>1249</v>
      </c>
      <c r="F944" s="617" t="s">
        <v>1250</v>
      </c>
      <c r="G944" s="616" t="s">
        <v>219</v>
      </c>
      <c r="H944" s="617"/>
      <c r="I944" s="617"/>
      <c r="J944" s="617" t="s">
        <v>1259</v>
      </c>
      <c r="K944" s="618"/>
      <c r="L944" s="616"/>
      <c r="M944" s="616"/>
      <c r="N944" s="617"/>
      <c r="O944" s="617"/>
      <c r="P944" s="617"/>
      <c r="Q944" s="617"/>
      <c r="R944" s="619"/>
      <c r="S944" s="617"/>
      <c r="T944" s="616" t="s">
        <v>221</v>
      </c>
    </row>
    <row r="945" ht="34.5">
      <c r="A945" s="616" t="s">
        <v>1247</v>
      </c>
      <c r="B945" s="616" t="s">
        <v>1248</v>
      </c>
      <c r="C945" s="616" t="s">
        <v>604</v>
      </c>
      <c r="D945" s="616" t="s">
        <v>216</v>
      </c>
      <c r="E945" s="616" t="s">
        <v>1249</v>
      </c>
      <c r="F945" s="617" t="s">
        <v>1250</v>
      </c>
      <c r="G945" s="616" t="s">
        <v>219</v>
      </c>
      <c r="H945" s="617"/>
      <c r="I945" s="617"/>
      <c r="J945" s="617" t="s">
        <v>1260</v>
      </c>
      <c r="K945" s="618"/>
      <c r="L945" s="616"/>
      <c r="M945" s="616"/>
      <c r="N945" s="617"/>
      <c r="O945" s="617"/>
      <c r="P945" s="617"/>
      <c r="Q945" s="617"/>
      <c r="R945" s="619"/>
      <c r="S945" s="617"/>
      <c r="T945" s="616" t="s">
        <v>221</v>
      </c>
    </row>
    <row r="946" ht="34.5">
      <c r="A946" s="616" t="s">
        <v>1247</v>
      </c>
      <c r="B946" s="616" t="s">
        <v>1248</v>
      </c>
      <c r="C946" s="616" t="s">
        <v>604</v>
      </c>
      <c r="D946" s="616" t="s">
        <v>216</v>
      </c>
      <c r="E946" s="616" t="s">
        <v>1249</v>
      </c>
      <c r="F946" s="617" t="s">
        <v>1250</v>
      </c>
      <c r="G946" s="616" t="s">
        <v>219</v>
      </c>
      <c r="H946" s="617"/>
      <c r="I946" s="617"/>
      <c r="J946" s="617" t="s">
        <v>1261</v>
      </c>
      <c r="K946" s="618"/>
      <c r="L946" s="616"/>
      <c r="M946" s="616"/>
      <c r="N946" s="617"/>
      <c r="O946" s="617"/>
      <c r="P946" s="617"/>
      <c r="Q946" s="617"/>
      <c r="R946" s="619"/>
      <c r="S946" s="617"/>
      <c r="T946" s="616" t="s">
        <v>221</v>
      </c>
    </row>
    <row r="947" ht="34.5">
      <c r="A947" s="616" t="s">
        <v>1247</v>
      </c>
      <c r="B947" s="616" t="s">
        <v>1248</v>
      </c>
      <c r="C947" s="616" t="s">
        <v>604</v>
      </c>
      <c r="D947" s="616" t="s">
        <v>216</v>
      </c>
      <c r="E947" s="616" t="s">
        <v>1249</v>
      </c>
      <c r="F947" s="617" t="s">
        <v>1250</v>
      </c>
      <c r="G947" s="616" t="s">
        <v>219</v>
      </c>
      <c r="H947" s="617"/>
      <c r="I947" s="617"/>
      <c r="J947" s="617" t="s">
        <v>1262</v>
      </c>
      <c r="K947" s="618"/>
      <c r="L947" s="616"/>
      <c r="M947" s="616"/>
      <c r="N947" s="617"/>
      <c r="O947" s="617"/>
      <c r="P947" s="617"/>
      <c r="Q947" s="617"/>
      <c r="R947" s="619"/>
      <c r="S947" s="617"/>
      <c r="T947" s="616" t="s">
        <v>221</v>
      </c>
    </row>
    <row r="948" ht="34.5">
      <c r="A948" s="616" t="s">
        <v>1247</v>
      </c>
      <c r="B948" s="616" t="s">
        <v>1248</v>
      </c>
      <c r="C948" s="616" t="s">
        <v>604</v>
      </c>
      <c r="D948" s="616" t="s">
        <v>216</v>
      </c>
      <c r="E948" s="616" t="s">
        <v>1249</v>
      </c>
      <c r="F948" s="617" t="s">
        <v>1250</v>
      </c>
      <c r="G948" s="616" t="s">
        <v>219</v>
      </c>
      <c r="H948" s="617"/>
      <c r="I948" s="617"/>
      <c r="J948" s="617" t="s">
        <v>1263</v>
      </c>
      <c r="K948" s="618"/>
      <c r="L948" s="616"/>
      <c r="M948" s="616"/>
      <c r="N948" s="617"/>
      <c r="O948" s="617"/>
      <c r="P948" s="617"/>
      <c r="Q948" s="617"/>
      <c r="R948" s="619"/>
      <c r="S948" s="617"/>
      <c r="T948" s="616" t="s">
        <v>221</v>
      </c>
    </row>
    <row r="949" ht="34.5">
      <c r="A949" s="616" t="s">
        <v>1247</v>
      </c>
      <c r="B949" s="616" t="s">
        <v>1248</v>
      </c>
      <c r="C949" s="616" t="s">
        <v>604</v>
      </c>
      <c r="D949" s="616" t="s">
        <v>216</v>
      </c>
      <c r="E949" s="616" t="s">
        <v>1249</v>
      </c>
      <c r="F949" s="617" t="s">
        <v>1250</v>
      </c>
      <c r="G949" s="616" t="s">
        <v>219</v>
      </c>
      <c r="H949" s="617"/>
      <c r="I949" s="617"/>
      <c r="J949" s="617" t="s">
        <v>1264</v>
      </c>
      <c r="K949" s="618"/>
      <c r="L949" s="616"/>
      <c r="M949" s="616"/>
      <c r="N949" s="617"/>
      <c r="O949" s="617"/>
      <c r="P949" s="617"/>
      <c r="Q949" s="617"/>
      <c r="R949" s="619"/>
      <c r="S949" s="617"/>
      <c r="T949" s="616" t="s">
        <v>221</v>
      </c>
    </row>
    <row r="950" ht="34.5">
      <c r="A950" s="616" t="s">
        <v>1247</v>
      </c>
      <c r="B950" s="616" t="s">
        <v>1248</v>
      </c>
      <c r="C950" s="616" t="s">
        <v>604</v>
      </c>
      <c r="D950" s="616" t="s">
        <v>216</v>
      </c>
      <c r="E950" s="616" t="s">
        <v>1249</v>
      </c>
      <c r="F950" s="617" t="s">
        <v>1250</v>
      </c>
      <c r="G950" s="616" t="s">
        <v>219</v>
      </c>
      <c r="H950" s="617"/>
      <c r="I950" s="617"/>
      <c r="J950" s="617" t="s">
        <v>1265</v>
      </c>
      <c r="K950" s="618"/>
      <c r="L950" s="616"/>
      <c r="M950" s="616"/>
      <c r="N950" s="617"/>
      <c r="O950" s="617"/>
      <c r="P950" s="617"/>
      <c r="Q950" s="617"/>
      <c r="R950" s="619"/>
      <c r="S950" s="617"/>
      <c r="T950" s="616" t="s">
        <v>221</v>
      </c>
    </row>
    <row r="951" ht="34.5">
      <c r="A951" s="616" t="s">
        <v>1247</v>
      </c>
      <c r="B951" s="616" t="s">
        <v>1248</v>
      </c>
      <c r="C951" s="616" t="s">
        <v>604</v>
      </c>
      <c r="D951" s="616" t="s">
        <v>216</v>
      </c>
      <c r="E951" s="616" t="s">
        <v>1249</v>
      </c>
      <c r="F951" s="617" t="s">
        <v>1250</v>
      </c>
      <c r="G951" s="616" t="s">
        <v>219</v>
      </c>
      <c r="H951" s="617"/>
      <c r="I951" s="617"/>
      <c r="J951" s="617" t="s">
        <v>1266</v>
      </c>
      <c r="K951" s="618"/>
      <c r="L951" s="616"/>
      <c r="M951" s="616"/>
      <c r="N951" s="617"/>
      <c r="O951" s="617"/>
      <c r="P951" s="617"/>
      <c r="Q951" s="617"/>
      <c r="R951" s="619"/>
      <c r="S951" s="617"/>
      <c r="T951" s="616" t="s">
        <v>221</v>
      </c>
    </row>
    <row r="952" ht="34.5">
      <c r="A952" s="616" t="s">
        <v>1247</v>
      </c>
      <c r="B952" s="616" t="s">
        <v>1248</v>
      </c>
      <c r="C952" s="616" t="s">
        <v>604</v>
      </c>
      <c r="D952" s="616" t="s">
        <v>216</v>
      </c>
      <c r="E952" s="616" t="s">
        <v>1249</v>
      </c>
      <c r="F952" s="617" t="s">
        <v>1250</v>
      </c>
      <c r="G952" s="616" t="s">
        <v>219</v>
      </c>
      <c r="H952" s="617"/>
      <c r="I952" s="617"/>
      <c r="J952" s="617" t="s">
        <v>1267</v>
      </c>
      <c r="K952" s="618"/>
      <c r="L952" s="616"/>
      <c r="M952" s="616"/>
      <c r="N952" s="617"/>
      <c r="O952" s="617"/>
      <c r="P952" s="617"/>
      <c r="Q952" s="617"/>
      <c r="R952" s="619"/>
      <c r="S952" s="617"/>
      <c r="T952" s="616" t="s">
        <v>221</v>
      </c>
    </row>
    <row r="953" ht="34.5">
      <c r="A953" s="616" t="s">
        <v>1247</v>
      </c>
      <c r="B953" s="616" t="s">
        <v>1248</v>
      </c>
      <c r="C953" s="616" t="s">
        <v>604</v>
      </c>
      <c r="D953" s="616" t="s">
        <v>216</v>
      </c>
      <c r="E953" s="616" t="s">
        <v>1249</v>
      </c>
      <c r="F953" s="617" t="s">
        <v>1250</v>
      </c>
      <c r="G953" s="616" t="s">
        <v>219</v>
      </c>
      <c r="H953" s="617"/>
      <c r="I953" s="617"/>
      <c r="J953" s="617" t="s">
        <v>1268</v>
      </c>
      <c r="K953" s="618"/>
      <c r="L953" s="616"/>
      <c r="M953" s="616"/>
      <c r="N953" s="617"/>
      <c r="O953" s="617"/>
      <c r="P953" s="617"/>
      <c r="Q953" s="617"/>
      <c r="R953" s="619"/>
      <c r="S953" s="617"/>
      <c r="T953" s="616" t="s">
        <v>221</v>
      </c>
    </row>
    <row r="954" ht="34.5">
      <c r="A954" s="616" t="s">
        <v>1247</v>
      </c>
      <c r="B954" s="616" t="s">
        <v>1248</v>
      </c>
      <c r="C954" s="616" t="s">
        <v>613</v>
      </c>
      <c r="D954" s="616" t="s">
        <v>216</v>
      </c>
      <c r="E954" s="616" t="s">
        <v>1249</v>
      </c>
      <c r="F954" s="617" t="s">
        <v>1250</v>
      </c>
      <c r="G954" s="616" t="s">
        <v>219</v>
      </c>
      <c r="H954" s="617"/>
      <c r="I954" s="617"/>
      <c r="J954" s="617" t="s">
        <v>1269</v>
      </c>
      <c r="K954" s="618"/>
      <c r="L954" s="616"/>
      <c r="M954" s="616"/>
      <c r="N954" s="617"/>
      <c r="O954" s="617"/>
      <c r="P954" s="617"/>
      <c r="Q954" s="617"/>
      <c r="R954" s="619"/>
      <c r="S954" s="617"/>
      <c r="T954" s="616" t="s">
        <v>221</v>
      </c>
    </row>
    <row r="955" ht="34.5">
      <c r="A955" s="616" t="s">
        <v>1247</v>
      </c>
      <c r="B955" s="616" t="s">
        <v>1248</v>
      </c>
      <c r="C955" s="616" t="s">
        <v>613</v>
      </c>
      <c r="D955" s="616" t="s">
        <v>216</v>
      </c>
      <c r="E955" s="616" t="s">
        <v>1249</v>
      </c>
      <c r="F955" s="617" t="s">
        <v>1250</v>
      </c>
      <c r="G955" s="616" t="s">
        <v>219</v>
      </c>
      <c r="H955" s="617"/>
      <c r="I955" s="617"/>
      <c r="J955" s="617" t="s">
        <v>1270</v>
      </c>
      <c r="K955" s="618"/>
      <c r="L955" s="616"/>
      <c r="M955" s="616"/>
      <c r="N955" s="617"/>
      <c r="O955" s="617"/>
      <c r="P955" s="617"/>
      <c r="Q955" s="617"/>
      <c r="R955" s="619"/>
      <c r="S955" s="617"/>
      <c r="T955" s="616" t="s">
        <v>221</v>
      </c>
    </row>
    <row r="956" ht="34.5">
      <c r="A956" s="616" t="s">
        <v>1247</v>
      </c>
      <c r="B956" s="616" t="s">
        <v>1248</v>
      </c>
      <c r="C956" s="616" t="s">
        <v>613</v>
      </c>
      <c r="D956" s="616" t="s">
        <v>572</v>
      </c>
      <c r="E956" s="616" t="s">
        <v>1249</v>
      </c>
      <c r="F956" s="617" t="s">
        <v>1250</v>
      </c>
      <c r="G956" s="616" t="s">
        <v>219</v>
      </c>
      <c r="H956" s="617"/>
      <c r="I956" s="617"/>
      <c r="J956" s="617" t="s">
        <v>573</v>
      </c>
      <c r="K956" s="618"/>
      <c r="L956" s="616"/>
      <c r="M956" s="616"/>
      <c r="N956" s="617"/>
      <c r="O956" s="617"/>
      <c r="P956" s="617"/>
      <c r="Q956" s="617"/>
      <c r="R956" s="619"/>
      <c r="S956" s="617"/>
      <c r="T956" s="616" t="s">
        <v>221</v>
      </c>
    </row>
    <row r="957" ht="34.5">
      <c r="A957" s="616" t="s">
        <v>1247</v>
      </c>
      <c r="B957" s="616" t="s">
        <v>1248</v>
      </c>
      <c r="C957" s="616" t="s">
        <v>621</v>
      </c>
      <c r="D957" s="616" t="s">
        <v>216</v>
      </c>
      <c r="E957" s="616" t="s">
        <v>1249</v>
      </c>
      <c r="F957" s="617" t="s">
        <v>1250</v>
      </c>
      <c r="G957" s="616" t="s">
        <v>219</v>
      </c>
      <c r="H957" s="617"/>
      <c r="I957" s="617"/>
      <c r="J957" s="617" t="s">
        <v>1271</v>
      </c>
      <c r="K957" s="618"/>
      <c r="L957" s="616"/>
      <c r="M957" s="616"/>
      <c r="N957" s="617"/>
      <c r="O957" s="617"/>
      <c r="P957" s="617"/>
      <c r="Q957" s="617"/>
      <c r="R957" s="619"/>
      <c r="S957" s="617"/>
      <c r="T957" s="616" t="s">
        <v>221</v>
      </c>
    </row>
    <row r="958" ht="34.5">
      <c r="A958" s="616" t="s">
        <v>1247</v>
      </c>
      <c r="B958" s="616" t="s">
        <v>1248</v>
      </c>
      <c r="C958" s="616" t="s">
        <v>621</v>
      </c>
      <c r="D958" s="616" t="s">
        <v>578</v>
      </c>
      <c r="E958" s="616" t="s">
        <v>1249</v>
      </c>
      <c r="F958" s="617" t="s">
        <v>1250</v>
      </c>
      <c r="G958" s="616" t="s">
        <v>219</v>
      </c>
      <c r="H958" s="617"/>
      <c r="I958" s="617"/>
      <c r="J958" s="617" t="s">
        <v>579</v>
      </c>
      <c r="K958" s="618"/>
      <c r="L958" s="616"/>
      <c r="M958" s="616"/>
      <c r="N958" s="617"/>
      <c r="O958" s="617"/>
      <c r="P958" s="617"/>
      <c r="Q958" s="617"/>
      <c r="R958" s="619"/>
      <c r="S958" s="617"/>
      <c r="T958" s="616" t="s">
        <v>221</v>
      </c>
    </row>
    <row r="959" ht="34.5">
      <c r="A959" s="616" t="s">
        <v>1247</v>
      </c>
      <c r="B959" s="616" t="s">
        <v>1248</v>
      </c>
      <c r="C959" s="616" t="s">
        <v>621</v>
      </c>
      <c r="D959" s="616" t="s">
        <v>216</v>
      </c>
      <c r="E959" s="616" t="s">
        <v>1249</v>
      </c>
      <c r="F959" s="617" t="s">
        <v>1250</v>
      </c>
      <c r="G959" s="616" t="s">
        <v>219</v>
      </c>
      <c r="H959" s="617"/>
      <c r="I959" s="617"/>
      <c r="J959" s="617" t="s">
        <v>1272</v>
      </c>
      <c r="K959" s="618"/>
      <c r="L959" s="616"/>
      <c r="M959" s="616"/>
      <c r="N959" s="617"/>
      <c r="O959" s="617"/>
      <c r="P959" s="617"/>
      <c r="Q959" s="617"/>
      <c r="R959" s="619"/>
      <c r="S959" s="617"/>
      <c r="T959" s="616" t="s">
        <v>221</v>
      </c>
    </row>
    <row r="960" ht="34.5">
      <c r="A960" s="616" t="s">
        <v>1247</v>
      </c>
      <c r="B960" s="616" t="s">
        <v>1248</v>
      </c>
      <c r="C960" s="616" t="s">
        <v>621</v>
      </c>
      <c r="D960" s="616" t="s">
        <v>216</v>
      </c>
      <c r="E960" s="616" t="s">
        <v>1249</v>
      </c>
      <c r="F960" s="617" t="s">
        <v>1250</v>
      </c>
      <c r="G960" s="616" t="s">
        <v>219</v>
      </c>
      <c r="H960" s="617"/>
      <c r="I960" s="617"/>
      <c r="J960" s="617" t="s">
        <v>1273</v>
      </c>
      <c r="K960" s="618"/>
      <c r="L960" s="616"/>
      <c r="M960" s="616"/>
      <c r="N960" s="617"/>
      <c r="O960" s="617"/>
      <c r="P960" s="617"/>
      <c r="Q960" s="617"/>
      <c r="R960" s="619"/>
      <c r="S960" s="617"/>
      <c r="T960" s="616" t="s">
        <v>221</v>
      </c>
    </row>
    <row r="961" ht="34.5">
      <c r="A961" s="616" t="s">
        <v>1247</v>
      </c>
      <c r="B961" s="616" t="s">
        <v>1248</v>
      </c>
      <c r="C961" s="616" t="s">
        <v>621</v>
      </c>
      <c r="D961" s="616" t="s">
        <v>587</v>
      </c>
      <c r="E961" s="616" t="s">
        <v>1249</v>
      </c>
      <c r="F961" s="617" t="s">
        <v>1250</v>
      </c>
      <c r="G961" s="616" t="s">
        <v>219</v>
      </c>
      <c r="H961" s="617"/>
      <c r="I961" s="617"/>
      <c r="J961" s="617" t="s">
        <v>588</v>
      </c>
      <c r="K961" s="618"/>
      <c r="L961" s="616"/>
      <c r="M961" s="616"/>
      <c r="N961" s="617"/>
      <c r="O961" s="617"/>
      <c r="P961" s="617"/>
      <c r="Q961" s="617"/>
      <c r="R961" s="619"/>
      <c r="S961" s="617"/>
      <c r="T961" s="616" t="s">
        <v>221</v>
      </c>
    </row>
    <row r="962" ht="34.5">
      <c r="A962" s="616" t="s">
        <v>1247</v>
      </c>
      <c r="B962" s="616" t="s">
        <v>1248</v>
      </c>
      <c r="C962" s="616" t="s">
        <v>630</v>
      </c>
      <c r="D962" s="616" t="s">
        <v>590</v>
      </c>
      <c r="E962" s="616" t="s">
        <v>1249</v>
      </c>
      <c r="F962" s="617" t="s">
        <v>1250</v>
      </c>
      <c r="G962" s="616" t="s">
        <v>219</v>
      </c>
      <c r="H962" s="617"/>
      <c r="I962" s="617"/>
      <c r="J962" s="617" t="s">
        <v>591</v>
      </c>
      <c r="K962" s="618"/>
      <c r="L962" s="616"/>
      <c r="M962" s="616"/>
      <c r="N962" s="617"/>
      <c r="O962" s="617"/>
      <c r="P962" s="617"/>
      <c r="Q962" s="617"/>
      <c r="R962" s="619"/>
      <c r="S962" s="617"/>
      <c r="T962" s="616" t="s">
        <v>221</v>
      </c>
    </row>
    <row r="963" ht="34.5">
      <c r="A963" s="616" t="s">
        <v>1247</v>
      </c>
      <c r="B963" s="616" t="s">
        <v>1248</v>
      </c>
      <c r="C963" s="616" t="s">
        <v>630</v>
      </c>
      <c r="D963" s="616" t="s">
        <v>216</v>
      </c>
      <c r="E963" s="616" t="s">
        <v>1249</v>
      </c>
      <c r="F963" s="617" t="s">
        <v>1250</v>
      </c>
      <c r="G963" s="616" t="s">
        <v>219</v>
      </c>
      <c r="H963" s="617"/>
      <c r="I963" s="617"/>
      <c r="J963" s="617" t="s">
        <v>1274</v>
      </c>
      <c r="K963" s="618"/>
      <c r="L963" s="616"/>
      <c r="M963" s="616"/>
      <c r="N963" s="617"/>
      <c r="O963" s="617"/>
      <c r="P963" s="617"/>
      <c r="Q963" s="617"/>
      <c r="R963" s="619"/>
      <c r="S963" s="617"/>
      <c r="T963" s="616" t="s">
        <v>221</v>
      </c>
    </row>
    <row r="964" ht="34.5">
      <c r="A964" s="616" t="s">
        <v>1247</v>
      </c>
      <c r="B964" s="616" t="s">
        <v>1248</v>
      </c>
      <c r="C964" s="616" t="s">
        <v>630</v>
      </c>
      <c r="D964" s="616" t="s">
        <v>216</v>
      </c>
      <c r="E964" s="616" t="s">
        <v>1249</v>
      </c>
      <c r="F964" s="617" t="s">
        <v>1250</v>
      </c>
      <c r="G964" s="616" t="s">
        <v>219</v>
      </c>
      <c r="H964" s="617"/>
      <c r="I964" s="617"/>
      <c r="J964" s="617" t="s">
        <v>1275</v>
      </c>
      <c r="K964" s="618"/>
      <c r="L964" s="616"/>
      <c r="M964" s="616"/>
      <c r="N964" s="617"/>
      <c r="O964" s="617"/>
      <c r="P964" s="617"/>
      <c r="Q964" s="617"/>
      <c r="R964" s="619"/>
      <c r="S964" s="617"/>
      <c r="T964" s="616" t="s">
        <v>221</v>
      </c>
    </row>
    <row r="965" ht="34.5">
      <c r="A965" s="616" t="s">
        <v>1247</v>
      </c>
      <c r="B965" s="616" t="s">
        <v>1248</v>
      </c>
      <c r="C965" s="616" t="s">
        <v>636</v>
      </c>
      <c r="D965" s="616" t="s">
        <v>216</v>
      </c>
      <c r="E965" s="616" t="s">
        <v>1249</v>
      </c>
      <c r="F965" s="617" t="s">
        <v>1250</v>
      </c>
      <c r="G965" s="616" t="s">
        <v>219</v>
      </c>
      <c r="H965" s="617"/>
      <c r="I965" s="617"/>
      <c r="J965" s="617" t="s">
        <v>1276</v>
      </c>
      <c r="K965" s="618"/>
      <c r="L965" s="616"/>
      <c r="M965" s="616"/>
      <c r="N965" s="617"/>
      <c r="O965" s="617"/>
      <c r="P965" s="617"/>
      <c r="Q965" s="617"/>
      <c r="R965" s="619"/>
      <c r="S965" s="617"/>
      <c r="T965" s="616" t="s">
        <v>221</v>
      </c>
    </row>
    <row r="966" ht="34.5">
      <c r="A966" s="616" t="s">
        <v>1247</v>
      </c>
      <c r="B966" s="616" t="s">
        <v>1248</v>
      </c>
      <c r="C966" s="616" t="s">
        <v>636</v>
      </c>
      <c r="D966" s="616" t="s">
        <v>216</v>
      </c>
      <c r="E966" s="616" t="s">
        <v>1249</v>
      </c>
      <c r="F966" s="617" t="s">
        <v>1250</v>
      </c>
      <c r="G966" s="616" t="s">
        <v>219</v>
      </c>
      <c r="H966" s="617"/>
      <c r="I966" s="617"/>
      <c r="J966" s="617" t="s">
        <v>1277</v>
      </c>
      <c r="K966" s="618"/>
      <c r="L966" s="616"/>
      <c r="M966" s="616"/>
      <c r="N966" s="617"/>
      <c r="O966" s="617"/>
      <c r="P966" s="617"/>
      <c r="Q966" s="617"/>
      <c r="R966" s="619"/>
      <c r="S966" s="617"/>
      <c r="T966" s="616" t="s">
        <v>221</v>
      </c>
    </row>
    <row r="967" ht="34.5">
      <c r="A967" s="616" t="s">
        <v>1247</v>
      </c>
      <c r="B967" s="616" t="s">
        <v>1248</v>
      </c>
      <c r="C967" s="616" t="s">
        <v>636</v>
      </c>
      <c r="D967" s="616" t="s">
        <v>594</v>
      </c>
      <c r="E967" s="616" t="s">
        <v>1249</v>
      </c>
      <c r="F967" s="617" t="s">
        <v>1250</v>
      </c>
      <c r="G967" s="616" t="s">
        <v>219</v>
      </c>
      <c r="H967" s="617"/>
      <c r="I967" s="617"/>
      <c r="J967" s="617" t="s">
        <v>595</v>
      </c>
      <c r="K967" s="618"/>
      <c r="L967" s="616"/>
      <c r="M967" s="616"/>
      <c r="N967" s="617"/>
      <c r="O967" s="617"/>
      <c r="P967" s="617"/>
      <c r="Q967" s="617"/>
      <c r="R967" s="619"/>
      <c r="S967" s="617"/>
      <c r="T967" s="616" t="s">
        <v>221</v>
      </c>
    </row>
    <row r="968" ht="34.5">
      <c r="A968" s="616" t="s">
        <v>1247</v>
      </c>
      <c r="B968" s="616" t="s">
        <v>1248</v>
      </c>
      <c r="C968" s="616" t="s">
        <v>636</v>
      </c>
      <c r="D968" s="616" t="s">
        <v>216</v>
      </c>
      <c r="E968" s="616" t="s">
        <v>1249</v>
      </c>
      <c r="F968" s="617" t="s">
        <v>1250</v>
      </c>
      <c r="G968" s="616" t="s">
        <v>219</v>
      </c>
      <c r="H968" s="617"/>
      <c r="I968" s="617"/>
      <c r="J968" s="617" t="s">
        <v>1278</v>
      </c>
      <c r="K968" s="618"/>
      <c r="L968" s="616"/>
      <c r="M968" s="616"/>
      <c r="N968" s="617"/>
      <c r="O968" s="617"/>
      <c r="P968" s="617"/>
      <c r="Q968" s="617"/>
      <c r="R968" s="619"/>
      <c r="S968" s="617"/>
      <c r="T968" s="616" t="s">
        <v>221</v>
      </c>
    </row>
    <row r="969" ht="34.5">
      <c r="A969" s="616" t="s">
        <v>1247</v>
      </c>
      <c r="B969" s="616" t="s">
        <v>1248</v>
      </c>
      <c r="C969" s="616" t="s">
        <v>636</v>
      </c>
      <c r="D969" s="616" t="s">
        <v>216</v>
      </c>
      <c r="E969" s="616" t="s">
        <v>1249</v>
      </c>
      <c r="F969" s="617" t="s">
        <v>1250</v>
      </c>
      <c r="G969" s="616" t="s">
        <v>219</v>
      </c>
      <c r="H969" s="617"/>
      <c r="I969" s="617"/>
      <c r="J969" s="617" t="s">
        <v>1279</v>
      </c>
      <c r="K969" s="618">
        <v>15603940</v>
      </c>
      <c r="L969" s="616" t="s">
        <v>611</v>
      </c>
      <c r="M969" s="616"/>
      <c r="N969" s="617"/>
      <c r="O969" s="617"/>
      <c r="P969" s="617"/>
      <c r="Q969" s="617"/>
      <c r="R969" s="619"/>
      <c r="S969" s="617"/>
      <c r="T969" s="616" t="s">
        <v>221</v>
      </c>
    </row>
    <row r="970" ht="34.5">
      <c r="A970" s="616" t="s">
        <v>1247</v>
      </c>
      <c r="B970" s="616" t="s">
        <v>1248</v>
      </c>
      <c r="C970" s="616" t="s">
        <v>636</v>
      </c>
      <c r="D970" s="616" t="s">
        <v>216</v>
      </c>
      <c r="E970" s="616" t="s">
        <v>1249</v>
      </c>
      <c r="F970" s="617" t="s">
        <v>1250</v>
      </c>
      <c r="G970" s="616" t="s">
        <v>219</v>
      </c>
      <c r="H970" s="617"/>
      <c r="I970" s="617"/>
      <c r="J970" s="617" t="s">
        <v>1280</v>
      </c>
      <c r="K970" s="618"/>
      <c r="L970" s="616"/>
      <c r="M970" s="616"/>
      <c r="N970" s="617"/>
      <c r="O970" s="617"/>
      <c r="P970" s="617"/>
      <c r="Q970" s="617"/>
      <c r="R970" s="619"/>
      <c r="S970" s="617"/>
      <c r="T970" s="616" t="s">
        <v>221</v>
      </c>
    </row>
    <row r="971" ht="34.5">
      <c r="A971" s="616" t="s">
        <v>1247</v>
      </c>
      <c r="B971" s="616" t="s">
        <v>1248</v>
      </c>
      <c r="C971" s="616" t="s">
        <v>636</v>
      </c>
      <c r="D971" s="616" t="s">
        <v>216</v>
      </c>
      <c r="E971" s="616" t="s">
        <v>1249</v>
      </c>
      <c r="F971" s="617" t="s">
        <v>1250</v>
      </c>
      <c r="G971" s="616" t="s">
        <v>219</v>
      </c>
      <c r="H971" s="617"/>
      <c r="I971" s="617"/>
      <c r="J971" s="617" t="s">
        <v>1281</v>
      </c>
      <c r="K971" s="618"/>
      <c r="L971" s="616"/>
      <c r="M971" s="616"/>
      <c r="N971" s="617"/>
      <c r="O971" s="617"/>
      <c r="P971" s="617"/>
      <c r="Q971" s="617"/>
      <c r="R971" s="619"/>
      <c r="S971" s="617"/>
      <c r="T971" s="616" t="s">
        <v>221</v>
      </c>
    </row>
    <row r="972" ht="34.5">
      <c r="A972" s="616" t="s">
        <v>1247</v>
      </c>
      <c r="B972" s="616" t="s">
        <v>1248</v>
      </c>
      <c r="C972" s="616" t="s">
        <v>648</v>
      </c>
      <c r="D972" s="616" t="s">
        <v>216</v>
      </c>
      <c r="E972" s="616" t="s">
        <v>671</v>
      </c>
      <c r="F972" s="617" t="s">
        <v>672</v>
      </c>
      <c r="G972" s="616" t="s">
        <v>673</v>
      </c>
      <c r="H972" s="617"/>
      <c r="I972" s="617"/>
      <c r="J972" s="617" t="s">
        <v>674</v>
      </c>
      <c r="K972" s="618"/>
      <c r="L972" s="616"/>
      <c r="M972" s="616"/>
      <c r="N972" s="617"/>
      <c r="O972" s="617"/>
      <c r="P972" s="617"/>
      <c r="Q972" s="617"/>
      <c r="R972" s="619"/>
      <c r="S972" s="617"/>
      <c r="T972" s="616" t="s">
        <v>221</v>
      </c>
    </row>
    <row r="973" ht="34.5">
      <c r="A973" s="616" t="s">
        <v>1247</v>
      </c>
      <c r="B973" s="616" t="s">
        <v>1248</v>
      </c>
      <c r="C973" s="616" t="s">
        <v>648</v>
      </c>
      <c r="D973" s="616" t="s">
        <v>596</v>
      </c>
      <c r="E973" s="616" t="s">
        <v>671</v>
      </c>
      <c r="F973" s="617" t="s">
        <v>672</v>
      </c>
      <c r="G973" s="616" t="s">
        <v>673</v>
      </c>
      <c r="H973" s="617"/>
      <c r="I973" s="617"/>
      <c r="J973" s="617" t="s">
        <v>597</v>
      </c>
      <c r="K973" s="618"/>
      <c r="L973" s="616"/>
      <c r="M973" s="616"/>
      <c r="N973" s="617"/>
      <c r="O973" s="617"/>
      <c r="P973" s="617"/>
      <c r="Q973" s="617"/>
      <c r="R973" s="619"/>
      <c r="S973" s="617"/>
      <c r="T973" s="616" t="s">
        <v>221</v>
      </c>
    </row>
    <row r="974" ht="34.5">
      <c r="A974" s="616" t="s">
        <v>1247</v>
      </c>
      <c r="B974" s="616" t="s">
        <v>1248</v>
      </c>
      <c r="C974" s="616" t="s">
        <v>653</v>
      </c>
      <c r="D974" s="616" t="s">
        <v>216</v>
      </c>
      <c r="E974" s="616" t="s">
        <v>671</v>
      </c>
      <c r="F974" s="617" t="s">
        <v>672</v>
      </c>
      <c r="G974" s="616" t="s">
        <v>673</v>
      </c>
      <c r="H974" s="617"/>
      <c r="I974" s="617"/>
      <c r="J974" s="617" t="s">
        <v>679</v>
      </c>
      <c r="K974" s="618"/>
      <c r="L974" s="616"/>
      <c r="M974" s="616"/>
      <c r="N974" s="617"/>
      <c r="O974" s="617"/>
      <c r="P974" s="617"/>
      <c r="Q974" s="617"/>
      <c r="R974" s="619"/>
      <c r="S974" s="617"/>
      <c r="T974" s="616" t="s">
        <v>221</v>
      </c>
    </row>
    <row r="975" ht="34.5">
      <c r="A975" s="616" t="s">
        <v>1247</v>
      </c>
      <c r="B975" s="616" t="s">
        <v>1248</v>
      </c>
      <c r="C975" s="616" t="s">
        <v>653</v>
      </c>
      <c r="D975" s="616" t="s">
        <v>216</v>
      </c>
      <c r="E975" s="616" t="s">
        <v>671</v>
      </c>
      <c r="F975" s="617" t="s">
        <v>672</v>
      </c>
      <c r="G975" s="616" t="s">
        <v>673</v>
      </c>
      <c r="H975" s="617"/>
      <c r="I975" s="617"/>
      <c r="J975" s="617" t="s">
        <v>1282</v>
      </c>
      <c r="K975" s="618"/>
      <c r="L975" s="616"/>
      <c r="M975" s="616"/>
      <c r="N975" s="617"/>
      <c r="O975" s="617"/>
      <c r="P975" s="617"/>
      <c r="Q975" s="617"/>
      <c r="R975" s="619"/>
      <c r="S975" s="617"/>
      <c r="T975" s="616" t="s">
        <v>221</v>
      </c>
    </row>
    <row r="976" ht="34.5">
      <c r="A976" s="616" t="s">
        <v>1247</v>
      </c>
      <c r="B976" s="616" t="s">
        <v>1248</v>
      </c>
      <c r="C976" s="616" t="s">
        <v>653</v>
      </c>
      <c r="D976" s="616" t="s">
        <v>601</v>
      </c>
      <c r="E976" s="616" t="s">
        <v>671</v>
      </c>
      <c r="F976" s="617" t="s">
        <v>672</v>
      </c>
      <c r="G976" s="616" t="s">
        <v>673</v>
      </c>
      <c r="H976" s="617"/>
      <c r="I976" s="617"/>
      <c r="J976" s="617" t="s">
        <v>1283</v>
      </c>
      <c r="K976" s="618"/>
      <c r="L976" s="616"/>
      <c r="M976" s="616"/>
      <c r="N976" s="617"/>
      <c r="O976" s="617"/>
      <c r="P976" s="617"/>
      <c r="Q976" s="617"/>
      <c r="R976" s="619"/>
      <c r="S976" s="617"/>
      <c r="T976" s="616" t="s">
        <v>221</v>
      </c>
    </row>
    <row r="977" ht="34.5">
      <c r="A977" s="616" t="s">
        <v>1247</v>
      </c>
      <c r="B977" s="616" t="s">
        <v>1248</v>
      </c>
      <c r="C977" s="616" t="s">
        <v>653</v>
      </c>
      <c r="D977" s="616" t="s">
        <v>216</v>
      </c>
      <c r="E977" s="616" t="s">
        <v>671</v>
      </c>
      <c r="F977" s="617" t="s">
        <v>672</v>
      </c>
      <c r="G977" s="616" t="s">
        <v>673</v>
      </c>
      <c r="H977" s="617"/>
      <c r="I977" s="617"/>
      <c r="J977" s="617" t="s">
        <v>1284</v>
      </c>
      <c r="K977" s="618">
        <v>96234479</v>
      </c>
      <c r="L977" s="616" t="s">
        <v>611</v>
      </c>
      <c r="M977" s="616"/>
      <c r="N977" s="617"/>
      <c r="O977" s="617"/>
      <c r="P977" s="617"/>
      <c r="Q977" s="617"/>
      <c r="R977" s="619"/>
      <c r="S977" s="617"/>
      <c r="T977" s="616" t="s">
        <v>221</v>
      </c>
    </row>
    <row r="978" ht="34.5">
      <c r="A978" s="616" t="s">
        <v>1247</v>
      </c>
      <c r="B978" s="616" t="s">
        <v>1248</v>
      </c>
      <c r="C978" s="616" t="s">
        <v>653</v>
      </c>
      <c r="D978" s="616" t="s">
        <v>216</v>
      </c>
      <c r="E978" s="616" t="s">
        <v>671</v>
      </c>
      <c r="F978" s="617" t="s">
        <v>672</v>
      </c>
      <c r="G978" s="616" t="s">
        <v>673</v>
      </c>
      <c r="H978" s="617"/>
      <c r="I978" s="617"/>
      <c r="J978" s="617" t="s">
        <v>1285</v>
      </c>
      <c r="K978" s="618">
        <v>3.5</v>
      </c>
      <c r="L978" s="616" t="s">
        <v>611</v>
      </c>
      <c r="M978" s="616"/>
      <c r="N978" s="617"/>
      <c r="O978" s="617"/>
      <c r="P978" s="617"/>
      <c r="Q978" s="617"/>
      <c r="R978" s="619"/>
      <c r="S978" s="617"/>
      <c r="T978" s="616" t="s">
        <v>221</v>
      </c>
    </row>
    <row r="979" ht="34.5">
      <c r="A979" s="616" t="s">
        <v>1247</v>
      </c>
      <c r="B979" s="616" t="s">
        <v>1248</v>
      </c>
      <c r="C979" s="616" t="s">
        <v>663</v>
      </c>
      <c r="D979" s="616" t="s">
        <v>1286</v>
      </c>
      <c r="E979" s="616" t="s">
        <v>687</v>
      </c>
      <c r="F979" s="617" t="s">
        <v>688</v>
      </c>
      <c r="G979" s="616" t="s">
        <v>689</v>
      </c>
      <c r="H979" s="617"/>
      <c r="I979" s="617"/>
      <c r="J979" s="617" t="s">
        <v>1287</v>
      </c>
      <c r="K979" s="618"/>
      <c r="L979" s="616"/>
      <c r="M979" s="616"/>
      <c r="N979" s="617"/>
      <c r="O979" s="617"/>
      <c r="P979" s="617"/>
      <c r="Q979" s="617"/>
      <c r="R979" s="619"/>
      <c r="S979" s="617"/>
      <c r="T979" s="616" t="s">
        <v>221</v>
      </c>
    </row>
    <row r="980" ht="34.5">
      <c r="A980" s="616" t="s">
        <v>1247</v>
      </c>
      <c r="B980" s="616" t="s">
        <v>1248</v>
      </c>
      <c r="C980" s="616" t="s">
        <v>663</v>
      </c>
      <c r="D980" s="616" t="s">
        <v>216</v>
      </c>
      <c r="E980" s="616" t="s">
        <v>687</v>
      </c>
      <c r="F980" s="617" t="s">
        <v>688</v>
      </c>
      <c r="G980" s="616" t="s">
        <v>689</v>
      </c>
      <c r="H980" s="617"/>
      <c r="I980" s="617"/>
      <c r="J980" s="617" t="s">
        <v>1288</v>
      </c>
      <c r="K980" s="618">
        <v>15770414</v>
      </c>
      <c r="L980" s="616" t="s">
        <v>611</v>
      </c>
      <c r="M980" s="616"/>
      <c r="N980" s="617"/>
      <c r="O980" s="617"/>
      <c r="P980" s="617"/>
      <c r="Q980" s="617"/>
      <c r="R980" s="619"/>
      <c r="S980" s="617"/>
      <c r="T980" s="616" t="s">
        <v>221</v>
      </c>
    </row>
    <row r="981" ht="34.5">
      <c r="A981" s="616" t="s">
        <v>1247</v>
      </c>
      <c r="B981" s="616" t="s">
        <v>1248</v>
      </c>
      <c r="C981" s="616" t="s">
        <v>663</v>
      </c>
      <c r="D981" s="616" t="s">
        <v>216</v>
      </c>
      <c r="E981" s="616" t="s">
        <v>692</v>
      </c>
      <c r="F981" s="617" t="s">
        <v>693</v>
      </c>
      <c r="G981" s="616" t="s">
        <v>694</v>
      </c>
      <c r="H981" s="617"/>
      <c r="I981" s="617"/>
      <c r="J981" s="617" t="s">
        <v>1289</v>
      </c>
      <c r="K981" s="618">
        <v>4956931</v>
      </c>
      <c r="L981" s="616" t="s">
        <v>611</v>
      </c>
      <c r="M981" s="616"/>
      <c r="N981" s="617"/>
      <c r="O981" s="617"/>
      <c r="P981" s="617"/>
      <c r="Q981" s="617"/>
      <c r="R981" s="619"/>
      <c r="S981" s="617"/>
      <c r="T981" s="616" t="s">
        <v>221</v>
      </c>
    </row>
    <row r="982" ht="34.5">
      <c r="A982" s="616" t="s">
        <v>1247</v>
      </c>
      <c r="B982" s="616" t="s">
        <v>1248</v>
      </c>
      <c r="C982" s="616" t="s">
        <v>663</v>
      </c>
      <c r="D982" s="616" t="s">
        <v>216</v>
      </c>
      <c r="E982" s="616" t="s">
        <v>696</v>
      </c>
      <c r="F982" s="617" t="s">
        <v>697</v>
      </c>
      <c r="G982" s="616" t="s">
        <v>698</v>
      </c>
      <c r="H982" s="617"/>
      <c r="I982" s="617"/>
      <c r="J982" s="617" t="s">
        <v>699</v>
      </c>
      <c r="K982" s="618"/>
      <c r="L982" s="616"/>
      <c r="M982" s="616"/>
      <c r="N982" s="617"/>
      <c r="O982" s="617"/>
      <c r="P982" s="617"/>
      <c r="Q982" s="617"/>
      <c r="R982" s="619"/>
      <c r="S982" s="617"/>
      <c r="T982" s="616" t="s">
        <v>221</v>
      </c>
    </row>
    <row r="983" ht="34.5">
      <c r="A983" s="616" t="s">
        <v>1247</v>
      </c>
      <c r="B983" s="616" t="s">
        <v>1248</v>
      </c>
      <c r="C983" s="616" t="s">
        <v>663</v>
      </c>
      <c r="D983" s="616" t="s">
        <v>607</v>
      </c>
      <c r="E983" s="616" t="s">
        <v>696</v>
      </c>
      <c r="F983" s="617" t="s">
        <v>697</v>
      </c>
      <c r="G983" s="616" t="s">
        <v>698</v>
      </c>
      <c r="H983" s="617"/>
      <c r="I983" s="617"/>
      <c r="J983" s="617" t="s">
        <v>608</v>
      </c>
      <c r="K983" s="618"/>
      <c r="L983" s="616"/>
      <c r="M983" s="616"/>
      <c r="N983" s="617"/>
      <c r="O983" s="617"/>
      <c r="P983" s="617"/>
      <c r="Q983" s="617"/>
      <c r="R983" s="619"/>
      <c r="S983" s="617"/>
      <c r="T983" s="616" t="s">
        <v>221</v>
      </c>
    </row>
    <row r="984" ht="34.5">
      <c r="A984" s="616" t="s">
        <v>1247</v>
      </c>
      <c r="B984" s="616" t="s">
        <v>1248</v>
      </c>
      <c r="C984" s="616" t="s">
        <v>663</v>
      </c>
      <c r="D984" s="616" t="s">
        <v>216</v>
      </c>
      <c r="E984" s="616" t="s">
        <v>696</v>
      </c>
      <c r="F984" s="617" t="s">
        <v>697</v>
      </c>
      <c r="G984" s="616" t="s">
        <v>698</v>
      </c>
      <c r="H984" s="617"/>
      <c r="I984" s="617"/>
      <c r="J984" s="617" t="s">
        <v>677</v>
      </c>
      <c r="K984" s="618"/>
      <c r="L984" s="616"/>
      <c r="M984" s="616"/>
      <c r="N984" s="617"/>
      <c r="O984" s="617"/>
      <c r="P984" s="617"/>
      <c r="Q984" s="617"/>
      <c r="R984" s="619"/>
      <c r="S984" s="617"/>
      <c r="T984" s="616" t="s">
        <v>221</v>
      </c>
    </row>
    <row r="985" ht="34.5">
      <c r="A985" s="616" t="s">
        <v>1247</v>
      </c>
      <c r="B985" s="616" t="s">
        <v>1248</v>
      </c>
      <c r="C985" s="616" t="s">
        <v>1140</v>
      </c>
      <c r="D985" s="616" t="s">
        <v>216</v>
      </c>
      <c r="E985" s="616" t="s">
        <v>696</v>
      </c>
      <c r="F985" s="617" t="s">
        <v>697</v>
      </c>
      <c r="G985" s="616" t="s">
        <v>698</v>
      </c>
      <c r="H985" s="617"/>
      <c r="I985" s="617"/>
      <c r="J985" s="617" t="s">
        <v>704</v>
      </c>
      <c r="K985" s="618"/>
      <c r="L985" s="616"/>
      <c r="M985" s="616"/>
      <c r="N985" s="617"/>
      <c r="O985" s="617"/>
      <c r="P985" s="617"/>
      <c r="Q985" s="617"/>
      <c r="R985" s="619"/>
      <c r="S985" s="617"/>
      <c r="T985" s="616" t="s">
        <v>221</v>
      </c>
    </row>
    <row r="986" ht="34.5">
      <c r="A986" s="616" t="s">
        <v>1247</v>
      </c>
      <c r="B986" s="616" t="s">
        <v>1248</v>
      </c>
      <c r="C986" s="616" t="s">
        <v>1140</v>
      </c>
      <c r="D986" s="616" t="s">
        <v>616</v>
      </c>
      <c r="E986" s="616" t="s">
        <v>696</v>
      </c>
      <c r="F986" s="617" t="s">
        <v>697</v>
      </c>
      <c r="G986" s="616" t="s">
        <v>698</v>
      </c>
      <c r="H986" s="617"/>
      <c r="I986" s="617"/>
      <c r="J986" s="617" t="s">
        <v>617</v>
      </c>
      <c r="K986" s="618"/>
      <c r="L986" s="616"/>
      <c r="M986" s="616"/>
      <c r="N986" s="617"/>
      <c r="O986" s="617"/>
      <c r="P986" s="617"/>
      <c r="Q986" s="617"/>
      <c r="R986" s="619"/>
      <c r="S986" s="617"/>
      <c r="T986" s="616" t="s">
        <v>221</v>
      </c>
    </row>
    <row r="987" ht="34.5">
      <c r="A987" s="616" t="s">
        <v>1247</v>
      </c>
      <c r="B987" s="616" t="s">
        <v>1248</v>
      </c>
      <c r="C987" s="616" t="s">
        <v>1140</v>
      </c>
      <c r="D987" s="616" t="s">
        <v>216</v>
      </c>
      <c r="E987" s="616" t="s">
        <v>696</v>
      </c>
      <c r="F987" s="617" t="s">
        <v>697</v>
      </c>
      <c r="G987" s="616" t="s">
        <v>698</v>
      </c>
      <c r="H987" s="617"/>
      <c r="I987" s="617"/>
      <c r="J987" s="617" t="s">
        <v>1290</v>
      </c>
      <c r="K987" s="618"/>
      <c r="L987" s="616"/>
      <c r="M987" s="616"/>
      <c r="N987" s="617"/>
      <c r="O987" s="617"/>
      <c r="P987" s="617"/>
      <c r="Q987" s="617"/>
      <c r="R987" s="619"/>
      <c r="S987" s="617"/>
      <c r="T987" s="616" t="s">
        <v>221</v>
      </c>
    </row>
    <row r="988" ht="34.5">
      <c r="A988" s="616" t="s">
        <v>1247</v>
      </c>
      <c r="B988" s="616" t="s">
        <v>1248</v>
      </c>
      <c r="C988" s="616" t="s">
        <v>1140</v>
      </c>
      <c r="D988" s="616" t="s">
        <v>216</v>
      </c>
      <c r="E988" s="616" t="s">
        <v>696</v>
      </c>
      <c r="F988" s="617" t="s">
        <v>697</v>
      </c>
      <c r="G988" s="616" t="s">
        <v>698</v>
      </c>
      <c r="H988" s="617"/>
      <c r="I988" s="617"/>
      <c r="J988" s="617" t="s">
        <v>1291</v>
      </c>
      <c r="K988" s="618">
        <v>134853879</v>
      </c>
      <c r="L988" s="616" t="s">
        <v>611</v>
      </c>
      <c r="M988" s="616"/>
      <c r="N988" s="617"/>
      <c r="O988" s="617"/>
      <c r="P988" s="617"/>
      <c r="Q988" s="617"/>
      <c r="R988" s="619"/>
      <c r="S988" s="617"/>
      <c r="T988" s="616" t="s">
        <v>221</v>
      </c>
    </row>
    <row r="989" ht="34.5">
      <c r="A989" s="616" t="s">
        <v>1247</v>
      </c>
      <c r="B989" s="616" t="s">
        <v>1248</v>
      </c>
      <c r="C989" s="616" t="s">
        <v>1140</v>
      </c>
      <c r="D989" s="616" t="s">
        <v>216</v>
      </c>
      <c r="E989" s="616" t="s">
        <v>696</v>
      </c>
      <c r="F989" s="617" t="s">
        <v>697</v>
      </c>
      <c r="G989" s="616" t="s">
        <v>698</v>
      </c>
      <c r="H989" s="617"/>
      <c r="I989" s="617"/>
      <c r="J989" s="617" t="s">
        <v>1292</v>
      </c>
      <c r="K989" s="618">
        <v>217377000</v>
      </c>
      <c r="L989" s="616" t="s">
        <v>611</v>
      </c>
      <c r="M989" s="616"/>
      <c r="N989" s="617"/>
      <c r="O989" s="617"/>
      <c r="P989" s="617"/>
      <c r="Q989" s="617"/>
      <c r="R989" s="619"/>
      <c r="S989" s="617"/>
      <c r="T989" s="616" t="s">
        <v>221</v>
      </c>
    </row>
    <row r="990" ht="34.5">
      <c r="A990" s="616" t="s">
        <v>1247</v>
      </c>
      <c r="B990" s="616" t="s">
        <v>1248</v>
      </c>
      <c r="C990" s="616" t="s">
        <v>1140</v>
      </c>
      <c r="D990" s="616" t="s">
        <v>216</v>
      </c>
      <c r="E990" s="616" t="s">
        <v>696</v>
      </c>
      <c r="F990" s="617" t="s">
        <v>697</v>
      </c>
      <c r="G990" s="616" t="s">
        <v>698</v>
      </c>
      <c r="H990" s="617"/>
      <c r="I990" s="617"/>
      <c r="J990" s="617" t="s">
        <v>1159</v>
      </c>
      <c r="K990" s="618"/>
      <c r="L990" s="616"/>
      <c r="M990" s="616"/>
      <c r="N990" s="617"/>
      <c r="O990" s="617"/>
      <c r="P990" s="617"/>
      <c r="Q990" s="617"/>
      <c r="R990" s="619"/>
      <c r="S990" s="617"/>
      <c r="T990" s="616" t="s">
        <v>221</v>
      </c>
    </row>
    <row r="991" ht="34.5">
      <c r="A991" s="616" t="s">
        <v>1247</v>
      </c>
      <c r="B991" s="616" t="s">
        <v>1248</v>
      </c>
      <c r="C991" s="616" t="s">
        <v>1146</v>
      </c>
      <c r="D991" s="616" t="s">
        <v>216</v>
      </c>
      <c r="E991" s="616" t="s">
        <v>696</v>
      </c>
      <c r="F991" s="617" t="s">
        <v>697</v>
      </c>
      <c r="G991" s="616" t="s">
        <v>698</v>
      </c>
      <c r="H991" s="617"/>
      <c r="I991" s="617"/>
      <c r="J991" s="617" t="s">
        <v>712</v>
      </c>
      <c r="K991" s="618"/>
      <c r="L991" s="616"/>
      <c r="M991" s="616"/>
      <c r="N991" s="617"/>
      <c r="O991" s="617"/>
      <c r="P991" s="617"/>
      <c r="Q991" s="617"/>
      <c r="R991" s="619"/>
      <c r="S991" s="617"/>
      <c r="T991" s="616" t="s">
        <v>221</v>
      </c>
    </row>
    <row r="992" ht="34.5">
      <c r="A992" s="616" t="s">
        <v>1247</v>
      </c>
      <c r="B992" s="616" t="s">
        <v>1248</v>
      </c>
      <c r="C992" s="616" t="s">
        <v>1146</v>
      </c>
      <c r="D992" s="616" t="s">
        <v>216</v>
      </c>
      <c r="E992" s="616" t="s">
        <v>696</v>
      </c>
      <c r="F992" s="617" t="s">
        <v>697</v>
      </c>
      <c r="G992" s="616" t="s">
        <v>698</v>
      </c>
      <c r="H992" s="617"/>
      <c r="I992" s="617"/>
      <c r="J992" s="617" t="s">
        <v>713</v>
      </c>
      <c r="K992" s="618"/>
      <c r="L992" s="616"/>
      <c r="M992" s="616"/>
      <c r="N992" s="617"/>
      <c r="O992" s="617"/>
      <c r="P992" s="617"/>
      <c r="Q992" s="617"/>
      <c r="R992" s="619"/>
      <c r="S992" s="617"/>
      <c r="T992" s="616" t="s">
        <v>221</v>
      </c>
    </row>
    <row r="993" ht="34.5">
      <c r="A993" s="616" t="s">
        <v>1247</v>
      </c>
      <c r="B993" s="616" t="s">
        <v>1248</v>
      </c>
      <c r="C993" s="616" t="s">
        <v>1146</v>
      </c>
      <c r="D993" s="616" t="s">
        <v>627</v>
      </c>
      <c r="E993" s="616" t="s">
        <v>696</v>
      </c>
      <c r="F993" s="617" t="s">
        <v>697</v>
      </c>
      <c r="G993" s="616" t="s">
        <v>698</v>
      </c>
      <c r="H993" s="617"/>
      <c r="I993" s="617"/>
      <c r="J993" s="617" t="s">
        <v>628</v>
      </c>
      <c r="K993" s="618"/>
      <c r="L993" s="616"/>
      <c r="M993" s="616"/>
      <c r="N993" s="617"/>
      <c r="O993" s="617"/>
      <c r="P993" s="617"/>
      <c r="Q993" s="617"/>
      <c r="R993" s="619"/>
      <c r="S993" s="617"/>
      <c r="T993" s="616" t="s">
        <v>221</v>
      </c>
    </row>
    <row r="994" ht="34.5">
      <c r="A994" s="616" t="s">
        <v>1247</v>
      </c>
      <c r="B994" s="616" t="s">
        <v>1248</v>
      </c>
      <c r="C994" s="616" t="s">
        <v>1146</v>
      </c>
      <c r="D994" s="616" t="s">
        <v>216</v>
      </c>
      <c r="E994" s="616" t="s">
        <v>696</v>
      </c>
      <c r="F994" s="617" t="s">
        <v>697</v>
      </c>
      <c r="G994" s="616" t="s">
        <v>698</v>
      </c>
      <c r="H994" s="617"/>
      <c r="I994" s="617"/>
      <c r="J994" s="617" t="s">
        <v>1293</v>
      </c>
      <c r="K994" s="618">
        <v>31674</v>
      </c>
      <c r="L994" s="616" t="s">
        <v>611</v>
      </c>
      <c r="M994" s="616"/>
      <c r="N994" s="617"/>
      <c r="O994" s="617"/>
      <c r="P994" s="617"/>
      <c r="Q994" s="617"/>
      <c r="R994" s="619"/>
      <c r="S994" s="617"/>
      <c r="T994" s="616" t="s">
        <v>221</v>
      </c>
    </row>
    <row r="995" ht="34.5">
      <c r="A995" s="616" t="s">
        <v>1247</v>
      </c>
      <c r="B995" s="616" t="s">
        <v>1248</v>
      </c>
      <c r="C995" s="616" t="s">
        <v>1146</v>
      </c>
      <c r="D995" s="616" t="s">
        <v>216</v>
      </c>
      <c r="E995" s="616" t="s">
        <v>696</v>
      </c>
      <c r="F995" s="617" t="s">
        <v>697</v>
      </c>
      <c r="G995" s="616" t="s">
        <v>698</v>
      </c>
      <c r="H995" s="617"/>
      <c r="I995" s="617"/>
      <c r="J995" s="617" t="s">
        <v>717</v>
      </c>
      <c r="K995" s="618"/>
      <c r="L995" s="616"/>
      <c r="M995" s="616"/>
      <c r="N995" s="617"/>
      <c r="O995" s="617"/>
      <c r="P995" s="617"/>
      <c r="Q995" s="617"/>
      <c r="R995" s="619"/>
      <c r="S995" s="617"/>
      <c r="T995" s="616" t="s">
        <v>221</v>
      </c>
    </row>
    <row r="996" ht="34.5">
      <c r="A996" s="616" t="s">
        <v>1247</v>
      </c>
      <c r="B996" s="616" t="s">
        <v>1248</v>
      </c>
      <c r="C996" s="616" t="s">
        <v>1146</v>
      </c>
      <c r="D996" s="616" t="s">
        <v>632</v>
      </c>
      <c r="E996" s="616" t="s">
        <v>696</v>
      </c>
      <c r="F996" s="617" t="s">
        <v>697</v>
      </c>
      <c r="G996" s="616" t="s">
        <v>698</v>
      </c>
      <c r="H996" s="617"/>
      <c r="I996" s="617"/>
      <c r="J996" s="617" t="s">
        <v>633</v>
      </c>
      <c r="K996" s="618"/>
      <c r="L996" s="616"/>
      <c r="M996" s="616"/>
      <c r="N996" s="617"/>
      <c r="O996" s="617"/>
      <c r="P996" s="617"/>
      <c r="Q996" s="617"/>
      <c r="R996" s="619"/>
      <c r="S996" s="617"/>
      <c r="T996" s="616" t="s">
        <v>221</v>
      </c>
    </row>
    <row r="997" ht="34.5">
      <c r="A997" s="616" t="s">
        <v>1247</v>
      </c>
      <c r="B997" s="616" t="s">
        <v>1248</v>
      </c>
      <c r="C997" s="616" t="s">
        <v>1146</v>
      </c>
      <c r="D997" s="616" t="s">
        <v>216</v>
      </c>
      <c r="E997" s="616" t="s">
        <v>696</v>
      </c>
      <c r="F997" s="617" t="s">
        <v>697</v>
      </c>
      <c r="G997" s="616" t="s">
        <v>698</v>
      </c>
      <c r="H997" s="617"/>
      <c r="I997" s="617"/>
      <c r="J997" s="617" t="s">
        <v>1294</v>
      </c>
      <c r="K997" s="618"/>
      <c r="L997" s="616"/>
      <c r="M997" s="616"/>
      <c r="N997" s="617"/>
      <c r="O997" s="617"/>
      <c r="P997" s="617"/>
      <c r="Q997" s="617"/>
      <c r="R997" s="619"/>
      <c r="S997" s="617"/>
      <c r="T997" s="616" t="s">
        <v>221</v>
      </c>
    </row>
    <row r="998" ht="34.5">
      <c r="A998" s="616" t="s">
        <v>1247</v>
      </c>
      <c r="B998" s="616" t="s">
        <v>1248</v>
      </c>
      <c r="C998" s="616" t="s">
        <v>1146</v>
      </c>
      <c r="D998" s="616" t="s">
        <v>216</v>
      </c>
      <c r="E998" s="616" t="s">
        <v>696</v>
      </c>
      <c r="F998" s="617" t="s">
        <v>697</v>
      </c>
      <c r="G998" s="616" t="s">
        <v>698</v>
      </c>
      <c r="H998" s="617"/>
      <c r="I998" s="617"/>
      <c r="J998" s="617" t="s">
        <v>1295</v>
      </c>
      <c r="K998" s="618">
        <v>105384604</v>
      </c>
      <c r="L998" s="616" t="s">
        <v>611</v>
      </c>
      <c r="M998" s="616"/>
      <c r="N998" s="617"/>
      <c r="O998" s="617"/>
      <c r="P998" s="617"/>
      <c r="Q998" s="617"/>
      <c r="R998" s="619"/>
      <c r="S998" s="617"/>
      <c r="T998" s="616" t="s">
        <v>221</v>
      </c>
    </row>
    <row r="999" ht="34.5">
      <c r="A999" s="616" t="s">
        <v>1247</v>
      </c>
      <c r="B999" s="616" t="s">
        <v>1248</v>
      </c>
      <c r="C999" s="616" t="s">
        <v>1146</v>
      </c>
      <c r="D999" s="616" t="s">
        <v>216</v>
      </c>
      <c r="E999" s="616" t="s">
        <v>696</v>
      </c>
      <c r="F999" s="617" t="s">
        <v>697</v>
      </c>
      <c r="G999" s="616" t="s">
        <v>698</v>
      </c>
      <c r="H999" s="617"/>
      <c r="I999" s="617"/>
      <c r="J999" s="617" t="s">
        <v>702</v>
      </c>
      <c r="K999" s="618"/>
      <c r="L999" s="616"/>
      <c r="M999" s="616"/>
      <c r="N999" s="617"/>
      <c r="O999" s="617"/>
      <c r="P999" s="617"/>
      <c r="Q999" s="617"/>
      <c r="R999" s="619"/>
      <c r="S999" s="617"/>
      <c r="T999" s="616" t="s">
        <v>221</v>
      </c>
    </row>
    <row r="1000" ht="34.5">
      <c r="A1000" s="616" t="s">
        <v>1247</v>
      </c>
      <c r="B1000" s="616" t="s">
        <v>1248</v>
      </c>
      <c r="C1000" s="616" t="s">
        <v>1151</v>
      </c>
      <c r="D1000" s="616" t="s">
        <v>650</v>
      </c>
      <c r="E1000" s="616" t="s">
        <v>725</v>
      </c>
      <c r="F1000" s="617" t="s">
        <v>726</v>
      </c>
      <c r="G1000" s="616" t="s">
        <v>727</v>
      </c>
      <c r="H1000" s="617"/>
      <c r="I1000" s="617"/>
      <c r="J1000" s="617" t="s">
        <v>651</v>
      </c>
      <c r="K1000" s="618"/>
      <c r="L1000" s="616"/>
      <c r="M1000" s="616"/>
      <c r="N1000" s="617"/>
      <c r="O1000" s="617"/>
      <c r="P1000" s="617"/>
      <c r="Q1000" s="617"/>
      <c r="R1000" s="619"/>
      <c r="S1000" s="617"/>
      <c r="T1000" s="616" t="s">
        <v>221</v>
      </c>
    </row>
    <row r="1001" ht="34.5">
      <c r="A1001" s="616" t="s">
        <v>1247</v>
      </c>
      <c r="B1001" s="616" t="s">
        <v>1248</v>
      </c>
      <c r="C1001" s="616" t="s">
        <v>1151</v>
      </c>
      <c r="D1001" s="616" t="s">
        <v>216</v>
      </c>
      <c r="E1001" s="616" t="s">
        <v>725</v>
      </c>
      <c r="F1001" s="617" t="s">
        <v>726</v>
      </c>
      <c r="G1001" s="616" t="s">
        <v>727</v>
      </c>
      <c r="H1001" s="617"/>
      <c r="I1001" s="617"/>
      <c r="J1001" s="617" t="s">
        <v>1296</v>
      </c>
      <c r="K1001" s="618"/>
      <c r="L1001" s="616"/>
      <c r="M1001" s="616"/>
      <c r="N1001" s="617"/>
      <c r="O1001" s="617"/>
      <c r="P1001" s="617"/>
      <c r="Q1001" s="617"/>
      <c r="R1001" s="619"/>
      <c r="S1001" s="617"/>
      <c r="T1001" s="616" t="s">
        <v>221</v>
      </c>
    </row>
    <row r="1002" ht="34.5">
      <c r="A1002" s="616" t="s">
        <v>1247</v>
      </c>
      <c r="B1002" s="616" t="s">
        <v>1248</v>
      </c>
      <c r="C1002" s="616" t="s">
        <v>1151</v>
      </c>
      <c r="D1002" s="616" t="s">
        <v>216</v>
      </c>
      <c r="E1002" s="616" t="s">
        <v>725</v>
      </c>
      <c r="F1002" s="617" t="s">
        <v>726</v>
      </c>
      <c r="G1002" s="616" t="s">
        <v>727</v>
      </c>
      <c r="H1002" s="617"/>
      <c r="I1002" s="617"/>
      <c r="J1002" s="617" t="s">
        <v>1297</v>
      </c>
      <c r="K1002" s="618">
        <v>125275182</v>
      </c>
      <c r="L1002" s="616" t="s">
        <v>611</v>
      </c>
      <c r="M1002" s="616"/>
      <c r="N1002" s="617"/>
      <c r="O1002" s="617"/>
      <c r="P1002" s="617"/>
      <c r="Q1002" s="617"/>
      <c r="R1002" s="619"/>
      <c r="S1002" s="617"/>
      <c r="T1002" s="616" t="s">
        <v>221</v>
      </c>
    </row>
    <row r="1003" ht="34.5">
      <c r="A1003" s="616" t="s">
        <v>1247</v>
      </c>
      <c r="B1003" s="616" t="s">
        <v>1248</v>
      </c>
      <c r="C1003" s="616" t="s">
        <v>1155</v>
      </c>
      <c r="D1003" s="616" t="s">
        <v>216</v>
      </c>
      <c r="E1003" s="616" t="s">
        <v>725</v>
      </c>
      <c r="F1003" s="617" t="s">
        <v>726</v>
      </c>
      <c r="G1003" s="616" t="s">
        <v>727</v>
      </c>
      <c r="H1003" s="617"/>
      <c r="I1003" s="617"/>
      <c r="J1003" s="617" t="s">
        <v>679</v>
      </c>
      <c r="K1003" s="618"/>
      <c r="L1003" s="616"/>
      <c r="M1003" s="616"/>
      <c r="N1003" s="617"/>
      <c r="O1003" s="617"/>
      <c r="P1003" s="617"/>
      <c r="Q1003" s="617"/>
      <c r="R1003" s="619"/>
      <c r="S1003" s="617"/>
      <c r="T1003" s="616" t="s">
        <v>221</v>
      </c>
    </row>
    <row r="1004" ht="34.5">
      <c r="A1004" s="616" t="s">
        <v>1247</v>
      </c>
      <c r="B1004" s="616" t="s">
        <v>1248</v>
      </c>
      <c r="C1004" s="616" t="s">
        <v>1155</v>
      </c>
      <c r="D1004" s="616" t="s">
        <v>216</v>
      </c>
      <c r="E1004" s="616" t="s">
        <v>725</v>
      </c>
      <c r="F1004" s="617" t="s">
        <v>726</v>
      </c>
      <c r="G1004" s="616" t="s">
        <v>727</v>
      </c>
      <c r="H1004" s="617"/>
      <c r="I1004" s="617"/>
      <c r="J1004" s="617" t="s">
        <v>1298</v>
      </c>
      <c r="K1004" s="618"/>
      <c r="L1004" s="616"/>
      <c r="M1004" s="616"/>
      <c r="N1004" s="617"/>
      <c r="O1004" s="617"/>
      <c r="P1004" s="617"/>
      <c r="Q1004" s="617"/>
      <c r="R1004" s="619"/>
      <c r="S1004" s="617"/>
      <c r="T1004" s="616" t="s">
        <v>221</v>
      </c>
    </row>
    <row r="1005" ht="34.5">
      <c r="A1005" s="616" t="s">
        <v>1247</v>
      </c>
      <c r="B1005" s="616" t="s">
        <v>1248</v>
      </c>
      <c r="C1005" s="616" t="s">
        <v>1155</v>
      </c>
      <c r="D1005" s="616" t="s">
        <v>216</v>
      </c>
      <c r="E1005" s="616" t="s">
        <v>725</v>
      </c>
      <c r="F1005" s="617" t="s">
        <v>726</v>
      </c>
      <c r="G1005" s="616" t="s">
        <v>727</v>
      </c>
      <c r="H1005" s="617"/>
      <c r="I1005" s="617"/>
      <c r="J1005" s="617" t="s">
        <v>733</v>
      </c>
      <c r="K1005" s="618"/>
      <c r="L1005" s="616"/>
      <c r="M1005" s="616"/>
      <c r="N1005" s="617"/>
      <c r="O1005" s="617"/>
      <c r="P1005" s="617"/>
      <c r="Q1005" s="617"/>
      <c r="R1005" s="619"/>
      <c r="S1005" s="617"/>
      <c r="T1005" s="616" t="s">
        <v>221</v>
      </c>
    </row>
    <row r="1006" ht="34.5">
      <c r="A1006" s="616" t="s">
        <v>1247</v>
      </c>
      <c r="B1006" s="616" t="s">
        <v>1248</v>
      </c>
      <c r="C1006" s="616" t="s">
        <v>1155</v>
      </c>
      <c r="D1006" s="616" t="s">
        <v>657</v>
      </c>
      <c r="E1006" s="616" t="s">
        <v>725</v>
      </c>
      <c r="F1006" s="617" t="s">
        <v>726</v>
      </c>
      <c r="G1006" s="616" t="s">
        <v>727</v>
      </c>
      <c r="H1006" s="617"/>
      <c r="I1006" s="617"/>
      <c r="J1006" s="617" t="s">
        <v>658</v>
      </c>
      <c r="K1006" s="618"/>
      <c r="L1006" s="616"/>
      <c r="M1006" s="616"/>
      <c r="N1006" s="617"/>
      <c r="O1006" s="617"/>
      <c r="P1006" s="617"/>
      <c r="Q1006" s="617"/>
      <c r="R1006" s="619"/>
      <c r="S1006" s="617"/>
      <c r="T1006" s="616" t="s">
        <v>221</v>
      </c>
    </row>
    <row r="1007" ht="34.5">
      <c r="A1007" s="616" t="s">
        <v>1247</v>
      </c>
      <c r="B1007" s="616" t="s">
        <v>1248</v>
      </c>
      <c r="C1007" s="616" t="s">
        <v>1155</v>
      </c>
      <c r="D1007" s="616" t="s">
        <v>216</v>
      </c>
      <c r="E1007" s="616" t="s">
        <v>725</v>
      </c>
      <c r="F1007" s="617" t="s">
        <v>726</v>
      </c>
      <c r="G1007" s="616" t="s">
        <v>727</v>
      </c>
      <c r="H1007" s="617"/>
      <c r="I1007" s="617"/>
      <c r="J1007" s="617" t="s">
        <v>736</v>
      </c>
      <c r="K1007" s="618"/>
      <c r="L1007" s="616"/>
      <c r="M1007" s="616"/>
      <c r="N1007" s="617"/>
      <c r="O1007" s="617"/>
      <c r="P1007" s="617"/>
      <c r="Q1007" s="617"/>
      <c r="R1007" s="619"/>
      <c r="S1007" s="617"/>
      <c r="T1007" s="616" t="s">
        <v>221</v>
      </c>
    </row>
    <row r="1008" ht="34.5">
      <c r="A1008" s="616" t="s">
        <v>1247</v>
      </c>
      <c r="B1008" s="616" t="s">
        <v>1248</v>
      </c>
      <c r="C1008" s="616" t="s">
        <v>1155</v>
      </c>
      <c r="D1008" s="616" t="s">
        <v>216</v>
      </c>
      <c r="E1008" s="616" t="s">
        <v>725</v>
      </c>
      <c r="F1008" s="617" t="s">
        <v>726</v>
      </c>
      <c r="G1008" s="616" t="s">
        <v>727</v>
      </c>
      <c r="H1008" s="617"/>
      <c r="I1008" s="617"/>
      <c r="J1008" s="617" t="s">
        <v>737</v>
      </c>
      <c r="K1008" s="618"/>
      <c r="L1008" s="616"/>
      <c r="M1008" s="616"/>
      <c r="N1008" s="617"/>
      <c r="O1008" s="617"/>
      <c r="P1008" s="617"/>
      <c r="Q1008" s="617"/>
      <c r="R1008" s="619"/>
      <c r="S1008" s="617"/>
      <c r="T1008" s="616" t="s">
        <v>221</v>
      </c>
    </row>
    <row r="1009" ht="34.5">
      <c r="A1009" s="616" t="s">
        <v>1247</v>
      </c>
      <c r="B1009" s="616" t="s">
        <v>1248</v>
      </c>
      <c r="C1009" s="616" t="s">
        <v>1155</v>
      </c>
      <c r="D1009" s="616" t="s">
        <v>1299</v>
      </c>
      <c r="E1009" s="616" t="s">
        <v>725</v>
      </c>
      <c r="F1009" s="617" t="s">
        <v>726</v>
      </c>
      <c r="G1009" s="616" t="s">
        <v>727</v>
      </c>
      <c r="H1009" s="617"/>
      <c r="I1009" s="617"/>
      <c r="J1009" s="617" t="s">
        <v>1300</v>
      </c>
      <c r="K1009" s="618"/>
      <c r="L1009" s="616"/>
      <c r="M1009" s="616"/>
      <c r="N1009" s="617"/>
      <c r="O1009" s="617"/>
      <c r="P1009" s="617"/>
      <c r="Q1009" s="617"/>
      <c r="R1009" s="619"/>
      <c r="S1009" s="617"/>
      <c r="T1009" s="616" t="s">
        <v>221</v>
      </c>
    </row>
    <row r="1010" ht="34.5">
      <c r="A1010" s="616" t="s">
        <v>1247</v>
      </c>
      <c r="B1010" s="616" t="s">
        <v>1248</v>
      </c>
      <c r="C1010" s="616" t="s">
        <v>1155</v>
      </c>
      <c r="D1010" s="616" t="s">
        <v>216</v>
      </c>
      <c r="E1010" s="616" t="s">
        <v>725</v>
      </c>
      <c r="F1010" s="617" t="s">
        <v>726</v>
      </c>
      <c r="G1010" s="616" t="s">
        <v>727</v>
      </c>
      <c r="H1010" s="617"/>
      <c r="I1010" s="617"/>
      <c r="J1010" s="617" t="s">
        <v>740</v>
      </c>
      <c r="K1010" s="618"/>
      <c r="L1010" s="616"/>
      <c r="M1010" s="616"/>
      <c r="N1010" s="617"/>
      <c r="O1010" s="617"/>
      <c r="P1010" s="617"/>
      <c r="Q1010" s="617"/>
      <c r="R1010" s="619"/>
      <c r="S1010" s="617"/>
      <c r="T1010" s="616" t="s">
        <v>221</v>
      </c>
    </row>
    <row r="1011" ht="34.5">
      <c r="A1011" s="616" t="s">
        <v>1247</v>
      </c>
      <c r="B1011" s="616" t="s">
        <v>1248</v>
      </c>
      <c r="C1011" s="616" t="s">
        <v>1155</v>
      </c>
      <c r="D1011" s="616" t="s">
        <v>216</v>
      </c>
      <c r="E1011" s="616" t="s">
        <v>725</v>
      </c>
      <c r="F1011" s="617" t="s">
        <v>726</v>
      </c>
      <c r="G1011" s="616" t="s">
        <v>727</v>
      </c>
      <c r="H1011" s="617"/>
      <c r="I1011" s="617"/>
      <c r="J1011" s="617" t="s">
        <v>741</v>
      </c>
      <c r="K1011" s="618"/>
      <c r="L1011" s="616"/>
      <c r="M1011" s="616"/>
      <c r="N1011" s="617"/>
      <c r="O1011" s="617"/>
      <c r="P1011" s="617"/>
      <c r="Q1011" s="617"/>
      <c r="R1011" s="619"/>
      <c r="S1011" s="617"/>
      <c r="T1011" s="616" t="s">
        <v>221</v>
      </c>
    </row>
    <row r="1012" ht="34.5">
      <c r="A1012" s="616" t="s">
        <v>1247</v>
      </c>
      <c r="B1012" s="616" t="s">
        <v>1248</v>
      </c>
      <c r="C1012" s="616" t="s">
        <v>1155</v>
      </c>
      <c r="D1012" s="616" t="s">
        <v>216</v>
      </c>
      <c r="E1012" s="616" t="s">
        <v>725</v>
      </c>
      <c r="F1012" s="617" t="s">
        <v>726</v>
      </c>
      <c r="G1012" s="616" t="s">
        <v>727</v>
      </c>
      <c r="H1012" s="617"/>
      <c r="I1012" s="617"/>
      <c r="J1012" s="617" t="s">
        <v>1301</v>
      </c>
      <c r="K1012" s="618">
        <v>178155007</v>
      </c>
      <c r="L1012" s="616" t="s">
        <v>611</v>
      </c>
      <c r="M1012" s="616"/>
      <c r="N1012" s="617"/>
      <c r="O1012" s="617"/>
      <c r="P1012" s="617"/>
      <c r="Q1012" s="617"/>
      <c r="R1012" s="619"/>
      <c r="S1012" s="617"/>
      <c r="T1012" s="616" t="s">
        <v>221</v>
      </c>
    </row>
    <row r="1013" ht="34.5">
      <c r="A1013" s="616" t="s">
        <v>1247</v>
      </c>
      <c r="B1013" s="616" t="s">
        <v>1248</v>
      </c>
      <c r="C1013" s="616" t="s">
        <v>1155</v>
      </c>
      <c r="D1013" s="616" t="s">
        <v>1302</v>
      </c>
      <c r="E1013" s="616" t="s">
        <v>725</v>
      </c>
      <c r="F1013" s="617" t="s">
        <v>726</v>
      </c>
      <c r="G1013" s="616" t="s">
        <v>727</v>
      </c>
      <c r="H1013" s="617"/>
      <c r="I1013" s="617"/>
      <c r="J1013" s="617" t="s">
        <v>1303</v>
      </c>
      <c r="K1013" s="618"/>
      <c r="L1013" s="616"/>
      <c r="M1013" s="616"/>
      <c r="N1013" s="617"/>
      <c r="O1013" s="617"/>
      <c r="P1013" s="617"/>
      <c r="Q1013" s="617"/>
      <c r="R1013" s="619"/>
      <c r="S1013" s="617"/>
      <c r="T1013" s="616" t="s">
        <v>221</v>
      </c>
    </row>
    <row r="1014" ht="34.5">
      <c r="A1014" s="616" t="s">
        <v>1247</v>
      </c>
      <c r="B1014" s="616" t="s">
        <v>1248</v>
      </c>
      <c r="C1014" s="616" t="s">
        <v>1160</v>
      </c>
      <c r="D1014" s="616" t="s">
        <v>1138</v>
      </c>
      <c r="E1014" s="616" t="s">
        <v>749</v>
      </c>
      <c r="F1014" s="617" t="s">
        <v>750</v>
      </c>
      <c r="G1014" s="616" t="s">
        <v>751</v>
      </c>
      <c r="H1014" s="617"/>
      <c r="I1014" s="617"/>
      <c r="J1014" s="617" t="s">
        <v>1139</v>
      </c>
      <c r="K1014" s="618"/>
      <c r="L1014" s="616"/>
      <c r="M1014" s="616"/>
      <c r="N1014" s="617"/>
      <c r="O1014" s="617"/>
      <c r="P1014" s="617"/>
      <c r="Q1014" s="617"/>
      <c r="R1014" s="619"/>
      <c r="S1014" s="617"/>
      <c r="T1014" s="616" t="s">
        <v>221</v>
      </c>
    </row>
    <row r="1015" ht="34.5">
      <c r="A1015" s="616" t="s">
        <v>1247</v>
      </c>
      <c r="B1015" s="616" t="s">
        <v>1248</v>
      </c>
      <c r="C1015" s="616" t="s">
        <v>1163</v>
      </c>
      <c r="D1015" s="616" t="s">
        <v>216</v>
      </c>
      <c r="E1015" s="616" t="s">
        <v>755</v>
      </c>
      <c r="F1015" s="617" t="s">
        <v>756</v>
      </c>
      <c r="G1015" s="616" t="s">
        <v>727</v>
      </c>
      <c r="H1015" s="617"/>
      <c r="I1015" s="617"/>
      <c r="J1015" s="617" t="s">
        <v>757</v>
      </c>
      <c r="K1015" s="618"/>
      <c r="L1015" s="616"/>
      <c r="M1015" s="616"/>
      <c r="N1015" s="617"/>
      <c r="O1015" s="617"/>
      <c r="P1015" s="617"/>
      <c r="Q1015" s="617"/>
      <c r="R1015" s="619"/>
      <c r="S1015" s="617"/>
      <c r="T1015" s="616" t="s">
        <v>221</v>
      </c>
    </row>
    <row r="1016" ht="34.5">
      <c r="A1016" s="616" t="s">
        <v>1247</v>
      </c>
      <c r="B1016" s="616" t="s">
        <v>1248</v>
      </c>
      <c r="C1016" s="616" t="s">
        <v>1163</v>
      </c>
      <c r="D1016" s="616" t="s">
        <v>216</v>
      </c>
      <c r="E1016" s="616" t="s">
        <v>755</v>
      </c>
      <c r="F1016" s="617" t="s">
        <v>756</v>
      </c>
      <c r="G1016" s="616" t="s">
        <v>727</v>
      </c>
      <c r="H1016" s="617"/>
      <c r="I1016" s="617"/>
      <c r="J1016" s="617" t="s">
        <v>758</v>
      </c>
      <c r="K1016" s="618"/>
      <c r="L1016" s="616"/>
      <c r="M1016" s="616"/>
      <c r="N1016" s="617"/>
      <c r="O1016" s="617"/>
      <c r="P1016" s="617"/>
      <c r="Q1016" s="617"/>
      <c r="R1016" s="619"/>
      <c r="S1016" s="617"/>
      <c r="T1016" s="616" t="s">
        <v>221</v>
      </c>
    </row>
    <row r="1017" ht="34.5">
      <c r="A1017" s="616" t="s">
        <v>1247</v>
      </c>
      <c r="B1017" s="616" t="s">
        <v>1248</v>
      </c>
      <c r="C1017" s="616" t="s">
        <v>1163</v>
      </c>
      <c r="D1017" s="616" t="s">
        <v>1142</v>
      </c>
      <c r="E1017" s="616" t="s">
        <v>755</v>
      </c>
      <c r="F1017" s="617" t="s">
        <v>756</v>
      </c>
      <c r="G1017" s="616" t="s">
        <v>727</v>
      </c>
      <c r="H1017" s="617"/>
      <c r="I1017" s="617"/>
      <c r="J1017" s="617" t="s">
        <v>1143</v>
      </c>
      <c r="K1017" s="618"/>
      <c r="L1017" s="616"/>
      <c r="M1017" s="616"/>
      <c r="N1017" s="617"/>
      <c r="O1017" s="617"/>
      <c r="P1017" s="617"/>
      <c r="Q1017" s="617"/>
      <c r="R1017" s="619"/>
      <c r="S1017" s="617"/>
      <c r="T1017" s="616" t="s">
        <v>221</v>
      </c>
    </row>
    <row r="1018" ht="34.5">
      <c r="A1018" s="616" t="s">
        <v>1247</v>
      </c>
      <c r="B1018" s="616" t="s">
        <v>1248</v>
      </c>
      <c r="C1018" s="616" t="s">
        <v>1163</v>
      </c>
      <c r="D1018" s="616" t="s">
        <v>216</v>
      </c>
      <c r="E1018" s="616" t="s">
        <v>755</v>
      </c>
      <c r="F1018" s="617" t="s">
        <v>756</v>
      </c>
      <c r="G1018" s="616" t="s">
        <v>727</v>
      </c>
      <c r="H1018" s="617"/>
      <c r="I1018" s="617"/>
      <c r="J1018" s="617" t="s">
        <v>761</v>
      </c>
      <c r="K1018" s="618"/>
      <c r="L1018" s="616"/>
      <c r="M1018" s="616"/>
      <c r="N1018" s="617"/>
      <c r="O1018" s="617"/>
      <c r="P1018" s="617"/>
      <c r="Q1018" s="617"/>
      <c r="R1018" s="619"/>
      <c r="S1018" s="617"/>
      <c r="T1018" s="616" t="s">
        <v>221</v>
      </c>
    </row>
    <row r="1019" ht="34.5">
      <c r="A1019" s="616" t="s">
        <v>1247</v>
      </c>
      <c r="B1019" s="616" t="s">
        <v>1248</v>
      </c>
      <c r="C1019" s="616" t="s">
        <v>1163</v>
      </c>
      <c r="D1019" s="616" t="s">
        <v>1147</v>
      </c>
      <c r="E1019" s="616" t="s">
        <v>755</v>
      </c>
      <c r="F1019" s="617" t="s">
        <v>756</v>
      </c>
      <c r="G1019" s="616" t="s">
        <v>727</v>
      </c>
      <c r="H1019" s="617"/>
      <c r="I1019" s="617"/>
      <c r="J1019" s="617" t="s">
        <v>1148</v>
      </c>
      <c r="K1019" s="618"/>
      <c r="L1019" s="616"/>
      <c r="M1019" s="616"/>
      <c r="N1019" s="617"/>
      <c r="O1019" s="617"/>
      <c r="P1019" s="617"/>
      <c r="Q1019" s="617"/>
      <c r="R1019" s="619"/>
      <c r="S1019" s="617"/>
      <c r="T1019" s="616" t="s">
        <v>221</v>
      </c>
    </row>
    <row r="1020" ht="34.5">
      <c r="A1020" s="616" t="s">
        <v>1247</v>
      </c>
      <c r="B1020" s="616" t="s">
        <v>1248</v>
      </c>
      <c r="C1020" s="616" t="s">
        <v>1163</v>
      </c>
      <c r="D1020" s="616" t="s">
        <v>216</v>
      </c>
      <c r="E1020" s="616" t="s">
        <v>755</v>
      </c>
      <c r="F1020" s="617" t="s">
        <v>756</v>
      </c>
      <c r="G1020" s="616" t="s">
        <v>727</v>
      </c>
      <c r="H1020" s="617"/>
      <c r="I1020" s="617"/>
      <c r="J1020" s="617" t="s">
        <v>764</v>
      </c>
      <c r="K1020" s="618"/>
      <c r="L1020" s="616"/>
      <c r="M1020" s="616"/>
      <c r="N1020" s="617"/>
      <c r="O1020" s="617"/>
      <c r="P1020" s="617"/>
      <c r="Q1020" s="617"/>
      <c r="R1020" s="619"/>
      <c r="S1020" s="617"/>
      <c r="T1020" s="616" t="s">
        <v>221</v>
      </c>
    </row>
    <row r="1021" ht="34.5">
      <c r="A1021" s="616" t="s">
        <v>1247</v>
      </c>
      <c r="B1021" s="616" t="s">
        <v>1248</v>
      </c>
      <c r="C1021" s="616" t="s">
        <v>1163</v>
      </c>
      <c r="D1021" s="616" t="s">
        <v>216</v>
      </c>
      <c r="E1021" s="616" t="s">
        <v>755</v>
      </c>
      <c r="F1021" s="617" t="s">
        <v>756</v>
      </c>
      <c r="G1021" s="616" t="s">
        <v>727</v>
      </c>
      <c r="H1021" s="617"/>
      <c r="I1021" s="617"/>
      <c r="J1021" s="617" t="s">
        <v>765</v>
      </c>
      <c r="K1021" s="618"/>
      <c r="L1021" s="616"/>
      <c r="M1021" s="616"/>
      <c r="N1021" s="617"/>
      <c r="O1021" s="617"/>
      <c r="P1021" s="617"/>
      <c r="Q1021" s="617"/>
      <c r="R1021" s="619"/>
      <c r="S1021" s="617"/>
      <c r="T1021" s="616" t="s">
        <v>221</v>
      </c>
    </row>
    <row r="1022" ht="34.5">
      <c r="A1022" s="616" t="s">
        <v>1247</v>
      </c>
      <c r="B1022" s="616" t="s">
        <v>1248</v>
      </c>
      <c r="C1022" s="616" t="s">
        <v>1163</v>
      </c>
      <c r="D1022" s="616" t="s">
        <v>675</v>
      </c>
      <c r="E1022" s="616" t="s">
        <v>755</v>
      </c>
      <c r="F1022" s="617" t="s">
        <v>756</v>
      </c>
      <c r="G1022" s="616" t="s">
        <v>727</v>
      </c>
      <c r="H1022" s="617"/>
      <c r="I1022" s="617"/>
      <c r="J1022" s="617" t="s">
        <v>676</v>
      </c>
      <c r="K1022" s="618"/>
      <c r="L1022" s="616"/>
      <c r="M1022" s="616"/>
      <c r="N1022" s="617"/>
      <c r="O1022" s="617"/>
      <c r="P1022" s="617"/>
      <c r="Q1022" s="617"/>
      <c r="R1022" s="619"/>
      <c r="S1022" s="617"/>
      <c r="T1022" s="616" t="s">
        <v>221</v>
      </c>
    </row>
    <row r="1023" ht="34.5">
      <c r="A1023" s="616" t="s">
        <v>1247</v>
      </c>
      <c r="B1023" s="616" t="s">
        <v>1248</v>
      </c>
      <c r="C1023" s="616" t="s">
        <v>1163</v>
      </c>
      <c r="D1023" s="616" t="s">
        <v>216</v>
      </c>
      <c r="E1023" s="616" t="s">
        <v>755</v>
      </c>
      <c r="F1023" s="617" t="s">
        <v>756</v>
      </c>
      <c r="G1023" s="616" t="s">
        <v>727</v>
      </c>
      <c r="H1023" s="617"/>
      <c r="I1023" s="617"/>
      <c r="J1023" s="617" t="s">
        <v>768</v>
      </c>
      <c r="K1023" s="618"/>
      <c r="L1023" s="616"/>
      <c r="M1023" s="616"/>
      <c r="N1023" s="617"/>
      <c r="O1023" s="617"/>
      <c r="P1023" s="617"/>
      <c r="Q1023" s="617"/>
      <c r="R1023" s="619"/>
      <c r="S1023" s="617"/>
      <c r="T1023" s="616" t="s">
        <v>221</v>
      </c>
    </row>
    <row r="1024" ht="34.5">
      <c r="A1024" s="616" t="s">
        <v>1247</v>
      </c>
      <c r="B1024" s="616" t="s">
        <v>1248</v>
      </c>
      <c r="C1024" s="616" t="s">
        <v>1163</v>
      </c>
      <c r="D1024" s="616" t="s">
        <v>216</v>
      </c>
      <c r="E1024" s="616" t="s">
        <v>755</v>
      </c>
      <c r="F1024" s="617" t="s">
        <v>756</v>
      </c>
      <c r="G1024" s="616" t="s">
        <v>727</v>
      </c>
      <c r="H1024" s="617"/>
      <c r="I1024" s="617"/>
      <c r="J1024" s="617" t="s">
        <v>746</v>
      </c>
      <c r="K1024" s="618"/>
      <c r="L1024" s="616"/>
      <c r="M1024" s="616"/>
      <c r="N1024" s="617"/>
      <c r="O1024" s="617"/>
      <c r="P1024" s="617"/>
      <c r="Q1024" s="617"/>
      <c r="R1024" s="619"/>
      <c r="S1024" s="617"/>
      <c r="T1024" s="616" t="s">
        <v>221</v>
      </c>
    </row>
    <row r="1025" ht="34.5">
      <c r="A1025" s="616" t="s">
        <v>1247</v>
      </c>
      <c r="B1025" s="616" t="s">
        <v>1248</v>
      </c>
      <c r="C1025" s="616" t="s">
        <v>1166</v>
      </c>
      <c r="D1025" s="616" t="s">
        <v>681</v>
      </c>
      <c r="E1025" s="616" t="s">
        <v>772</v>
      </c>
      <c r="F1025" s="617" t="s">
        <v>773</v>
      </c>
      <c r="G1025" s="616" t="s">
        <v>698</v>
      </c>
      <c r="H1025" s="617"/>
      <c r="I1025" s="617"/>
      <c r="J1025" s="617" t="s">
        <v>682</v>
      </c>
      <c r="K1025" s="618"/>
      <c r="L1025" s="616"/>
      <c r="M1025" s="616"/>
      <c r="N1025" s="617"/>
      <c r="O1025" s="617"/>
      <c r="P1025" s="617"/>
      <c r="Q1025" s="617"/>
      <c r="R1025" s="619"/>
      <c r="S1025" s="617"/>
      <c r="T1025" s="616" t="s">
        <v>221</v>
      </c>
    </row>
    <row r="1026" ht="34.5">
      <c r="A1026" s="616" t="s">
        <v>1247</v>
      </c>
      <c r="B1026" s="616" t="s">
        <v>1248</v>
      </c>
      <c r="C1026" s="616" t="s">
        <v>1166</v>
      </c>
      <c r="D1026" s="616" t="s">
        <v>216</v>
      </c>
      <c r="E1026" s="616" t="s">
        <v>772</v>
      </c>
      <c r="F1026" s="617" t="s">
        <v>773</v>
      </c>
      <c r="G1026" s="616" t="s">
        <v>698</v>
      </c>
      <c r="H1026" s="617"/>
      <c r="I1026" s="617"/>
      <c r="J1026" s="617" t="s">
        <v>775</v>
      </c>
      <c r="K1026" s="618"/>
      <c r="L1026" s="616"/>
      <c r="M1026" s="616"/>
      <c r="N1026" s="617"/>
      <c r="O1026" s="617"/>
      <c r="P1026" s="617"/>
      <c r="Q1026" s="617"/>
      <c r="R1026" s="619"/>
      <c r="S1026" s="617"/>
      <c r="T1026" s="616" t="s">
        <v>221</v>
      </c>
    </row>
    <row r="1027" ht="34.5">
      <c r="A1027" s="616" t="s">
        <v>1247</v>
      </c>
      <c r="B1027" s="616" t="s">
        <v>1248</v>
      </c>
      <c r="C1027" s="616" t="s">
        <v>1166</v>
      </c>
      <c r="D1027" s="616" t="s">
        <v>686</v>
      </c>
      <c r="E1027" s="616" t="s">
        <v>772</v>
      </c>
      <c r="F1027" s="617" t="s">
        <v>773</v>
      </c>
      <c r="G1027" s="616" t="s">
        <v>698</v>
      </c>
      <c r="H1027" s="617"/>
      <c r="I1027" s="617"/>
      <c r="J1027" s="617" t="s">
        <v>690</v>
      </c>
      <c r="K1027" s="618"/>
      <c r="L1027" s="616"/>
      <c r="M1027" s="616"/>
      <c r="N1027" s="617"/>
      <c r="O1027" s="617"/>
      <c r="P1027" s="617"/>
      <c r="Q1027" s="617"/>
      <c r="R1027" s="619"/>
      <c r="S1027" s="617"/>
      <c r="T1027" s="616" t="s">
        <v>221</v>
      </c>
    </row>
    <row r="1028" ht="34.5">
      <c r="A1028" s="616" t="s">
        <v>1247</v>
      </c>
      <c r="B1028" s="616" t="s">
        <v>1248</v>
      </c>
      <c r="C1028" s="616" t="s">
        <v>1166</v>
      </c>
      <c r="D1028" s="616" t="s">
        <v>216</v>
      </c>
      <c r="E1028" s="616" t="s">
        <v>772</v>
      </c>
      <c r="F1028" s="617" t="s">
        <v>773</v>
      </c>
      <c r="G1028" s="616" t="s">
        <v>698</v>
      </c>
      <c r="H1028" s="617"/>
      <c r="I1028" s="617"/>
      <c r="J1028" s="617" t="s">
        <v>778</v>
      </c>
      <c r="K1028" s="618"/>
      <c r="L1028" s="616"/>
      <c r="M1028" s="616"/>
      <c r="N1028" s="617"/>
      <c r="O1028" s="617"/>
      <c r="P1028" s="617"/>
      <c r="Q1028" s="617"/>
      <c r="R1028" s="619"/>
      <c r="S1028" s="617"/>
      <c r="T1028" s="616" t="s">
        <v>221</v>
      </c>
    </row>
    <row r="1029" ht="34.5">
      <c r="A1029" s="616" t="s">
        <v>1247</v>
      </c>
      <c r="B1029" s="616" t="s">
        <v>1248</v>
      </c>
      <c r="C1029" s="616" t="s">
        <v>1166</v>
      </c>
      <c r="D1029" s="616" t="s">
        <v>216</v>
      </c>
      <c r="E1029" s="616" t="s">
        <v>772</v>
      </c>
      <c r="F1029" s="617" t="s">
        <v>773</v>
      </c>
      <c r="G1029" s="616" t="s">
        <v>698</v>
      </c>
      <c r="H1029" s="617"/>
      <c r="I1029" s="617"/>
      <c r="J1029" s="617" t="s">
        <v>1168</v>
      </c>
      <c r="K1029" s="618"/>
      <c r="L1029" s="616"/>
      <c r="M1029" s="616"/>
      <c r="N1029" s="617"/>
      <c r="O1029" s="617"/>
      <c r="P1029" s="617"/>
      <c r="Q1029" s="617"/>
      <c r="R1029" s="619"/>
      <c r="S1029" s="617"/>
      <c r="T1029" s="616" t="s">
        <v>221</v>
      </c>
    </row>
    <row r="1030" ht="34.5">
      <c r="A1030" s="616" t="s">
        <v>1247</v>
      </c>
      <c r="B1030" s="616" t="s">
        <v>1248</v>
      </c>
      <c r="C1030" s="616" t="s">
        <v>1166</v>
      </c>
      <c r="D1030" s="616" t="s">
        <v>216</v>
      </c>
      <c r="E1030" s="616" t="s">
        <v>772</v>
      </c>
      <c r="F1030" s="617" t="s">
        <v>773</v>
      </c>
      <c r="G1030" s="616" t="s">
        <v>698</v>
      </c>
      <c r="H1030" s="617"/>
      <c r="I1030" s="617"/>
      <c r="J1030" s="617" t="s">
        <v>780</v>
      </c>
      <c r="K1030" s="618"/>
      <c r="L1030" s="616"/>
      <c r="M1030" s="616"/>
      <c r="N1030" s="617"/>
      <c r="O1030" s="617"/>
      <c r="P1030" s="617"/>
      <c r="Q1030" s="617"/>
      <c r="R1030" s="619"/>
      <c r="S1030" s="617"/>
      <c r="T1030" s="616" t="s">
        <v>221</v>
      </c>
    </row>
    <row r="1031" ht="34.5">
      <c r="A1031" s="616" t="s">
        <v>1247</v>
      </c>
      <c r="B1031" s="616" t="s">
        <v>1248</v>
      </c>
      <c r="C1031" s="616" t="s">
        <v>1166</v>
      </c>
      <c r="D1031" s="616" t="s">
        <v>216</v>
      </c>
      <c r="E1031" s="616" t="s">
        <v>772</v>
      </c>
      <c r="F1031" s="617" t="s">
        <v>773</v>
      </c>
      <c r="G1031" s="616" t="s">
        <v>698</v>
      </c>
      <c r="H1031" s="617"/>
      <c r="I1031" s="617"/>
      <c r="J1031" s="617" t="s">
        <v>1304</v>
      </c>
      <c r="K1031" s="618">
        <v>86861200</v>
      </c>
      <c r="L1031" s="616" t="s">
        <v>611</v>
      </c>
      <c r="M1031" s="616"/>
      <c r="N1031" s="617"/>
      <c r="O1031" s="617"/>
      <c r="P1031" s="617"/>
      <c r="Q1031" s="617"/>
      <c r="R1031" s="619"/>
      <c r="S1031" s="617"/>
      <c r="T1031" s="616" t="s">
        <v>221</v>
      </c>
    </row>
    <row r="1032" ht="34.5">
      <c r="A1032" s="616" t="s">
        <v>1247</v>
      </c>
      <c r="B1032" s="616" t="s">
        <v>1248</v>
      </c>
      <c r="C1032" s="616" t="s">
        <v>1166</v>
      </c>
      <c r="D1032" s="616" t="s">
        <v>216</v>
      </c>
      <c r="E1032" s="616" t="s">
        <v>772</v>
      </c>
      <c r="F1032" s="617" t="s">
        <v>773</v>
      </c>
      <c r="G1032" s="616" t="s">
        <v>698</v>
      </c>
      <c r="H1032" s="617"/>
      <c r="I1032" s="617"/>
      <c r="J1032" s="617" t="s">
        <v>753</v>
      </c>
      <c r="K1032" s="618"/>
      <c r="L1032" s="616"/>
      <c r="M1032" s="616"/>
      <c r="N1032" s="617"/>
      <c r="O1032" s="617"/>
      <c r="P1032" s="617"/>
      <c r="Q1032" s="617"/>
      <c r="R1032" s="619"/>
      <c r="S1032" s="617"/>
      <c r="T1032" s="616" t="s">
        <v>221</v>
      </c>
    </row>
    <row r="1033" ht="34.5">
      <c r="A1033" s="616" t="s">
        <v>1247</v>
      </c>
      <c r="B1033" s="616" t="s">
        <v>1248</v>
      </c>
      <c r="C1033" s="616" t="s">
        <v>670</v>
      </c>
      <c r="D1033" s="616" t="s">
        <v>700</v>
      </c>
      <c r="E1033" s="616" t="s">
        <v>772</v>
      </c>
      <c r="F1033" s="617" t="s">
        <v>773</v>
      </c>
      <c r="G1033" s="616" t="s">
        <v>698</v>
      </c>
      <c r="H1033" s="617"/>
      <c r="I1033" s="617"/>
      <c r="J1033" s="617" t="s">
        <v>701</v>
      </c>
      <c r="K1033" s="618"/>
      <c r="L1033" s="616"/>
      <c r="M1033" s="616"/>
      <c r="N1033" s="617"/>
      <c r="O1033" s="617"/>
      <c r="P1033" s="617"/>
      <c r="Q1033" s="617"/>
      <c r="R1033" s="619"/>
      <c r="S1033" s="617"/>
      <c r="T1033" s="616" t="s">
        <v>221</v>
      </c>
    </row>
    <row r="1034" ht="34.5">
      <c r="A1034" s="616" t="s">
        <v>1247</v>
      </c>
      <c r="B1034" s="616" t="s">
        <v>1248</v>
      </c>
      <c r="C1034" s="616" t="s">
        <v>670</v>
      </c>
      <c r="D1034" s="616" t="s">
        <v>216</v>
      </c>
      <c r="E1034" s="616" t="s">
        <v>772</v>
      </c>
      <c r="F1034" s="617" t="s">
        <v>773</v>
      </c>
      <c r="G1034" s="616" t="s">
        <v>698</v>
      </c>
      <c r="H1034" s="617"/>
      <c r="I1034" s="617"/>
      <c r="J1034" s="617" t="s">
        <v>786</v>
      </c>
      <c r="K1034" s="618"/>
      <c r="L1034" s="616"/>
      <c r="M1034" s="616"/>
      <c r="N1034" s="617"/>
      <c r="O1034" s="617"/>
      <c r="P1034" s="617"/>
      <c r="Q1034" s="617"/>
      <c r="R1034" s="619"/>
      <c r="S1034" s="617"/>
      <c r="T1034" s="616" t="s">
        <v>221</v>
      </c>
    </row>
    <row r="1035" ht="34.5">
      <c r="A1035" s="616" t="s">
        <v>1247</v>
      </c>
      <c r="B1035" s="616" t="s">
        <v>1248</v>
      </c>
      <c r="C1035" s="616" t="s">
        <v>670</v>
      </c>
      <c r="D1035" s="616" t="s">
        <v>216</v>
      </c>
      <c r="E1035" s="616" t="s">
        <v>772</v>
      </c>
      <c r="F1035" s="617" t="s">
        <v>773</v>
      </c>
      <c r="G1035" s="616" t="s">
        <v>698</v>
      </c>
      <c r="H1035" s="617"/>
      <c r="I1035" s="617"/>
      <c r="J1035" s="617" t="s">
        <v>1305</v>
      </c>
      <c r="K1035" s="618"/>
      <c r="L1035" s="616"/>
      <c r="M1035" s="616"/>
      <c r="N1035" s="617"/>
      <c r="O1035" s="617"/>
      <c r="P1035" s="617"/>
      <c r="Q1035" s="617"/>
      <c r="R1035" s="619"/>
      <c r="S1035" s="617"/>
      <c r="T1035" s="616" t="s">
        <v>221</v>
      </c>
    </row>
    <row r="1036" ht="34.5">
      <c r="A1036" s="616" t="s">
        <v>1247</v>
      </c>
      <c r="B1036" s="616" t="s">
        <v>1248</v>
      </c>
      <c r="C1036" s="616" t="s">
        <v>670</v>
      </c>
      <c r="D1036" s="616" t="s">
        <v>216</v>
      </c>
      <c r="E1036" s="616" t="s">
        <v>772</v>
      </c>
      <c r="F1036" s="617" t="s">
        <v>773</v>
      </c>
      <c r="G1036" s="616" t="s">
        <v>698</v>
      </c>
      <c r="H1036" s="617"/>
      <c r="I1036" s="617"/>
      <c r="J1036" s="617" t="s">
        <v>788</v>
      </c>
      <c r="K1036" s="618"/>
      <c r="L1036" s="616"/>
      <c r="M1036" s="616"/>
      <c r="N1036" s="617"/>
      <c r="O1036" s="617"/>
      <c r="P1036" s="617"/>
      <c r="Q1036" s="617"/>
      <c r="R1036" s="619"/>
      <c r="S1036" s="617"/>
      <c r="T1036" s="616" t="s">
        <v>221</v>
      </c>
    </row>
    <row r="1037" ht="34.5">
      <c r="A1037" s="616" t="s">
        <v>1247</v>
      </c>
      <c r="B1037" s="616" t="s">
        <v>1248</v>
      </c>
      <c r="C1037" s="616" t="s">
        <v>670</v>
      </c>
      <c r="D1037" s="616" t="s">
        <v>216</v>
      </c>
      <c r="E1037" s="616" t="s">
        <v>772</v>
      </c>
      <c r="F1037" s="617" t="s">
        <v>773</v>
      </c>
      <c r="G1037" s="616" t="s">
        <v>698</v>
      </c>
      <c r="H1037" s="617"/>
      <c r="I1037" s="617"/>
      <c r="J1037" s="617" t="s">
        <v>789</v>
      </c>
      <c r="K1037" s="618"/>
      <c r="L1037" s="616"/>
      <c r="M1037" s="616"/>
      <c r="N1037" s="617"/>
      <c r="O1037" s="617"/>
      <c r="P1037" s="617"/>
      <c r="Q1037" s="617"/>
      <c r="R1037" s="619"/>
      <c r="S1037" s="617"/>
      <c r="T1037" s="616" t="s">
        <v>221</v>
      </c>
    </row>
    <row r="1038" ht="34.5">
      <c r="A1038" s="616" t="s">
        <v>1247</v>
      </c>
      <c r="B1038" s="616" t="s">
        <v>1248</v>
      </c>
      <c r="C1038" s="616" t="s">
        <v>670</v>
      </c>
      <c r="D1038" s="616" t="s">
        <v>216</v>
      </c>
      <c r="E1038" s="616" t="s">
        <v>772</v>
      </c>
      <c r="F1038" s="617" t="s">
        <v>773</v>
      </c>
      <c r="G1038" s="616" t="s">
        <v>698</v>
      </c>
      <c r="H1038" s="617"/>
      <c r="I1038" s="617"/>
      <c r="J1038" s="617" t="s">
        <v>790</v>
      </c>
      <c r="K1038" s="618"/>
      <c r="L1038" s="616"/>
      <c r="M1038" s="616"/>
      <c r="N1038" s="617"/>
      <c r="O1038" s="617"/>
      <c r="P1038" s="617"/>
      <c r="Q1038" s="617"/>
      <c r="R1038" s="619"/>
      <c r="S1038" s="617"/>
      <c r="T1038" s="616" t="s">
        <v>221</v>
      </c>
    </row>
    <row r="1039" ht="34.5">
      <c r="A1039" s="616" t="s">
        <v>1247</v>
      </c>
      <c r="B1039" s="616" t="s">
        <v>1248</v>
      </c>
      <c r="C1039" s="616" t="s">
        <v>670</v>
      </c>
      <c r="D1039" s="616" t="s">
        <v>216</v>
      </c>
      <c r="E1039" s="616" t="s">
        <v>772</v>
      </c>
      <c r="F1039" s="617" t="s">
        <v>773</v>
      </c>
      <c r="G1039" s="616" t="s">
        <v>698</v>
      </c>
      <c r="H1039" s="617"/>
      <c r="I1039" s="617"/>
      <c r="J1039" s="617" t="s">
        <v>791</v>
      </c>
      <c r="K1039" s="618"/>
      <c r="L1039" s="616"/>
      <c r="M1039" s="616"/>
      <c r="N1039" s="617"/>
      <c r="O1039" s="617"/>
      <c r="P1039" s="617"/>
      <c r="Q1039" s="617"/>
      <c r="R1039" s="619"/>
      <c r="S1039" s="617"/>
      <c r="T1039" s="616" t="s">
        <v>221</v>
      </c>
    </row>
    <row r="1040" ht="34.5">
      <c r="A1040" s="616" t="s">
        <v>1247</v>
      </c>
      <c r="B1040" s="616" t="s">
        <v>1248</v>
      </c>
      <c r="C1040" s="616" t="s">
        <v>670</v>
      </c>
      <c r="D1040" s="616" t="s">
        <v>216</v>
      </c>
      <c r="E1040" s="616" t="s">
        <v>772</v>
      </c>
      <c r="F1040" s="617" t="s">
        <v>773</v>
      </c>
      <c r="G1040" s="616" t="s">
        <v>698</v>
      </c>
      <c r="H1040" s="617"/>
      <c r="I1040" s="617"/>
      <c r="J1040" s="617" t="s">
        <v>769</v>
      </c>
      <c r="K1040" s="618"/>
      <c r="L1040" s="616"/>
      <c r="M1040" s="616"/>
      <c r="N1040" s="617"/>
      <c r="O1040" s="617"/>
      <c r="P1040" s="617"/>
      <c r="Q1040" s="617"/>
      <c r="R1040" s="619"/>
      <c r="S1040" s="617"/>
      <c r="T1040" s="616" t="s">
        <v>221</v>
      </c>
    </row>
    <row r="1041" ht="34.5">
      <c r="A1041" s="616" t="s">
        <v>1247</v>
      </c>
      <c r="B1041" s="616" t="s">
        <v>1248</v>
      </c>
      <c r="C1041" s="616" t="s">
        <v>678</v>
      </c>
      <c r="D1041" s="616" t="s">
        <v>216</v>
      </c>
      <c r="E1041" s="616" t="s">
        <v>772</v>
      </c>
      <c r="F1041" s="617" t="s">
        <v>773</v>
      </c>
      <c r="G1041" s="616" t="s">
        <v>698</v>
      </c>
      <c r="H1041" s="617"/>
      <c r="I1041" s="617"/>
      <c r="J1041" s="617" t="s">
        <v>679</v>
      </c>
      <c r="K1041" s="618"/>
      <c r="L1041" s="616"/>
      <c r="M1041" s="616"/>
      <c r="N1041" s="617"/>
      <c r="O1041" s="617"/>
      <c r="P1041" s="617"/>
      <c r="Q1041" s="617"/>
      <c r="R1041" s="619"/>
      <c r="S1041" s="617"/>
      <c r="T1041" s="616" t="s">
        <v>221</v>
      </c>
    </row>
    <row r="1042" ht="34.5">
      <c r="A1042" s="616" t="s">
        <v>1247</v>
      </c>
      <c r="B1042" s="616" t="s">
        <v>1248</v>
      </c>
      <c r="C1042" s="616" t="s">
        <v>678</v>
      </c>
      <c r="D1042" s="616" t="s">
        <v>216</v>
      </c>
      <c r="E1042" s="616" t="s">
        <v>772</v>
      </c>
      <c r="F1042" s="617" t="s">
        <v>773</v>
      </c>
      <c r="G1042" s="616" t="s">
        <v>698</v>
      </c>
      <c r="H1042" s="617"/>
      <c r="I1042" s="617"/>
      <c r="J1042" s="617" t="s">
        <v>1306</v>
      </c>
      <c r="K1042" s="618"/>
      <c r="L1042" s="616"/>
      <c r="M1042" s="616"/>
      <c r="N1042" s="617"/>
      <c r="O1042" s="617"/>
      <c r="P1042" s="617"/>
      <c r="Q1042" s="617"/>
      <c r="R1042" s="619"/>
      <c r="S1042" s="617"/>
      <c r="T1042" s="616" t="s">
        <v>221</v>
      </c>
    </row>
    <row r="1043" ht="34.5">
      <c r="A1043" s="616" t="s">
        <v>1247</v>
      </c>
      <c r="B1043" s="616" t="s">
        <v>1248</v>
      </c>
      <c r="C1043" s="616" t="s">
        <v>678</v>
      </c>
      <c r="D1043" s="616" t="s">
        <v>216</v>
      </c>
      <c r="E1043" s="616" t="s">
        <v>772</v>
      </c>
      <c r="F1043" s="617" t="s">
        <v>773</v>
      </c>
      <c r="G1043" s="616" t="s">
        <v>698</v>
      </c>
      <c r="H1043" s="617"/>
      <c r="I1043" s="617"/>
      <c r="J1043" s="617" t="s">
        <v>792</v>
      </c>
      <c r="K1043" s="618"/>
      <c r="L1043" s="616"/>
      <c r="M1043" s="616"/>
      <c r="N1043" s="617"/>
      <c r="O1043" s="617"/>
      <c r="P1043" s="617"/>
      <c r="Q1043" s="617"/>
      <c r="R1043" s="619"/>
      <c r="S1043" s="617"/>
      <c r="T1043" s="616" t="s">
        <v>221</v>
      </c>
    </row>
    <row r="1044" ht="34.5">
      <c r="A1044" s="616" t="s">
        <v>1247</v>
      </c>
      <c r="B1044" s="616" t="s">
        <v>1248</v>
      </c>
      <c r="C1044" s="616" t="s">
        <v>678</v>
      </c>
      <c r="D1044" s="616" t="s">
        <v>216</v>
      </c>
      <c r="E1044" s="616" t="s">
        <v>772</v>
      </c>
      <c r="F1044" s="617" t="s">
        <v>773</v>
      </c>
      <c r="G1044" s="616" t="s">
        <v>698</v>
      </c>
      <c r="H1044" s="617"/>
      <c r="I1044" s="617"/>
      <c r="J1044" s="617" t="s">
        <v>796</v>
      </c>
      <c r="K1044" s="618"/>
      <c r="L1044" s="616"/>
      <c r="M1044" s="616"/>
      <c r="N1044" s="617"/>
      <c r="O1044" s="617"/>
      <c r="P1044" s="617"/>
      <c r="Q1044" s="617"/>
      <c r="R1044" s="619"/>
      <c r="S1044" s="617"/>
      <c r="T1044" s="616" t="s">
        <v>221</v>
      </c>
    </row>
    <row r="1045" ht="34.5">
      <c r="A1045" s="616" t="s">
        <v>1247</v>
      </c>
      <c r="B1045" s="616" t="s">
        <v>1248</v>
      </c>
      <c r="C1045" s="616" t="s">
        <v>678</v>
      </c>
      <c r="D1045" s="616" t="s">
        <v>216</v>
      </c>
      <c r="E1045" s="616" t="s">
        <v>772</v>
      </c>
      <c r="F1045" s="617" t="s">
        <v>773</v>
      </c>
      <c r="G1045" s="616" t="s">
        <v>698</v>
      </c>
      <c r="H1045" s="617"/>
      <c r="I1045" s="617"/>
      <c r="J1045" s="617" t="s">
        <v>797</v>
      </c>
      <c r="K1045" s="618"/>
      <c r="L1045" s="616"/>
      <c r="M1045" s="616"/>
      <c r="N1045" s="617"/>
      <c r="O1045" s="617"/>
      <c r="P1045" s="617"/>
      <c r="Q1045" s="617"/>
      <c r="R1045" s="619"/>
      <c r="S1045" s="617"/>
      <c r="T1045" s="616" t="s">
        <v>221</v>
      </c>
    </row>
    <row r="1046" ht="34.5">
      <c r="A1046" s="616" t="s">
        <v>1247</v>
      </c>
      <c r="B1046" s="616" t="s">
        <v>1248</v>
      </c>
      <c r="C1046" s="616" t="s">
        <v>678</v>
      </c>
      <c r="D1046" s="616" t="s">
        <v>216</v>
      </c>
      <c r="E1046" s="616" t="s">
        <v>772</v>
      </c>
      <c r="F1046" s="617" t="s">
        <v>773</v>
      </c>
      <c r="G1046" s="616" t="s">
        <v>698</v>
      </c>
      <c r="H1046" s="617"/>
      <c r="I1046" s="617"/>
      <c r="J1046" s="617" t="s">
        <v>798</v>
      </c>
      <c r="K1046" s="618"/>
      <c r="L1046" s="616"/>
      <c r="M1046" s="616"/>
      <c r="N1046" s="617"/>
      <c r="O1046" s="617"/>
      <c r="P1046" s="617"/>
      <c r="Q1046" s="617"/>
      <c r="R1046" s="619"/>
      <c r="S1046" s="617"/>
      <c r="T1046" s="616" t="s">
        <v>221</v>
      </c>
    </row>
    <row r="1047" ht="34.5">
      <c r="A1047" s="616" t="s">
        <v>1247</v>
      </c>
      <c r="B1047" s="616" t="s">
        <v>1248</v>
      </c>
      <c r="C1047" s="616" t="s">
        <v>678</v>
      </c>
      <c r="D1047" s="616" t="s">
        <v>216</v>
      </c>
      <c r="E1047" s="616" t="s">
        <v>772</v>
      </c>
      <c r="F1047" s="617" t="s">
        <v>773</v>
      </c>
      <c r="G1047" s="616" t="s">
        <v>698</v>
      </c>
      <c r="H1047" s="617"/>
      <c r="I1047" s="617"/>
      <c r="J1047" s="617" t="s">
        <v>1307</v>
      </c>
      <c r="K1047" s="618"/>
      <c r="L1047" s="616"/>
      <c r="M1047" s="616"/>
      <c r="N1047" s="617"/>
      <c r="O1047" s="617"/>
      <c r="P1047" s="617"/>
      <c r="Q1047" s="617"/>
      <c r="R1047" s="619"/>
      <c r="S1047" s="617"/>
      <c r="T1047" s="616" t="s">
        <v>221</v>
      </c>
    </row>
    <row r="1048" ht="34.5">
      <c r="A1048" s="616" t="s">
        <v>1247</v>
      </c>
      <c r="B1048" s="616" t="s">
        <v>1248</v>
      </c>
      <c r="C1048" s="616" t="s">
        <v>678</v>
      </c>
      <c r="D1048" s="616" t="s">
        <v>216</v>
      </c>
      <c r="E1048" s="616" t="s">
        <v>772</v>
      </c>
      <c r="F1048" s="617" t="s">
        <v>773</v>
      </c>
      <c r="G1048" s="616" t="s">
        <v>698</v>
      </c>
      <c r="H1048" s="617"/>
      <c r="I1048" s="617"/>
      <c r="J1048" s="617" t="s">
        <v>1308</v>
      </c>
      <c r="K1048" s="618"/>
      <c r="L1048" s="616"/>
      <c r="M1048" s="616"/>
      <c r="N1048" s="617"/>
      <c r="O1048" s="617"/>
      <c r="P1048" s="617"/>
      <c r="Q1048" s="617"/>
      <c r="R1048" s="619"/>
      <c r="S1048" s="617"/>
      <c r="T1048" s="616" t="s">
        <v>221</v>
      </c>
    </row>
    <row r="1049" ht="34.5">
      <c r="A1049" s="616" t="s">
        <v>1247</v>
      </c>
      <c r="B1049" s="616" t="s">
        <v>1248</v>
      </c>
      <c r="C1049" s="616" t="s">
        <v>678</v>
      </c>
      <c r="D1049" s="616" t="s">
        <v>705</v>
      </c>
      <c r="E1049" s="616" t="s">
        <v>772</v>
      </c>
      <c r="F1049" s="617" t="s">
        <v>773</v>
      </c>
      <c r="G1049" s="616" t="s">
        <v>698</v>
      </c>
      <c r="H1049" s="617"/>
      <c r="I1049" s="617"/>
      <c r="J1049" s="617" t="s">
        <v>706</v>
      </c>
      <c r="K1049" s="618"/>
      <c r="L1049" s="616"/>
      <c r="M1049" s="616"/>
      <c r="N1049" s="617"/>
      <c r="O1049" s="617"/>
      <c r="P1049" s="617"/>
      <c r="Q1049" s="617"/>
      <c r="R1049" s="619"/>
      <c r="S1049" s="617"/>
      <c r="T1049" s="616" t="s">
        <v>221</v>
      </c>
    </row>
    <row r="1050" ht="34.5">
      <c r="A1050" s="616" t="s">
        <v>1247</v>
      </c>
      <c r="B1050" s="616" t="s">
        <v>1248</v>
      </c>
      <c r="C1050" s="616" t="s">
        <v>678</v>
      </c>
      <c r="D1050" s="616" t="s">
        <v>216</v>
      </c>
      <c r="E1050" s="616" t="s">
        <v>772</v>
      </c>
      <c r="F1050" s="617" t="s">
        <v>773</v>
      </c>
      <c r="G1050" s="616" t="s">
        <v>698</v>
      </c>
      <c r="H1050" s="617"/>
      <c r="I1050" s="617"/>
      <c r="J1050" s="617" t="s">
        <v>1309</v>
      </c>
      <c r="K1050" s="618"/>
      <c r="L1050" s="616"/>
      <c r="M1050" s="616"/>
      <c r="N1050" s="617"/>
      <c r="O1050" s="617"/>
      <c r="P1050" s="617"/>
      <c r="Q1050" s="617"/>
      <c r="R1050" s="619"/>
      <c r="S1050" s="617"/>
      <c r="T1050" s="616" t="s">
        <v>221</v>
      </c>
    </row>
    <row r="1051" ht="34.5">
      <c r="A1051" s="616" t="s">
        <v>1247</v>
      </c>
      <c r="B1051" s="616" t="s">
        <v>1248</v>
      </c>
      <c r="C1051" s="616" t="s">
        <v>678</v>
      </c>
      <c r="D1051" s="616" t="s">
        <v>714</v>
      </c>
      <c r="E1051" s="616" t="s">
        <v>772</v>
      </c>
      <c r="F1051" s="617" t="s">
        <v>773</v>
      </c>
      <c r="G1051" s="616" t="s">
        <v>698</v>
      </c>
      <c r="H1051" s="617"/>
      <c r="I1051" s="617"/>
      <c r="J1051" s="617" t="s">
        <v>715</v>
      </c>
      <c r="K1051" s="618"/>
      <c r="L1051" s="616"/>
      <c r="M1051" s="616"/>
      <c r="N1051" s="617"/>
      <c r="O1051" s="617"/>
      <c r="P1051" s="617"/>
      <c r="Q1051" s="617"/>
      <c r="R1051" s="619"/>
      <c r="S1051" s="617"/>
      <c r="T1051" s="616" t="s">
        <v>221</v>
      </c>
    </row>
    <row r="1052" ht="34.5">
      <c r="A1052" s="616" t="s">
        <v>1247</v>
      </c>
      <c r="B1052" s="616" t="s">
        <v>1248</v>
      </c>
      <c r="C1052" s="616" t="s">
        <v>678</v>
      </c>
      <c r="D1052" s="616" t="s">
        <v>216</v>
      </c>
      <c r="E1052" s="616" t="s">
        <v>772</v>
      </c>
      <c r="F1052" s="617" t="s">
        <v>773</v>
      </c>
      <c r="G1052" s="616" t="s">
        <v>698</v>
      </c>
      <c r="H1052" s="617"/>
      <c r="I1052" s="617"/>
      <c r="J1052" s="617" t="s">
        <v>1310</v>
      </c>
      <c r="K1052" s="618"/>
      <c r="L1052" s="616"/>
      <c r="M1052" s="616"/>
      <c r="N1052" s="617"/>
      <c r="O1052" s="617"/>
      <c r="P1052" s="617"/>
      <c r="Q1052" s="617"/>
      <c r="R1052" s="619"/>
      <c r="S1052" s="617"/>
      <c r="T1052" s="616" t="s">
        <v>221</v>
      </c>
    </row>
    <row r="1053" ht="34.5">
      <c r="A1053" s="616" t="s">
        <v>1247</v>
      </c>
      <c r="B1053" s="616" t="s">
        <v>1248</v>
      </c>
      <c r="C1053" s="616" t="s">
        <v>678</v>
      </c>
      <c r="D1053" s="616" t="s">
        <v>216</v>
      </c>
      <c r="E1053" s="616" t="s">
        <v>772</v>
      </c>
      <c r="F1053" s="617" t="s">
        <v>773</v>
      </c>
      <c r="G1053" s="616" t="s">
        <v>698</v>
      </c>
      <c r="H1053" s="617"/>
      <c r="I1053" s="617"/>
      <c r="J1053" s="617" t="s">
        <v>1311</v>
      </c>
      <c r="K1053" s="618"/>
      <c r="L1053" s="616"/>
      <c r="M1053" s="616"/>
      <c r="N1053" s="617"/>
      <c r="O1053" s="617"/>
      <c r="P1053" s="617"/>
      <c r="Q1053" s="617"/>
      <c r="R1053" s="619"/>
      <c r="S1053" s="617"/>
      <c r="T1053" s="616" t="s">
        <v>221</v>
      </c>
    </row>
    <row r="1054" ht="34.5">
      <c r="A1054" s="616" t="s">
        <v>1247</v>
      </c>
      <c r="B1054" s="616" t="s">
        <v>1248</v>
      </c>
      <c r="C1054" s="616" t="s">
        <v>678</v>
      </c>
      <c r="D1054" s="616" t="s">
        <v>216</v>
      </c>
      <c r="E1054" s="616" t="s">
        <v>772</v>
      </c>
      <c r="F1054" s="617" t="s">
        <v>773</v>
      </c>
      <c r="G1054" s="616" t="s">
        <v>698</v>
      </c>
      <c r="H1054" s="617"/>
      <c r="I1054" s="617"/>
      <c r="J1054" s="617" t="s">
        <v>782</v>
      </c>
      <c r="K1054" s="618"/>
      <c r="L1054" s="616"/>
      <c r="M1054" s="616"/>
      <c r="N1054" s="617"/>
      <c r="O1054" s="617"/>
      <c r="P1054" s="617"/>
      <c r="Q1054" s="617"/>
      <c r="R1054" s="619"/>
      <c r="S1054" s="617"/>
      <c r="T1054" s="616" t="s">
        <v>221</v>
      </c>
    </row>
    <row r="1055" ht="34.5">
      <c r="A1055" s="616" t="s">
        <v>1247</v>
      </c>
      <c r="B1055" s="616" t="s">
        <v>1248</v>
      </c>
      <c r="C1055" s="616" t="s">
        <v>685</v>
      </c>
      <c r="D1055" s="616" t="s">
        <v>216</v>
      </c>
      <c r="E1055" s="616" t="s">
        <v>772</v>
      </c>
      <c r="F1055" s="617" t="s">
        <v>773</v>
      </c>
      <c r="G1055" s="616" t="s">
        <v>698</v>
      </c>
      <c r="H1055" s="617"/>
      <c r="I1055" s="617"/>
      <c r="J1055" s="617" t="s">
        <v>1312</v>
      </c>
      <c r="K1055" s="618"/>
      <c r="L1055" s="616"/>
      <c r="M1055" s="616"/>
      <c r="N1055" s="617"/>
      <c r="O1055" s="617"/>
      <c r="P1055" s="617"/>
      <c r="Q1055" s="617"/>
      <c r="R1055" s="619"/>
      <c r="S1055" s="617"/>
      <c r="T1055" s="616" t="s">
        <v>221</v>
      </c>
    </row>
    <row r="1056" ht="34.5">
      <c r="A1056" s="616" t="s">
        <v>1247</v>
      </c>
      <c r="B1056" s="616" t="s">
        <v>1248</v>
      </c>
      <c r="C1056" s="616" t="s">
        <v>685</v>
      </c>
      <c r="D1056" s="616" t="s">
        <v>718</v>
      </c>
      <c r="E1056" s="616" t="s">
        <v>772</v>
      </c>
      <c r="F1056" s="617" t="s">
        <v>773</v>
      </c>
      <c r="G1056" s="616" t="s">
        <v>698</v>
      </c>
      <c r="H1056" s="617"/>
      <c r="I1056" s="617"/>
      <c r="J1056" s="617" t="s">
        <v>719</v>
      </c>
      <c r="K1056" s="618"/>
      <c r="L1056" s="616"/>
      <c r="M1056" s="616"/>
      <c r="N1056" s="617"/>
      <c r="O1056" s="617"/>
      <c r="P1056" s="617"/>
      <c r="Q1056" s="617"/>
      <c r="R1056" s="619"/>
      <c r="S1056" s="617"/>
      <c r="T1056" s="616" t="s">
        <v>221</v>
      </c>
    </row>
    <row r="1057" ht="34.5">
      <c r="A1057" s="616" t="s">
        <v>1247</v>
      </c>
      <c r="B1057" s="616" t="s">
        <v>1248</v>
      </c>
      <c r="C1057" s="616" t="s">
        <v>685</v>
      </c>
      <c r="D1057" s="616" t="s">
        <v>724</v>
      </c>
      <c r="E1057" s="616" t="s">
        <v>772</v>
      </c>
      <c r="F1057" s="617" t="s">
        <v>773</v>
      </c>
      <c r="G1057" s="616" t="s">
        <v>698</v>
      </c>
      <c r="H1057" s="617"/>
      <c r="I1057" s="617"/>
      <c r="J1057" s="617" t="s">
        <v>728</v>
      </c>
      <c r="K1057" s="618"/>
      <c r="L1057" s="616"/>
      <c r="M1057" s="616"/>
      <c r="N1057" s="617"/>
      <c r="O1057" s="617"/>
      <c r="P1057" s="617"/>
      <c r="Q1057" s="617"/>
      <c r="R1057" s="619"/>
      <c r="S1057" s="617"/>
      <c r="T1057" s="616" t="s">
        <v>221</v>
      </c>
    </row>
    <row r="1058" ht="34.5">
      <c r="A1058" s="616" t="s">
        <v>1247</v>
      </c>
      <c r="B1058" s="616" t="s">
        <v>1248</v>
      </c>
      <c r="C1058" s="616" t="s">
        <v>685</v>
      </c>
      <c r="D1058" s="616" t="s">
        <v>216</v>
      </c>
      <c r="E1058" s="616" t="s">
        <v>772</v>
      </c>
      <c r="F1058" s="617" t="s">
        <v>773</v>
      </c>
      <c r="G1058" s="616" t="s">
        <v>698</v>
      </c>
      <c r="H1058" s="617"/>
      <c r="I1058" s="617"/>
      <c r="J1058" s="617" t="s">
        <v>1313</v>
      </c>
      <c r="K1058" s="618">
        <v>50586</v>
      </c>
      <c r="L1058" s="616" t="s">
        <v>611</v>
      </c>
      <c r="M1058" s="616"/>
      <c r="N1058" s="617"/>
      <c r="O1058" s="617"/>
      <c r="P1058" s="617"/>
      <c r="Q1058" s="617"/>
      <c r="R1058" s="619"/>
      <c r="S1058" s="617"/>
      <c r="T1058" s="616" t="s">
        <v>221</v>
      </c>
    </row>
    <row r="1059" ht="34.5">
      <c r="A1059" s="616" t="s">
        <v>1247</v>
      </c>
      <c r="B1059" s="616" t="s">
        <v>1248</v>
      </c>
      <c r="C1059" s="616" t="s">
        <v>685</v>
      </c>
      <c r="D1059" s="616" t="s">
        <v>216</v>
      </c>
      <c r="E1059" s="616" t="s">
        <v>772</v>
      </c>
      <c r="F1059" s="617" t="s">
        <v>773</v>
      </c>
      <c r="G1059" s="616" t="s">
        <v>698</v>
      </c>
      <c r="H1059" s="617"/>
      <c r="I1059" s="617"/>
      <c r="J1059" s="617" t="s">
        <v>793</v>
      </c>
      <c r="K1059" s="618"/>
      <c r="L1059" s="616"/>
      <c r="M1059" s="616"/>
      <c r="N1059" s="617"/>
      <c r="O1059" s="617"/>
      <c r="P1059" s="617"/>
      <c r="Q1059" s="617"/>
      <c r="R1059" s="619"/>
      <c r="S1059" s="617"/>
      <c r="T1059" s="616" t="s">
        <v>221</v>
      </c>
    </row>
    <row r="1060" ht="34.5">
      <c r="A1060" s="616" t="s">
        <v>1247</v>
      </c>
      <c r="B1060" s="616" t="s">
        <v>1248</v>
      </c>
      <c r="C1060" s="616" t="s">
        <v>703</v>
      </c>
      <c r="D1060" s="616" t="s">
        <v>734</v>
      </c>
      <c r="E1060" s="616" t="s">
        <v>808</v>
      </c>
      <c r="F1060" s="617" t="s">
        <v>809</v>
      </c>
      <c r="G1060" s="616" t="s">
        <v>698</v>
      </c>
      <c r="H1060" s="617"/>
      <c r="I1060" s="617"/>
      <c r="J1060" s="617" t="s">
        <v>735</v>
      </c>
      <c r="K1060" s="618"/>
      <c r="L1060" s="616"/>
      <c r="M1060" s="616"/>
      <c r="N1060" s="617"/>
      <c r="O1060" s="617"/>
      <c r="P1060" s="617"/>
      <c r="Q1060" s="617"/>
      <c r="R1060" s="619"/>
      <c r="S1060" s="617"/>
      <c r="T1060" s="616" t="s">
        <v>221</v>
      </c>
    </row>
    <row r="1061" ht="34.5">
      <c r="A1061" s="616" t="s">
        <v>1247</v>
      </c>
      <c r="B1061" s="616" t="s">
        <v>1248</v>
      </c>
      <c r="C1061" s="616" t="s">
        <v>703</v>
      </c>
      <c r="D1061" s="616" t="s">
        <v>216</v>
      </c>
      <c r="E1061" s="616" t="s">
        <v>811</v>
      </c>
      <c r="F1061" s="617" t="s">
        <v>812</v>
      </c>
      <c r="G1061" s="616" t="s">
        <v>698</v>
      </c>
      <c r="H1061" s="617"/>
      <c r="I1061" s="617"/>
      <c r="J1061" s="617" t="s">
        <v>1314</v>
      </c>
      <c r="K1061" s="618">
        <v>47610933</v>
      </c>
      <c r="L1061" s="616" t="s">
        <v>611</v>
      </c>
      <c r="M1061" s="616"/>
      <c r="N1061" s="617"/>
      <c r="O1061" s="617"/>
      <c r="P1061" s="617"/>
      <c r="Q1061" s="617"/>
      <c r="R1061" s="619"/>
      <c r="S1061" s="617"/>
      <c r="T1061" s="616" t="s">
        <v>221</v>
      </c>
    </row>
    <row r="1062" ht="34.5">
      <c r="A1062" s="616" t="s">
        <v>1247</v>
      </c>
      <c r="B1062" s="616" t="s">
        <v>1248</v>
      </c>
      <c r="C1062" s="616" t="s">
        <v>703</v>
      </c>
      <c r="D1062" s="616" t="s">
        <v>216</v>
      </c>
      <c r="E1062" s="616" t="s">
        <v>811</v>
      </c>
      <c r="F1062" s="617" t="s">
        <v>812</v>
      </c>
      <c r="G1062" s="616" t="s">
        <v>698</v>
      </c>
      <c r="H1062" s="617"/>
      <c r="I1062" s="617"/>
      <c r="J1062" s="617" t="s">
        <v>816</v>
      </c>
      <c r="K1062" s="618"/>
      <c r="L1062" s="616"/>
      <c r="M1062" s="616"/>
      <c r="N1062" s="617"/>
      <c r="O1062" s="617"/>
      <c r="P1062" s="617"/>
      <c r="Q1062" s="617"/>
      <c r="R1062" s="619"/>
      <c r="S1062" s="617"/>
      <c r="T1062" s="616" t="s">
        <v>221</v>
      </c>
    </row>
    <row r="1063" ht="34.5">
      <c r="A1063" s="616" t="s">
        <v>1247</v>
      </c>
      <c r="B1063" s="616" t="s">
        <v>1248</v>
      </c>
      <c r="C1063" s="616" t="s">
        <v>703</v>
      </c>
      <c r="D1063" s="616" t="s">
        <v>738</v>
      </c>
      <c r="E1063" s="616" t="s">
        <v>811</v>
      </c>
      <c r="F1063" s="617" t="s">
        <v>812</v>
      </c>
      <c r="G1063" s="616" t="s">
        <v>698</v>
      </c>
      <c r="H1063" s="617"/>
      <c r="I1063" s="617"/>
      <c r="J1063" s="617" t="s">
        <v>739</v>
      </c>
      <c r="K1063" s="618"/>
      <c r="L1063" s="616"/>
      <c r="M1063" s="616"/>
      <c r="N1063" s="617"/>
      <c r="O1063" s="617"/>
      <c r="P1063" s="617"/>
      <c r="Q1063" s="617"/>
      <c r="R1063" s="619"/>
      <c r="S1063" s="617"/>
      <c r="T1063" s="616" t="s">
        <v>221</v>
      </c>
    </row>
    <row r="1064" ht="34.5">
      <c r="A1064" s="616" t="s">
        <v>1247</v>
      </c>
      <c r="B1064" s="616" t="s">
        <v>1248</v>
      </c>
      <c r="C1064" s="616" t="s">
        <v>711</v>
      </c>
      <c r="D1064" s="616" t="s">
        <v>743</v>
      </c>
      <c r="E1064" s="616" t="s">
        <v>820</v>
      </c>
      <c r="F1064" s="617" t="s">
        <v>821</v>
      </c>
      <c r="G1064" s="616" t="s">
        <v>727</v>
      </c>
      <c r="H1064" s="617"/>
      <c r="I1064" s="617"/>
      <c r="J1064" s="617" t="s">
        <v>744</v>
      </c>
      <c r="K1064" s="618"/>
      <c r="L1064" s="616"/>
      <c r="M1064" s="616"/>
      <c r="N1064" s="617"/>
      <c r="O1064" s="617"/>
      <c r="P1064" s="617"/>
      <c r="Q1064" s="617"/>
      <c r="R1064" s="619"/>
      <c r="S1064" s="617"/>
      <c r="T1064" s="616" t="s">
        <v>221</v>
      </c>
    </row>
    <row r="1065" ht="34.5">
      <c r="A1065" s="616" t="s">
        <v>1247</v>
      </c>
      <c r="B1065" s="616" t="s">
        <v>1248</v>
      </c>
      <c r="C1065" s="616" t="s">
        <v>711</v>
      </c>
      <c r="D1065" s="616" t="s">
        <v>216</v>
      </c>
      <c r="E1065" s="616" t="s">
        <v>820</v>
      </c>
      <c r="F1065" s="617" t="s">
        <v>821</v>
      </c>
      <c r="G1065" s="616" t="s">
        <v>727</v>
      </c>
      <c r="H1065" s="617"/>
      <c r="I1065" s="617"/>
      <c r="J1065" s="617" t="s">
        <v>1315</v>
      </c>
      <c r="K1065" s="618">
        <v>134853879</v>
      </c>
      <c r="L1065" s="616" t="s">
        <v>611</v>
      </c>
      <c r="M1065" s="616"/>
      <c r="N1065" s="617"/>
      <c r="O1065" s="617"/>
      <c r="P1065" s="617"/>
      <c r="Q1065" s="617"/>
      <c r="R1065" s="619"/>
      <c r="S1065" s="617"/>
      <c r="T1065" s="616" t="s">
        <v>221</v>
      </c>
    </row>
    <row r="1066" ht="34.5">
      <c r="A1066" s="616" t="s">
        <v>1247</v>
      </c>
      <c r="B1066" s="616" t="s">
        <v>1248</v>
      </c>
      <c r="C1066" s="616" t="s">
        <v>711</v>
      </c>
      <c r="D1066" s="616" t="s">
        <v>216</v>
      </c>
      <c r="E1066" s="616" t="s">
        <v>820</v>
      </c>
      <c r="F1066" s="617" t="s">
        <v>821</v>
      </c>
      <c r="G1066" s="616" t="s">
        <v>727</v>
      </c>
      <c r="H1066" s="617"/>
      <c r="I1066" s="617"/>
      <c r="J1066" s="617" t="s">
        <v>824</v>
      </c>
      <c r="K1066" s="618"/>
      <c r="L1066" s="616"/>
      <c r="M1066" s="616"/>
      <c r="N1066" s="617"/>
      <c r="O1066" s="617"/>
      <c r="P1066" s="617"/>
      <c r="Q1066" s="617"/>
      <c r="R1066" s="619"/>
      <c r="S1066" s="617"/>
      <c r="T1066" s="616" t="s">
        <v>221</v>
      </c>
    </row>
    <row r="1067" ht="34.5">
      <c r="A1067" s="616" t="s">
        <v>1247</v>
      </c>
      <c r="B1067" s="616" t="s">
        <v>1248</v>
      </c>
      <c r="C1067" s="616" t="s">
        <v>711</v>
      </c>
      <c r="D1067" s="616" t="s">
        <v>216</v>
      </c>
      <c r="E1067" s="616" t="s">
        <v>820</v>
      </c>
      <c r="F1067" s="617" t="s">
        <v>821</v>
      </c>
      <c r="G1067" s="616" t="s">
        <v>727</v>
      </c>
      <c r="H1067" s="617"/>
      <c r="I1067" s="617"/>
      <c r="J1067" s="617" t="s">
        <v>825</v>
      </c>
      <c r="K1067" s="618"/>
      <c r="L1067" s="616"/>
      <c r="M1067" s="616"/>
      <c r="N1067" s="617"/>
      <c r="O1067" s="617"/>
      <c r="P1067" s="617"/>
      <c r="Q1067" s="617"/>
      <c r="R1067" s="619"/>
      <c r="S1067" s="617"/>
      <c r="T1067" s="616" t="s">
        <v>221</v>
      </c>
    </row>
    <row r="1068" ht="34.5">
      <c r="A1068" s="616" t="s">
        <v>1247</v>
      </c>
      <c r="B1068" s="616" t="s">
        <v>1248</v>
      </c>
      <c r="C1068" s="616" t="s">
        <v>711</v>
      </c>
      <c r="D1068" s="616" t="s">
        <v>748</v>
      </c>
      <c r="E1068" s="616" t="s">
        <v>820</v>
      </c>
      <c r="F1068" s="617" t="s">
        <v>821</v>
      </c>
      <c r="G1068" s="616" t="s">
        <v>727</v>
      </c>
      <c r="H1068" s="617"/>
      <c r="I1068" s="617"/>
      <c r="J1068" s="617" t="s">
        <v>752</v>
      </c>
      <c r="K1068" s="618"/>
      <c r="L1068" s="616"/>
      <c r="M1068" s="616"/>
      <c r="N1068" s="617"/>
      <c r="O1068" s="617"/>
      <c r="P1068" s="617"/>
      <c r="Q1068" s="617"/>
      <c r="R1068" s="619"/>
      <c r="S1068" s="617"/>
      <c r="T1068" s="616" t="s">
        <v>221</v>
      </c>
    </row>
    <row r="1069" ht="34.5">
      <c r="A1069" s="616" t="s">
        <v>1247</v>
      </c>
      <c r="B1069" s="616" t="s">
        <v>1248</v>
      </c>
      <c r="C1069" s="616" t="s">
        <v>711</v>
      </c>
      <c r="D1069" s="616" t="s">
        <v>216</v>
      </c>
      <c r="E1069" s="616" t="s">
        <v>820</v>
      </c>
      <c r="F1069" s="617" t="s">
        <v>821</v>
      </c>
      <c r="G1069" s="616" t="s">
        <v>727</v>
      </c>
      <c r="H1069" s="617"/>
      <c r="I1069" s="617"/>
      <c r="J1069" s="617" t="s">
        <v>814</v>
      </c>
      <c r="K1069" s="618"/>
      <c r="L1069" s="616"/>
      <c r="M1069" s="616"/>
      <c r="N1069" s="617"/>
      <c r="O1069" s="617"/>
      <c r="P1069" s="617"/>
      <c r="Q1069" s="617"/>
      <c r="R1069" s="619"/>
      <c r="S1069" s="617"/>
      <c r="T1069" s="616" t="s">
        <v>221</v>
      </c>
    </row>
    <row r="1070" ht="34.5">
      <c r="A1070" s="616" t="s">
        <v>1247</v>
      </c>
      <c r="B1070" s="616" t="s">
        <v>1248</v>
      </c>
      <c r="C1070" s="616" t="s">
        <v>723</v>
      </c>
      <c r="D1070" s="616" t="s">
        <v>216</v>
      </c>
      <c r="E1070" s="616" t="s">
        <v>820</v>
      </c>
      <c r="F1070" s="617" t="s">
        <v>821</v>
      </c>
      <c r="G1070" s="616" t="s">
        <v>727</v>
      </c>
      <c r="H1070" s="617"/>
      <c r="I1070" s="617"/>
      <c r="J1070" s="617" t="s">
        <v>679</v>
      </c>
      <c r="K1070" s="618"/>
      <c r="L1070" s="616"/>
      <c r="M1070" s="616"/>
      <c r="N1070" s="617"/>
      <c r="O1070" s="617"/>
      <c r="P1070" s="617"/>
      <c r="Q1070" s="617"/>
      <c r="R1070" s="619"/>
      <c r="S1070" s="617"/>
      <c r="T1070" s="616" t="s">
        <v>221</v>
      </c>
    </row>
    <row r="1071" ht="34.5">
      <c r="A1071" s="616" t="s">
        <v>1247</v>
      </c>
      <c r="B1071" s="616" t="s">
        <v>1248</v>
      </c>
      <c r="C1071" s="616" t="s">
        <v>723</v>
      </c>
      <c r="D1071" s="616" t="s">
        <v>216</v>
      </c>
      <c r="E1071" s="616" t="s">
        <v>820</v>
      </c>
      <c r="F1071" s="617" t="s">
        <v>821</v>
      </c>
      <c r="G1071" s="616" t="s">
        <v>727</v>
      </c>
      <c r="H1071" s="617"/>
      <c r="I1071" s="617"/>
      <c r="J1071" s="617" t="s">
        <v>1306</v>
      </c>
      <c r="K1071" s="618"/>
      <c r="L1071" s="616"/>
      <c r="M1071" s="616"/>
      <c r="N1071" s="617"/>
      <c r="O1071" s="617"/>
      <c r="P1071" s="617"/>
      <c r="Q1071" s="617"/>
      <c r="R1071" s="619"/>
      <c r="S1071" s="617"/>
      <c r="T1071" s="616" t="s">
        <v>221</v>
      </c>
    </row>
    <row r="1072" ht="34.5">
      <c r="A1072" s="616" t="s">
        <v>1247</v>
      </c>
      <c r="B1072" s="616" t="s">
        <v>1248</v>
      </c>
      <c r="C1072" s="616" t="s">
        <v>723</v>
      </c>
      <c r="D1072" s="616" t="s">
        <v>216</v>
      </c>
      <c r="E1072" s="616" t="s">
        <v>820</v>
      </c>
      <c r="F1072" s="617" t="s">
        <v>821</v>
      </c>
      <c r="G1072" s="616" t="s">
        <v>727</v>
      </c>
      <c r="H1072" s="617"/>
      <c r="I1072" s="617"/>
      <c r="J1072" s="617" t="s">
        <v>830</v>
      </c>
      <c r="K1072" s="618"/>
      <c r="L1072" s="616"/>
      <c r="M1072" s="616"/>
      <c r="N1072" s="617"/>
      <c r="O1072" s="617"/>
      <c r="P1072" s="617"/>
      <c r="Q1072" s="617"/>
      <c r="R1072" s="619"/>
      <c r="S1072" s="617"/>
      <c r="T1072" s="616" t="s">
        <v>221</v>
      </c>
    </row>
    <row r="1073" ht="34.5">
      <c r="A1073" s="616" t="s">
        <v>1247</v>
      </c>
      <c r="B1073" s="616" t="s">
        <v>1248</v>
      </c>
      <c r="C1073" s="616" t="s">
        <v>723</v>
      </c>
      <c r="D1073" s="616" t="s">
        <v>759</v>
      </c>
      <c r="E1073" s="616" t="s">
        <v>820</v>
      </c>
      <c r="F1073" s="617" t="s">
        <v>821</v>
      </c>
      <c r="G1073" s="616" t="s">
        <v>727</v>
      </c>
      <c r="H1073" s="617"/>
      <c r="I1073" s="617"/>
      <c r="J1073" s="617" t="s">
        <v>760</v>
      </c>
      <c r="K1073" s="618"/>
      <c r="L1073" s="616"/>
      <c r="M1073" s="616"/>
      <c r="N1073" s="617"/>
      <c r="O1073" s="617"/>
      <c r="P1073" s="617"/>
      <c r="Q1073" s="617"/>
      <c r="R1073" s="619"/>
      <c r="S1073" s="617"/>
      <c r="T1073" s="616" t="s">
        <v>221</v>
      </c>
    </row>
    <row r="1074" ht="34.5">
      <c r="A1074" s="616" t="s">
        <v>1247</v>
      </c>
      <c r="B1074" s="616" t="s">
        <v>1248</v>
      </c>
      <c r="C1074" s="616" t="s">
        <v>723</v>
      </c>
      <c r="D1074" s="616" t="s">
        <v>762</v>
      </c>
      <c r="E1074" s="616" t="s">
        <v>834</v>
      </c>
      <c r="F1074" s="617" t="s">
        <v>835</v>
      </c>
      <c r="G1074" s="616" t="s">
        <v>698</v>
      </c>
      <c r="H1074" s="617"/>
      <c r="I1074" s="617"/>
      <c r="J1074" s="617" t="s">
        <v>763</v>
      </c>
      <c r="K1074" s="618"/>
      <c r="L1074" s="616"/>
      <c r="M1074" s="616"/>
      <c r="N1074" s="617"/>
      <c r="O1074" s="617"/>
      <c r="P1074" s="617"/>
      <c r="Q1074" s="617"/>
      <c r="R1074" s="619"/>
      <c r="S1074" s="617"/>
      <c r="T1074" s="616" t="s">
        <v>221</v>
      </c>
    </row>
    <row r="1075" ht="34.5">
      <c r="A1075" s="616" t="s">
        <v>1247</v>
      </c>
      <c r="B1075" s="616" t="s">
        <v>1248</v>
      </c>
      <c r="C1075" s="616" t="s">
        <v>723</v>
      </c>
      <c r="D1075" s="616" t="s">
        <v>216</v>
      </c>
      <c r="E1075" s="616" t="s">
        <v>834</v>
      </c>
      <c r="F1075" s="617" t="s">
        <v>835</v>
      </c>
      <c r="G1075" s="616" t="s">
        <v>698</v>
      </c>
      <c r="H1075" s="617"/>
      <c r="I1075" s="617"/>
      <c r="J1075" s="617" t="s">
        <v>837</v>
      </c>
      <c r="K1075" s="618"/>
      <c r="L1075" s="616"/>
      <c r="M1075" s="616"/>
      <c r="N1075" s="617"/>
      <c r="O1075" s="617"/>
      <c r="P1075" s="617"/>
      <c r="Q1075" s="617"/>
      <c r="R1075" s="619"/>
      <c r="S1075" s="617"/>
      <c r="T1075" s="616" t="s">
        <v>221</v>
      </c>
    </row>
    <row r="1076" ht="34.5">
      <c r="A1076" s="616" t="s">
        <v>1247</v>
      </c>
      <c r="B1076" s="616" t="s">
        <v>1248</v>
      </c>
      <c r="C1076" s="616" t="s">
        <v>723</v>
      </c>
      <c r="D1076" s="616" t="s">
        <v>766</v>
      </c>
      <c r="E1076" s="616" t="s">
        <v>834</v>
      </c>
      <c r="F1076" s="617" t="s">
        <v>835</v>
      </c>
      <c r="G1076" s="616" t="s">
        <v>698</v>
      </c>
      <c r="H1076" s="617"/>
      <c r="I1076" s="617"/>
      <c r="J1076" s="617" t="s">
        <v>767</v>
      </c>
      <c r="K1076" s="618"/>
      <c r="L1076" s="616"/>
      <c r="M1076" s="616"/>
      <c r="N1076" s="617"/>
      <c r="O1076" s="617"/>
      <c r="P1076" s="617"/>
      <c r="Q1076" s="617"/>
      <c r="R1076" s="619"/>
      <c r="S1076" s="617"/>
      <c r="T1076" s="616" t="s">
        <v>221</v>
      </c>
    </row>
    <row r="1077" ht="34.5">
      <c r="A1077" s="616" t="s">
        <v>1247</v>
      </c>
      <c r="B1077" s="616" t="s">
        <v>1248</v>
      </c>
      <c r="C1077" s="616" t="s">
        <v>723</v>
      </c>
      <c r="D1077" s="616" t="s">
        <v>216</v>
      </c>
      <c r="E1077" s="616" t="s">
        <v>834</v>
      </c>
      <c r="F1077" s="617" t="s">
        <v>835</v>
      </c>
      <c r="G1077" s="616" t="s">
        <v>698</v>
      </c>
      <c r="H1077" s="617"/>
      <c r="I1077" s="617"/>
      <c r="J1077" s="617" t="s">
        <v>840</v>
      </c>
      <c r="K1077" s="618"/>
      <c r="L1077" s="616"/>
      <c r="M1077" s="616"/>
      <c r="N1077" s="617"/>
      <c r="O1077" s="617"/>
      <c r="P1077" s="617"/>
      <c r="Q1077" s="617"/>
      <c r="R1077" s="619"/>
      <c r="S1077" s="617"/>
      <c r="T1077" s="616" t="s">
        <v>221</v>
      </c>
    </row>
    <row r="1078" ht="34.5">
      <c r="A1078" s="616" t="s">
        <v>1247</v>
      </c>
      <c r="B1078" s="616" t="s">
        <v>1248</v>
      </c>
      <c r="C1078" s="616" t="s">
        <v>723</v>
      </c>
      <c r="D1078" s="616" t="s">
        <v>771</v>
      </c>
      <c r="E1078" s="616" t="s">
        <v>834</v>
      </c>
      <c r="F1078" s="617" t="s">
        <v>835</v>
      </c>
      <c r="G1078" s="616" t="s">
        <v>698</v>
      </c>
      <c r="H1078" s="617"/>
      <c r="I1078" s="617"/>
      <c r="J1078" s="617" t="s">
        <v>774</v>
      </c>
      <c r="K1078" s="618"/>
      <c r="L1078" s="616"/>
      <c r="M1078" s="616"/>
      <c r="N1078" s="617"/>
      <c r="O1078" s="617"/>
      <c r="P1078" s="617"/>
      <c r="Q1078" s="617"/>
      <c r="R1078" s="619"/>
      <c r="S1078" s="617"/>
      <c r="T1078" s="616" t="s">
        <v>221</v>
      </c>
    </row>
    <row r="1079" ht="34.5">
      <c r="A1079" s="616" t="s">
        <v>1247</v>
      </c>
      <c r="B1079" s="616" t="s">
        <v>1248</v>
      </c>
      <c r="C1079" s="616" t="s">
        <v>732</v>
      </c>
      <c r="D1079" s="616" t="s">
        <v>776</v>
      </c>
      <c r="E1079" s="616" t="s">
        <v>845</v>
      </c>
      <c r="F1079" s="617" t="s">
        <v>846</v>
      </c>
      <c r="G1079" s="616" t="s">
        <v>727</v>
      </c>
      <c r="H1079" s="617"/>
      <c r="I1079" s="617"/>
      <c r="J1079" s="617" t="s">
        <v>777</v>
      </c>
      <c r="K1079" s="618"/>
      <c r="L1079" s="616"/>
      <c r="M1079" s="616"/>
      <c r="N1079" s="617"/>
      <c r="O1079" s="617"/>
      <c r="P1079" s="617"/>
      <c r="Q1079" s="617"/>
      <c r="R1079" s="619"/>
      <c r="S1079" s="617"/>
      <c r="T1079" s="616" t="s">
        <v>221</v>
      </c>
    </row>
    <row r="1080" ht="34.5">
      <c r="A1080" s="616" t="s">
        <v>1247</v>
      </c>
      <c r="B1080" s="616" t="s">
        <v>1248</v>
      </c>
      <c r="C1080" s="616" t="s">
        <v>732</v>
      </c>
      <c r="D1080" s="616" t="s">
        <v>216</v>
      </c>
      <c r="E1080" s="616" t="s">
        <v>845</v>
      </c>
      <c r="F1080" s="617" t="s">
        <v>846</v>
      </c>
      <c r="G1080" s="616" t="s">
        <v>727</v>
      </c>
      <c r="H1080" s="617"/>
      <c r="I1080" s="617"/>
      <c r="J1080" s="617" t="s">
        <v>848</v>
      </c>
      <c r="K1080" s="618"/>
      <c r="L1080" s="616"/>
      <c r="M1080" s="616"/>
      <c r="N1080" s="617"/>
      <c r="O1080" s="617"/>
      <c r="P1080" s="617"/>
      <c r="Q1080" s="617"/>
      <c r="R1080" s="619"/>
      <c r="S1080" s="617"/>
      <c r="T1080" s="616" t="s">
        <v>221</v>
      </c>
    </row>
    <row r="1081" ht="34.5">
      <c r="A1081" s="616" t="s">
        <v>1247</v>
      </c>
      <c r="B1081" s="616" t="s">
        <v>1248</v>
      </c>
      <c r="C1081" s="616" t="s">
        <v>732</v>
      </c>
      <c r="D1081" s="616" t="s">
        <v>216</v>
      </c>
      <c r="E1081" s="616" t="s">
        <v>845</v>
      </c>
      <c r="F1081" s="617" t="s">
        <v>846</v>
      </c>
      <c r="G1081" s="616" t="s">
        <v>727</v>
      </c>
      <c r="H1081" s="617"/>
      <c r="I1081" s="617"/>
      <c r="J1081" s="617" t="s">
        <v>1316</v>
      </c>
      <c r="K1081" s="618"/>
      <c r="L1081" s="616"/>
      <c r="M1081" s="616"/>
      <c r="N1081" s="617"/>
      <c r="O1081" s="617"/>
      <c r="P1081" s="617"/>
      <c r="Q1081" s="617"/>
      <c r="R1081" s="619"/>
      <c r="S1081" s="617"/>
      <c r="T1081" s="616" t="s">
        <v>221</v>
      </c>
    </row>
    <row r="1082" ht="34.5">
      <c r="A1082" s="616" t="s">
        <v>1247</v>
      </c>
      <c r="B1082" s="616" t="s">
        <v>1248</v>
      </c>
      <c r="C1082" s="616" t="s">
        <v>732</v>
      </c>
      <c r="D1082" s="616" t="s">
        <v>216</v>
      </c>
      <c r="E1082" s="616" t="s">
        <v>845</v>
      </c>
      <c r="F1082" s="617" t="s">
        <v>846</v>
      </c>
      <c r="G1082" s="616" t="s">
        <v>727</v>
      </c>
      <c r="H1082" s="617"/>
      <c r="I1082" s="617"/>
      <c r="J1082" s="617" t="s">
        <v>851</v>
      </c>
      <c r="K1082" s="618"/>
      <c r="L1082" s="616"/>
      <c r="M1082" s="616"/>
      <c r="N1082" s="617"/>
      <c r="O1082" s="617"/>
      <c r="P1082" s="617"/>
      <c r="Q1082" s="617"/>
      <c r="R1082" s="619"/>
      <c r="S1082" s="617"/>
      <c r="T1082" s="616" t="s">
        <v>221</v>
      </c>
    </row>
    <row r="1083" ht="34.5">
      <c r="A1083" s="616" t="s">
        <v>1247</v>
      </c>
      <c r="B1083" s="616" t="s">
        <v>1248</v>
      </c>
      <c r="C1083" s="616" t="s">
        <v>732</v>
      </c>
      <c r="D1083" s="616" t="s">
        <v>216</v>
      </c>
      <c r="E1083" s="616" t="s">
        <v>845</v>
      </c>
      <c r="F1083" s="617" t="s">
        <v>846</v>
      </c>
      <c r="G1083" s="616" t="s">
        <v>727</v>
      </c>
      <c r="H1083" s="617"/>
      <c r="I1083" s="617"/>
      <c r="J1083" s="617" t="s">
        <v>1317</v>
      </c>
      <c r="K1083" s="618"/>
      <c r="L1083" s="616"/>
      <c r="M1083" s="616"/>
      <c r="N1083" s="617"/>
      <c r="O1083" s="617"/>
      <c r="P1083" s="617"/>
      <c r="Q1083" s="617"/>
      <c r="R1083" s="619"/>
      <c r="S1083" s="617"/>
      <c r="T1083" s="616" t="s">
        <v>221</v>
      </c>
    </row>
    <row r="1084" ht="34.5">
      <c r="A1084" s="616" t="s">
        <v>1247</v>
      </c>
      <c r="B1084" s="616" t="s">
        <v>1248</v>
      </c>
      <c r="C1084" s="616" t="s">
        <v>732</v>
      </c>
      <c r="D1084" s="616" t="s">
        <v>216</v>
      </c>
      <c r="E1084" s="616" t="s">
        <v>845</v>
      </c>
      <c r="F1084" s="617" t="s">
        <v>846</v>
      </c>
      <c r="G1084" s="616" t="s">
        <v>727</v>
      </c>
      <c r="H1084" s="617"/>
      <c r="I1084" s="617"/>
      <c r="J1084" s="617" t="s">
        <v>1318</v>
      </c>
      <c r="K1084" s="618">
        <v>125275182</v>
      </c>
      <c r="L1084" s="616" t="s">
        <v>611</v>
      </c>
      <c r="M1084" s="616"/>
      <c r="N1084" s="617"/>
      <c r="O1084" s="617"/>
      <c r="P1084" s="617"/>
      <c r="Q1084" s="617"/>
      <c r="R1084" s="619"/>
      <c r="S1084" s="617"/>
      <c r="T1084" s="616" t="s">
        <v>221</v>
      </c>
    </row>
    <row r="1085" ht="34.5">
      <c r="A1085" s="616" t="s">
        <v>1247</v>
      </c>
      <c r="B1085" s="616" t="s">
        <v>1248</v>
      </c>
      <c r="C1085" s="616" t="s">
        <v>732</v>
      </c>
      <c r="D1085" s="616" t="s">
        <v>216</v>
      </c>
      <c r="E1085" s="616" t="s">
        <v>845</v>
      </c>
      <c r="F1085" s="617" t="s">
        <v>846</v>
      </c>
      <c r="G1085" s="616" t="s">
        <v>727</v>
      </c>
      <c r="H1085" s="617"/>
      <c r="I1085" s="617"/>
      <c r="J1085" s="617" t="s">
        <v>853</v>
      </c>
      <c r="K1085" s="618"/>
      <c r="L1085" s="616"/>
      <c r="M1085" s="616"/>
      <c r="N1085" s="617"/>
      <c r="O1085" s="617"/>
      <c r="P1085" s="617"/>
      <c r="Q1085" s="617"/>
      <c r="R1085" s="619"/>
      <c r="S1085" s="617"/>
      <c r="T1085" s="616" t="s">
        <v>221</v>
      </c>
    </row>
    <row r="1086" ht="34.5">
      <c r="A1086" s="616" t="s">
        <v>1247</v>
      </c>
      <c r="B1086" s="616" t="s">
        <v>1248</v>
      </c>
      <c r="C1086" s="616" t="s">
        <v>732</v>
      </c>
      <c r="D1086" s="616" t="s">
        <v>784</v>
      </c>
      <c r="E1086" s="616" t="s">
        <v>845</v>
      </c>
      <c r="F1086" s="617" t="s">
        <v>846</v>
      </c>
      <c r="G1086" s="616" t="s">
        <v>727</v>
      </c>
      <c r="H1086" s="617"/>
      <c r="I1086" s="617"/>
      <c r="J1086" s="617" t="s">
        <v>785</v>
      </c>
      <c r="K1086" s="618"/>
      <c r="L1086" s="616"/>
      <c r="M1086" s="616"/>
      <c r="N1086" s="617"/>
      <c r="O1086" s="617"/>
      <c r="P1086" s="617"/>
      <c r="Q1086" s="617"/>
      <c r="R1086" s="619"/>
      <c r="S1086" s="617"/>
      <c r="T1086" s="616" t="s">
        <v>221</v>
      </c>
    </row>
    <row r="1087" ht="34.5">
      <c r="A1087" s="616" t="s">
        <v>1247</v>
      </c>
      <c r="B1087" s="616" t="s">
        <v>1248</v>
      </c>
      <c r="C1087" s="616" t="s">
        <v>747</v>
      </c>
      <c r="D1087" s="616" t="s">
        <v>216</v>
      </c>
      <c r="E1087" s="616" t="s">
        <v>856</v>
      </c>
      <c r="F1087" s="617" t="s">
        <v>1182</v>
      </c>
      <c r="G1087" s="616" t="s">
        <v>727</v>
      </c>
      <c r="H1087" s="617"/>
      <c r="I1087" s="617"/>
      <c r="J1087" s="617" t="s">
        <v>867</v>
      </c>
      <c r="K1087" s="618"/>
      <c r="L1087" s="616"/>
      <c r="M1087" s="616"/>
      <c r="N1087" s="617"/>
      <c r="O1087" s="617"/>
      <c r="P1087" s="617"/>
      <c r="Q1087" s="617"/>
      <c r="R1087" s="619"/>
      <c r="S1087" s="617"/>
      <c r="T1087" s="616" t="s">
        <v>221</v>
      </c>
    </row>
    <row r="1088" ht="34.5">
      <c r="A1088" s="616" t="s">
        <v>1247</v>
      </c>
      <c r="B1088" s="616" t="s">
        <v>1248</v>
      </c>
      <c r="C1088" s="616" t="s">
        <v>747</v>
      </c>
      <c r="D1088" s="616" t="s">
        <v>801</v>
      </c>
      <c r="E1088" s="616" t="s">
        <v>856</v>
      </c>
      <c r="F1088" s="617" t="s">
        <v>1182</v>
      </c>
      <c r="G1088" s="616" t="s">
        <v>727</v>
      </c>
      <c r="H1088" s="617"/>
      <c r="I1088" s="617"/>
      <c r="J1088" s="617" t="s">
        <v>802</v>
      </c>
      <c r="K1088" s="618"/>
      <c r="L1088" s="616"/>
      <c r="M1088" s="616"/>
      <c r="N1088" s="617"/>
      <c r="O1088" s="617"/>
      <c r="P1088" s="617"/>
      <c r="Q1088" s="617"/>
      <c r="R1088" s="619"/>
      <c r="S1088" s="617"/>
      <c r="T1088" s="616" t="s">
        <v>221</v>
      </c>
    </row>
    <row r="1089" ht="34.5">
      <c r="A1089" s="616" t="s">
        <v>1247</v>
      </c>
      <c r="B1089" s="616" t="s">
        <v>1248</v>
      </c>
      <c r="C1089" s="616" t="s">
        <v>747</v>
      </c>
      <c r="D1089" s="616" t="s">
        <v>216</v>
      </c>
      <c r="E1089" s="616" t="s">
        <v>856</v>
      </c>
      <c r="F1089" s="617" t="s">
        <v>1182</v>
      </c>
      <c r="G1089" s="616" t="s">
        <v>727</v>
      </c>
      <c r="H1089" s="617"/>
      <c r="I1089" s="617"/>
      <c r="J1089" s="617" t="s">
        <v>870</v>
      </c>
      <c r="K1089" s="618"/>
      <c r="L1089" s="616"/>
      <c r="M1089" s="616"/>
      <c r="N1089" s="617"/>
      <c r="O1089" s="617"/>
      <c r="P1089" s="617"/>
      <c r="Q1089" s="617"/>
      <c r="R1089" s="619"/>
      <c r="S1089" s="617"/>
      <c r="T1089" s="616" t="s">
        <v>221</v>
      </c>
    </row>
    <row r="1090" ht="34.5">
      <c r="A1090" s="616" t="s">
        <v>1247</v>
      </c>
      <c r="B1090" s="616" t="s">
        <v>1248</v>
      </c>
      <c r="C1090" s="616" t="s">
        <v>747</v>
      </c>
      <c r="D1090" s="616" t="s">
        <v>805</v>
      </c>
      <c r="E1090" s="616" t="s">
        <v>856</v>
      </c>
      <c r="F1090" s="617" t="s">
        <v>1182</v>
      </c>
      <c r="G1090" s="616" t="s">
        <v>727</v>
      </c>
      <c r="H1090" s="617"/>
      <c r="I1090" s="617"/>
      <c r="J1090" s="617" t="s">
        <v>806</v>
      </c>
      <c r="K1090" s="618"/>
      <c r="L1090" s="616"/>
      <c r="M1090" s="616"/>
      <c r="N1090" s="617"/>
      <c r="O1090" s="617"/>
      <c r="P1090" s="617"/>
      <c r="Q1090" s="617"/>
      <c r="R1090" s="619"/>
      <c r="S1090" s="617"/>
      <c r="T1090" s="616" t="s">
        <v>221</v>
      </c>
    </row>
    <row r="1091" ht="34.5">
      <c r="A1091" s="616" t="s">
        <v>1247</v>
      </c>
      <c r="B1091" s="616" t="s">
        <v>1248</v>
      </c>
      <c r="C1091" s="616" t="s">
        <v>747</v>
      </c>
      <c r="D1091" s="616" t="s">
        <v>216</v>
      </c>
      <c r="E1091" s="616" t="s">
        <v>856</v>
      </c>
      <c r="F1091" s="617" t="s">
        <v>1182</v>
      </c>
      <c r="G1091" s="616" t="s">
        <v>727</v>
      </c>
      <c r="H1091" s="617"/>
      <c r="I1091" s="617"/>
      <c r="J1091" s="617" t="s">
        <v>1183</v>
      </c>
      <c r="K1091" s="618"/>
      <c r="L1091" s="616"/>
      <c r="M1091" s="616"/>
      <c r="N1091" s="617"/>
      <c r="O1091" s="617"/>
      <c r="P1091" s="617"/>
      <c r="Q1091" s="617"/>
      <c r="R1091" s="619"/>
      <c r="S1091" s="617"/>
      <c r="T1091" s="616" t="s">
        <v>221</v>
      </c>
    </row>
    <row r="1092" ht="34.5">
      <c r="A1092" s="616" t="s">
        <v>1247</v>
      </c>
      <c r="B1092" s="616" t="s">
        <v>1248</v>
      </c>
      <c r="C1092" s="616" t="s">
        <v>747</v>
      </c>
      <c r="D1092" s="616" t="s">
        <v>807</v>
      </c>
      <c r="E1092" s="616" t="s">
        <v>856</v>
      </c>
      <c r="F1092" s="617" t="s">
        <v>1182</v>
      </c>
      <c r="G1092" s="616" t="s">
        <v>727</v>
      </c>
      <c r="H1092" s="617"/>
      <c r="I1092" s="617"/>
      <c r="J1092" s="617" t="s">
        <v>810</v>
      </c>
      <c r="K1092" s="618"/>
      <c r="L1092" s="616"/>
      <c r="M1092" s="616"/>
      <c r="N1092" s="617"/>
      <c r="O1092" s="617"/>
      <c r="P1092" s="617"/>
      <c r="Q1092" s="617"/>
      <c r="R1092" s="619"/>
      <c r="S1092" s="617"/>
      <c r="T1092" s="616" t="s">
        <v>221</v>
      </c>
    </row>
    <row r="1093" ht="34.5">
      <c r="A1093" s="616" t="s">
        <v>1247</v>
      </c>
      <c r="B1093" s="616" t="s">
        <v>1248</v>
      </c>
      <c r="C1093" s="616" t="s">
        <v>754</v>
      </c>
      <c r="D1093" s="616" t="s">
        <v>817</v>
      </c>
      <c r="E1093" s="616" t="s">
        <v>865</v>
      </c>
      <c r="F1093" s="617" t="s">
        <v>1184</v>
      </c>
      <c r="G1093" s="616" t="s">
        <v>698</v>
      </c>
      <c r="H1093" s="617"/>
      <c r="I1093" s="617"/>
      <c r="J1093" s="617" t="s">
        <v>818</v>
      </c>
      <c r="K1093" s="618"/>
      <c r="L1093" s="616"/>
      <c r="M1093" s="616"/>
      <c r="N1093" s="617"/>
      <c r="O1093" s="617"/>
      <c r="P1093" s="617"/>
      <c r="Q1093" s="617"/>
      <c r="R1093" s="619"/>
      <c r="S1093" s="617"/>
      <c r="T1093" s="616" t="s">
        <v>221</v>
      </c>
    </row>
    <row r="1094" ht="34.5">
      <c r="A1094" s="616" t="s">
        <v>1247</v>
      </c>
      <c r="B1094" s="616" t="s">
        <v>1248</v>
      </c>
      <c r="C1094" s="616" t="s">
        <v>754</v>
      </c>
      <c r="D1094" s="616" t="s">
        <v>216</v>
      </c>
      <c r="E1094" s="616" t="s">
        <v>865</v>
      </c>
      <c r="F1094" s="617" t="s">
        <v>1184</v>
      </c>
      <c r="G1094" s="616" t="s">
        <v>698</v>
      </c>
      <c r="H1094" s="617"/>
      <c r="I1094" s="617"/>
      <c r="J1094" s="617" t="s">
        <v>882</v>
      </c>
      <c r="K1094" s="618"/>
      <c r="L1094" s="616"/>
      <c r="M1094" s="616"/>
      <c r="N1094" s="617"/>
      <c r="O1094" s="617"/>
      <c r="P1094" s="617"/>
      <c r="Q1094" s="617"/>
      <c r="R1094" s="619"/>
      <c r="S1094" s="617"/>
      <c r="T1094" s="616" t="s">
        <v>221</v>
      </c>
    </row>
    <row r="1095" ht="34.5">
      <c r="A1095" s="616" t="s">
        <v>1247</v>
      </c>
      <c r="B1095" s="616" t="s">
        <v>1248</v>
      </c>
      <c r="C1095" s="616" t="s">
        <v>754</v>
      </c>
      <c r="D1095" s="616" t="s">
        <v>216</v>
      </c>
      <c r="E1095" s="616" t="s">
        <v>865</v>
      </c>
      <c r="F1095" s="617" t="s">
        <v>1184</v>
      </c>
      <c r="G1095" s="616" t="s">
        <v>698</v>
      </c>
      <c r="H1095" s="617"/>
      <c r="I1095" s="617"/>
      <c r="J1095" s="617" t="s">
        <v>883</v>
      </c>
      <c r="K1095" s="618"/>
      <c r="L1095" s="616"/>
      <c r="M1095" s="616"/>
      <c r="N1095" s="617"/>
      <c r="O1095" s="617"/>
      <c r="P1095" s="617"/>
      <c r="Q1095" s="617"/>
      <c r="R1095" s="619"/>
      <c r="S1095" s="617"/>
      <c r="T1095" s="616" t="s">
        <v>221</v>
      </c>
    </row>
    <row r="1096" ht="34.5">
      <c r="A1096" s="616" t="s">
        <v>1247</v>
      </c>
      <c r="B1096" s="616" t="s">
        <v>1248</v>
      </c>
      <c r="C1096" s="616" t="s">
        <v>754</v>
      </c>
      <c r="D1096" s="616" t="s">
        <v>216</v>
      </c>
      <c r="E1096" s="616" t="s">
        <v>865</v>
      </c>
      <c r="F1096" s="617" t="s">
        <v>1184</v>
      </c>
      <c r="G1096" s="616" t="s">
        <v>698</v>
      </c>
      <c r="H1096" s="617"/>
      <c r="I1096" s="617"/>
      <c r="J1096" s="617" t="s">
        <v>1319</v>
      </c>
      <c r="K1096" s="618"/>
      <c r="L1096" s="616"/>
      <c r="M1096" s="616"/>
      <c r="N1096" s="617"/>
      <c r="O1096" s="617"/>
      <c r="P1096" s="617"/>
      <c r="Q1096" s="617"/>
      <c r="R1096" s="619"/>
      <c r="S1096" s="617"/>
      <c r="T1096" s="616" t="s">
        <v>221</v>
      </c>
    </row>
    <row r="1097" ht="34.5">
      <c r="A1097" s="616" t="s">
        <v>1247</v>
      </c>
      <c r="B1097" s="616" t="s">
        <v>1248</v>
      </c>
      <c r="C1097" s="616" t="s">
        <v>754</v>
      </c>
      <c r="D1097" s="616" t="s">
        <v>216</v>
      </c>
      <c r="E1097" s="616" t="s">
        <v>865</v>
      </c>
      <c r="F1097" s="617" t="s">
        <v>1184</v>
      </c>
      <c r="G1097" s="616" t="s">
        <v>698</v>
      </c>
      <c r="H1097" s="617"/>
      <c r="I1097" s="617"/>
      <c r="J1097" s="617" t="s">
        <v>1320</v>
      </c>
      <c r="K1097" s="618"/>
      <c r="L1097" s="616"/>
      <c r="M1097" s="616"/>
      <c r="N1097" s="617"/>
      <c r="O1097" s="617"/>
      <c r="P1097" s="617"/>
      <c r="Q1097" s="617"/>
      <c r="R1097" s="619"/>
      <c r="S1097" s="617"/>
      <c r="T1097" s="616" t="s">
        <v>221</v>
      </c>
    </row>
    <row r="1098" ht="34.5">
      <c r="A1098" s="616" t="s">
        <v>1247</v>
      </c>
      <c r="B1098" s="616" t="s">
        <v>1248</v>
      </c>
      <c r="C1098" s="616" t="s">
        <v>754</v>
      </c>
      <c r="D1098" s="616" t="s">
        <v>216</v>
      </c>
      <c r="E1098" s="616" t="s">
        <v>865</v>
      </c>
      <c r="F1098" s="617" t="s">
        <v>1184</v>
      </c>
      <c r="G1098" s="616" t="s">
        <v>698</v>
      </c>
      <c r="H1098" s="617"/>
      <c r="I1098" s="617"/>
      <c r="J1098" s="617" t="s">
        <v>1321</v>
      </c>
      <c r="K1098" s="618"/>
      <c r="L1098" s="616"/>
      <c r="M1098" s="616"/>
      <c r="N1098" s="617"/>
      <c r="O1098" s="617"/>
      <c r="P1098" s="617"/>
      <c r="Q1098" s="617"/>
      <c r="R1098" s="619"/>
      <c r="S1098" s="617"/>
      <c r="T1098" s="616" t="s">
        <v>221</v>
      </c>
    </row>
    <row r="1099" ht="34.5">
      <c r="A1099" s="616" t="s">
        <v>1247</v>
      </c>
      <c r="B1099" s="616" t="s">
        <v>1248</v>
      </c>
      <c r="C1099" s="616" t="s">
        <v>754</v>
      </c>
      <c r="D1099" s="616" t="s">
        <v>216</v>
      </c>
      <c r="E1099" s="616" t="s">
        <v>865</v>
      </c>
      <c r="F1099" s="617" t="s">
        <v>1184</v>
      </c>
      <c r="G1099" s="616" t="s">
        <v>698</v>
      </c>
      <c r="H1099" s="617"/>
      <c r="I1099" s="617"/>
      <c r="J1099" s="617" t="s">
        <v>1322</v>
      </c>
      <c r="K1099" s="618"/>
      <c r="L1099" s="616"/>
      <c r="M1099" s="616"/>
      <c r="N1099" s="617"/>
      <c r="O1099" s="617"/>
      <c r="P1099" s="617"/>
      <c r="Q1099" s="617"/>
      <c r="R1099" s="619"/>
      <c r="S1099" s="617"/>
      <c r="T1099" s="616" t="s">
        <v>221</v>
      </c>
    </row>
    <row r="1100" ht="34.5">
      <c r="A1100" s="616" t="s">
        <v>1247</v>
      </c>
      <c r="B1100" s="616" t="s">
        <v>1248</v>
      </c>
      <c r="C1100" s="616" t="s">
        <v>754</v>
      </c>
      <c r="D1100" s="616" t="s">
        <v>216</v>
      </c>
      <c r="E1100" s="616" t="s">
        <v>865</v>
      </c>
      <c r="F1100" s="617" t="s">
        <v>1184</v>
      </c>
      <c r="G1100" s="616" t="s">
        <v>698</v>
      </c>
      <c r="H1100" s="617"/>
      <c r="I1100" s="617"/>
      <c r="J1100" s="617" t="s">
        <v>876</v>
      </c>
      <c r="K1100" s="618"/>
      <c r="L1100" s="616"/>
      <c r="M1100" s="616"/>
      <c r="N1100" s="617"/>
      <c r="O1100" s="617"/>
      <c r="P1100" s="617"/>
      <c r="Q1100" s="617"/>
      <c r="R1100" s="619"/>
      <c r="S1100" s="617"/>
      <c r="T1100" s="616" t="s">
        <v>221</v>
      </c>
    </row>
    <row r="1101" ht="34.5">
      <c r="A1101" s="616" t="s">
        <v>1247</v>
      </c>
      <c r="B1101" s="616" t="s">
        <v>1248</v>
      </c>
      <c r="C1101" s="616" t="s">
        <v>770</v>
      </c>
      <c r="D1101" s="616" t="s">
        <v>216</v>
      </c>
      <c r="E1101" s="616" t="s">
        <v>865</v>
      </c>
      <c r="F1101" s="617" t="s">
        <v>1184</v>
      </c>
      <c r="G1101" s="616" t="s">
        <v>698</v>
      </c>
      <c r="H1101" s="617"/>
      <c r="I1101" s="617"/>
      <c r="J1101" s="617" t="s">
        <v>679</v>
      </c>
      <c r="K1101" s="618"/>
      <c r="L1101" s="616"/>
      <c r="M1101" s="616"/>
      <c r="N1101" s="617"/>
      <c r="O1101" s="617"/>
      <c r="P1101" s="617"/>
      <c r="Q1101" s="617"/>
      <c r="R1101" s="619"/>
      <c r="S1101" s="617"/>
      <c r="T1101" s="616" t="s">
        <v>221</v>
      </c>
    </row>
    <row r="1102" ht="34.5">
      <c r="A1102" s="616" t="s">
        <v>1247</v>
      </c>
      <c r="B1102" s="616" t="s">
        <v>1248</v>
      </c>
      <c r="C1102" s="616" t="s">
        <v>770</v>
      </c>
      <c r="D1102" s="616" t="s">
        <v>216</v>
      </c>
      <c r="E1102" s="616" t="s">
        <v>865</v>
      </c>
      <c r="F1102" s="617" t="s">
        <v>1184</v>
      </c>
      <c r="G1102" s="616" t="s">
        <v>698</v>
      </c>
      <c r="H1102" s="617"/>
      <c r="I1102" s="617"/>
      <c r="J1102" s="617" t="s">
        <v>1298</v>
      </c>
      <c r="K1102" s="618"/>
      <c r="L1102" s="616"/>
      <c r="M1102" s="616"/>
      <c r="N1102" s="617"/>
      <c r="O1102" s="617"/>
      <c r="P1102" s="617"/>
      <c r="Q1102" s="617"/>
      <c r="R1102" s="619"/>
      <c r="S1102" s="617"/>
      <c r="T1102" s="616" t="s">
        <v>221</v>
      </c>
    </row>
    <row r="1103" ht="34.5">
      <c r="A1103" s="616" t="s">
        <v>1247</v>
      </c>
      <c r="B1103" s="616" t="s">
        <v>1248</v>
      </c>
      <c r="C1103" s="616" t="s">
        <v>770</v>
      </c>
      <c r="D1103" s="616" t="s">
        <v>216</v>
      </c>
      <c r="E1103" s="616" t="s">
        <v>865</v>
      </c>
      <c r="F1103" s="617" t="s">
        <v>1184</v>
      </c>
      <c r="G1103" s="616" t="s">
        <v>698</v>
      </c>
      <c r="H1103" s="617"/>
      <c r="I1103" s="617"/>
      <c r="J1103" s="617" t="s">
        <v>1308</v>
      </c>
      <c r="K1103" s="618"/>
      <c r="L1103" s="616"/>
      <c r="M1103" s="616"/>
      <c r="N1103" s="617"/>
      <c r="O1103" s="617"/>
      <c r="P1103" s="617"/>
      <c r="Q1103" s="617"/>
      <c r="R1103" s="619"/>
      <c r="S1103" s="617"/>
      <c r="T1103" s="616" t="s">
        <v>221</v>
      </c>
    </row>
    <row r="1104" ht="34.5">
      <c r="A1104" s="616" t="s">
        <v>1247</v>
      </c>
      <c r="B1104" s="616" t="s">
        <v>1248</v>
      </c>
      <c r="C1104" s="616" t="s">
        <v>770</v>
      </c>
      <c r="D1104" s="616" t="s">
        <v>819</v>
      </c>
      <c r="E1104" s="616" t="s">
        <v>865</v>
      </c>
      <c r="F1104" s="617" t="s">
        <v>1184</v>
      </c>
      <c r="G1104" s="616" t="s">
        <v>698</v>
      </c>
      <c r="H1104" s="617"/>
      <c r="I1104" s="617"/>
      <c r="J1104" s="617" t="s">
        <v>822</v>
      </c>
      <c r="K1104" s="618"/>
      <c r="L1104" s="616"/>
      <c r="M1104" s="616"/>
      <c r="N1104" s="617"/>
      <c r="O1104" s="617"/>
      <c r="P1104" s="617"/>
      <c r="Q1104" s="617"/>
      <c r="R1104" s="619"/>
      <c r="S1104" s="617"/>
      <c r="T1104" s="616" t="s">
        <v>221</v>
      </c>
    </row>
    <row r="1105" ht="34.5">
      <c r="A1105" s="616" t="s">
        <v>1247</v>
      </c>
      <c r="B1105" s="616" t="s">
        <v>1248</v>
      </c>
      <c r="C1105" s="616" t="s">
        <v>770</v>
      </c>
      <c r="D1105" s="616" t="s">
        <v>216</v>
      </c>
      <c r="E1105" s="616" t="s">
        <v>865</v>
      </c>
      <c r="F1105" s="617" t="s">
        <v>1184</v>
      </c>
      <c r="G1105" s="616" t="s">
        <v>698</v>
      </c>
      <c r="H1105" s="617"/>
      <c r="I1105" s="617"/>
      <c r="J1105" s="617" t="s">
        <v>1323</v>
      </c>
      <c r="K1105" s="618"/>
      <c r="L1105" s="616"/>
      <c r="M1105" s="616"/>
      <c r="N1105" s="617"/>
      <c r="O1105" s="617"/>
      <c r="P1105" s="617"/>
      <c r="Q1105" s="617"/>
      <c r="R1105" s="619"/>
      <c r="S1105" s="617"/>
      <c r="T1105" s="616" t="s">
        <v>221</v>
      </c>
    </row>
    <row r="1106" ht="34.5">
      <c r="A1106" s="616" t="s">
        <v>1247</v>
      </c>
      <c r="B1106" s="616" t="s">
        <v>1248</v>
      </c>
      <c r="C1106" s="616" t="s">
        <v>770</v>
      </c>
      <c r="D1106" s="616" t="s">
        <v>826</v>
      </c>
      <c r="E1106" s="616" t="s">
        <v>865</v>
      </c>
      <c r="F1106" s="617" t="s">
        <v>1184</v>
      </c>
      <c r="G1106" s="616" t="s">
        <v>698</v>
      </c>
      <c r="H1106" s="617"/>
      <c r="I1106" s="617"/>
      <c r="J1106" s="617" t="s">
        <v>827</v>
      </c>
      <c r="K1106" s="618"/>
      <c r="L1106" s="616"/>
      <c r="M1106" s="616"/>
      <c r="N1106" s="617"/>
      <c r="O1106" s="617"/>
      <c r="P1106" s="617"/>
      <c r="Q1106" s="617"/>
      <c r="R1106" s="619"/>
      <c r="S1106" s="617"/>
      <c r="T1106" s="616" t="s">
        <v>221</v>
      </c>
    </row>
    <row r="1107" ht="34.5">
      <c r="A1107" s="616" t="s">
        <v>1247</v>
      </c>
      <c r="B1107" s="616" t="s">
        <v>1248</v>
      </c>
      <c r="C1107" s="616" t="s">
        <v>770</v>
      </c>
      <c r="D1107" s="616" t="s">
        <v>216</v>
      </c>
      <c r="E1107" s="616" t="s">
        <v>865</v>
      </c>
      <c r="F1107" s="617" t="s">
        <v>1184</v>
      </c>
      <c r="G1107" s="616" t="s">
        <v>698</v>
      </c>
      <c r="H1107" s="617"/>
      <c r="I1107" s="617"/>
      <c r="J1107" s="617" t="s">
        <v>1324</v>
      </c>
      <c r="K1107" s="618">
        <v>-119594</v>
      </c>
      <c r="L1107" s="616" t="s">
        <v>611</v>
      </c>
      <c r="M1107" s="616"/>
      <c r="N1107" s="617"/>
      <c r="O1107" s="617"/>
      <c r="P1107" s="617"/>
      <c r="Q1107" s="617"/>
      <c r="R1107" s="619"/>
      <c r="S1107" s="617"/>
      <c r="T1107" s="616" t="s">
        <v>221</v>
      </c>
    </row>
    <row r="1108" ht="34.5">
      <c r="A1108" s="616" t="s">
        <v>1247</v>
      </c>
      <c r="B1108" s="616" t="s">
        <v>1248</v>
      </c>
      <c r="C1108" s="616" t="s">
        <v>770</v>
      </c>
      <c r="D1108" s="616" t="s">
        <v>216</v>
      </c>
      <c r="E1108" s="616" t="s">
        <v>865</v>
      </c>
      <c r="F1108" s="617" t="s">
        <v>1184</v>
      </c>
      <c r="G1108" s="616" t="s">
        <v>698</v>
      </c>
      <c r="H1108" s="617"/>
      <c r="I1108" s="617"/>
      <c r="J1108" s="617" t="s">
        <v>1325</v>
      </c>
      <c r="K1108" s="618"/>
      <c r="L1108" s="616"/>
      <c r="M1108" s="616"/>
      <c r="N1108" s="617"/>
      <c r="O1108" s="617"/>
      <c r="P1108" s="617"/>
      <c r="Q1108" s="617"/>
      <c r="R1108" s="619"/>
      <c r="S1108" s="617"/>
      <c r="T1108" s="616" t="s">
        <v>221</v>
      </c>
    </row>
    <row r="1109" ht="34.5">
      <c r="A1109" s="616" t="s">
        <v>1247</v>
      </c>
      <c r="B1109" s="616" t="s">
        <v>1248</v>
      </c>
      <c r="C1109" s="616" t="s">
        <v>770</v>
      </c>
      <c r="D1109" s="616" t="s">
        <v>216</v>
      </c>
      <c r="E1109" s="616" t="s">
        <v>865</v>
      </c>
      <c r="F1109" s="617" t="s">
        <v>1184</v>
      </c>
      <c r="G1109" s="616" t="s">
        <v>698</v>
      </c>
      <c r="H1109" s="617"/>
      <c r="I1109" s="617"/>
      <c r="J1109" s="617" t="s">
        <v>1326</v>
      </c>
      <c r="K1109" s="618"/>
      <c r="L1109" s="616"/>
      <c r="M1109" s="616"/>
      <c r="N1109" s="617"/>
      <c r="O1109" s="617"/>
      <c r="P1109" s="617"/>
      <c r="Q1109" s="617"/>
      <c r="R1109" s="619"/>
      <c r="S1109" s="617"/>
      <c r="T1109" s="616" t="s">
        <v>221</v>
      </c>
    </row>
    <row r="1110" ht="34.5">
      <c r="A1110" s="616" t="s">
        <v>1247</v>
      </c>
      <c r="B1110" s="616" t="s">
        <v>1248</v>
      </c>
      <c r="C1110" s="616" t="s">
        <v>783</v>
      </c>
      <c r="D1110" s="616" t="s">
        <v>831</v>
      </c>
      <c r="E1110" s="616" t="s">
        <v>879</v>
      </c>
      <c r="F1110" s="617" t="s">
        <v>1185</v>
      </c>
      <c r="G1110" s="616" t="s">
        <v>889</v>
      </c>
      <c r="H1110" s="617"/>
      <c r="I1110" s="617"/>
      <c r="J1110" s="617" t="s">
        <v>832</v>
      </c>
      <c r="K1110" s="618"/>
      <c r="L1110" s="616"/>
      <c r="M1110" s="616"/>
      <c r="N1110" s="617"/>
      <c r="O1110" s="617"/>
      <c r="P1110" s="617"/>
      <c r="Q1110" s="617"/>
      <c r="R1110" s="619"/>
      <c r="S1110" s="617"/>
      <c r="T1110" s="616" t="s">
        <v>221</v>
      </c>
    </row>
    <row r="1111" ht="34.5">
      <c r="A1111" s="616" t="s">
        <v>1247</v>
      </c>
      <c r="B1111" s="616" t="s">
        <v>1248</v>
      </c>
      <c r="C1111" s="616" t="s">
        <v>783</v>
      </c>
      <c r="D1111" s="616" t="s">
        <v>216</v>
      </c>
      <c r="E1111" s="616" t="s">
        <v>879</v>
      </c>
      <c r="F1111" s="617" t="s">
        <v>1185</v>
      </c>
      <c r="G1111" s="616" t="s">
        <v>889</v>
      </c>
      <c r="H1111" s="617"/>
      <c r="I1111" s="617"/>
      <c r="J1111" s="617" t="s">
        <v>1186</v>
      </c>
      <c r="K1111" s="618"/>
      <c r="L1111" s="616"/>
      <c r="M1111" s="616"/>
      <c r="N1111" s="617"/>
      <c r="O1111" s="617"/>
      <c r="P1111" s="617"/>
      <c r="Q1111" s="617"/>
      <c r="R1111" s="619"/>
      <c r="S1111" s="617"/>
      <c r="T1111" s="616" t="s">
        <v>221</v>
      </c>
    </row>
    <row r="1112" ht="34.5">
      <c r="A1112" s="616" t="s">
        <v>1247</v>
      </c>
      <c r="B1112" s="616" t="s">
        <v>1248</v>
      </c>
      <c r="C1112" s="616" t="s">
        <v>783</v>
      </c>
      <c r="D1112" s="616" t="s">
        <v>833</v>
      </c>
      <c r="E1112" s="616" t="s">
        <v>879</v>
      </c>
      <c r="F1112" s="617" t="s">
        <v>1185</v>
      </c>
      <c r="G1112" s="616" t="s">
        <v>889</v>
      </c>
      <c r="H1112" s="617"/>
      <c r="I1112" s="617"/>
      <c r="J1112" s="617" t="s">
        <v>836</v>
      </c>
      <c r="K1112" s="618"/>
      <c r="L1112" s="616"/>
      <c r="M1112" s="616"/>
      <c r="N1112" s="617"/>
      <c r="O1112" s="617"/>
      <c r="P1112" s="617"/>
      <c r="Q1112" s="617"/>
      <c r="R1112" s="619"/>
      <c r="S1112" s="617"/>
      <c r="T1112" s="616" t="s">
        <v>221</v>
      </c>
    </row>
    <row r="1113" ht="34.5">
      <c r="A1113" s="616" t="s">
        <v>1247</v>
      </c>
      <c r="B1113" s="616" t="s">
        <v>1248</v>
      </c>
      <c r="C1113" s="616" t="s">
        <v>783</v>
      </c>
      <c r="D1113" s="616" t="s">
        <v>216</v>
      </c>
      <c r="E1113" s="616" t="s">
        <v>879</v>
      </c>
      <c r="F1113" s="617" t="s">
        <v>1185</v>
      </c>
      <c r="G1113" s="616" t="s">
        <v>889</v>
      </c>
      <c r="H1113" s="617"/>
      <c r="I1113" s="617"/>
      <c r="J1113" s="617" t="s">
        <v>891</v>
      </c>
      <c r="K1113" s="618"/>
      <c r="L1113" s="616"/>
      <c r="M1113" s="616"/>
      <c r="N1113" s="617"/>
      <c r="O1113" s="617"/>
      <c r="P1113" s="617"/>
      <c r="Q1113" s="617"/>
      <c r="R1113" s="619"/>
      <c r="S1113" s="617"/>
      <c r="T1113" s="616" t="s">
        <v>221</v>
      </c>
    </row>
    <row r="1114" ht="34.5">
      <c r="A1114" s="616" t="s">
        <v>1247</v>
      </c>
      <c r="B1114" s="616" t="s">
        <v>1248</v>
      </c>
      <c r="C1114" s="616" t="s">
        <v>783</v>
      </c>
      <c r="D1114" s="616" t="s">
        <v>216</v>
      </c>
      <c r="E1114" s="616" t="s">
        <v>887</v>
      </c>
      <c r="F1114" s="617" t="s">
        <v>1187</v>
      </c>
      <c r="G1114" s="616" t="s">
        <v>894</v>
      </c>
      <c r="H1114" s="617"/>
      <c r="I1114" s="617"/>
      <c r="J1114" s="617" t="s">
        <v>1327</v>
      </c>
      <c r="K1114" s="618">
        <v>2000000</v>
      </c>
      <c r="L1114" s="616" t="s">
        <v>611</v>
      </c>
      <c r="M1114" s="616"/>
      <c r="N1114" s="617"/>
      <c r="O1114" s="617"/>
      <c r="P1114" s="617"/>
      <c r="Q1114" s="617"/>
      <c r="R1114" s="619"/>
      <c r="S1114" s="617"/>
      <c r="T1114" s="616" t="s">
        <v>221</v>
      </c>
    </row>
    <row r="1115" ht="34.5">
      <c r="A1115" s="616" t="s">
        <v>1247</v>
      </c>
      <c r="B1115" s="616" t="s">
        <v>1248</v>
      </c>
      <c r="C1115" s="616" t="s">
        <v>783</v>
      </c>
      <c r="D1115" s="616" t="s">
        <v>216</v>
      </c>
      <c r="E1115" s="616" t="s">
        <v>887</v>
      </c>
      <c r="F1115" s="617" t="s">
        <v>1187</v>
      </c>
      <c r="G1115" s="616" t="s">
        <v>894</v>
      </c>
      <c r="H1115" s="617"/>
      <c r="I1115" s="617"/>
      <c r="J1115" s="617" t="s">
        <v>1328</v>
      </c>
      <c r="K1115" s="618">
        <v>35336599</v>
      </c>
      <c r="L1115" s="616" t="s">
        <v>611</v>
      </c>
      <c r="M1115" s="616"/>
      <c r="N1115" s="617"/>
      <c r="O1115" s="617"/>
      <c r="P1115" s="617"/>
      <c r="Q1115" s="617"/>
      <c r="R1115" s="619"/>
      <c r="S1115" s="617"/>
      <c r="T1115" s="616" t="s">
        <v>221</v>
      </c>
    </row>
    <row r="1116" ht="34.5">
      <c r="A1116" s="616" t="s">
        <v>1247</v>
      </c>
      <c r="B1116" s="616" t="s">
        <v>1248</v>
      </c>
      <c r="C1116" s="616" t="s">
        <v>783</v>
      </c>
      <c r="D1116" s="616" t="s">
        <v>216</v>
      </c>
      <c r="E1116" s="616" t="s">
        <v>887</v>
      </c>
      <c r="F1116" s="617" t="s">
        <v>1187</v>
      </c>
      <c r="G1116" s="616" t="s">
        <v>894</v>
      </c>
      <c r="H1116" s="617"/>
      <c r="I1116" s="617"/>
      <c r="J1116" s="617" t="s">
        <v>897</v>
      </c>
      <c r="K1116" s="618"/>
      <c r="L1116" s="616"/>
      <c r="M1116" s="616"/>
      <c r="N1116" s="617"/>
      <c r="O1116" s="617"/>
      <c r="P1116" s="617"/>
      <c r="Q1116" s="617"/>
      <c r="R1116" s="619"/>
      <c r="S1116" s="617"/>
      <c r="T1116" s="616" t="s">
        <v>221</v>
      </c>
    </row>
    <row r="1117" ht="34.5">
      <c r="A1117" s="616" t="s">
        <v>1247</v>
      </c>
      <c r="B1117" s="616" t="s">
        <v>1248</v>
      </c>
      <c r="C1117" s="616" t="s">
        <v>794</v>
      </c>
      <c r="D1117" s="616" t="s">
        <v>838</v>
      </c>
      <c r="E1117" s="616" t="s">
        <v>892</v>
      </c>
      <c r="F1117" s="617" t="s">
        <v>1190</v>
      </c>
      <c r="G1117" s="616" t="s">
        <v>902</v>
      </c>
      <c r="H1117" s="617"/>
      <c r="I1117" s="617"/>
      <c r="J1117" s="617" t="s">
        <v>839</v>
      </c>
      <c r="K1117" s="618"/>
      <c r="L1117" s="616"/>
      <c r="M1117" s="616"/>
      <c r="N1117" s="617"/>
      <c r="O1117" s="617"/>
      <c r="P1117" s="617"/>
      <c r="Q1117" s="617"/>
      <c r="R1117" s="619"/>
      <c r="S1117" s="617"/>
      <c r="T1117" s="616" t="s">
        <v>221</v>
      </c>
    </row>
    <row r="1118" ht="34.5">
      <c r="A1118" s="616" t="s">
        <v>1247</v>
      </c>
      <c r="B1118" s="616" t="s">
        <v>1248</v>
      </c>
      <c r="C1118" s="616" t="s">
        <v>794</v>
      </c>
      <c r="D1118" s="616" t="s">
        <v>841</v>
      </c>
      <c r="E1118" s="616" t="s">
        <v>900</v>
      </c>
      <c r="F1118" s="617" t="s">
        <v>1191</v>
      </c>
      <c r="G1118" s="616" t="s">
        <v>694</v>
      </c>
      <c r="H1118" s="617"/>
      <c r="I1118" s="617"/>
      <c r="J1118" s="617" t="s">
        <v>842</v>
      </c>
      <c r="K1118" s="618"/>
      <c r="L1118" s="616"/>
      <c r="M1118" s="616"/>
      <c r="N1118" s="617"/>
      <c r="O1118" s="617"/>
      <c r="P1118" s="617"/>
      <c r="Q1118" s="617"/>
      <c r="R1118" s="619"/>
      <c r="S1118" s="617"/>
      <c r="T1118" s="616" t="s">
        <v>221</v>
      </c>
    </row>
    <row r="1119" ht="34.5">
      <c r="A1119" s="616" t="s">
        <v>1247</v>
      </c>
      <c r="B1119" s="616" t="s">
        <v>1248</v>
      </c>
      <c r="C1119" s="616" t="s">
        <v>803</v>
      </c>
      <c r="D1119" s="616" t="s">
        <v>844</v>
      </c>
      <c r="E1119" s="616" t="s">
        <v>905</v>
      </c>
      <c r="F1119" s="617" t="s">
        <v>1193</v>
      </c>
      <c r="G1119" s="616" t="s">
        <v>913</v>
      </c>
      <c r="H1119" s="617"/>
      <c r="I1119" s="617"/>
      <c r="J1119" s="617" t="s">
        <v>847</v>
      </c>
      <c r="K1119" s="618"/>
      <c r="L1119" s="616"/>
      <c r="M1119" s="616"/>
      <c r="N1119" s="617"/>
      <c r="O1119" s="617"/>
      <c r="P1119" s="617"/>
      <c r="Q1119" s="617"/>
      <c r="R1119" s="619"/>
      <c r="S1119" s="617"/>
      <c r="T1119" s="616" t="s">
        <v>221</v>
      </c>
    </row>
    <row r="1120" ht="34.5">
      <c r="A1120" s="616" t="s">
        <v>1247</v>
      </c>
      <c r="B1120" s="616" t="s">
        <v>1248</v>
      </c>
      <c r="C1120" s="616" t="s">
        <v>803</v>
      </c>
      <c r="D1120" s="616" t="s">
        <v>216</v>
      </c>
      <c r="E1120" s="616" t="s">
        <v>911</v>
      </c>
      <c r="F1120" s="617" t="s">
        <v>1194</v>
      </c>
      <c r="G1120" s="616" t="s">
        <v>894</v>
      </c>
      <c r="H1120" s="617"/>
      <c r="I1120" s="617"/>
      <c r="J1120" s="617" t="s">
        <v>919</v>
      </c>
      <c r="K1120" s="618"/>
      <c r="L1120" s="616"/>
      <c r="M1120" s="616"/>
      <c r="N1120" s="617"/>
      <c r="O1120" s="617"/>
      <c r="P1120" s="617"/>
      <c r="Q1120" s="617"/>
      <c r="R1120" s="619"/>
      <c r="S1120" s="617"/>
      <c r="T1120" s="616" t="s">
        <v>221</v>
      </c>
    </row>
    <row r="1121" ht="34.5">
      <c r="A1121" s="616" t="s">
        <v>1247</v>
      </c>
      <c r="B1121" s="616" t="s">
        <v>1248</v>
      </c>
      <c r="C1121" s="616" t="s">
        <v>803</v>
      </c>
      <c r="D1121" s="616" t="s">
        <v>216</v>
      </c>
      <c r="E1121" s="616" t="s">
        <v>911</v>
      </c>
      <c r="F1121" s="617" t="s">
        <v>1194</v>
      </c>
      <c r="G1121" s="616" t="s">
        <v>894</v>
      </c>
      <c r="H1121" s="617"/>
      <c r="I1121" s="617"/>
      <c r="J1121" s="617" t="s">
        <v>1329</v>
      </c>
      <c r="K1121" s="618">
        <v>15561</v>
      </c>
      <c r="L1121" s="616" t="s">
        <v>611</v>
      </c>
      <c r="M1121" s="616"/>
      <c r="N1121" s="617"/>
      <c r="O1121" s="617"/>
      <c r="P1121" s="617"/>
      <c r="Q1121" s="617"/>
      <c r="R1121" s="619"/>
      <c r="S1121" s="617"/>
      <c r="T1121" s="616" t="s">
        <v>221</v>
      </c>
    </row>
    <row r="1122" ht="34.5">
      <c r="A1122" s="616" t="s">
        <v>1247</v>
      </c>
      <c r="B1122" s="616" t="s">
        <v>1248</v>
      </c>
      <c r="C1122" s="616" t="s">
        <v>803</v>
      </c>
      <c r="D1122" s="616" t="s">
        <v>216</v>
      </c>
      <c r="E1122" s="616" t="s">
        <v>911</v>
      </c>
      <c r="F1122" s="617" t="s">
        <v>1194</v>
      </c>
      <c r="G1122" s="616" t="s">
        <v>894</v>
      </c>
      <c r="H1122" s="617"/>
      <c r="I1122" s="617"/>
      <c r="J1122" s="617" t="s">
        <v>1330</v>
      </c>
      <c r="K1122" s="618">
        <v>12351</v>
      </c>
      <c r="L1122" s="616" t="s">
        <v>611</v>
      </c>
      <c r="M1122" s="616"/>
      <c r="N1122" s="617"/>
      <c r="O1122" s="617"/>
      <c r="P1122" s="617"/>
      <c r="Q1122" s="617"/>
      <c r="R1122" s="619"/>
      <c r="S1122" s="617"/>
      <c r="T1122" s="616" t="s">
        <v>221</v>
      </c>
    </row>
    <row r="1123" ht="34.5">
      <c r="A1123" s="616" t="s">
        <v>1247</v>
      </c>
      <c r="B1123" s="616" t="s">
        <v>1248</v>
      </c>
      <c r="C1123" s="616" t="s">
        <v>803</v>
      </c>
      <c r="D1123" s="616" t="s">
        <v>216</v>
      </c>
      <c r="E1123" s="616" t="s">
        <v>911</v>
      </c>
      <c r="F1123" s="617" t="s">
        <v>1194</v>
      </c>
      <c r="G1123" s="616" t="s">
        <v>894</v>
      </c>
      <c r="H1123" s="617"/>
      <c r="I1123" s="617"/>
      <c r="J1123" s="617" t="s">
        <v>921</v>
      </c>
      <c r="K1123" s="618"/>
      <c r="L1123" s="616"/>
      <c r="M1123" s="616"/>
      <c r="N1123" s="617"/>
      <c r="O1123" s="617"/>
      <c r="P1123" s="617"/>
      <c r="Q1123" s="617"/>
      <c r="R1123" s="619"/>
      <c r="S1123" s="617"/>
      <c r="T1123" s="616" t="s">
        <v>221</v>
      </c>
    </row>
    <row r="1124" ht="34.5">
      <c r="A1124" s="616" t="s">
        <v>1247</v>
      </c>
      <c r="B1124" s="616" t="s">
        <v>1248</v>
      </c>
      <c r="C1124" s="616" t="s">
        <v>803</v>
      </c>
      <c r="D1124" s="616" t="s">
        <v>216</v>
      </c>
      <c r="E1124" s="616" t="s">
        <v>911</v>
      </c>
      <c r="F1124" s="617" t="s">
        <v>1194</v>
      </c>
      <c r="G1124" s="616" t="s">
        <v>894</v>
      </c>
      <c r="H1124" s="617"/>
      <c r="I1124" s="617"/>
      <c r="J1124" s="617" t="s">
        <v>922</v>
      </c>
      <c r="K1124" s="618"/>
      <c r="L1124" s="616"/>
      <c r="M1124" s="616"/>
      <c r="N1124" s="617"/>
      <c r="O1124" s="617"/>
      <c r="P1124" s="617"/>
      <c r="Q1124" s="617"/>
      <c r="R1124" s="619"/>
      <c r="S1124" s="617"/>
      <c r="T1124" s="616" t="s">
        <v>221</v>
      </c>
    </row>
    <row r="1125" ht="34.5">
      <c r="A1125" s="616" t="s">
        <v>1247</v>
      </c>
      <c r="B1125" s="616" t="s">
        <v>1248</v>
      </c>
      <c r="C1125" s="616" t="s">
        <v>803</v>
      </c>
      <c r="D1125" s="616" t="s">
        <v>216</v>
      </c>
      <c r="E1125" s="616" t="s">
        <v>911</v>
      </c>
      <c r="F1125" s="617" t="s">
        <v>1194</v>
      </c>
      <c r="G1125" s="616" t="s">
        <v>894</v>
      </c>
      <c r="H1125" s="617"/>
      <c r="I1125" s="617"/>
      <c r="J1125" s="617" t="s">
        <v>923</v>
      </c>
      <c r="K1125" s="618"/>
      <c r="L1125" s="616"/>
      <c r="M1125" s="616"/>
      <c r="N1125" s="617"/>
      <c r="O1125" s="617"/>
      <c r="P1125" s="617"/>
      <c r="Q1125" s="617"/>
      <c r="R1125" s="619"/>
      <c r="S1125" s="617"/>
      <c r="T1125" s="616" t="s">
        <v>221</v>
      </c>
    </row>
    <row r="1126" ht="34.5">
      <c r="A1126" s="616" t="s">
        <v>1247</v>
      </c>
      <c r="B1126" s="616" t="s">
        <v>1248</v>
      </c>
      <c r="C1126" s="616" t="s">
        <v>803</v>
      </c>
      <c r="D1126" s="616" t="s">
        <v>216</v>
      </c>
      <c r="E1126" s="616" t="s">
        <v>911</v>
      </c>
      <c r="F1126" s="617" t="s">
        <v>1194</v>
      </c>
      <c r="G1126" s="616" t="s">
        <v>894</v>
      </c>
      <c r="H1126" s="617"/>
      <c r="I1126" s="617"/>
      <c r="J1126" s="617" t="s">
        <v>924</v>
      </c>
      <c r="K1126" s="618"/>
      <c r="L1126" s="616"/>
      <c r="M1126" s="616"/>
      <c r="N1126" s="617"/>
      <c r="O1126" s="617"/>
      <c r="P1126" s="617"/>
      <c r="Q1126" s="617"/>
      <c r="R1126" s="619"/>
      <c r="S1126" s="617"/>
      <c r="T1126" s="616" t="s">
        <v>221</v>
      </c>
    </row>
    <row r="1127" ht="34.5">
      <c r="A1127" s="616" t="s">
        <v>1247</v>
      </c>
      <c r="B1127" s="616" t="s">
        <v>1248</v>
      </c>
      <c r="C1127" s="616" t="s">
        <v>803</v>
      </c>
      <c r="D1127" s="616" t="s">
        <v>216</v>
      </c>
      <c r="E1127" s="616" t="s">
        <v>911</v>
      </c>
      <c r="F1127" s="617" t="s">
        <v>1194</v>
      </c>
      <c r="G1127" s="616" t="s">
        <v>894</v>
      </c>
      <c r="H1127" s="617"/>
      <c r="I1127" s="617"/>
      <c r="J1127" s="617" t="s">
        <v>1331</v>
      </c>
      <c r="K1127" s="618">
        <v>14048</v>
      </c>
      <c r="L1127" s="616" t="s">
        <v>611</v>
      </c>
      <c r="M1127" s="616"/>
      <c r="N1127" s="617"/>
      <c r="O1127" s="617"/>
      <c r="P1127" s="617"/>
      <c r="Q1127" s="617"/>
      <c r="R1127" s="619"/>
      <c r="S1127" s="617"/>
      <c r="T1127" s="616" t="s">
        <v>221</v>
      </c>
    </row>
    <row r="1128" ht="34.5">
      <c r="A1128" s="616" t="s">
        <v>1247</v>
      </c>
      <c r="B1128" s="616" t="s">
        <v>1248</v>
      </c>
      <c r="C1128" s="616" t="s">
        <v>803</v>
      </c>
      <c r="D1128" s="616" t="s">
        <v>216</v>
      </c>
      <c r="E1128" s="616" t="s">
        <v>911</v>
      </c>
      <c r="F1128" s="617" t="s">
        <v>1194</v>
      </c>
      <c r="G1128" s="616" t="s">
        <v>894</v>
      </c>
      <c r="H1128" s="617"/>
      <c r="I1128" s="617"/>
      <c r="J1128" s="617" t="s">
        <v>926</v>
      </c>
      <c r="K1128" s="618"/>
      <c r="L1128" s="616"/>
      <c r="M1128" s="616"/>
      <c r="N1128" s="617"/>
      <c r="O1128" s="617"/>
      <c r="P1128" s="617"/>
      <c r="Q1128" s="617"/>
      <c r="R1128" s="619"/>
      <c r="S1128" s="617"/>
      <c r="T1128" s="616" t="s">
        <v>221</v>
      </c>
    </row>
    <row r="1129" ht="34.5">
      <c r="A1129" s="616" t="s">
        <v>1247</v>
      </c>
      <c r="B1129" s="616" t="s">
        <v>1248</v>
      </c>
      <c r="C1129" s="616" t="s">
        <v>815</v>
      </c>
      <c r="D1129" s="616" t="s">
        <v>216</v>
      </c>
      <c r="E1129" s="616" t="s">
        <v>915</v>
      </c>
      <c r="F1129" s="617" t="s">
        <v>1198</v>
      </c>
      <c r="G1129" s="616" t="s">
        <v>930</v>
      </c>
      <c r="H1129" s="617"/>
      <c r="I1129" s="617"/>
      <c r="J1129" s="617" t="s">
        <v>931</v>
      </c>
      <c r="K1129" s="618"/>
      <c r="L1129" s="616"/>
      <c r="M1129" s="616"/>
      <c r="N1129" s="617"/>
      <c r="O1129" s="617"/>
      <c r="P1129" s="617"/>
      <c r="Q1129" s="617"/>
      <c r="R1129" s="619"/>
      <c r="S1129" s="617"/>
      <c r="T1129" s="616" t="s">
        <v>221</v>
      </c>
    </row>
    <row r="1130" ht="34.5">
      <c r="A1130" s="616" t="s">
        <v>1247</v>
      </c>
      <c r="B1130" s="616" t="s">
        <v>1248</v>
      </c>
      <c r="C1130" s="616" t="s">
        <v>815</v>
      </c>
      <c r="D1130" s="616" t="s">
        <v>854</v>
      </c>
      <c r="E1130" s="616" t="s">
        <v>915</v>
      </c>
      <c r="F1130" s="617" t="s">
        <v>1198</v>
      </c>
      <c r="G1130" s="616" t="s">
        <v>930</v>
      </c>
      <c r="H1130" s="617"/>
      <c r="I1130" s="617"/>
      <c r="J1130" s="617" t="s">
        <v>855</v>
      </c>
      <c r="K1130" s="618"/>
      <c r="L1130" s="616"/>
      <c r="M1130" s="616"/>
      <c r="N1130" s="617"/>
      <c r="O1130" s="617"/>
      <c r="P1130" s="617"/>
      <c r="Q1130" s="617"/>
      <c r="R1130" s="619"/>
      <c r="S1130" s="617"/>
      <c r="T1130" s="616" t="s">
        <v>221</v>
      </c>
    </row>
    <row r="1131" ht="34.5">
      <c r="A1131" s="616" t="s">
        <v>1247</v>
      </c>
      <c r="B1131" s="616" t="s">
        <v>1248</v>
      </c>
      <c r="C1131" s="616" t="s">
        <v>815</v>
      </c>
      <c r="D1131" s="616" t="s">
        <v>216</v>
      </c>
      <c r="E1131" s="616" t="s">
        <v>915</v>
      </c>
      <c r="F1131" s="617" t="s">
        <v>1198</v>
      </c>
      <c r="G1131" s="616" t="s">
        <v>930</v>
      </c>
      <c r="H1131" s="617"/>
      <c r="I1131" s="617"/>
      <c r="J1131" s="617" t="s">
        <v>934</v>
      </c>
      <c r="K1131" s="618"/>
      <c r="L1131" s="616"/>
      <c r="M1131" s="616"/>
      <c r="N1131" s="617"/>
      <c r="O1131" s="617"/>
      <c r="P1131" s="617"/>
      <c r="Q1131" s="617"/>
      <c r="R1131" s="619"/>
      <c r="S1131" s="617"/>
      <c r="T1131" s="616" t="s">
        <v>221</v>
      </c>
    </row>
    <row r="1132" ht="34.5">
      <c r="A1132" s="616" t="s">
        <v>1247</v>
      </c>
      <c r="B1132" s="616" t="s">
        <v>1248</v>
      </c>
      <c r="C1132" s="616" t="s">
        <v>815</v>
      </c>
      <c r="D1132" s="616" t="s">
        <v>216</v>
      </c>
      <c r="E1132" s="616" t="s">
        <v>915</v>
      </c>
      <c r="F1132" s="617" t="s">
        <v>1198</v>
      </c>
      <c r="G1132" s="616" t="s">
        <v>930</v>
      </c>
      <c r="H1132" s="617"/>
      <c r="I1132" s="617"/>
      <c r="J1132" s="617" t="s">
        <v>935</v>
      </c>
      <c r="K1132" s="618"/>
      <c r="L1132" s="616"/>
      <c r="M1132" s="616"/>
      <c r="N1132" s="617"/>
      <c r="O1132" s="617"/>
      <c r="P1132" s="617"/>
      <c r="Q1132" s="617"/>
      <c r="R1132" s="619"/>
      <c r="S1132" s="617"/>
      <c r="T1132" s="616" t="s">
        <v>221</v>
      </c>
    </row>
    <row r="1133" ht="34.5">
      <c r="A1133" s="616" t="s">
        <v>1247</v>
      </c>
      <c r="B1133" s="616" t="s">
        <v>1248</v>
      </c>
      <c r="C1133" s="616" t="s">
        <v>815</v>
      </c>
      <c r="D1133" s="616" t="s">
        <v>216</v>
      </c>
      <c r="E1133" s="616" t="s">
        <v>915</v>
      </c>
      <c r="F1133" s="617" t="s">
        <v>1198</v>
      </c>
      <c r="G1133" s="616" t="s">
        <v>930</v>
      </c>
      <c r="H1133" s="617"/>
      <c r="I1133" s="617"/>
      <c r="J1133" s="617" t="s">
        <v>936</v>
      </c>
      <c r="K1133" s="618"/>
      <c r="L1133" s="616"/>
      <c r="M1133" s="616"/>
      <c r="N1133" s="617"/>
      <c r="O1133" s="617"/>
      <c r="P1133" s="617"/>
      <c r="Q1133" s="617"/>
      <c r="R1133" s="619"/>
      <c r="S1133" s="617"/>
      <c r="T1133" s="616" t="s">
        <v>221</v>
      </c>
    </row>
    <row r="1134" ht="34.5">
      <c r="A1134" s="616" t="s">
        <v>1247</v>
      </c>
      <c r="B1134" s="616" t="s">
        <v>1248</v>
      </c>
      <c r="C1134" s="616" t="s">
        <v>815</v>
      </c>
      <c r="D1134" s="616" t="s">
        <v>216</v>
      </c>
      <c r="E1134" s="616" t="s">
        <v>928</v>
      </c>
      <c r="F1134" s="617" t="s">
        <v>1199</v>
      </c>
      <c r="G1134" s="616" t="s">
        <v>698</v>
      </c>
      <c r="H1134" s="617"/>
      <c r="I1134" s="617"/>
      <c r="J1134" s="617" t="s">
        <v>1332</v>
      </c>
      <c r="K1134" s="618">
        <v>2896704349</v>
      </c>
      <c r="L1134" s="616" t="s">
        <v>611</v>
      </c>
      <c r="M1134" s="616"/>
      <c r="N1134" s="617"/>
      <c r="O1134" s="617"/>
      <c r="P1134" s="617"/>
      <c r="Q1134" s="617"/>
      <c r="R1134" s="619"/>
      <c r="S1134" s="617"/>
      <c r="T1134" s="616" t="s">
        <v>221</v>
      </c>
    </row>
    <row r="1135" ht="34.5">
      <c r="A1135" s="616" t="s">
        <v>1247</v>
      </c>
      <c r="B1135" s="616" t="s">
        <v>1248</v>
      </c>
      <c r="C1135" s="616" t="s">
        <v>815</v>
      </c>
      <c r="D1135" s="616" t="s">
        <v>859</v>
      </c>
      <c r="E1135" s="616" t="s">
        <v>928</v>
      </c>
      <c r="F1135" s="617" t="s">
        <v>1199</v>
      </c>
      <c r="G1135" s="616" t="s">
        <v>698</v>
      </c>
      <c r="H1135" s="617"/>
      <c r="I1135" s="617"/>
      <c r="J1135" s="617" t="s">
        <v>860</v>
      </c>
      <c r="K1135" s="618"/>
      <c r="L1135" s="616"/>
      <c r="M1135" s="616"/>
      <c r="N1135" s="617"/>
      <c r="O1135" s="617"/>
      <c r="P1135" s="617"/>
      <c r="Q1135" s="617"/>
      <c r="R1135" s="619"/>
      <c r="S1135" s="617"/>
      <c r="T1135" s="616" t="s">
        <v>221</v>
      </c>
    </row>
    <row r="1136" ht="34.5">
      <c r="A1136" s="616" t="s">
        <v>1247</v>
      </c>
      <c r="B1136" s="616" t="s">
        <v>1248</v>
      </c>
      <c r="C1136" s="616" t="s">
        <v>815</v>
      </c>
      <c r="D1136" s="616" t="s">
        <v>216</v>
      </c>
      <c r="E1136" s="616" t="s">
        <v>928</v>
      </c>
      <c r="F1136" s="617" t="s">
        <v>1199</v>
      </c>
      <c r="G1136" s="616" t="s">
        <v>698</v>
      </c>
      <c r="H1136" s="617"/>
      <c r="I1136" s="617"/>
      <c r="J1136" s="617" t="s">
        <v>942</v>
      </c>
      <c r="K1136" s="618"/>
      <c r="L1136" s="616"/>
      <c r="M1136" s="616"/>
      <c r="N1136" s="617"/>
      <c r="O1136" s="617"/>
      <c r="P1136" s="617"/>
      <c r="Q1136" s="617"/>
      <c r="R1136" s="619"/>
      <c r="S1136" s="617"/>
      <c r="T1136" s="616" t="s">
        <v>221</v>
      </c>
    </row>
    <row r="1137" ht="34.5">
      <c r="A1137" s="616" t="s">
        <v>1247</v>
      </c>
      <c r="B1137" s="616" t="s">
        <v>1248</v>
      </c>
      <c r="C1137" s="616" t="s">
        <v>815</v>
      </c>
      <c r="D1137" s="616" t="s">
        <v>216</v>
      </c>
      <c r="E1137" s="616" t="s">
        <v>928</v>
      </c>
      <c r="F1137" s="617" t="s">
        <v>1199</v>
      </c>
      <c r="G1137" s="616" t="s">
        <v>698</v>
      </c>
      <c r="H1137" s="617"/>
      <c r="I1137" s="617"/>
      <c r="J1137" s="617" t="s">
        <v>1333</v>
      </c>
      <c r="K1137" s="618"/>
      <c r="L1137" s="616"/>
      <c r="M1137" s="616"/>
      <c r="N1137" s="617"/>
      <c r="O1137" s="617"/>
      <c r="P1137" s="617"/>
      <c r="Q1137" s="617"/>
      <c r="R1137" s="619"/>
      <c r="S1137" s="617"/>
      <c r="T1137" s="616" t="s">
        <v>221</v>
      </c>
    </row>
    <row r="1138" ht="34.5">
      <c r="A1138" s="616" t="s">
        <v>1247</v>
      </c>
      <c r="B1138" s="616" t="s">
        <v>1248</v>
      </c>
      <c r="C1138" s="616" t="s">
        <v>829</v>
      </c>
      <c r="D1138" s="616" t="s">
        <v>863</v>
      </c>
      <c r="E1138" s="616" t="s">
        <v>937</v>
      </c>
      <c r="F1138" s="617" t="s">
        <v>1201</v>
      </c>
      <c r="G1138" s="616" t="s">
        <v>698</v>
      </c>
      <c r="H1138" s="617"/>
      <c r="I1138" s="617"/>
      <c r="J1138" s="617" t="s">
        <v>864</v>
      </c>
      <c r="K1138" s="618"/>
      <c r="L1138" s="616"/>
      <c r="M1138" s="616"/>
      <c r="N1138" s="617"/>
      <c r="O1138" s="617"/>
      <c r="P1138" s="617"/>
      <c r="Q1138" s="617"/>
      <c r="R1138" s="619"/>
      <c r="S1138" s="617"/>
      <c r="T1138" s="616" t="s">
        <v>221</v>
      </c>
    </row>
    <row r="1139" ht="34.5">
      <c r="A1139" s="616" t="s">
        <v>1247</v>
      </c>
      <c r="B1139" s="616" t="s">
        <v>1248</v>
      </c>
      <c r="C1139" s="616" t="s">
        <v>829</v>
      </c>
      <c r="D1139" s="616" t="s">
        <v>216</v>
      </c>
      <c r="E1139" s="616" t="s">
        <v>945</v>
      </c>
      <c r="F1139" s="617" t="s">
        <v>1202</v>
      </c>
      <c r="G1139" s="616" t="s">
        <v>950</v>
      </c>
      <c r="H1139" s="617"/>
      <c r="I1139" s="617"/>
      <c r="J1139" s="617" t="s">
        <v>1334</v>
      </c>
      <c r="K1139" s="618"/>
      <c r="L1139" s="616"/>
      <c r="M1139" s="616"/>
      <c r="N1139" s="617"/>
      <c r="O1139" s="617"/>
      <c r="P1139" s="617"/>
      <c r="Q1139" s="617"/>
      <c r="R1139" s="619"/>
      <c r="S1139" s="617"/>
      <c r="T1139" s="616" t="s">
        <v>221</v>
      </c>
    </row>
    <row r="1140" ht="34.5">
      <c r="A1140" s="616" t="s">
        <v>1247</v>
      </c>
      <c r="B1140" s="616" t="s">
        <v>1248</v>
      </c>
      <c r="C1140" s="616" t="s">
        <v>829</v>
      </c>
      <c r="D1140" s="616" t="s">
        <v>216</v>
      </c>
      <c r="E1140" s="616" t="s">
        <v>945</v>
      </c>
      <c r="F1140" s="617" t="s">
        <v>1202</v>
      </c>
      <c r="G1140" s="616" t="s">
        <v>950</v>
      </c>
      <c r="H1140" s="617"/>
      <c r="I1140" s="617"/>
      <c r="J1140" s="617" t="s">
        <v>952</v>
      </c>
      <c r="K1140" s="618"/>
      <c r="L1140" s="616"/>
      <c r="M1140" s="616"/>
      <c r="N1140" s="617"/>
      <c r="O1140" s="617"/>
      <c r="P1140" s="617"/>
      <c r="Q1140" s="617"/>
      <c r="R1140" s="619"/>
      <c r="S1140" s="617"/>
      <c r="T1140" s="616" t="s">
        <v>221</v>
      </c>
    </row>
    <row r="1141" ht="34.5">
      <c r="A1141" s="616" t="s">
        <v>1247</v>
      </c>
      <c r="B1141" s="616" t="s">
        <v>1248</v>
      </c>
      <c r="C1141" s="616" t="s">
        <v>829</v>
      </c>
      <c r="D1141" s="616" t="s">
        <v>216</v>
      </c>
      <c r="E1141" s="616" t="s">
        <v>945</v>
      </c>
      <c r="F1141" s="617" t="s">
        <v>1202</v>
      </c>
      <c r="G1141" s="616" t="s">
        <v>950</v>
      </c>
      <c r="H1141" s="617"/>
      <c r="I1141" s="617"/>
      <c r="J1141" s="617" t="s">
        <v>1205</v>
      </c>
      <c r="K1141" s="618"/>
      <c r="L1141" s="616"/>
      <c r="M1141" s="616"/>
      <c r="N1141" s="617"/>
      <c r="O1141" s="617"/>
      <c r="P1141" s="617"/>
      <c r="Q1141" s="617"/>
      <c r="R1141" s="619"/>
      <c r="S1141" s="617"/>
      <c r="T1141" s="616" t="s">
        <v>221</v>
      </c>
    </row>
    <row r="1142" ht="34.5">
      <c r="A1142" s="616" t="s">
        <v>1247</v>
      </c>
      <c r="B1142" s="616" t="s">
        <v>1248</v>
      </c>
      <c r="C1142" s="616" t="s">
        <v>829</v>
      </c>
      <c r="D1142" s="616" t="s">
        <v>216</v>
      </c>
      <c r="E1142" s="616" t="s">
        <v>945</v>
      </c>
      <c r="F1142" s="617" t="s">
        <v>1202</v>
      </c>
      <c r="G1142" s="616" t="s">
        <v>950</v>
      </c>
      <c r="H1142" s="617"/>
      <c r="I1142" s="617"/>
      <c r="J1142" s="617" t="s">
        <v>954</v>
      </c>
      <c r="K1142" s="618">
        <v>-1500000</v>
      </c>
      <c r="L1142" s="616" t="s">
        <v>611</v>
      </c>
      <c r="M1142" s="616"/>
      <c r="N1142" s="617"/>
      <c r="O1142" s="617"/>
      <c r="P1142" s="617"/>
      <c r="Q1142" s="617"/>
      <c r="R1142" s="619"/>
      <c r="S1142" s="617"/>
      <c r="T1142" s="616" t="s">
        <v>221</v>
      </c>
    </row>
    <row r="1143" ht="34.5">
      <c r="A1143" s="616" t="s">
        <v>1247</v>
      </c>
      <c r="B1143" s="616" t="s">
        <v>1248</v>
      </c>
      <c r="C1143" s="616" t="s">
        <v>829</v>
      </c>
      <c r="D1143" s="616" t="s">
        <v>216</v>
      </c>
      <c r="E1143" s="616" t="s">
        <v>945</v>
      </c>
      <c r="F1143" s="617" t="s">
        <v>1202</v>
      </c>
      <c r="G1143" s="616" t="s">
        <v>950</v>
      </c>
      <c r="H1143" s="617"/>
      <c r="I1143" s="617"/>
      <c r="J1143" s="617" t="s">
        <v>955</v>
      </c>
      <c r="K1143" s="618"/>
      <c r="L1143" s="616"/>
      <c r="M1143" s="616"/>
      <c r="N1143" s="617"/>
      <c r="O1143" s="617"/>
      <c r="P1143" s="617"/>
      <c r="Q1143" s="617"/>
      <c r="R1143" s="619"/>
      <c r="S1143" s="617"/>
      <c r="T1143" s="616" t="s">
        <v>221</v>
      </c>
    </row>
    <row r="1144" ht="34.5">
      <c r="A1144" s="616" t="s">
        <v>1247</v>
      </c>
      <c r="B1144" s="616" t="s">
        <v>1248</v>
      </c>
      <c r="C1144" s="616" t="s">
        <v>829</v>
      </c>
      <c r="D1144" s="616" t="s">
        <v>868</v>
      </c>
      <c r="E1144" s="616" t="s">
        <v>945</v>
      </c>
      <c r="F1144" s="617" t="s">
        <v>1202</v>
      </c>
      <c r="G1144" s="616" t="s">
        <v>950</v>
      </c>
      <c r="H1144" s="617"/>
      <c r="I1144" s="617"/>
      <c r="J1144" s="617" t="s">
        <v>869</v>
      </c>
      <c r="K1144" s="618"/>
      <c r="L1144" s="616"/>
      <c r="M1144" s="616"/>
      <c r="N1144" s="617"/>
      <c r="O1144" s="617"/>
      <c r="P1144" s="617"/>
      <c r="Q1144" s="617"/>
      <c r="R1144" s="619"/>
      <c r="S1144" s="617"/>
      <c r="T1144" s="616" t="s">
        <v>221</v>
      </c>
    </row>
    <row r="1145" ht="34.5">
      <c r="A1145" s="616" t="s">
        <v>1247</v>
      </c>
      <c r="B1145" s="616" t="s">
        <v>1248</v>
      </c>
      <c r="C1145" s="616" t="s">
        <v>829</v>
      </c>
      <c r="D1145" s="616" t="s">
        <v>216</v>
      </c>
      <c r="E1145" s="616" t="s">
        <v>945</v>
      </c>
      <c r="F1145" s="617" t="s">
        <v>1202</v>
      </c>
      <c r="G1145" s="616" t="s">
        <v>950</v>
      </c>
      <c r="H1145" s="617"/>
      <c r="I1145" s="617"/>
      <c r="J1145" s="617" t="s">
        <v>1335</v>
      </c>
      <c r="K1145" s="618"/>
      <c r="L1145" s="616"/>
      <c r="M1145" s="616"/>
      <c r="N1145" s="617"/>
      <c r="O1145" s="617"/>
      <c r="P1145" s="617"/>
      <c r="Q1145" s="617"/>
      <c r="R1145" s="619"/>
      <c r="S1145" s="617"/>
      <c r="T1145" s="616" t="s">
        <v>221</v>
      </c>
    </row>
    <row r="1146" ht="34.5">
      <c r="A1146" s="616" t="s">
        <v>1247</v>
      </c>
      <c r="B1146" s="616" t="s">
        <v>1248</v>
      </c>
      <c r="C1146" s="616" t="s">
        <v>843</v>
      </c>
      <c r="D1146" s="616" t="s">
        <v>216</v>
      </c>
      <c r="E1146" s="616" t="s">
        <v>945</v>
      </c>
      <c r="F1146" s="617" t="s">
        <v>1202</v>
      </c>
      <c r="G1146" s="616" t="s">
        <v>950</v>
      </c>
      <c r="H1146" s="617"/>
      <c r="I1146" s="617"/>
      <c r="J1146" s="617" t="s">
        <v>679</v>
      </c>
      <c r="K1146" s="618"/>
      <c r="L1146" s="616"/>
      <c r="M1146" s="616"/>
      <c r="N1146" s="617"/>
      <c r="O1146" s="617"/>
      <c r="P1146" s="617"/>
      <c r="Q1146" s="617"/>
      <c r="R1146" s="619"/>
      <c r="S1146" s="617"/>
      <c r="T1146" s="616" t="s">
        <v>221</v>
      </c>
    </row>
    <row r="1147" ht="34.5">
      <c r="A1147" s="616" t="s">
        <v>1247</v>
      </c>
      <c r="B1147" s="616" t="s">
        <v>1248</v>
      </c>
      <c r="C1147" s="616" t="s">
        <v>843</v>
      </c>
      <c r="D1147" s="616" t="s">
        <v>216</v>
      </c>
      <c r="E1147" s="616" t="s">
        <v>945</v>
      </c>
      <c r="F1147" s="617" t="s">
        <v>1202</v>
      </c>
      <c r="G1147" s="616" t="s">
        <v>950</v>
      </c>
      <c r="H1147" s="617"/>
      <c r="I1147" s="617"/>
      <c r="J1147" s="617" t="s">
        <v>1298</v>
      </c>
      <c r="K1147" s="618"/>
      <c r="L1147" s="616"/>
      <c r="M1147" s="616"/>
      <c r="N1147" s="617"/>
      <c r="O1147" s="617"/>
      <c r="P1147" s="617"/>
      <c r="Q1147" s="617"/>
      <c r="R1147" s="619"/>
      <c r="S1147" s="617"/>
      <c r="T1147" s="616" t="s">
        <v>221</v>
      </c>
    </row>
    <row r="1148" ht="34.5">
      <c r="A1148" s="616" t="s">
        <v>1247</v>
      </c>
      <c r="B1148" s="616" t="s">
        <v>1248</v>
      </c>
      <c r="C1148" s="616" t="s">
        <v>843</v>
      </c>
      <c r="D1148" s="616" t="s">
        <v>216</v>
      </c>
      <c r="E1148" s="616" t="s">
        <v>945</v>
      </c>
      <c r="F1148" s="617" t="s">
        <v>1202</v>
      </c>
      <c r="G1148" s="616" t="s">
        <v>950</v>
      </c>
      <c r="H1148" s="617"/>
      <c r="I1148" s="617"/>
      <c r="J1148" s="617" t="s">
        <v>1207</v>
      </c>
      <c r="K1148" s="618"/>
      <c r="L1148" s="616"/>
      <c r="M1148" s="616"/>
      <c r="N1148" s="617"/>
      <c r="O1148" s="617"/>
      <c r="P1148" s="617"/>
      <c r="Q1148" s="617"/>
      <c r="R1148" s="619"/>
      <c r="S1148" s="617"/>
      <c r="T1148" s="616" t="s">
        <v>221</v>
      </c>
    </row>
    <row r="1149" ht="34.5">
      <c r="A1149" s="616" t="s">
        <v>1247</v>
      </c>
      <c r="B1149" s="616" t="s">
        <v>1248</v>
      </c>
      <c r="C1149" s="616" t="s">
        <v>843</v>
      </c>
      <c r="D1149" s="616" t="s">
        <v>871</v>
      </c>
      <c r="E1149" s="616" t="s">
        <v>945</v>
      </c>
      <c r="F1149" s="617" t="s">
        <v>1202</v>
      </c>
      <c r="G1149" s="616" t="s">
        <v>950</v>
      </c>
      <c r="H1149" s="617"/>
      <c r="I1149" s="617"/>
      <c r="J1149" s="617" t="s">
        <v>872</v>
      </c>
      <c r="K1149" s="618"/>
      <c r="L1149" s="616"/>
      <c r="M1149" s="616"/>
      <c r="N1149" s="617"/>
      <c r="O1149" s="617"/>
      <c r="P1149" s="617"/>
      <c r="Q1149" s="617"/>
      <c r="R1149" s="619"/>
      <c r="S1149" s="617"/>
      <c r="T1149" s="616" t="s">
        <v>221</v>
      </c>
    </row>
    <row r="1150" ht="34.5">
      <c r="A1150" s="616" t="s">
        <v>1247</v>
      </c>
      <c r="B1150" s="616" t="s">
        <v>1248</v>
      </c>
      <c r="C1150" s="616" t="s">
        <v>843</v>
      </c>
      <c r="D1150" s="616" t="s">
        <v>216</v>
      </c>
      <c r="E1150" s="616" t="s">
        <v>945</v>
      </c>
      <c r="F1150" s="617" t="s">
        <v>1202</v>
      </c>
      <c r="G1150" s="616" t="s">
        <v>950</v>
      </c>
      <c r="H1150" s="617"/>
      <c r="I1150" s="617"/>
      <c r="J1150" s="617" t="s">
        <v>964</v>
      </c>
      <c r="K1150" s="618"/>
      <c r="L1150" s="616"/>
      <c r="M1150" s="616"/>
      <c r="N1150" s="617"/>
      <c r="O1150" s="617"/>
      <c r="P1150" s="617"/>
      <c r="Q1150" s="617"/>
      <c r="R1150" s="619"/>
      <c r="S1150" s="617"/>
      <c r="T1150" s="616" t="s">
        <v>221</v>
      </c>
    </row>
    <row r="1151" ht="34.5">
      <c r="A1151" s="616" t="s">
        <v>1247</v>
      </c>
      <c r="B1151" s="616" t="s">
        <v>1248</v>
      </c>
      <c r="C1151" s="616" t="s">
        <v>843</v>
      </c>
      <c r="D1151" s="616" t="s">
        <v>216</v>
      </c>
      <c r="E1151" s="616" t="s">
        <v>945</v>
      </c>
      <c r="F1151" s="617" t="s">
        <v>1202</v>
      </c>
      <c r="G1151" s="616" t="s">
        <v>950</v>
      </c>
      <c r="H1151" s="617"/>
      <c r="I1151" s="617"/>
      <c r="J1151" s="617" t="s">
        <v>965</v>
      </c>
      <c r="K1151" s="618"/>
      <c r="L1151" s="616"/>
      <c r="M1151" s="616"/>
      <c r="N1151" s="617"/>
      <c r="O1151" s="617"/>
      <c r="P1151" s="617"/>
      <c r="Q1151" s="617"/>
      <c r="R1151" s="619"/>
      <c r="S1151" s="617"/>
      <c r="T1151" s="616" t="s">
        <v>221</v>
      </c>
    </row>
    <row r="1152" ht="34.5">
      <c r="A1152" s="616" t="s">
        <v>1247</v>
      </c>
      <c r="B1152" s="616" t="s">
        <v>1248</v>
      </c>
      <c r="C1152" s="616" t="s">
        <v>843</v>
      </c>
      <c r="D1152" s="616" t="s">
        <v>874</v>
      </c>
      <c r="E1152" s="616" t="s">
        <v>945</v>
      </c>
      <c r="F1152" s="617" t="s">
        <v>1202</v>
      </c>
      <c r="G1152" s="616" t="s">
        <v>950</v>
      </c>
      <c r="H1152" s="617"/>
      <c r="I1152" s="617"/>
      <c r="J1152" s="617" t="s">
        <v>875</v>
      </c>
      <c r="K1152" s="618"/>
      <c r="L1152" s="616"/>
      <c r="M1152" s="616"/>
      <c r="N1152" s="617"/>
      <c r="O1152" s="617"/>
      <c r="P1152" s="617"/>
      <c r="Q1152" s="617"/>
      <c r="R1152" s="619"/>
      <c r="S1152" s="617"/>
      <c r="T1152" s="616" t="s">
        <v>221</v>
      </c>
    </row>
    <row r="1153" ht="34.5">
      <c r="A1153" s="616" t="s">
        <v>1247</v>
      </c>
      <c r="B1153" s="616" t="s">
        <v>1248</v>
      </c>
      <c r="C1153" s="616" t="s">
        <v>843</v>
      </c>
      <c r="D1153" s="616" t="s">
        <v>216</v>
      </c>
      <c r="E1153" s="616" t="s">
        <v>945</v>
      </c>
      <c r="F1153" s="617" t="s">
        <v>1202</v>
      </c>
      <c r="G1153" s="616" t="s">
        <v>950</v>
      </c>
      <c r="H1153" s="617"/>
      <c r="I1153" s="617"/>
      <c r="J1153" s="617" t="s">
        <v>968</v>
      </c>
      <c r="K1153" s="618"/>
      <c r="L1153" s="616"/>
      <c r="M1153" s="616"/>
      <c r="N1153" s="617"/>
      <c r="O1153" s="617"/>
      <c r="P1153" s="617"/>
      <c r="Q1153" s="617"/>
      <c r="R1153" s="619"/>
      <c r="S1153" s="617"/>
      <c r="T1153" s="616" t="s">
        <v>221</v>
      </c>
    </row>
    <row r="1154" ht="34.5">
      <c r="A1154" s="616" t="s">
        <v>1247</v>
      </c>
      <c r="B1154" s="616" t="s">
        <v>1248</v>
      </c>
      <c r="C1154" s="616" t="s">
        <v>843</v>
      </c>
      <c r="D1154" s="616" t="s">
        <v>878</v>
      </c>
      <c r="E1154" s="616" t="s">
        <v>945</v>
      </c>
      <c r="F1154" s="617" t="s">
        <v>1202</v>
      </c>
      <c r="G1154" s="616" t="s">
        <v>950</v>
      </c>
      <c r="H1154" s="617"/>
      <c r="I1154" s="617"/>
      <c r="J1154" s="617" t="s">
        <v>881</v>
      </c>
      <c r="K1154" s="618"/>
      <c r="L1154" s="616"/>
      <c r="M1154" s="616"/>
      <c r="N1154" s="617"/>
      <c r="O1154" s="617"/>
      <c r="P1154" s="617"/>
      <c r="Q1154" s="617"/>
      <c r="R1154" s="619"/>
      <c r="S1154" s="617"/>
      <c r="T1154" s="616" t="s">
        <v>221</v>
      </c>
    </row>
    <row r="1155" ht="34.5">
      <c r="A1155" s="616" t="s">
        <v>1247</v>
      </c>
      <c r="B1155" s="616" t="s">
        <v>1248</v>
      </c>
      <c r="C1155" s="616" t="s">
        <v>861</v>
      </c>
      <c r="D1155" s="616" t="s">
        <v>216</v>
      </c>
      <c r="E1155" s="616" t="s">
        <v>945</v>
      </c>
      <c r="F1155" s="617" t="s">
        <v>1202</v>
      </c>
      <c r="G1155" s="616" t="s">
        <v>950</v>
      </c>
      <c r="H1155" s="617"/>
      <c r="I1155" s="617"/>
      <c r="J1155" s="617" t="s">
        <v>973</v>
      </c>
      <c r="K1155" s="618"/>
      <c r="L1155" s="616"/>
      <c r="M1155" s="616"/>
      <c r="N1155" s="617"/>
      <c r="O1155" s="617"/>
      <c r="P1155" s="617"/>
      <c r="Q1155" s="617"/>
      <c r="R1155" s="619"/>
      <c r="S1155" s="617"/>
      <c r="T1155" s="616" t="s">
        <v>221</v>
      </c>
    </row>
    <row r="1156" ht="34.5">
      <c r="A1156" s="616" t="s">
        <v>1247</v>
      </c>
      <c r="B1156" s="616" t="s">
        <v>1248</v>
      </c>
      <c r="C1156" s="616" t="s">
        <v>861</v>
      </c>
      <c r="D1156" s="616" t="s">
        <v>886</v>
      </c>
      <c r="E1156" s="616" t="s">
        <v>945</v>
      </c>
      <c r="F1156" s="617" t="s">
        <v>1202</v>
      </c>
      <c r="G1156" s="616" t="s">
        <v>950</v>
      </c>
      <c r="H1156" s="617"/>
      <c r="I1156" s="617"/>
      <c r="J1156" s="617" t="s">
        <v>890</v>
      </c>
      <c r="K1156" s="618"/>
      <c r="L1156" s="616"/>
      <c r="M1156" s="616"/>
      <c r="N1156" s="617"/>
      <c r="O1156" s="617"/>
      <c r="P1156" s="617"/>
      <c r="Q1156" s="617"/>
      <c r="R1156" s="619"/>
      <c r="S1156" s="617"/>
      <c r="T1156" s="616" t="s">
        <v>221</v>
      </c>
    </row>
    <row r="1157" ht="34.5">
      <c r="A1157" s="616" t="s">
        <v>1247</v>
      </c>
      <c r="B1157" s="616" t="s">
        <v>1248</v>
      </c>
      <c r="C1157" s="616" t="s">
        <v>861</v>
      </c>
      <c r="D1157" s="616" t="s">
        <v>216</v>
      </c>
      <c r="E1157" s="616" t="s">
        <v>945</v>
      </c>
      <c r="F1157" s="617" t="s">
        <v>1202</v>
      </c>
      <c r="G1157" s="616" t="s">
        <v>950</v>
      </c>
      <c r="H1157" s="617"/>
      <c r="I1157" s="617"/>
      <c r="J1157" s="617" t="s">
        <v>1208</v>
      </c>
      <c r="K1157" s="618"/>
      <c r="L1157" s="616"/>
      <c r="M1157" s="616"/>
      <c r="N1157" s="617"/>
      <c r="O1157" s="617"/>
      <c r="P1157" s="617"/>
      <c r="Q1157" s="617"/>
      <c r="R1157" s="619"/>
      <c r="S1157" s="617"/>
      <c r="T1157" s="616" t="s">
        <v>221</v>
      </c>
    </row>
    <row r="1158" ht="34.5">
      <c r="A1158" s="616" t="s">
        <v>1247</v>
      </c>
      <c r="B1158" s="616" t="s">
        <v>1248</v>
      </c>
      <c r="C1158" s="616" t="s">
        <v>861</v>
      </c>
      <c r="D1158" s="616" t="s">
        <v>216</v>
      </c>
      <c r="E1158" s="616" t="s">
        <v>945</v>
      </c>
      <c r="F1158" s="617" t="s">
        <v>1202</v>
      </c>
      <c r="G1158" s="616" t="s">
        <v>950</v>
      </c>
      <c r="H1158" s="617"/>
      <c r="I1158" s="617"/>
      <c r="J1158" s="617" t="s">
        <v>976</v>
      </c>
      <c r="K1158" s="618"/>
      <c r="L1158" s="616"/>
      <c r="M1158" s="616"/>
      <c r="N1158" s="617"/>
      <c r="O1158" s="617"/>
      <c r="P1158" s="617"/>
      <c r="Q1158" s="617"/>
      <c r="R1158" s="619"/>
      <c r="S1158" s="617"/>
      <c r="T1158" s="616" t="s">
        <v>221</v>
      </c>
    </row>
    <row r="1159" ht="34.5">
      <c r="A1159" s="616" t="s">
        <v>1247</v>
      </c>
      <c r="B1159" s="616" t="s">
        <v>1248</v>
      </c>
      <c r="C1159" s="616" t="s">
        <v>861</v>
      </c>
      <c r="D1159" s="616" t="s">
        <v>216</v>
      </c>
      <c r="E1159" s="616" t="s">
        <v>945</v>
      </c>
      <c r="F1159" s="617" t="s">
        <v>1202</v>
      </c>
      <c r="G1159" s="616" t="s">
        <v>950</v>
      </c>
      <c r="H1159" s="617"/>
      <c r="I1159" s="617"/>
      <c r="J1159" s="617" t="s">
        <v>1209</v>
      </c>
      <c r="K1159" s="618"/>
      <c r="L1159" s="616"/>
      <c r="M1159" s="616"/>
      <c r="N1159" s="617"/>
      <c r="O1159" s="617"/>
      <c r="P1159" s="617"/>
      <c r="Q1159" s="617"/>
      <c r="R1159" s="619"/>
      <c r="S1159" s="617"/>
      <c r="T1159" s="616" t="s">
        <v>221</v>
      </c>
    </row>
    <row r="1160" ht="34.5">
      <c r="A1160" s="616" t="s">
        <v>1247</v>
      </c>
      <c r="B1160" s="616" t="s">
        <v>1248</v>
      </c>
      <c r="C1160" s="616" t="s">
        <v>877</v>
      </c>
      <c r="D1160" s="616" t="s">
        <v>216</v>
      </c>
      <c r="E1160" s="616" t="s">
        <v>948</v>
      </c>
      <c r="F1160" s="617" t="s">
        <v>1210</v>
      </c>
      <c r="G1160" s="616" t="s">
        <v>982</v>
      </c>
      <c r="H1160" s="617"/>
      <c r="I1160" s="617"/>
      <c r="J1160" s="617" t="s">
        <v>983</v>
      </c>
      <c r="K1160" s="618"/>
      <c r="L1160" s="616"/>
      <c r="M1160" s="616"/>
      <c r="N1160" s="617"/>
      <c r="O1160" s="617"/>
      <c r="P1160" s="617"/>
      <c r="Q1160" s="617"/>
      <c r="R1160" s="619"/>
      <c r="S1160" s="617"/>
      <c r="T1160" s="616" t="s">
        <v>221</v>
      </c>
    </row>
    <row r="1161" ht="34.5">
      <c r="A1161" s="616" t="s">
        <v>1247</v>
      </c>
      <c r="B1161" s="616" t="s">
        <v>1248</v>
      </c>
      <c r="C1161" s="616" t="s">
        <v>877</v>
      </c>
      <c r="D1161" s="616" t="s">
        <v>899</v>
      </c>
      <c r="E1161" s="616" t="s">
        <v>948</v>
      </c>
      <c r="F1161" s="617" t="s">
        <v>1210</v>
      </c>
      <c r="G1161" s="616" t="s">
        <v>982</v>
      </c>
      <c r="H1161" s="617"/>
      <c r="I1161" s="617"/>
      <c r="J1161" s="617" t="s">
        <v>903</v>
      </c>
      <c r="K1161" s="618"/>
      <c r="L1161" s="616"/>
      <c r="M1161" s="616"/>
      <c r="N1161" s="617"/>
      <c r="O1161" s="617"/>
      <c r="P1161" s="617"/>
      <c r="Q1161" s="617"/>
      <c r="R1161" s="619"/>
      <c r="S1161" s="617"/>
      <c r="T1161" s="616" t="s">
        <v>221</v>
      </c>
    </row>
    <row r="1162" ht="34.5">
      <c r="A1162" s="616" t="s">
        <v>1247</v>
      </c>
      <c r="B1162" s="616" t="s">
        <v>1248</v>
      </c>
      <c r="C1162" s="616" t="s">
        <v>885</v>
      </c>
      <c r="D1162" s="616" t="s">
        <v>216</v>
      </c>
      <c r="E1162" s="616" t="s">
        <v>980</v>
      </c>
      <c r="F1162" s="617" t="s">
        <v>1211</v>
      </c>
      <c r="G1162" s="616" t="s">
        <v>698</v>
      </c>
      <c r="H1162" s="617"/>
      <c r="I1162" s="617"/>
      <c r="J1162" s="617" t="s">
        <v>989</v>
      </c>
      <c r="K1162" s="618"/>
      <c r="L1162" s="616"/>
      <c r="M1162" s="616"/>
      <c r="N1162" s="617"/>
      <c r="O1162" s="617"/>
      <c r="P1162" s="617"/>
      <c r="Q1162" s="617"/>
      <c r="R1162" s="619"/>
      <c r="S1162" s="617"/>
      <c r="T1162" s="616" t="s">
        <v>221</v>
      </c>
    </row>
    <row r="1163" ht="34.5">
      <c r="A1163" s="616" t="s">
        <v>1247</v>
      </c>
      <c r="B1163" s="616" t="s">
        <v>1248</v>
      </c>
      <c r="C1163" s="616" t="s">
        <v>885</v>
      </c>
      <c r="D1163" s="616" t="s">
        <v>904</v>
      </c>
      <c r="E1163" s="616" t="s">
        <v>980</v>
      </c>
      <c r="F1163" s="617" t="s">
        <v>1211</v>
      </c>
      <c r="G1163" s="616" t="s">
        <v>698</v>
      </c>
      <c r="H1163" s="617"/>
      <c r="I1163" s="617"/>
      <c r="J1163" s="617" t="s">
        <v>907</v>
      </c>
      <c r="K1163" s="618"/>
      <c r="L1163" s="616"/>
      <c r="M1163" s="616"/>
      <c r="N1163" s="617"/>
      <c r="O1163" s="617"/>
      <c r="P1163" s="617"/>
      <c r="Q1163" s="617"/>
      <c r="R1163" s="619"/>
      <c r="S1163" s="617"/>
      <c r="T1163" s="616" t="s">
        <v>221</v>
      </c>
    </row>
    <row r="1164" ht="34.5">
      <c r="A1164" s="616" t="s">
        <v>1247</v>
      </c>
      <c r="B1164" s="616" t="s">
        <v>1248</v>
      </c>
      <c r="C1164" s="616" t="s">
        <v>885</v>
      </c>
      <c r="D1164" s="616" t="s">
        <v>216</v>
      </c>
      <c r="E1164" s="616" t="s">
        <v>987</v>
      </c>
      <c r="F1164" s="617" t="s">
        <v>1212</v>
      </c>
      <c r="G1164" s="616" t="s">
        <v>894</v>
      </c>
      <c r="H1164" s="617"/>
      <c r="I1164" s="617"/>
      <c r="J1164" s="617" t="s">
        <v>994</v>
      </c>
      <c r="K1164" s="618"/>
      <c r="L1164" s="616"/>
      <c r="M1164" s="616"/>
      <c r="N1164" s="617"/>
      <c r="O1164" s="617"/>
      <c r="P1164" s="617"/>
      <c r="Q1164" s="617"/>
      <c r="R1164" s="619"/>
      <c r="S1164" s="617"/>
      <c r="T1164" s="616" t="s">
        <v>221</v>
      </c>
    </row>
    <row r="1165" ht="34.5">
      <c r="A1165" s="616" t="s">
        <v>1247</v>
      </c>
      <c r="B1165" s="616" t="s">
        <v>1248</v>
      </c>
      <c r="C1165" s="616" t="s">
        <v>885</v>
      </c>
      <c r="D1165" s="616" t="s">
        <v>910</v>
      </c>
      <c r="E1165" s="616" t="s">
        <v>987</v>
      </c>
      <c r="F1165" s="617" t="s">
        <v>1212</v>
      </c>
      <c r="G1165" s="616" t="s">
        <v>894</v>
      </c>
      <c r="H1165" s="617"/>
      <c r="I1165" s="617"/>
      <c r="J1165" s="617" t="s">
        <v>914</v>
      </c>
      <c r="K1165" s="618"/>
      <c r="L1165" s="616"/>
      <c r="M1165" s="616"/>
      <c r="N1165" s="617"/>
      <c r="O1165" s="617"/>
      <c r="P1165" s="617"/>
      <c r="Q1165" s="617"/>
      <c r="R1165" s="619"/>
      <c r="S1165" s="617"/>
      <c r="T1165" s="616" t="s">
        <v>221</v>
      </c>
    </row>
    <row r="1166" ht="34.5">
      <c r="A1166" s="616" t="s">
        <v>1247</v>
      </c>
      <c r="B1166" s="616" t="s">
        <v>1248</v>
      </c>
      <c r="C1166" s="616" t="s">
        <v>898</v>
      </c>
      <c r="D1166" s="616" t="s">
        <v>216</v>
      </c>
      <c r="E1166" s="616" t="s">
        <v>987</v>
      </c>
      <c r="F1166" s="617" t="s">
        <v>1212</v>
      </c>
      <c r="G1166" s="616" t="s">
        <v>894</v>
      </c>
      <c r="H1166" s="617"/>
      <c r="I1166" s="617"/>
      <c r="J1166" s="617" t="s">
        <v>679</v>
      </c>
      <c r="K1166" s="618"/>
      <c r="L1166" s="616"/>
      <c r="M1166" s="616"/>
      <c r="N1166" s="617"/>
      <c r="O1166" s="617"/>
      <c r="P1166" s="617"/>
      <c r="Q1166" s="617"/>
      <c r="R1166" s="619"/>
      <c r="S1166" s="617"/>
      <c r="T1166" s="616" t="s">
        <v>221</v>
      </c>
    </row>
    <row r="1167" ht="34.5">
      <c r="A1167" s="616" t="s">
        <v>1247</v>
      </c>
      <c r="B1167" s="616" t="s">
        <v>1248</v>
      </c>
      <c r="C1167" s="616" t="s">
        <v>898</v>
      </c>
      <c r="D1167" s="616" t="s">
        <v>216</v>
      </c>
      <c r="E1167" s="616" t="s">
        <v>987</v>
      </c>
      <c r="F1167" s="617" t="s">
        <v>1212</v>
      </c>
      <c r="G1167" s="616" t="s">
        <v>894</v>
      </c>
      <c r="H1167" s="617"/>
      <c r="I1167" s="617"/>
      <c r="J1167" s="617" t="s">
        <v>1336</v>
      </c>
      <c r="K1167" s="618"/>
      <c r="L1167" s="616"/>
      <c r="M1167" s="616"/>
      <c r="N1167" s="617"/>
      <c r="O1167" s="617"/>
      <c r="P1167" s="617"/>
      <c r="Q1167" s="617"/>
      <c r="R1167" s="619"/>
      <c r="S1167" s="617"/>
      <c r="T1167" s="616" t="s">
        <v>221</v>
      </c>
    </row>
    <row r="1168" ht="34.5">
      <c r="A1168" s="616" t="s">
        <v>1247</v>
      </c>
      <c r="B1168" s="616" t="s">
        <v>1248</v>
      </c>
      <c r="C1168" s="616" t="s">
        <v>898</v>
      </c>
      <c r="D1168" s="616" t="s">
        <v>216</v>
      </c>
      <c r="E1168" s="616" t="s">
        <v>987</v>
      </c>
      <c r="F1168" s="617" t="s">
        <v>1212</v>
      </c>
      <c r="G1168" s="616" t="s">
        <v>894</v>
      </c>
      <c r="H1168" s="617"/>
      <c r="I1168" s="617"/>
      <c r="J1168" s="617" t="s">
        <v>1337</v>
      </c>
      <c r="K1168" s="618"/>
      <c r="L1168" s="616"/>
      <c r="M1168" s="616"/>
      <c r="N1168" s="617"/>
      <c r="O1168" s="617"/>
      <c r="P1168" s="617"/>
      <c r="Q1168" s="617"/>
      <c r="R1168" s="619"/>
      <c r="S1168" s="617"/>
      <c r="T1168" s="616" t="s">
        <v>221</v>
      </c>
    </row>
    <row r="1169" ht="34.5">
      <c r="A1169" s="616" t="s">
        <v>1247</v>
      </c>
      <c r="B1169" s="616" t="s">
        <v>1248</v>
      </c>
      <c r="C1169" s="616" t="s">
        <v>898</v>
      </c>
      <c r="D1169" s="616" t="s">
        <v>216</v>
      </c>
      <c r="E1169" s="616" t="s">
        <v>987</v>
      </c>
      <c r="F1169" s="617" t="s">
        <v>1212</v>
      </c>
      <c r="G1169" s="616" t="s">
        <v>894</v>
      </c>
      <c r="H1169" s="617"/>
      <c r="I1169" s="617"/>
      <c r="J1169" s="617" t="s">
        <v>999</v>
      </c>
      <c r="K1169" s="618"/>
      <c r="L1169" s="616"/>
      <c r="M1169" s="616"/>
      <c r="N1169" s="617"/>
      <c r="O1169" s="617"/>
      <c r="P1169" s="617"/>
      <c r="Q1169" s="617"/>
      <c r="R1169" s="619"/>
      <c r="S1169" s="617"/>
      <c r="T1169" s="616" t="s">
        <v>221</v>
      </c>
    </row>
    <row r="1170" ht="34.5">
      <c r="A1170" s="616" t="s">
        <v>1247</v>
      </c>
      <c r="B1170" s="616" t="s">
        <v>1248</v>
      </c>
      <c r="C1170" s="616" t="s">
        <v>898</v>
      </c>
      <c r="D1170" s="616" t="s">
        <v>216</v>
      </c>
      <c r="E1170" s="616" t="s">
        <v>987</v>
      </c>
      <c r="F1170" s="617" t="s">
        <v>1212</v>
      </c>
      <c r="G1170" s="616" t="s">
        <v>894</v>
      </c>
      <c r="H1170" s="617"/>
      <c r="I1170" s="617"/>
      <c r="J1170" s="617" t="s">
        <v>1338</v>
      </c>
      <c r="K1170" s="618"/>
      <c r="L1170" s="616"/>
      <c r="M1170" s="616"/>
      <c r="N1170" s="617"/>
      <c r="O1170" s="617"/>
      <c r="P1170" s="617"/>
      <c r="Q1170" s="617"/>
      <c r="R1170" s="619"/>
      <c r="S1170" s="617"/>
      <c r="T1170" s="616" t="s">
        <v>221</v>
      </c>
    </row>
    <row r="1171" ht="34.5">
      <c r="A1171" s="616" t="s">
        <v>1247</v>
      </c>
      <c r="B1171" s="616" t="s">
        <v>1248</v>
      </c>
      <c r="C1171" s="616" t="s">
        <v>898</v>
      </c>
      <c r="D1171" s="616" t="s">
        <v>932</v>
      </c>
      <c r="E1171" s="616" t="s">
        <v>987</v>
      </c>
      <c r="F1171" s="617" t="s">
        <v>1212</v>
      </c>
      <c r="G1171" s="616" t="s">
        <v>894</v>
      </c>
      <c r="H1171" s="617"/>
      <c r="I1171" s="617"/>
      <c r="J1171" s="617" t="s">
        <v>933</v>
      </c>
      <c r="K1171" s="618"/>
      <c r="L1171" s="616"/>
      <c r="M1171" s="616"/>
      <c r="N1171" s="617"/>
      <c r="O1171" s="617"/>
      <c r="P1171" s="617"/>
      <c r="Q1171" s="617"/>
      <c r="R1171" s="619"/>
      <c r="S1171" s="617"/>
      <c r="T1171" s="616" t="s">
        <v>221</v>
      </c>
    </row>
    <row r="1172" ht="34.5">
      <c r="A1172" s="616" t="s">
        <v>1247</v>
      </c>
      <c r="B1172" s="616" t="s">
        <v>1248</v>
      </c>
      <c r="C1172" s="616" t="s">
        <v>898</v>
      </c>
      <c r="D1172" s="616" t="s">
        <v>216</v>
      </c>
      <c r="E1172" s="616" t="s">
        <v>987</v>
      </c>
      <c r="F1172" s="617" t="s">
        <v>1212</v>
      </c>
      <c r="G1172" s="616" t="s">
        <v>894</v>
      </c>
      <c r="H1172" s="617"/>
      <c r="I1172" s="617"/>
      <c r="J1172" s="617" t="s">
        <v>1339</v>
      </c>
      <c r="K1172" s="618"/>
      <c r="L1172" s="616"/>
      <c r="M1172" s="616"/>
      <c r="N1172" s="617"/>
      <c r="O1172" s="617"/>
      <c r="P1172" s="617"/>
      <c r="Q1172" s="617"/>
      <c r="R1172" s="619"/>
      <c r="S1172" s="617"/>
      <c r="T1172" s="616" t="s">
        <v>221</v>
      </c>
    </row>
    <row r="1173" ht="34.5">
      <c r="A1173" s="616" t="s">
        <v>1247</v>
      </c>
      <c r="B1173" s="616" t="s">
        <v>1248</v>
      </c>
      <c r="C1173" s="616" t="s">
        <v>898</v>
      </c>
      <c r="D1173" s="616" t="s">
        <v>940</v>
      </c>
      <c r="E1173" s="616" t="s">
        <v>987</v>
      </c>
      <c r="F1173" s="617" t="s">
        <v>1212</v>
      </c>
      <c r="G1173" s="616" t="s">
        <v>894</v>
      </c>
      <c r="H1173" s="617"/>
      <c r="I1173" s="617"/>
      <c r="J1173" s="617" t="s">
        <v>941</v>
      </c>
      <c r="K1173" s="618"/>
      <c r="L1173" s="616"/>
      <c r="M1173" s="616"/>
      <c r="N1173" s="617"/>
      <c r="O1173" s="617"/>
      <c r="P1173" s="617"/>
      <c r="Q1173" s="617"/>
      <c r="R1173" s="619"/>
      <c r="S1173" s="617"/>
      <c r="T1173" s="616" t="s">
        <v>221</v>
      </c>
    </row>
    <row r="1174" ht="34.5">
      <c r="A1174" s="616" t="s">
        <v>1247</v>
      </c>
      <c r="B1174" s="616" t="s">
        <v>1248</v>
      </c>
      <c r="C1174" s="616" t="s">
        <v>898</v>
      </c>
      <c r="D1174" s="616" t="s">
        <v>216</v>
      </c>
      <c r="E1174" s="616" t="s">
        <v>987</v>
      </c>
      <c r="F1174" s="617" t="s">
        <v>1212</v>
      </c>
      <c r="G1174" s="616" t="s">
        <v>894</v>
      </c>
      <c r="H1174" s="617"/>
      <c r="I1174" s="617"/>
      <c r="J1174" s="617" t="s">
        <v>1004</v>
      </c>
      <c r="K1174" s="618"/>
      <c r="L1174" s="616"/>
      <c r="M1174" s="616"/>
      <c r="N1174" s="617"/>
      <c r="O1174" s="617"/>
      <c r="P1174" s="617"/>
      <c r="Q1174" s="617"/>
      <c r="R1174" s="619"/>
      <c r="S1174" s="617"/>
      <c r="T1174" s="616" t="s">
        <v>221</v>
      </c>
    </row>
    <row r="1175" ht="34.5">
      <c r="A1175" s="616" t="s">
        <v>1247</v>
      </c>
      <c r="B1175" s="616" t="s">
        <v>1248</v>
      </c>
      <c r="C1175" s="616" t="s">
        <v>898</v>
      </c>
      <c r="D1175" s="616" t="s">
        <v>944</v>
      </c>
      <c r="E1175" s="616" t="s">
        <v>987</v>
      </c>
      <c r="F1175" s="617" t="s">
        <v>1212</v>
      </c>
      <c r="G1175" s="616" t="s">
        <v>894</v>
      </c>
      <c r="H1175" s="617"/>
      <c r="I1175" s="617"/>
      <c r="J1175" s="617" t="s">
        <v>947</v>
      </c>
      <c r="K1175" s="618"/>
      <c r="L1175" s="616"/>
      <c r="M1175" s="616"/>
      <c r="N1175" s="617"/>
      <c r="O1175" s="617"/>
      <c r="P1175" s="617"/>
      <c r="Q1175" s="617"/>
      <c r="R1175" s="619"/>
      <c r="S1175" s="617"/>
      <c r="T1175" s="616" t="s">
        <v>221</v>
      </c>
    </row>
    <row r="1176" ht="34.5">
      <c r="A1176" s="616" t="s">
        <v>1247</v>
      </c>
      <c r="B1176" s="616" t="s">
        <v>1248</v>
      </c>
      <c r="C1176" s="616" t="s">
        <v>898</v>
      </c>
      <c r="D1176" s="616" t="s">
        <v>956</v>
      </c>
      <c r="E1176" s="616" t="s">
        <v>987</v>
      </c>
      <c r="F1176" s="617" t="s">
        <v>1212</v>
      </c>
      <c r="G1176" s="616" t="s">
        <v>894</v>
      </c>
      <c r="H1176" s="617"/>
      <c r="I1176" s="617"/>
      <c r="J1176" s="617" t="s">
        <v>957</v>
      </c>
      <c r="K1176" s="618"/>
      <c r="L1176" s="616"/>
      <c r="M1176" s="616"/>
      <c r="N1176" s="617"/>
      <c r="O1176" s="617"/>
      <c r="P1176" s="617"/>
      <c r="Q1176" s="617"/>
      <c r="R1176" s="619"/>
      <c r="S1176" s="617"/>
      <c r="T1176" s="616" t="s">
        <v>221</v>
      </c>
    </row>
    <row r="1177" ht="34.5">
      <c r="A1177" s="616" t="s">
        <v>1247</v>
      </c>
      <c r="B1177" s="616" t="s">
        <v>1248</v>
      </c>
      <c r="C1177" s="616" t="s">
        <v>898</v>
      </c>
      <c r="D1177" s="616" t="s">
        <v>216</v>
      </c>
      <c r="E1177" s="616" t="s">
        <v>987</v>
      </c>
      <c r="F1177" s="617" t="s">
        <v>1212</v>
      </c>
      <c r="G1177" s="616" t="s">
        <v>894</v>
      </c>
      <c r="H1177" s="617"/>
      <c r="I1177" s="617"/>
      <c r="J1177" s="617" t="s">
        <v>1340</v>
      </c>
      <c r="K1177" s="618">
        <v>137261861</v>
      </c>
      <c r="L1177" s="616" t="s">
        <v>611</v>
      </c>
      <c r="M1177" s="616"/>
      <c r="N1177" s="617"/>
      <c r="O1177" s="617"/>
      <c r="P1177" s="617"/>
      <c r="Q1177" s="617"/>
      <c r="R1177" s="619"/>
      <c r="S1177" s="617"/>
      <c r="T1177" s="616" t="s">
        <v>221</v>
      </c>
    </row>
    <row r="1178" ht="34.5">
      <c r="A1178" s="616" t="s">
        <v>1247</v>
      </c>
      <c r="B1178" s="616" t="s">
        <v>1248</v>
      </c>
      <c r="C1178" s="616" t="s">
        <v>898</v>
      </c>
      <c r="D1178" s="616" t="s">
        <v>216</v>
      </c>
      <c r="E1178" s="616" t="s">
        <v>987</v>
      </c>
      <c r="F1178" s="617" t="s">
        <v>1212</v>
      </c>
      <c r="G1178" s="616" t="s">
        <v>894</v>
      </c>
      <c r="H1178" s="617"/>
      <c r="I1178" s="617"/>
      <c r="J1178" s="617" t="s">
        <v>1010</v>
      </c>
      <c r="K1178" s="618"/>
      <c r="L1178" s="616"/>
      <c r="M1178" s="616"/>
      <c r="N1178" s="617"/>
      <c r="O1178" s="617"/>
      <c r="P1178" s="617"/>
      <c r="Q1178" s="617"/>
      <c r="R1178" s="619"/>
      <c r="S1178" s="617"/>
      <c r="T1178" s="616" t="s">
        <v>221</v>
      </c>
    </row>
    <row r="1179" ht="34.5">
      <c r="A1179" s="616" t="s">
        <v>1247</v>
      </c>
      <c r="B1179" s="616" t="s">
        <v>1248</v>
      </c>
      <c r="C1179" s="616" t="s">
        <v>909</v>
      </c>
      <c r="D1179" s="616" t="s">
        <v>216</v>
      </c>
      <c r="E1179" s="616" t="s">
        <v>987</v>
      </c>
      <c r="F1179" s="617" t="s">
        <v>1212</v>
      </c>
      <c r="G1179" s="616" t="s">
        <v>894</v>
      </c>
      <c r="H1179" s="617"/>
      <c r="I1179" s="617"/>
      <c r="J1179" s="617" t="s">
        <v>1214</v>
      </c>
      <c r="K1179" s="618"/>
      <c r="L1179" s="616"/>
      <c r="M1179" s="616"/>
      <c r="N1179" s="617"/>
      <c r="O1179" s="617"/>
      <c r="P1179" s="617"/>
      <c r="Q1179" s="617"/>
      <c r="R1179" s="619"/>
      <c r="S1179" s="617"/>
      <c r="T1179" s="616" t="s">
        <v>221</v>
      </c>
    </row>
    <row r="1180" ht="34.5">
      <c r="A1180" s="616" t="s">
        <v>1247</v>
      </c>
      <c r="B1180" s="616" t="s">
        <v>1248</v>
      </c>
      <c r="C1180" s="616" t="s">
        <v>909</v>
      </c>
      <c r="D1180" s="616" t="s">
        <v>216</v>
      </c>
      <c r="E1180" s="616" t="s">
        <v>987</v>
      </c>
      <c r="F1180" s="617" t="s">
        <v>1212</v>
      </c>
      <c r="G1180" s="616" t="s">
        <v>894</v>
      </c>
      <c r="H1180" s="617"/>
      <c r="I1180" s="617"/>
      <c r="J1180" s="617" t="s">
        <v>1013</v>
      </c>
      <c r="K1180" s="618"/>
      <c r="L1180" s="616"/>
      <c r="M1180" s="616"/>
      <c r="N1180" s="617"/>
      <c r="O1180" s="617"/>
      <c r="P1180" s="617"/>
      <c r="Q1180" s="617"/>
      <c r="R1180" s="619"/>
      <c r="S1180" s="617"/>
      <c r="T1180" s="616" t="s">
        <v>221</v>
      </c>
    </row>
    <row r="1181" ht="34.5">
      <c r="A1181" s="616" t="s">
        <v>1247</v>
      </c>
      <c r="B1181" s="616" t="s">
        <v>1248</v>
      </c>
      <c r="C1181" s="616" t="s">
        <v>909</v>
      </c>
      <c r="D1181" s="616" t="s">
        <v>216</v>
      </c>
      <c r="E1181" s="616" t="s">
        <v>987</v>
      </c>
      <c r="F1181" s="617" t="s">
        <v>1212</v>
      </c>
      <c r="G1181" s="616" t="s">
        <v>894</v>
      </c>
      <c r="H1181" s="617"/>
      <c r="I1181" s="617"/>
      <c r="J1181" s="617" t="s">
        <v>1014</v>
      </c>
      <c r="K1181" s="618"/>
      <c r="L1181" s="616"/>
      <c r="M1181" s="616"/>
      <c r="N1181" s="617"/>
      <c r="O1181" s="617"/>
      <c r="P1181" s="617"/>
      <c r="Q1181" s="617"/>
      <c r="R1181" s="619"/>
      <c r="S1181" s="617"/>
      <c r="T1181" s="616" t="s">
        <v>221</v>
      </c>
    </row>
    <row r="1182" ht="34.5">
      <c r="A1182" s="616" t="s">
        <v>1247</v>
      </c>
      <c r="B1182" s="616" t="s">
        <v>1248</v>
      </c>
      <c r="C1182" s="616" t="s">
        <v>909</v>
      </c>
      <c r="D1182" s="616" t="s">
        <v>216</v>
      </c>
      <c r="E1182" s="616" t="s">
        <v>987</v>
      </c>
      <c r="F1182" s="617" t="s">
        <v>1212</v>
      </c>
      <c r="G1182" s="616" t="s">
        <v>894</v>
      </c>
      <c r="H1182" s="617"/>
      <c r="I1182" s="617"/>
      <c r="J1182" s="617" t="s">
        <v>1341</v>
      </c>
      <c r="K1182" s="618">
        <v>87863198</v>
      </c>
      <c r="L1182" s="616" t="s">
        <v>611</v>
      </c>
      <c r="M1182" s="616"/>
      <c r="N1182" s="617"/>
      <c r="O1182" s="617"/>
      <c r="P1182" s="617"/>
      <c r="Q1182" s="617"/>
      <c r="R1182" s="619"/>
      <c r="S1182" s="617"/>
      <c r="T1182" s="616" t="s">
        <v>221</v>
      </c>
    </row>
    <row r="1183" ht="34.5">
      <c r="A1183" s="616" t="s">
        <v>1247</v>
      </c>
      <c r="B1183" s="616" t="s">
        <v>1248</v>
      </c>
      <c r="C1183" s="616" t="s">
        <v>909</v>
      </c>
      <c r="D1183" s="616" t="s">
        <v>216</v>
      </c>
      <c r="E1183" s="616" t="s">
        <v>987</v>
      </c>
      <c r="F1183" s="617" t="s">
        <v>1212</v>
      </c>
      <c r="G1183" s="616" t="s">
        <v>894</v>
      </c>
      <c r="H1183" s="617"/>
      <c r="I1183" s="617"/>
      <c r="J1183" s="617" t="s">
        <v>1216</v>
      </c>
      <c r="K1183" s="618"/>
      <c r="L1183" s="616"/>
      <c r="M1183" s="616"/>
      <c r="N1183" s="617"/>
      <c r="O1183" s="617"/>
      <c r="P1183" s="617"/>
      <c r="Q1183" s="617"/>
      <c r="R1183" s="619"/>
      <c r="S1183" s="617"/>
      <c r="T1183" s="616" t="s">
        <v>221</v>
      </c>
    </row>
    <row r="1184" ht="34.5">
      <c r="A1184" s="616" t="s">
        <v>1247</v>
      </c>
      <c r="B1184" s="616" t="s">
        <v>1248</v>
      </c>
      <c r="C1184" s="616" t="s">
        <v>909</v>
      </c>
      <c r="D1184" s="616" t="s">
        <v>216</v>
      </c>
      <c r="E1184" s="616" t="s">
        <v>987</v>
      </c>
      <c r="F1184" s="617" t="s">
        <v>1212</v>
      </c>
      <c r="G1184" s="616" t="s">
        <v>894</v>
      </c>
      <c r="H1184" s="617"/>
      <c r="I1184" s="617"/>
      <c r="J1184" s="617" t="s">
        <v>1217</v>
      </c>
      <c r="K1184" s="618"/>
      <c r="L1184" s="616"/>
      <c r="M1184" s="616"/>
      <c r="N1184" s="617"/>
      <c r="O1184" s="617"/>
      <c r="P1184" s="617"/>
      <c r="Q1184" s="617"/>
      <c r="R1184" s="619"/>
      <c r="S1184" s="617"/>
      <c r="T1184" s="616" t="s">
        <v>221</v>
      </c>
    </row>
    <row r="1185" ht="34.5">
      <c r="A1185" s="616" t="s">
        <v>1247</v>
      </c>
      <c r="B1185" s="616" t="s">
        <v>1248</v>
      </c>
      <c r="C1185" s="616" t="s">
        <v>909</v>
      </c>
      <c r="D1185" s="616" t="s">
        <v>216</v>
      </c>
      <c r="E1185" s="616" t="s">
        <v>987</v>
      </c>
      <c r="F1185" s="617" t="s">
        <v>1212</v>
      </c>
      <c r="G1185" s="616" t="s">
        <v>894</v>
      </c>
      <c r="H1185" s="617"/>
      <c r="I1185" s="617"/>
      <c r="J1185" s="617" t="s">
        <v>1020</v>
      </c>
      <c r="K1185" s="618"/>
      <c r="L1185" s="616"/>
      <c r="M1185" s="616"/>
      <c r="N1185" s="617"/>
      <c r="O1185" s="617"/>
      <c r="P1185" s="617"/>
      <c r="Q1185" s="617"/>
      <c r="R1185" s="619"/>
      <c r="S1185" s="617"/>
      <c r="T1185" s="616" t="s">
        <v>221</v>
      </c>
    </row>
    <row r="1186" ht="34.5">
      <c r="A1186" s="616" t="s">
        <v>1247</v>
      </c>
      <c r="B1186" s="616" t="s">
        <v>1248</v>
      </c>
      <c r="C1186" s="616" t="s">
        <v>909</v>
      </c>
      <c r="D1186" s="616" t="s">
        <v>962</v>
      </c>
      <c r="E1186" s="616" t="s">
        <v>987</v>
      </c>
      <c r="F1186" s="617" t="s">
        <v>1212</v>
      </c>
      <c r="G1186" s="616" t="s">
        <v>894</v>
      </c>
      <c r="H1186" s="617"/>
      <c r="I1186" s="617"/>
      <c r="J1186" s="617" t="s">
        <v>1342</v>
      </c>
      <c r="K1186" s="618"/>
      <c r="L1186" s="616"/>
      <c r="M1186" s="616"/>
      <c r="N1186" s="617"/>
      <c r="O1186" s="617"/>
      <c r="P1186" s="617"/>
      <c r="Q1186" s="617"/>
      <c r="R1186" s="619"/>
      <c r="S1186" s="617"/>
      <c r="T1186" s="616" t="s">
        <v>221</v>
      </c>
    </row>
    <row r="1187" ht="34.5">
      <c r="A1187" s="616" t="s">
        <v>1247</v>
      </c>
      <c r="B1187" s="616" t="s">
        <v>1248</v>
      </c>
      <c r="C1187" s="616" t="s">
        <v>909</v>
      </c>
      <c r="D1187" s="616" t="s">
        <v>216</v>
      </c>
      <c r="E1187" s="616" t="s">
        <v>987</v>
      </c>
      <c r="F1187" s="617" t="s">
        <v>1212</v>
      </c>
      <c r="G1187" s="616" t="s">
        <v>894</v>
      </c>
      <c r="H1187" s="617"/>
      <c r="I1187" s="617"/>
      <c r="J1187" s="617" t="s">
        <v>1017</v>
      </c>
      <c r="K1187" s="618"/>
      <c r="L1187" s="616"/>
      <c r="M1187" s="616"/>
      <c r="N1187" s="617"/>
      <c r="O1187" s="617"/>
      <c r="P1187" s="617"/>
      <c r="Q1187" s="617"/>
      <c r="R1187" s="619"/>
      <c r="S1187" s="617"/>
      <c r="T1187" s="616" t="s">
        <v>221</v>
      </c>
    </row>
    <row r="1188" ht="34.5">
      <c r="A1188" s="616" t="s">
        <v>1247</v>
      </c>
      <c r="B1188" s="616" t="s">
        <v>1248</v>
      </c>
      <c r="C1188" s="616" t="s">
        <v>927</v>
      </c>
      <c r="D1188" s="616" t="s">
        <v>216</v>
      </c>
      <c r="E1188" s="616" t="s">
        <v>987</v>
      </c>
      <c r="F1188" s="617" t="s">
        <v>1212</v>
      </c>
      <c r="G1188" s="616" t="s">
        <v>894</v>
      </c>
      <c r="H1188" s="617"/>
      <c r="I1188" s="617"/>
      <c r="J1188" s="617" t="s">
        <v>1023</v>
      </c>
      <c r="K1188" s="618"/>
      <c r="L1188" s="616"/>
      <c r="M1188" s="616"/>
      <c r="N1188" s="617"/>
      <c r="O1188" s="617"/>
      <c r="P1188" s="617"/>
      <c r="Q1188" s="617"/>
      <c r="R1188" s="619"/>
      <c r="S1188" s="617"/>
      <c r="T1188" s="616" t="s">
        <v>221</v>
      </c>
    </row>
    <row r="1189" ht="34.5">
      <c r="A1189" s="616" t="s">
        <v>1247</v>
      </c>
      <c r="B1189" s="616" t="s">
        <v>1248</v>
      </c>
      <c r="C1189" s="616" t="s">
        <v>927</v>
      </c>
      <c r="D1189" s="616" t="s">
        <v>216</v>
      </c>
      <c r="E1189" s="616" t="s">
        <v>987</v>
      </c>
      <c r="F1189" s="617" t="s">
        <v>1212</v>
      </c>
      <c r="G1189" s="616" t="s">
        <v>894</v>
      </c>
      <c r="H1189" s="617"/>
      <c r="I1189" s="617"/>
      <c r="J1189" s="617" t="s">
        <v>1024</v>
      </c>
      <c r="K1189" s="618"/>
      <c r="L1189" s="616"/>
      <c r="M1189" s="616"/>
      <c r="N1189" s="617"/>
      <c r="O1189" s="617"/>
      <c r="P1189" s="617"/>
      <c r="Q1189" s="617"/>
      <c r="R1189" s="619"/>
      <c r="S1189" s="617"/>
      <c r="T1189" s="616" t="s">
        <v>221</v>
      </c>
    </row>
    <row r="1190" ht="34.5">
      <c r="A1190" s="616" t="s">
        <v>1247</v>
      </c>
      <c r="B1190" s="616" t="s">
        <v>1248</v>
      </c>
      <c r="C1190" s="616" t="s">
        <v>927</v>
      </c>
      <c r="D1190" s="616" t="s">
        <v>216</v>
      </c>
      <c r="E1190" s="616" t="s">
        <v>987</v>
      </c>
      <c r="F1190" s="617" t="s">
        <v>1212</v>
      </c>
      <c r="G1190" s="616" t="s">
        <v>894</v>
      </c>
      <c r="H1190" s="617"/>
      <c r="I1190" s="617"/>
      <c r="J1190" s="617" t="s">
        <v>1219</v>
      </c>
      <c r="K1190" s="618"/>
      <c r="L1190" s="616"/>
      <c r="M1190" s="616"/>
      <c r="N1190" s="617"/>
      <c r="O1190" s="617"/>
      <c r="P1190" s="617"/>
      <c r="Q1190" s="617"/>
      <c r="R1190" s="619"/>
      <c r="S1190" s="617"/>
      <c r="T1190" s="616" t="s">
        <v>221</v>
      </c>
    </row>
    <row r="1191" ht="34.5">
      <c r="A1191" s="616" t="s">
        <v>1247</v>
      </c>
      <c r="B1191" s="616" t="s">
        <v>1248</v>
      </c>
      <c r="C1191" s="616" t="s">
        <v>927</v>
      </c>
      <c r="D1191" s="616" t="s">
        <v>216</v>
      </c>
      <c r="E1191" s="616" t="s">
        <v>987</v>
      </c>
      <c r="F1191" s="617" t="s">
        <v>1212</v>
      </c>
      <c r="G1191" s="616" t="s">
        <v>894</v>
      </c>
      <c r="H1191" s="617"/>
      <c r="I1191" s="617"/>
      <c r="J1191" s="617" t="s">
        <v>1343</v>
      </c>
      <c r="K1191" s="618">
        <v>19313175</v>
      </c>
      <c r="L1191" s="616" t="s">
        <v>611</v>
      </c>
      <c r="M1191" s="616"/>
      <c r="N1191" s="617"/>
      <c r="O1191" s="617"/>
      <c r="P1191" s="617"/>
      <c r="Q1191" s="617"/>
      <c r="R1191" s="619"/>
      <c r="S1191" s="617"/>
      <c r="T1191" s="616" t="s">
        <v>221</v>
      </c>
    </row>
    <row r="1192" ht="34.5">
      <c r="A1192" s="616" t="s">
        <v>1247</v>
      </c>
      <c r="B1192" s="616" t="s">
        <v>1248</v>
      </c>
      <c r="C1192" s="616" t="s">
        <v>927</v>
      </c>
      <c r="D1192" s="616" t="s">
        <v>216</v>
      </c>
      <c r="E1192" s="616" t="s">
        <v>987</v>
      </c>
      <c r="F1192" s="617" t="s">
        <v>1212</v>
      </c>
      <c r="G1192" s="616" t="s">
        <v>894</v>
      </c>
      <c r="H1192" s="617"/>
      <c r="I1192" s="617"/>
      <c r="J1192" s="617" t="s">
        <v>1029</v>
      </c>
      <c r="K1192" s="618"/>
      <c r="L1192" s="616"/>
      <c r="M1192" s="616"/>
      <c r="N1192" s="617"/>
      <c r="O1192" s="617"/>
      <c r="P1192" s="617"/>
      <c r="Q1192" s="617"/>
      <c r="R1192" s="619"/>
      <c r="S1192" s="617"/>
      <c r="T1192" s="616" t="s">
        <v>221</v>
      </c>
    </row>
    <row r="1193" ht="34.5">
      <c r="A1193" s="616" t="s">
        <v>1247</v>
      </c>
      <c r="B1193" s="616" t="s">
        <v>1248</v>
      </c>
      <c r="C1193" s="616" t="s">
        <v>927</v>
      </c>
      <c r="D1193" s="616" t="s">
        <v>216</v>
      </c>
      <c r="E1193" s="616" t="s">
        <v>987</v>
      </c>
      <c r="F1193" s="617" t="s">
        <v>1212</v>
      </c>
      <c r="G1193" s="616" t="s">
        <v>894</v>
      </c>
      <c r="H1193" s="617"/>
      <c r="I1193" s="617"/>
      <c r="J1193" s="617" t="s">
        <v>1030</v>
      </c>
      <c r="K1193" s="618"/>
      <c r="L1193" s="616"/>
      <c r="M1193" s="616"/>
      <c r="N1193" s="617"/>
      <c r="O1193" s="617"/>
      <c r="P1193" s="617"/>
      <c r="Q1193" s="617"/>
      <c r="R1193" s="619"/>
      <c r="S1193" s="617"/>
      <c r="T1193" s="616" t="s">
        <v>221</v>
      </c>
    </row>
    <row r="1194" ht="34.5">
      <c r="A1194" s="616" t="s">
        <v>1247</v>
      </c>
      <c r="B1194" s="616" t="s">
        <v>1248</v>
      </c>
      <c r="C1194" s="616" t="s">
        <v>927</v>
      </c>
      <c r="D1194" s="616" t="s">
        <v>216</v>
      </c>
      <c r="E1194" s="616" t="s">
        <v>987</v>
      </c>
      <c r="F1194" s="617" t="s">
        <v>1212</v>
      </c>
      <c r="G1194" s="616" t="s">
        <v>894</v>
      </c>
      <c r="H1194" s="617"/>
      <c r="I1194" s="617"/>
      <c r="J1194" s="617" t="s">
        <v>1031</v>
      </c>
      <c r="K1194" s="618"/>
      <c r="L1194" s="616"/>
      <c r="M1194" s="616"/>
      <c r="N1194" s="617"/>
      <c r="O1194" s="617"/>
      <c r="P1194" s="617"/>
      <c r="Q1194" s="617"/>
      <c r="R1194" s="619"/>
      <c r="S1194" s="617"/>
      <c r="T1194" s="616" t="s">
        <v>221</v>
      </c>
    </row>
    <row r="1195" ht="34.5">
      <c r="A1195" s="616" t="s">
        <v>1247</v>
      </c>
      <c r="B1195" s="616" t="s">
        <v>1248</v>
      </c>
      <c r="C1195" s="616" t="s">
        <v>927</v>
      </c>
      <c r="D1195" s="616" t="s">
        <v>216</v>
      </c>
      <c r="E1195" s="616" t="s">
        <v>987</v>
      </c>
      <c r="F1195" s="617" t="s">
        <v>1212</v>
      </c>
      <c r="G1195" s="616" t="s">
        <v>894</v>
      </c>
      <c r="H1195" s="617"/>
      <c r="I1195" s="617"/>
      <c r="J1195" s="617" t="s">
        <v>1032</v>
      </c>
      <c r="K1195" s="618"/>
      <c r="L1195" s="616"/>
      <c r="M1195" s="616"/>
      <c r="N1195" s="617"/>
      <c r="O1195" s="617"/>
      <c r="P1195" s="617"/>
      <c r="Q1195" s="617"/>
      <c r="R1195" s="619"/>
      <c r="S1195" s="617"/>
      <c r="T1195" s="616" t="s">
        <v>221</v>
      </c>
    </row>
    <row r="1196" ht="34.5">
      <c r="A1196" s="616" t="s">
        <v>1247</v>
      </c>
      <c r="B1196" s="616" t="s">
        <v>1248</v>
      </c>
      <c r="C1196" s="616" t="s">
        <v>927</v>
      </c>
      <c r="D1196" s="616" t="s">
        <v>216</v>
      </c>
      <c r="E1196" s="616" t="s">
        <v>987</v>
      </c>
      <c r="F1196" s="617" t="s">
        <v>1212</v>
      </c>
      <c r="G1196" s="616" t="s">
        <v>894</v>
      </c>
      <c r="H1196" s="617"/>
      <c r="I1196" s="617"/>
      <c r="J1196" s="617" t="s">
        <v>1033</v>
      </c>
      <c r="K1196" s="618"/>
      <c r="L1196" s="616"/>
      <c r="M1196" s="616"/>
      <c r="N1196" s="617"/>
      <c r="O1196" s="617"/>
      <c r="P1196" s="617"/>
      <c r="Q1196" s="617"/>
      <c r="R1196" s="619"/>
      <c r="S1196" s="617"/>
      <c r="T1196" s="616" t="s">
        <v>221</v>
      </c>
    </row>
    <row r="1197" ht="34.5">
      <c r="A1197" s="616" t="s">
        <v>1247</v>
      </c>
      <c r="B1197" s="616" t="s">
        <v>1248</v>
      </c>
      <c r="C1197" s="616" t="s">
        <v>927</v>
      </c>
      <c r="D1197" s="616" t="s">
        <v>216</v>
      </c>
      <c r="E1197" s="616" t="s">
        <v>987</v>
      </c>
      <c r="F1197" s="617" t="s">
        <v>1212</v>
      </c>
      <c r="G1197" s="616" t="s">
        <v>894</v>
      </c>
      <c r="H1197" s="617"/>
      <c r="I1197" s="617"/>
      <c r="J1197" s="617" t="s">
        <v>1034</v>
      </c>
      <c r="K1197" s="618"/>
      <c r="L1197" s="616"/>
      <c r="M1197" s="616"/>
      <c r="N1197" s="617"/>
      <c r="O1197" s="617"/>
      <c r="P1197" s="617"/>
      <c r="Q1197" s="617"/>
      <c r="R1197" s="619"/>
      <c r="S1197" s="617"/>
      <c r="T1197" s="616" t="s">
        <v>221</v>
      </c>
    </row>
    <row r="1198" ht="34.5">
      <c r="A1198" s="616" t="s">
        <v>1247</v>
      </c>
      <c r="B1198" s="616" t="s">
        <v>1248</v>
      </c>
      <c r="C1198" s="616" t="s">
        <v>927</v>
      </c>
      <c r="D1198" s="616" t="s">
        <v>216</v>
      </c>
      <c r="E1198" s="616" t="s">
        <v>987</v>
      </c>
      <c r="F1198" s="617" t="s">
        <v>1212</v>
      </c>
      <c r="G1198" s="616" t="s">
        <v>894</v>
      </c>
      <c r="H1198" s="617"/>
      <c r="I1198" s="617"/>
      <c r="J1198" s="617" t="s">
        <v>1035</v>
      </c>
      <c r="K1198" s="618"/>
      <c r="L1198" s="616"/>
      <c r="M1198" s="616"/>
      <c r="N1198" s="617"/>
      <c r="O1198" s="617"/>
      <c r="P1198" s="617"/>
      <c r="Q1198" s="617"/>
      <c r="R1198" s="619"/>
      <c r="S1198" s="617"/>
      <c r="T1198" s="616" t="s">
        <v>221</v>
      </c>
    </row>
    <row r="1199" ht="34.5">
      <c r="A1199" s="616" t="s">
        <v>1247</v>
      </c>
      <c r="B1199" s="616" t="s">
        <v>1248</v>
      </c>
      <c r="C1199" s="616" t="s">
        <v>927</v>
      </c>
      <c r="D1199" s="616" t="s">
        <v>216</v>
      </c>
      <c r="E1199" s="616" t="s">
        <v>987</v>
      </c>
      <c r="F1199" s="617" t="s">
        <v>1212</v>
      </c>
      <c r="G1199" s="616" t="s">
        <v>894</v>
      </c>
      <c r="H1199" s="617"/>
      <c r="I1199" s="617"/>
      <c r="J1199" s="617" t="s">
        <v>1036</v>
      </c>
      <c r="K1199" s="618"/>
      <c r="L1199" s="616"/>
      <c r="M1199" s="616"/>
      <c r="N1199" s="617"/>
      <c r="O1199" s="617"/>
      <c r="P1199" s="617"/>
      <c r="Q1199" s="617"/>
      <c r="R1199" s="619"/>
      <c r="S1199" s="617"/>
      <c r="T1199" s="616" t="s">
        <v>221</v>
      </c>
    </row>
    <row r="1200" ht="34.5">
      <c r="A1200" s="616" t="s">
        <v>1247</v>
      </c>
      <c r="B1200" s="616" t="s">
        <v>1248</v>
      </c>
      <c r="C1200" s="616" t="s">
        <v>943</v>
      </c>
      <c r="D1200" s="616" t="s">
        <v>216</v>
      </c>
      <c r="E1200" s="616" t="s">
        <v>987</v>
      </c>
      <c r="F1200" s="617" t="s">
        <v>1212</v>
      </c>
      <c r="G1200" s="616" t="s">
        <v>894</v>
      </c>
      <c r="H1200" s="617"/>
      <c r="I1200" s="617"/>
      <c r="J1200" s="617" t="s">
        <v>1037</v>
      </c>
      <c r="K1200" s="618"/>
      <c r="L1200" s="616"/>
      <c r="M1200" s="616"/>
      <c r="N1200" s="617"/>
      <c r="O1200" s="617"/>
      <c r="P1200" s="617"/>
      <c r="Q1200" s="617"/>
      <c r="R1200" s="619"/>
      <c r="S1200" s="617"/>
      <c r="T1200" s="616" t="s">
        <v>221</v>
      </c>
    </row>
    <row r="1201" ht="34.5">
      <c r="A1201" s="616" t="s">
        <v>1247</v>
      </c>
      <c r="B1201" s="616" t="s">
        <v>1248</v>
      </c>
      <c r="C1201" s="616" t="s">
        <v>943</v>
      </c>
      <c r="D1201" s="616" t="s">
        <v>216</v>
      </c>
      <c r="E1201" s="616" t="s">
        <v>987</v>
      </c>
      <c r="F1201" s="617" t="s">
        <v>1212</v>
      </c>
      <c r="G1201" s="616" t="s">
        <v>894</v>
      </c>
      <c r="H1201" s="617"/>
      <c r="I1201" s="617"/>
      <c r="J1201" s="617" t="s">
        <v>1038</v>
      </c>
      <c r="K1201" s="618"/>
      <c r="L1201" s="616"/>
      <c r="M1201" s="616"/>
      <c r="N1201" s="617"/>
      <c r="O1201" s="617"/>
      <c r="P1201" s="617"/>
      <c r="Q1201" s="617"/>
      <c r="R1201" s="619"/>
      <c r="S1201" s="617"/>
      <c r="T1201" s="616" t="s">
        <v>221</v>
      </c>
    </row>
    <row r="1202" ht="34.5">
      <c r="A1202" s="616" t="s">
        <v>1247</v>
      </c>
      <c r="B1202" s="616" t="s">
        <v>1248</v>
      </c>
      <c r="C1202" s="616" t="s">
        <v>943</v>
      </c>
      <c r="D1202" s="616" t="s">
        <v>216</v>
      </c>
      <c r="E1202" s="616" t="s">
        <v>987</v>
      </c>
      <c r="F1202" s="617" t="s">
        <v>1212</v>
      </c>
      <c r="G1202" s="616" t="s">
        <v>894</v>
      </c>
      <c r="H1202" s="617"/>
      <c r="I1202" s="617"/>
      <c r="J1202" s="617" t="s">
        <v>1344</v>
      </c>
      <c r="K1202" s="618"/>
      <c r="L1202" s="616"/>
      <c r="M1202" s="616"/>
      <c r="N1202" s="617"/>
      <c r="O1202" s="617"/>
      <c r="P1202" s="617"/>
      <c r="Q1202" s="617"/>
      <c r="R1202" s="619"/>
      <c r="S1202" s="617"/>
      <c r="T1202" s="616" t="s">
        <v>221</v>
      </c>
    </row>
    <row r="1203" ht="34.5">
      <c r="A1203" s="616" t="s">
        <v>1247</v>
      </c>
      <c r="B1203" s="616" t="s">
        <v>1248</v>
      </c>
      <c r="C1203" s="616" t="s">
        <v>943</v>
      </c>
      <c r="D1203" s="616" t="s">
        <v>216</v>
      </c>
      <c r="E1203" s="616" t="s">
        <v>987</v>
      </c>
      <c r="F1203" s="617" t="s">
        <v>1212</v>
      </c>
      <c r="G1203" s="616" t="s">
        <v>894</v>
      </c>
      <c r="H1203" s="617"/>
      <c r="I1203" s="617"/>
      <c r="J1203" s="617" t="s">
        <v>1223</v>
      </c>
      <c r="K1203" s="618"/>
      <c r="L1203" s="616"/>
      <c r="M1203" s="616"/>
      <c r="N1203" s="617"/>
      <c r="O1203" s="617"/>
      <c r="P1203" s="617"/>
      <c r="Q1203" s="617"/>
      <c r="R1203" s="619"/>
      <c r="S1203" s="617"/>
      <c r="T1203" s="616" t="s">
        <v>221</v>
      </c>
    </row>
    <row r="1204" ht="34.5">
      <c r="A1204" s="616" t="s">
        <v>1247</v>
      </c>
      <c r="B1204" s="616" t="s">
        <v>1248</v>
      </c>
      <c r="C1204" s="616" t="s">
        <v>943</v>
      </c>
      <c r="D1204" s="616" t="s">
        <v>216</v>
      </c>
      <c r="E1204" s="616" t="s">
        <v>987</v>
      </c>
      <c r="F1204" s="617" t="s">
        <v>1212</v>
      </c>
      <c r="G1204" s="616" t="s">
        <v>894</v>
      </c>
      <c r="H1204" s="617"/>
      <c r="I1204" s="617"/>
      <c r="J1204" s="617" t="s">
        <v>1345</v>
      </c>
      <c r="K1204" s="618">
        <v>-10000000</v>
      </c>
      <c r="L1204" s="616" t="s">
        <v>611</v>
      </c>
      <c r="M1204" s="616"/>
      <c r="N1204" s="617"/>
      <c r="O1204" s="617"/>
      <c r="P1204" s="617"/>
      <c r="Q1204" s="617"/>
      <c r="R1204" s="619"/>
      <c r="S1204" s="617"/>
      <c r="T1204" s="616" t="s">
        <v>221</v>
      </c>
    </row>
    <row r="1205" ht="34.5">
      <c r="A1205" s="616" t="s">
        <v>1247</v>
      </c>
      <c r="B1205" s="616" t="s">
        <v>1248</v>
      </c>
      <c r="C1205" s="616" t="s">
        <v>943</v>
      </c>
      <c r="D1205" s="616" t="s">
        <v>216</v>
      </c>
      <c r="E1205" s="616" t="s">
        <v>987</v>
      </c>
      <c r="F1205" s="617" t="s">
        <v>1212</v>
      </c>
      <c r="G1205" s="616" t="s">
        <v>894</v>
      </c>
      <c r="H1205" s="617"/>
      <c r="I1205" s="617"/>
      <c r="J1205" s="617" t="s">
        <v>1044</v>
      </c>
      <c r="K1205" s="618"/>
      <c r="L1205" s="616"/>
      <c r="M1205" s="616"/>
      <c r="N1205" s="617"/>
      <c r="O1205" s="617"/>
      <c r="P1205" s="617"/>
      <c r="Q1205" s="617"/>
      <c r="R1205" s="619"/>
      <c r="S1205" s="617"/>
      <c r="T1205" s="616" t="s">
        <v>221</v>
      </c>
    </row>
    <row r="1206" ht="34.5">
      <c r="A1206" s="616" t="s">
        <v>1247</v>
      </c>
      <c r="B1206" s="616" t="s">
        <v>1248</v>
      </c>
      <c r="C1206" s="616" t="s">
        <v>943</v>
      </c>
      <c r="D1206" s="616" t="s">
        <v>216</v>
      </c>
      <c r="E1206" s="616" t="s">
        <v>987</v>
      </c>
      <c r="F1206" s="617" t="s">
        <v>1212</v>
      </c>
      <c r="G1206" s="616" t="s">
        <v>894</v>
      </c>
      <c r="H1206" s="617"/>
      <c r="I1206" s="617"/>
      <c r="J1206" s="617" t="s">
        <v>1045</v>
      </c>
      <c r="K1206" s="618"/>
      <c r="L1206" s="616"/>
      <c r="M1206" s="616"/>
      <c r="N1206" s="617"/>
      <c r="O1206" s="617"/>
      <c r="P1206" s="617"/>
      <c r="Q1206" s="617"/>
      <c r="R1206" s="619"/>
      <c r="S1206" s="617"/>
      <c r="T1206" s="616" t="s">
        <v>221</v>
      </c>
    </row>
    <row r="1207" ht="34.5">
      <c r="A1207" s="616" t="s">
        <v>1247</v>
      </c>
      <c r="B1207" s="616" t="s">
        <v>1248</v>
      </c>
      <c r="C1207" s="616" t="s">
        <v>943</v>
      </c>
      <c r="D1207" s="616" t="s">
        <v>216</v>
      </c>
      <c r="E1207" s="616" t="s">
        <v>987</v>
      </c>
      <c r="F1207" s="617" t="s">
        <v>1212</v>
      </c>
      <c r="G1207" s="616" t="s">
        <v>894</v>
      </c>
      <c r="H1207" s="617"/>
      <c r="I1207" s="617"/>
      <c r="J1207" s="617" t="s">
        <v>1046</v>
      </c>
      <c r="K1207" s="618"/>
      <c r="L1207" s="616"/>
      <c r="M1207" s="616"/>
      <c r="N1207" s="617"/>
      <c r="O1207" s="617"/>
      <c r="P1207" s="617"/>
      <c r="Q1207" s="617"/>
      <c r="R1207" s="619"/>
      <c r="S1207" s="617"/>
      <c r="T1207" s="616" t="s">
        <v>221</v>
      </c>
    </row>
    <row r="1208" ht="34.5">
      <c r="A1208" s="616" t="s">
        <v>1247</v>
      </c>
      <c r="B1208" s="616" t="s">
        <v>1248</v>
      </c>
      <c r="C1208" s="616" t="s">
        <v>943</v>
      </c>
      <c r="D1208" s="616" t="s">
        <v>216</v>
      </c>
      <c r="E1208" s="616" t="s">
        <v>987</v>
      </c>
      <c r="F1208" s="617" t="s">
        <v>1212</v>
      </c>
      <c r="G1208" s="616" t="s">
        <v>894</v>
      </c>
      <c r="H1208" s="617"/>
      <c r="I1208" s="617"/>
      <c r="J1208" s="617" t="s">
        <v>1047</v>
      </c>
      <c r="K1208" s="618"/>
      <c r="L1208" s="616"/>
      <c r="M1208" s="616"/>
      <c r="N1208" s="617"/>
      <c r="O1208" s="617"/>
      <c r="P1208" s="617"/>
      <c r="Q1208" s="617"/>
      <c r="R1208" s="619"/>
      <c r="S1208" s="617"/>
      <c r="T1208" s="616" t="s">
        <v>221</v>
      </c>
    </row>
    <row r="1209" ht="34.5">
      <c r="A1209" s="616" t="s">
        <v>1247</v>
      </c>
      <c r="B1209" s="616" t="s">
        <v>1248</v>
      </c>
      <c r="C1209" s="616" t="s">
        <v>943</v>
      </c>
      <c r="D1209" s="616" t="s">
        <v>216</v>
      </c>
      <c r="E1209" s="616" t="s">
        <v>987</v>
      </c>
      <c r="F1209" s="617" t="s">
        <v>1212</v>
      </c>
      <c r="G1209" s="616" t="s">
        <v>894</v>
      </c>
      <c r="H1209" s="617"/>
      <c r="I1209" s="617"/>
      <c r="J1209" s="617" t="s">
        <v>1040</v>
      </c>
      <c r="K1209" s="618"/>
      <c r="L1209" s="616"/>
      <c r="M1209" s="616"/>
      <c r="N1209" s="617"/>
      <c r="O1209" s="617"/>
      <c r="P1209" s="617"/>
      <c r="Q1209" s="617"/>
      <c r="R1209" s="619"/>
      <c r="S1209" s="617"/>
      <c r="T1209" s="616" t="s">
        <v>221</v>
      </c>
    </row>
    <row r="1210" ht="34.5">
      <c r="A1210" s="616" t="s">
        <v>1247</v>
      </c>
      <c r="B1210" s="616" t="s">
        <v>1248</v>
      </c>
      <c r="C1210" s="616" t="s">
        <v>960</v>
      </c>
      <c r="D1210" s="616" t="s">
        <v>216</v>
      </c>
      <c r="E1210" s="616" t="s">
        <v>987</v>
      </c>
      <c r="F1210" s="617" t="s">
        <v>1212</v>
      </c>
      <c r="G1210" s="616" t="s">
        <v>894</v>
      </c>
      <c r="H1210" s="617"/>
      <c r="I1210" s="617"/>
      <c r="J1210" s="617" t="s">
        <v>1048</v>
      </c>
      <c r="K1210" s="618"/>
      <c r="L1210" s="616"/>
      <c r="M1210" s="616"/>
      <c r="N1210" s="617"/>
      <c r="O1210" s="617"/>
      <c r="P1210" s="617"/>
      <c r="Q1210" s="617"/>
      <c r="R1210" s="619"/>
      <c r="S1210" s="617"/>
      <c r="T1210" s="616" t="s">
        <v>221</v>
      </c>
    </row>
    <row r="1211" ht="34.5">
      <c r="A1211" s="616" t="s">
        <v>1247</v>
      </c>
      <c r="B1211" s="616" t="s">
        <v>1248</v>
      </c>
      <c r="C1211" s="616" t="s">
        <v>960</v>
      </c>
      <c r="D1211" s="616" t="s">
        <v>216</v>
      </c>
      <c r="E1211" s="616" t="s">
        <v>987</v>
      </c>
      <c r="F1211" s="617" t="s">
        <v>1212</v>
      </c>
      <c r="G1211" s="616" t="s">
        <v>894</v>
      </c>
      <c r="H1211" s="617"/>
      <c r="I1211" s="617"/>
      <c r="J1211" s="617" t="s">
        <v>1049</v>
      </c>
      <c r="K1211" s="618"/>
      <c r="L1211" s="616"/>
      <c r="M1211" s="616"/>
      <c r="N1211" s="617"/>
      <c r="O1211" s="617"/>
      <c r="P1211" s="617"/>
      <c r="Q1211" s="617"/>
      <c r="R1211" s="619"/>
      <c r="S1211" s="617"/>
      <c r="T1211" s="616" t="s">
        <v>221</v>
      </c>
    </row>
    <row r="1212" ht="34.5">
      <c r="A1212" s="616" t="s">
        <v>1247</v>
      </c>
      <c r="B1212" s="616" t="s">
        <v>1248</v>
      </c>
      <c r="C1212" s="616" t="s">
        <v>960</v>
      </c>
      <c r="D1212" s="616" t="s">
        <v>216</v>
      </c>
      <c r="E1212" s="616" t="s">
        <v>987</v>
      </c>
      <c r="F1212" s="617" t="s">
        <v>1212</v>
      </c>
      <c r="G1212" s="616" t="s">
        <v>894</v>
      </c>
      <c r="H1212" s="617"/>
      <c r="I1212" s="617"/>
      <c r="J1212" s="617" t="s">
        <v>1050</v>
      </c>
      <c r="K1212" s="618"/>
      <c r="L1212" s="616"/>
      <c r="M1212" s="616"/>
      <c r="N1212" s="617"/>
      <c r="O1212" s="617"/>
      <c r="P1212" s="617"/>
      <c r="Q1212" s="617"/>
      <c r="R1212" s="619"/>
      <c r="S1212" s="617"/>
      <c r="T1212" s="616" t="s">
        <v>221</v>
      </c>
    </row>
    <row r="1213" ht="34.5">
      <c r="A1213" s="616" t="s">
        <v>1247</v>
      </c>
      <c r="B1213" s="616" t="s">
        <v>1248</v>
      </c>
      <c r="C1213" s="616" t="s">
        <v>960</v>
      </c>
      <c r="D1213" s="616" t="s">
        <v>216</v>
      </c>
      <c r="E1213" s="616" t="s">
        <v>987</v>
      </c>
      <c r="F1213" s="617" t="s">
        <v>1212</v>
      </c>
      <c r="G1213" s="616" t="s">
        <v>894</v>
      </c>
      <c r="H1213" s="617"/>
      <c r="I1213" s="617"/>
      <c r="J1213" s="617" t="s">
        <v>1346</v>
      </c>
      <c r="K1213" s="618">
        <v>32324680</v>
      </c>
      <c r="L1213" s="616" t="s">
        <v>611</v>
      </c>
      <c r="M1213" s="616"/>
      <c r="N1213" s="617"/>
      <c r="O1213" s="617"/>
      <c r="P1213" s="617"/>
      <c r="Q1213" s="617"/>
      <c r="R1213" s="619"/>
      <c r="S1213" s="617"/>
      <c r="T1213" s="616" t="s">
        <v>221</v>
      </c>
    </row>
    <row r="1214" ht="34.5">
      <c r="A1214" s="616" t="s">
        <v>1247</v>
      </c>
      <c r="B1214" s="616" t="s">
        <v>1248</v>
      </c>
      <c r="C1214" s="616" t="s">
        <v>960</v>
      </c>
      <c r="D1214" s="616" t="s">
        <v>216</v>
      </c>
      <c r="E1214" s="616" t="s">
        <v>987</v>
      </c>
      <c r="F1214" s="617" t="s">
        <v>1212</v>
      </c>
      <c r="G1214" s="616" t="s">
        <v>894</v>
      </c>
      <c r="H1214" s="617"/>
      <c r="I1214" s="617"/>
      <c r="J1214" s="617" t="s">
        <v>1228</v>
      </c>
      <c r="K1214" s="618"/>
      <c r="L1214" s="616"/>
      <c r="M1214" s="616"/>
      <c r="N1214" s="617"/>
      <c r="O1214" s="617"/>
      <c r="P1214" s="617"/>
      <c r="Q1214" s="617"/>
      <c r="R1214" s="619"/>
      <c r="S1214" s="617"/>
      <c r="T1214" s="616" t="s">
        <v>221</v>
      </c>
    </row>
    <row r="1215" ht="34.5">
      <c r="A1215" s="616" t="s">
        <v>1247</v>
      </c>
      <c r="B1215" s="616" t="s">
        <v>1248</v>
      </c>
      <c r="C1215" s="616" t="s">
        <v>960</v>
      </c>
      <c r="D1215" s="616" t="s">
        <v>969</v>
      </c>
      <c r="E1215" s="616" t="s">
        <v>987</v>
      </c>
      <c r="F1215" s="617" t="s">
        <v>1212</v>
      </c>
      <c r="G1215" s="616" t="s">
        <v>894</v>
      </c>
      <c r="H1215" s="617"/>
      <c r="I1215" s="617"/>
      <c r="J1215" s="617" t="s">
        <v>970</v>
      </c>
      <c r="K1215" s="618"/>
      <c r="L1215" s="616"/>
      <c r="M1215" s="616"/>
      <c r="N1215" s="617"/>
      <c r="O1215" s="617"/>
      <c r="P1215" s="617"/>
      <c r="Q1215" s="617"/>
      <c r="R1215" s="619"/>
      <c r="S1215" s="617"/>
      <c r="T1215" s="616" t="s">
        <v>221</v>
      </c>
    </row>
    <row r="1216" ht="34.5">
      <c r="A1216" s="616" t="s">
        <v>1247</v>
      </c>
      <c r="B1216" s="616" t="s">
        <v>1248</v>
      </c>
      <c r="C1216" s="616" t="s">
        <v>960</v>
      </c>
      <c r="D1216" s="616" t="s">
        <v>216</v>
      </c>
      <c r="E1216" s="616" t="s">
        <v>987</v>
      </c>
      <c r="F1216" s="617" t="s">
        <v>1212</v>
      </c>
      <c r="G1216" s="616" t="s">
        <v>894</v>
      </c>
      <c r="H1216" s="617"/>
      <c r="I1216" s="617"/>
      <c r="J1216" s="617" t="s">
        <v>1057</v>
      </c>
      <c r="K1216" s="618"/>
      <c r="L1216" s="616"/>
      <c r="M1216" s="616"/>
      <c r="N1216" s="617"/>
      <c r="O1216" s="617"/>
      <c r="P1216" s="617"/>
      <c r="Q1216" s="617"/>
      <c r="R1216" s="619"/>
      <c r="S1216" s="617"/>
      <c r="T1216" s="616" t="s">
        <v>221</v>
      </c>
    </row>
    <row r="1217" ht="34.5">
      <c r="A1217" s="616" t="s">
        <v>1247</v>
      </c>
      <c r="B1217" s="616" t="s">
        <v>1248</v>
      </c>
      <c r="C1217" s="616" t="s">
        <v>960</v>
      </c>
      <c r="D1217" s="616" t="s">
        <v>216</v>
      </c>
      <c r="E1217" s="616" t="s">
        <v>987</v>
      </c>
      <c r="F1217" s="617" t="s">
        <v>1212</v>
      </c>
      <c r="G1217" s="616" t="s">
        <v>894</v>
      </c>
      <c r="H1217" s="617"/>
      <c r="I1217" s="617"/>
      <c r="J1217" s="617" t="s">
        <v>1058</v>
      </c>
      <c r="K1217" s="618"/>
      <c r="L1217" s="616"/>
      <c r="M1217" s="616"/>
      <c r="N1217" s="617"/>
      <c r="O1217" s="617"/>
      <c r="P1217" s="617"/>
      <c r="Q1217" s="617"/>
      <c r="R1217" s="619"/>
      <c r="S1217" s="617"/>
      <c r="T1217" s="616" t="s">
        <v>221</v>
      </c>
    </row>
    <row r="1218" ht="34.5">
      <c r="A1218" s="616" t="s">
        <v>1247</v>
      </c>
      <c r="B1218" s="616" t="s">
        <v>1248</v>
      </c>
      <c r="C1218" s="616" t="s">
        <v>960</v>
      </c>
      <c r="D1218" s="616" t="s">
        <v>216</v>
      </c>
      <c r="E1218" s="616" t="s">
        <v>987</v>
      </c>
      <c r="F1218" s="617" t="s">
        <v>1212</v>
      </c>
      <c r="G1218" s="616" t="s">
        <v>894</v>
      </c>
      <c r="H1218" s="617"/>
      <c r="I1218" s="617"/>
      <c r="J1218" s="617" t="s">
        <v>1059</v>
      </c>
      <c r="K1218" s="618"/>
      <c r="L1218" s="616"/>
      <c r="M1218" s="616"/>
      <c r="N1218" s="617"/>
      <c r="O1218" s="617"/>
      <c r="P1218" s="617"/>
      <c r="Q1218" s="617"/>
      <c r="R1218" s="619"/>
      <c r="S1218" s="617"/>
      <c r="T1218" s="616" t="s">
        <v>221</v>
      </c>
    </row>
    <row r="1219" ht="34.5">
      <c r="A1219" s="616" t="s">
        <v>1247</v>
      </c>
      <c r="B1219" s="616" t="s">
        <v>1248</v>
      </c>
      <c r="C1219" s="616" t="s">
        <v>960</v>
      </c>
      <c r="D1219" s="616" t="s">
        <v>974</v>
      </c>
      <c r="E1219" s="616" t="s">
        <v>987</v>
      </c>
      <c r="F1219" s="617" t="s">
        <v>1212</v>
      </c>
      <c r="G1219" s="616" t="s">
        <v>894</v>
      </c>
      <c r="H1219" s="617"/>
      <c r="I1219" s="617"/>
      <c r="J1219" s="617" t="s">
        <v>975</v>
      </c>
      <c r="K1219" s="618"/>
      <c r="L1219" s="616"/>
      <c r="M1219" s="616"/>
      <c r="N1219" s="617"/>
      <c r="O1219" s="617"/>
      <c r="P1219" s="617"/>
      <c r="Q1219" s="617"/>
      <c r="R1219" s="619"/>
      <c r="S1219" s="617"/>
      <c r="T1219" s="616" t="s">
        <v>221</v>
      </c>
    </row>
    <row r="1220" ht="34.5">
      <c r="A1220" s="616" t="s">
        <v>1247</v>
      </c>
      <c r="B1220" s="616" t="s">
        <v>1248</v>
      </c>
      <c r="C1220" s="616" t="s">
        <v>960</v>
      </c>
      <c r="D1220" s="616" t="s">
        <v>216</v>
      </c>
      <c r="E1220" s="616" t="s">
        <v>987</v>
      </c>
      <c r="F1220" s="617" t="s">
        <v>1212</v>
      </c>
      <c r="G1220" s="616" t="s">
        <v>894</v>
      </c>
      <c r="H1220" s="617"/>
      <c r="I1220" s="617"/>
      <c r="J1220" s="617" t="s">
        <v>1051</v>
      </c>
      <c r="K1220" s="618"/>
      <c r="L1220" s="616"/>
      <c r="M1220" s="616"/>
      <c r="N1220" s="617"/>
      <c r="O1220" s="617"/>
      <c r="P1220" s="617"/>
      <c r="Q1220" s="617"/>
      <c r="R1220" s="619"/>
      <c r="S1220" s="617"/>
      <c r="T1220" s="616" t="s">
        <v>221</v>
      </c>
    </row>
    <row r="1221" ht="34.5">
      <c r="A1221" s="616" t="s">
        <v>1247</v>
      </c>
      <c r="B1221" s="616" t="s">
        <v>1248</v>
      </c>
      <c r="C1221" s="616" t="s">
        <v>972</v>
      </c>
      <c r="D1221" s="616" t="s">
        <v>216</v>
      </c>
      <c r="E1221" s="616" t="s">
        <v>987</v>
      </c>
      <c r="F1221" s="617" t="s">
        <v>1212</v>
      </c>
      <c r="G1221" s="616" t="s">
        <v>894</v>
      </c>
      <c r="H1221" s="617"/>
      <c r="I1221" s="617"/>
      <c r="J1221" s="617" t="s">
        <v>1063</v>
      </c>
      <c r="K1221" s="618"/>
      <c r="L1221" s="616"/>
      <c r="M1221" s="616"/>
      <c r="N1221" s="617"/>
      <c r="O1221" s="617"/>
      <c r="P1221" s="617"/>
      <c r="Q1221" s="617"/>
      <c r="R1221" s="619"/>
      <c r="S1221" s="617"/>
      <c r="T1221" s="616" t="s">
        <v>221</v>
      </c>
    </row>
    <row r="1222" ht="34.5">
      <c r="A1222" s="616" t="s">
        <v>1247</v>
      </c>
      <c r="B1222" s="616" t="s">
        <v>1248</v>
      </c>
      <c r="C1222" s="616" t="s">
        <v>972</v>
      </c>
      <c r="D1222" s="616" t="s">
        <v>216</v>
      </c>
      <c r="E1222" s="616" t="s">
        <v>987</v>
      </c>
      <c r="F1222" s="617" t="s">
        <v>1212</v>
      </c>
      <c r="G1222" s="616" t="s">
        <v>894</v>
      </c>
      <c r="H1222" s="617"/>
      <c r="I1222" s="617"/>
      <c r="J1222" s="617" t="s">
        <v>1064</v>
      </c>
      <c r="K1222" s="618">
        <v>2000000</v>
      </c>
      <c r="L1222" s="616" t="s">
        <v>611</v>
      </c>
      <c r="M1222" s="616"/>
      <c r="N1222" s="617"/>
      <c r="O1222" s="617"/>
      <c r="P1222" s="617"/>
      <c r="Q1222" s="617"/>
      <c r="R1222" s="619"/>
      <c r="S1222" s="617"/>
      <c r="T1222" s="616" t="s">
        <v>221</v>
      </c>
    </row>
    <row r="1223" ht="34.5">
      <c r="A1223" s="616" t="s">
        <v>1247</v>
      </c>
      <c r="B1223" s="616" t="s">
        <v>1248</v>
      </c>
      <c r="C1223" s="616" t="s">
        <v>972</v>
      </c>
      <c r="D1223" s="616" t="s">
        <v>216</v>
      </c>
      <c r="E1223" s="616" t="s">
        <v>987</v>
      </c>
      <c r="F1223" s="617" t="s">
        <v>1212</v>
      </c>
      <c r="G1223" s="616" t="s">
        <v>894</v>
      </c>
      <c r="H1223" s="617"/>
      <c r="I1223" s="617"/>
      <c r="J1223" s="617" t="s">
        <v>1065</v>
      </c>
      <c r="K1223" s="618"/>
      <c r="L1223" s="616"/>
      <c r="M1223" s="616"/>
      <c r="N1223" s="617"/>
      <c r="O1223" s="617"/>
      <c r="P1223" s="617"/>
      <c r="Q1223" s="617"/>
      <c r="R1223" s="619"/>
      <c r="S1223" s="617"/>
      <c r="T1223" s="616" t="s">
        <v>221</v>
      </c>
    </row>
    <row r="1224" ht="34.5">
      <c r="A1224" s="616" t="s">
        <v>1247</v>
      </c>
      <c r="B1224" s="616" t="s">
        <v>1248</v>
      </c>
      <c r="C1224" s="616" t="s">
        <v>972</v>
      </c>
      <c r="D1224" s="616" t="s">
        <v>984</v>
      </c>
      <c r="E1224" s="616" t="s">
        <v>987</v>
      </c>
      <c r="F1224" s="617" t="s">
        <v>1212</v>
      </c>
      <c r="G1224" s="616" t="s">
        <v>894</v>
      </c>
      <c r="H1224" s="617"/>
      <c r="I1224" s="617"/>
      <c r="J1224" s="617" t="s">
        <v>985</v>
      </c>
      <c r="K1224" s="618"/>
      <c r="L1224" s="616"/>
      <c r="M1224" s="616"/>
      <c r="N1224" s="617"/>
      <c r="O1224" s="617"/>
      <c r="P1224" s="617"/>
      <c r="Q1224" s="617"/>
      <c r="R1224" s="619"/>
      <c r="S1224" s="617"/>
      <c r="T1224" s="616" t="s">
        <v>221</v>
      </c>
    </row>
    <row r="1225" ht="34.5">
      <c r="A1225" s="616" t="s">
        <v>1247</v>
      </c>
      <c r="B1225" s="616" t="s">
        <v>1248</v>
      </c>
      <c r="C1225" s="616" t="s">
        <v>972</v>
      </c>
      <c r="D1225" s="616" t="s">
        <v>216</v>
      </c>
      <c r="E1225" s="616" t="s">
        <v>992</v>
      </c>
      <c r="F1225" s="617" t="s">
        <v>1347</v>
      </c>
      <c r="G1225" s="616" t="s">
        <v>698</v>
      </c>
      <c r="H1225" s="617"/>
      <c r="I1225" s="617"/>
      <c r="J1225" s="617" t="s">
        <v>1348</v>
      </c>
      <c r="K1225" s="618"/>
      <c r="L1225" s="616"/>
      <c r="M1225" s="616"/>
      <c r="N1225" s="617"/>
      <c r="O1225" s="617"/>
      <c r="P1225" s="617"/>
      <c r="Q1225" s="617"/>
      <c r="R1225" s="619"/>
      <c r="S1225" s="617"/>
      <c r="T1225" s="616" t="s">
        <v>221</v>
      </c>
    </row>
    <row r="1226" ht="34.5">
      <c r="A1226" s="616" t="s">
        <v>1247</v>
      </c>
      <c r="B1226" s="616" t="s">
        <v>1248</v>
      </c>
      <c r="C1226" s="616" t="s">
        <v>972</v>
      </c>
      <c r="D1226" s="616" t="s">
        <v>216</v>
      </c>
      <c r="E1226" s="616" t="s">
        <v>992</v>
      </c>
      <c r="F1226" s="617" t="s">
        <v>1347</v>
      </c>
      <c r="G1226" s="616" t="s">
        <v>698</v>
      </c>
      <c r="H1226" s="617"/>
      <c r="I1226" s="617"/>
      <c r="J1226" s="617" t="s">
        <v>1349</v>
      </c>
      <c r="K1226" s="618"/>
      <c r="L1226" s="616"/>
      <c r="M1226" s="616"/>
      <c r="N1226" s="617"/>
      <c r="O1226" s="617"/>
      <c r="P1226" s="617"/>
      <c r="Q1226" s="617"/>
      <c r="R1226" s="619"/>
      <c r="S1226" s="617"/>
      <c r="T1226" s="616" t="s">
        <v>221</v>
      </c>
    </row>
    <row r="1227" ht="34.5">
      <c r="A1227" s="616" t="s">
        <v>1247</v>
      </c>
      <c r="B1227" s="616" t="s">
        <v>1248</v>
      </c>
      <c r="C1227" s="616" t="s">
        <v>979</v>
      </c>
      <c r="D1227" s="616" t="s">
        <v>216</v>
      </c>
      <c r="E1227" s="616" t="s">
        <v>992</v>
      </c>
      <c r="F1227" s="617" t="s">
        <v>1347</v>
      </c>
      <c r="G1227" s="616" t="s">
        <v>698</v>
      </c>
      <c r="H1227" s="617"/>
      <c r="I1227" s="617"/>
      <c r="J1227" s="617" t="s">
        <v>1350</v>
      </c>
      <c r="K1227" s="618"/>
      <c r="L1227" s="616"/>
      <c r="M1227" s="616"/>
      <c r="N1227" s="617"/>
      <c r="O1227" s="617"/>
      <c r="P1227" s="617"/>
      <c r="Q1227" s="617"/>
      <c r="R1227" s="619"/>
      <c r="S1227" s="617"/>
      <c r="T1227" s="616" t="s">
        <v>221</v>
      </c>
    </row>
    <row r="1228" ht="34.5">
      <c r="A1228" s="616" t="s">
        <v>1247</v>
      </c>
      <c r="B1228" s="616" t="s">
        <v>1248</v>
      </c>
      <c r="C1228" s="616" t="s">
        <v>979</v>
      </c>
      <c r="D1228" s="616" t="s">
        <v>990</v>
      </c>
      <c r="E1228" s="616" t="s">
        <v>992</v>
      </c>
      <c r="F1228" s="617" t="s">
        <v>1347</v>
      </c>
      <c r="G1228" s="616" t="s">
        <v>698</v>
      </c>
      <c r="H1228" s="617"/>
      <c r="I1228" s="617"/>
      <c r="J1228" s="617" t="s">
        <v>991</v>
      </c>
      <c r="K1228" s="618"/>
      <c r="L1228" s="616"/>
      <c r="M1228" s="616"/>
      <c r="N1228" s="617"/>
      <c r="O1228" s="617"/>
      <c r="P1228" s="617"/>
      <c r="Q1228" s="617"/>
      <c r="R1228" s="619"/>
      <c r="S1228" s="617"/>
      <c r="T1228" s="616" t="s">
        <v>221</v>
      </c>
    </row>
    <row r="1229" ht="34.5">
      <c r="A1229" s="616" t="s">
        <v>1247</v>
      </c>
      <c r="B1229" s="616" t="s">
        <v>1248</v>
      </c>
      <c r="C1229" s="616" t="s">
        <v>986</v>
      </c>
      <c r="D1229" s="616" t="s">
        <v>216</v>
      </c>
      <c r="E1229" s="616" t="s">
        <v>992</v>
      </c>
      <c r="F1229" s="617" t="s">
        <v>1347</v>
      </c>
      <c r="G1229" s="616" t="s">
        <v>698</v>
      </c>
      <c r="H1229" s="617"/>
      <c r="I1229" s="617"/>
      <c r="J1229" s="617" t="s">
        <v>679</v>
      </c>
      <c r="K1229" s="618"/>
      <c r="L1229" s="616"/>
      <c r="M1229" s="616"/>
      <c r="N1229" s="617"/>
      <c r="O1229" s="617"/>
      <c r="P1229" s="617"/>
      <c r="Q1229" s="617"/>
      <c r="R1229" s="619"/>
      <c r="S1229" s="617"/>
      <c r="T1229" s="616" t="s">
        <v>221</v>
      </c>
    </row>
    <row r="1230" ht="34.5">
      <c r="A1230" s="616" t="s">
        <v>1247</v>
      </c>
      <c r="B1230" s="616" t="s">
        <v>1248</v>
      </c>
      <c r="C1230" s="616" t="s">
        <v>986</v>
      </c>
      <c r="D1230" s="616" t="s">
        <v>216</v>
      </c>
      <c r="E1230" s="616" t="s">
        <v>992</v>
      </c>
      <c r="F1230" s="617" t="s">
        <v>1347</v>
      </c>
      <c r="G1230" s="616" t="s">
        <v>698</v>
      </c>
      <c r="H1230" s="617"/>
      <c r="I1230" s="617"/>
      <c r="J1230" s="617" t="s">
        <v>1351</v>
      </c>
      <c r="K1230" s="618"/>
      <c r="L1230" s="616"/>
      <c r="M1230" s="616"/>
      <c r="N1230" s="617"/>
      <c r="O1230" s="617"/>
      <c r="P1230" s="617"/>
      <c r="Q1230" s="617"/>
      <c r="R1230" s="619"/>
      <c r="S1230" s="617"/>
      <c r="T1230" s="616" t="s">
        <v>221</v>
      </c>
    </row>
    <row r="1231" ht="34.5">
      <c r="A1231" s="616" t="s">
        <v>1247</v>
      </c>
      <c r="B1231" s="616" t="s">
        <v>1248</v>
      </c>
      <c r="C1231" s="616" t="s">
        <v>986</v>
      </c>
      <c r="D1231" s="616" t="s">
        <v>995</v>
      </c>
      <c r="E1231" s="616" t="s">
        <v>992</v>
      </c>
      <c r="F1231" s="617" t="s">
        <v>1347</v>
      </c>
      <c r="G1231" s="616" t="s">
        <v>698</v>
      </c>
      <c r="H1231" s="617"/>
      <c r="I1231" s="617"/>
      <c r="J1231" s="617" t="s">
        <v>996</v>
      </c>
      <c r="K1231" s="618"/>
      <c r="L1231" s="616"/>
      <c r="M1231" s="616"/>
      <c r="N1231" s="617"/>
      <c r="O1231" s="617"/>
      <c r="P1231" s="617"/>
      <c r="Q1231" s="617"/>
      <c r="R1231" s="619"/>
      <c r="S1231" s="617"/>
      <c r="T1231" s="616" t="s">
        <v>221</v>
      </c>
    </row>
    <row r="1232" ht="34.5">
      <c r="A1232" s="616" t="s">
        <v>1247</v>
      </c>
      <c r="B1232" s="616" t="s">
        <v>1248</v>
      </c>
      <c r="C1232" s="616" t="s">
        <v>997</v>
      </c>
      <c r="D1232" s="616" t="s">
        <v>216</v>
      </c>
      <c r="E1232" s="616" t="s">
        <v>992</v>
      </c>
      <c r="F1232" s="617" t="s">
        <v>1347</v>
      </c>
      <c r="G1232" s="616" t="s">
        <v>698</v>
      </c>
      <c r="H1232" s="617"/>
      <c r="I1232" s="617"/>
      <c r="J1232" s="617" t="s">
        <v>1130</v>
      </c>
      <c r="K1232" s="618"/>
      <c r="L1232" s="616"/>
      <c r="M1232" s="616"/>
      <c r="N1232" s="617"/>
      <c r="O1232" s="617"/>
      <c r="P1232" s="617"/>
      <c r="Q1232" s="617"/>
      <c r="R1232" s="619"/>
      <c r="S1232" s="617"/>
      <c r="T1232" s="616" t="s">
        <v>221</v>
      </c>
    </row>
    <row r="1233" ht="34.5">
      <c r="A1233" s="616" t="s">
        <v>1247</v>
      </c>
      <c r="B1233" s="616" t="s">
        <v>1248</v>
      </c>
      <c r="C1233" s="616" t="s">
        <v>997</v>
      </c>
      <c r="D1233" s="616" t="s">
        <v>216</v>
      </c>
      <c r="E1233" s="616" t="s">
        <v>992</v>
      </c>
      <c r="F1233" s="617" t="s">
        <v>1347</v>
      </c>
      <c r="G1233" s="616" t="s">
        <v>698</v>
      </c>
      <c r="H1233" s="617"/>
      <c r="I1233" s="617"/>
      <c r="J1233" s="617" t="s">
        <v>1131</v>
      </c>
      <c r="K1233" s="618"/>
      <c r="L1233" s="616"/>
      <c r="M1233" s="616"/>
      <c r="N1233" s="617"/>
      <c r="O1233" s="617"/>
      <c r="P1233" s="617"/>
      <c r="Q1233" s="617"/>
      <c r="R1233" s="619"/>
      <c r="S1233" s="617"/>
      <c r="T1233" s="616" t="s">
        <v>221</v>
      </c>
    </row>
    <row r="1234" ht="34.5">
      <c r="A1234" s="616" t="s">
        <v>1247</v>
      </c>
      <c r="B1234" s="616" t="s">
        <v>1248</v>
      </c>
      <c r="C1234" s="616" t="s">
        <v>997</v>
      </c>
      <c r="D1234" s="616" t="s">
        <v>216</v>
      </c>
      <c r="E1234" s="616" t="s">
        <v>992</v>
      </c>
      <c r="F1234" s="617" t="s">
        <v>1347</v>
      </c>
      <c r="G1234" s="616" t="s">
        <v>698</v>
      </c>
      <c r="H1234" s="617"/>
      <c r="I1234" s="617"/>
      <c r="J1234" s="617" t="s">
        <v>1132</v>
      </c>
      <c r="K1234" s="618"/>
      <c r="L1234" s="616"/>
      <c r="M1234" s="616"/>
      <c r="N1234" s="617"/>
      <c r="O1234" s="617"/>
      <c r="P1234" s="617"/>
      <c r="Q1234" s="617"/>
      <c r="R1234" s="619"/>
      <c r="S1234" s="617"/>
      <c r="T1234" s="616" t="s">
        <v>221</v>
      </c>
    </row>
    <row r="1235" ht="34.5">
      <c r="A1235" s="616" t="s">
        <v>1247</v>
      </c>
      <c r="B1235" s="616" t="s">
        <v>1248</v>
      </c>
      <c r="C1235" s="616" t="s">
        <v>997</v>
      </c>
      <c r="D1235" s="616" t="s">
        <v>216</v>
      </c>
      <c r="E1235" s="616" t="s">
        <v>992</v>
      </c>
      <c r="F1235" s="617" t="s">
        <v>1347</v>
      </c>
      <c r="G1235" s="616" t="s">
        <v>698</v>
      </c>
      <c r="H1235" s="617"/>
      <c r="I1235" s="617"/>
      <c r="J1235" s="617" t="s">
        <v>1133</v>
      </c>
      <c r="K1235" s="618"/>
      <c r="L1235" s="616"/>
      <c r="M1235" s="616"/>
      <c r="N1235" s="617"/>
      <c r="O1235" s="617"/>
      <c r="P1235" s="617"/>
      <c r="Q1235" s="617"/>
      <c r="R1235" s="619"/>
      <c r="S1235" s="617"/>
      <c r="T1235" s="616" t="s">
        <v>221</v>
      </c>
    </row>
    <row r="1236" ht="34.5">
      <c r="A1236" s="616" t="s">
        <v>1247</v>
      </c>
      <c r="B1236" s="616" t="s">
        <v>1248</v>
      </c>
      <c r="C1236" s="616" t="s">
        <v>997</v>
      </c>
      <c r="D1236" s="616" t="s">
        <v>216</v>
      </c>
      <c r="E1236" s="616" t="s">
        <v>992</v>
      </c>
      <c r="F1236" s="617" t="s">
        <v>1347</v>
      </c>
      <c r="G1236" s="616" t="s">
        <v>698</v>
      </c>
      <c r="H1236" s="617"/>
      <c r="I1236" s="617"/>
      <c r="J1236" s="617" t="s">
        <v>1245</v>
      </c>
      <c r="K1236" s="618"/>
      <c r="L1236" s="616"/>
      <c r="M1236" s="616"/>
      <c r="N1236" s="617"/>
      <c r="O1236" s="617"/>
      <c r="P1236" s="617"/>
      <c r="Q1236" s="617"/>
      <c r="R1236" s="619"/>
      <c r="S1236" s="617"/>
      <c r="T1236" s="616" t="s">
        <v>221</v>
      </c>
    </row>
    <row r="1237" ht="34.5">
      <c r="A1237" s="616" t="s">
        <v>1247</v>
      </c>
      <c r="B1237" s="616" t="s">
        <v>1248</v>
      </c>
      <c r="C1237" s="616" t="s">
        <v>997</v>
      </c>
      <c r="D1237" s="616" t="s">
        <v>216</v>
      </c>
      <c r="E1237" s="616" t="s">
        <v>992</v>
      </c>
      <c r="F1237" s="617" t="s">
        <v>1347</v>
      </c>
      <c r="G1237" s="616" t="s">
        <v>698</v>
      </c>
      <c r="H1237" s="617"/>
      <c r="I1237" s="617"/>
      <c r="J1237" s="617" t="s">
        <v>1352</v>
      </c>
      <c r="K1237" s="618"/>
      <c r="L1237" s="616"/>
      <c r="M1237" s="616"/>
      <c r="N1237" s="617"/>
      <c r="O1237" s="617"/>
      <c r="P1237" s="617"/>
      <c r="Q1237" s="617"/>
      <c r="R1237" s="619"/>
      <c r="S1237" s="617"/>
      <c r="T1237" s="616" t="s">
        <v>221</v>
      </c>
    </row>
    <row r="1238" ht="34.5">
      <c r="A1238" s="616" t="s">
        <v>1353</v>
      </c>
      <c r="B1238" s="616" t="s">
        <v>1354</v>
      </c>
      <c r="C1238" s="616" t="s">
        <v>1355</v>
      </c>
      <c r="D1238" s="616" t="s">
        <v>216</v>
      </c>
      <c r="E1238" s="616" t="s">
        <v>1356</v>
      </c>
      <c r="F1238" s="617" t="s">
        <v>1357</v>
      </c>
      <c r="G1238" s="616" t="s">
        <v>698</v>
      </c>
      <c r="H1238" s="617"/>
      <c r="I1238" s="617"/>
      <c r="J1238" s="617" t="s">
        <v>1358</v>
      </c>
      <c r="K1238" s="618"/>
      <c r="L1238" s="616"/>
      <c r="M1238" s="616"/>
      <c r="N1238" s="617"/>
      <c r="O1238" s="617"/>
      <c r="P1238" s="617"/>
      <c r="Q1238" s="617"/>
      <c r="R1238" s="619"/>
      <c r="S1238" s="617"/>
      <c r="T1238" s="616" t="s">
        <v>221</v>
      </c>
    </row>
    <row r="1239" ht="34.5">
      <c r="A1239" s="616" t="s">
        <v>1353</v>
      </c>
      <c r="B1239" s="616" t="s">
        <v>1354</v>
      </c>
      <c r="C1239" s="616" t="s">
        <v>1355</v>
      </c>
      <c r="D1239" s="616" t="s">
        <v>216</v>
      </c>
      <c r="E1239" s="616" t="s">
        <v>1356</v>
      </c>
      <c r="F1239" s="617" t="s">
        <v>1357</v>
      </c>
      <c r="G1239" s="616" t="s">
        <v>698</v>
      </c>
      <c r="H1239" s="617"/>
      <c r="I1239" s="617"/>
      <c r="J1239" s="617" t="s">
        <v>1359</v>
      </c>
      <c r="K1239" s="618"/>
      <c r="L1239" s="616"/>
      <c r="M1239" s="616"/>
      <c r="N1239" s="617"/>
      <c r="O1239" s="617"/>
      <c r="P1239" s="617"/>
      <c r="Q1239" s="617"/>
      <c r="R1239" s="619"/>
      <c r="S1239" s="617"/>
      <c r="T1239" s="616" t="s">
        <v>221</v>
      </c>
    </row>
    <row r="1240" ht="34.5">
      <c r="A1240" s="616" t="s">
        <v>1353</v>
      </c>
      <c r="B1240" s="616" t="s">
        <v>1354</v>
      </c>
      <c r="C1240" s="616" t="s">
        <v>1355</v>
      </c>
      <c r="D1240" s="616" t="s">
        <v>216</v>
      </c>
      <c r="E1240" s="616" t="s">
        <v>1356</v>
      </c>
      <c r="F1240" s="617" t="s">
        <v>1357</v>
      </c>
      <c r="G1240" s="616" t="s">
        <v>698</v>
      </c>
      <c r="H1240" s="617"/>
      <c r="I1240" s="617"/>
      <c r="J1240" s="617" t="s">
        <v>1360</v>
      </c>
      <c r="K1240" s="618"/>
      <c r="L1240" s="616"/>
      <c r="M1240" s="616"/>
      <c r="N1240" s="617"/>
      <c r="O1240" s="617"/>
      <c r="P1240" s="617"/>
      <c r="Q1240" s="617"/>
      <c r="R1240" s="619"/>
      <c r="S1240" s="617"/>
      <c r="T1240" s="616" t="s">
        <v>221</v>
      </c>
    </row>
    <row r="1241" ht="34.5">
      <c r="A1241" s="616" t="s">
        <v>1353</v>
      </c>
      <c r="B1241" s="616" t="s">
        <v>1354</v>
      </c>
      <c r="C1241" s="616" t="s">
        <v>1355</v>
      </c>
      <c r="D1241" s="616" t="s">
        <v>216</v>
      </c>
      <c r="E1241" s="616" t="s">
        <v>1356</v>
      </c>
      <c r="F1241" s="617" t="s">
        <v>1357</v>
      </c>
      <c r="G1241" s="616" t="s">
        <v>698</v>
      </c>
      <c r="H1241" s="617"/>
      <c r="I1241" s="617"/>
      <c r="J1241" s="617" t="s">
        <v>1361</v>
      </c>
      <c r="K1241" s="618"/>
      <c r="L1241" s="616"/>
      <c r="M1241" s="616"/>
      <c r="N1241" s="617"/>
      <c r="O1241" s="617"/>
      <c r="P1241" s="617"/>
      <c r="Q1241" s="617"/>
      <c r="R1241" s="619"/>
      <c r="S1241" s="617"/>
      <c r="T1241" s="616" t="s">
        <v>221</v>
      </c>
    </row>
    <row r="1242" ht="34.5">
      <c r="A1242" s="616" t="s">
        <v>1353</v>
      </c>
      <c r="B1242" s="616" t="s">
        <v>1354</v>
      </c>
      <c r="C1242" s="616" t="s">
        <v>1355</v>
      </c>
      <c r="D1242" s="616" t="s">
        <v>216</v>
      </c>
      <c r="E1242" s="616" t="s">
        <v>1356</v>
      </c>
      <c r="F1242" s="617" t="s">
        <v>1357</v>
      </c>
      <c r="G1242" s="616" t="s">
        <v>698</v>
      </c>
      <c r="H1242" s="617"/>
      <c r="I1242" s="617"/>
      <c r="J1242" s="617" t="s">
        <v>1362</v>
      </c>
      <c r="K1242" s="618"/>
      <c r="L1242" s="616"/>
      <c r="M1242" s="616"/>
      <c r="N1242" s="617"/>
      <c r="O1242" s="617"/>
      <c r="P1242" s="617"/>
      <c r="Q1242" s="617"/>
      <c r="R1242" s="619"/>
      <c r="S1242" s="617"/>
      <c r="T1242" s="616" t="s">
        <v>221</v>
      </c>
    </row>
    <row r="1243" ht="34.5">
      <c r="A1243" s="616" t="s">
        <v>1353</v>
      </c>
      <c r="B1243" s="616" t="s">
        <v>1354</v>
      </c>
      <c r="C1243" s="616" t="s">
        <v>1355</v>
      </c>
      <c r="D1243" s="616" t="s">
        <v>216</v>
      </c>
      <c r="E1243" s="616" t="s">
        <v>1356</v>
      </c>
      <c r="F1243" s="617" t="s">
        <v>1357</v>
      </c>
      <c r="G1243" s="616" t="s">
        <v>698</v>
      </c>
      <c r="H1243" s="617"/>
      <c r="I1243" s="617"/>
      <c r="J1243" s="617" t="s">
        <v>1363</v>
      </c>
      <c r="K1243" s="618"/>
      <c r="L1243" s="616"/>
      <c r="M1243" s="616"/>
      <c r="N1243" s="617"/>
      <c r="O1243" s="617"/>
      <c r="P1243" s="617"/>
      <c r="Q1243" s="617"/>
      <c r="R1243" s="619"/>
      <c r="S1243" s="617"/>
      <c r="T1243" s="616" t="s">
        <v>221</v>
      </c>
    </row>
    <row r="1244" ht="34.5">
      <c r="A1244" s="616" t="s">
        <v>1353</v>
      </c>
      <c r="B1244" s="616" t="s">
        <v>1354</v>
      </c>
      <c r="C1244" s="616" t="s">
        <v>1355</v>
      </c>
      <c r="D1244" s="616" t="s">
        <v>216</v>
      </c>
      <c r="E1244" s="616" t="s">
        <v>1356</v>
      </c>
      <c r="F1244" s="617" t="s">
        <v>1357</v>
      </c>
      <c r="G1244" s="616" t="s">
        <v>698</v>
      </c>
      <c r="H1244" s="617"/>
      <c r="I1244" s="617"/>
      <c r="J1244" s="617" t="s">
        <v>1364</v>
      </c>
      <c r="K1244" s="618"/>
      <c r="L1244" s="616"/>
      <c r="M1244" s="616"/>
      <c r="N1244" s="617"/>
      <c r="O1244" s="617"/>
      <c r="P1244" s="617"/>
      <c r="Q1244" s="617"/>
      <c r="R1244" s="619"/>
      <c r="S1244" s="617"/>
      <c r="T1244" s="616" t="s">
        <v>221</v>
      </c>
    </row>
    <row r="1245" ht="34.5">
      <c r="A1245" s="616" t="s">
        <v>1353</v>
      </c>
      <c r="B1245" s="616" t="s">
        <v>1354</v>
      </c>
      <c r="C1245" s="616" t="s">
        <v>1355</v>
      </c>
      <c r="D1245" s="616" t="s">
        <v>216</v>
      </c>
      <c r="E1245" s="616" t="s">
        <v>1365</v>
      </c>
      <c r="F1245" s="617" t="s">
        <v>1366</v>
      </c>
      <c r="G1245" s="616" t="s">
        <v>219</v>
      </c>
      <c r="H1245" s="617"/>
      <c r="I1245" s="617"/>
      <c r="J1245" s="617" t="s">
        <v>1367</v>
      </c>
      <c r="K1245" s="618"/>
      <c r="L1245" s="616"/>
      <c r="M1245" s="616"/>
      <c r="N1245" s="617"/>
      <c r="O1245" s="617"/>
      <c r="P1245" s="617"/>
      <c r="Q1245" s="617"/>
      <c r="R1245" s="619"/>
      <c r="S1245" s="617"/>
      <c r="T1245" s="616" t="s">
        <v>221</v>
      </c>
    </row>
    <row r="1246" ht="34.5">
      <c r="A1246" s="616" t="s">
        <v>1353</v>
      </c>
      <c r="B1246" s="616" t="s">
        <v>1354</v>
      </c>
      <c r="C1246" s="616" t="s">
        <v>1355</v>
      </c>
      <c r="D1246" s="616" t="s">
        <v>216</v>
      </c>
      <c r="E1246" s="616" t="s">
        <v>1365</v>
      </c>
      <c r="F1246" s="617" t="s">
        <v>1366</v>
      </c>
      <c r="G1246" s="616" t="s">
        <v>219</v>
      </c>
      <c r="H1246" s="617"/>
      <c r="I1246" s="617"/>
      <c r="J1246" s="617" t="s">
        <v>1368</v>
      </c>
      <c r="K1246" s="618"/>
      <c r="L1246" s="616"/>
      <c r="M1246" s="616"/>
      <c r="N1246" s="617"/>
      <c r="O1246" s="617"/>
      <c r="P1246" s="617"/>
      <c r="Q1246" s="617"/>
      <c r="R1246" s="619"/>
      <c r="S1246" s="617"/>
      <c r="T1246" s="616" t="s">
        <v>221</v>
      </c>
    </row>
    <row r="1247" ht="34.5">
      <c r="A1247" s="616" t="s">
        <v>1353</v>
      </c>
      <c r="B1247" s="616" t="s">
        <v>1354</v>
      </c>
      <c r="C1247" s="616" t="s">
        <v>1355</v>
      </c>
      <c r="D1247" s="616" t="s">
        <v>216</v>
      </c>
      <c r="E1247" s="616" t="s">
        <v>1365</v>
      </c>
      <c r="F1247" s="617" t="s">
        <v>1366</v>
      </c>
      <c r="G1247" s="616" t="s">
        <v>219</v>
      </c>
      <c r="H1247" s="617"/>
      <c r="I1247" s="617"/>
      <c r="J1247" s="617" t="s">
        <v>1369</v>
      </c>
      <c r="K1247" s="618"/>
      <c r="L1247" s="616"/>
      <c r="M1247" s="616"/>
      <c r="N1247" s="617"/>
      <c r="O1247" s="617"/>
      <c r="P1247" s="617"/>
      <c r="Q1247" s="617"/>
      <c r="R1247" s="619"/>
      <c r="S1247" s="617"/>
      <c r="T1247" s="616" t="s">
        <v>221</v>
      </c>
    </row>
    <row r="1248" ht="34.5">
      <c r="A1248" s="616" t="s">
        <v>1353</v>
      </c>
      <c r="B1248" s="616" t="s">
        <v>1354</v>
      </c>
      <c r="C1248" s="616" t="s">
        <v>1355</v>
      </c>
      <c r="D1248" s="616" t="s">
        <v>216</v>
      </c>
      <c r="E1248" s="616" t="s">
        <v>1365</v>
      </c>
      <c r="F1248" s="617" t="s">
        <v>1366</v>
      </c>
      <c r="G1248" s="616" t="s">
        <v>219</v>
      </c>
      <c r="H1248" s="617"/>
      <c r="I1248" s="617"/>
      <c r="J1248" s="617" t="s">
        <v>1370</v>
      </c>
      <c r="K1248" s="618"/>
      <c r="L1248" s="616"/>
      <c r="M1248" s="616"/>
      <c r="N1248" s="617"/>
      <c r="O1248" s="617"/>
      <c r="P1248" s="617"/>
      <c r="Q1248" s="617"/>
      <c r="R1248" s="619"/>
      <c r="S1248" s="617"/>
      <c r="T1248" s="616" t="s">
        <v>221</v>
      </c>
    </row>
    <row r="1249" ht="34.5">
      <c r="A1249" s="616" t="s">
        <v>1353</v>
      </c>
      <c r="B1249" s="616" t="s">
        <v>1354</v>
      </c>
      <c r="C1249" s="616" t="s">
        <v>1355</v>
      </c>
      <c r="D1249" s="616" t="s">
        <v>216</v>
      </c>
      <c r="E1249" s="616" t="s">
        <v>1365</v>
      </c>
      <c r="F1249" s="617" t="s">
        <v>1366</v>
      </c>
      <c r="G1249" s="616" t="s">
        <v>219</v>
      </c>
      <c r="H1249" s="617"/>
      <c r="I1249" s="617"/>
      <c r="J1249" s="617" t="s">
        <v>1371</v>
      </c>
      <c r="K1249" s="618"/>
      <c r="L1249" s="616"/>
      <c r="M1249" s="616"/>
      <c r="N1249" s="617"/>
      <c r="O1249" s="617"/>
      <c r="P1249" s="617"/>
      <c r="Q1249" s="617"/>
      <c r="R1249" s="619"/>
      <c r="S1249" s="617"/>
      <c r="T1249" s="616" t="s">
        <v>221</v>
      </c>
    </row>
    <row r="1250" ht="34.5">
      <c r="A1250" s="616" t="s">
        <v>1353</v>
      </c>
      <c r="B1250" s="616" t="s">
        <v>1354</v>
      </c>
      <c r="C1250" s="616" t="s">
        <v>1355</v>
      </c>
      <c r="D1250" s="616" t="s">
        <v>216</v>
      </c>
      <c r="E1250" s="616" t="s">
        <v>1365</v>
      </c>
      <c r="F1250" s="617" t="s">
        <v>1366</v>
      </c>
      <c r="G1250" s="616" t="s">
        <v>219</v>
      </c>
      <c r="H1250" s="617"/>
      <c r="I1250" s="617"/>
      <c r="J1250" s="617" t="s">
        <v>1372</v>
      </c>
      <c r="K1250" s="618"/>
      <c r="L1250" s="616"/>
      <c r="M1250" s="616"/>
      <c r="N1250" s="617"/>
      <c r="O1250" s="617"/>
      <c r="P1250" s="617"/>
      <c r="Q1250" s="617"/>
      <c r="R1250" s="619"/>
      <c r="S1250" s="617"/>
      <c r="T1250" s="616" t="s">
        <v>221</v>
      </c>
    </row>
    <row r="1251" ht="34.5">
      <c r="A1251" s="616" t="s">
        <v>1353</v>
      </c>
      <c r="B1251" s="616" t="s">
        <v>1354</v>
      </c>
      <c r="C1251" s="616" t="s">
        <v>1373</v>
      </c>
      <c r="D1251" s="616" t="s">
        <v>216</v>
      </c>
      <c r="E1251" s="616" t="s">
        <v>1365</v>
      </c>
      <c r="F1251" s="617" t="s">
        <v>1366</v>
      </c>
      <c r="G1251" s="616" t="s">
        <v>219</v>
      </c>
      <c r="H1251" s="617"/>
      <c r="I1251" s="617"/>
      <c r="J1251" s="617" t="s">
        <v>1374</v>
      </c>
      <c r="K1251" s="618"/>
      <c r="L1251" s="616"/>
      <c r="M1251" s="616"/>
      <c r="N1251" s="617"/>
      <c r="O1251" s="617"/>
      <c r="P1251" s="617"/>
      <c r="Q1251" s="617"/>
      <c r="R1251" s="619"/>
      <c r="S1251" s="617"/>
      <c r="T1251" s="616" t="s">
        <v>221</v>
      </c>
    </row>
    <row r="1252" ht="34.5">
      <c r="A1252" s="616" t="s">
        <v>1353</v>
      </c>
      <c r="B1252" s="616" t="s">
        <v>1354</v>
      </c>
      <c r="C1252" s="616" t="s">
        <v>1373</v>
      </c>
      <c r="D1252" s="616" t="s">
        <v>216</v>
      </c>
      <c r="E1252" s="616" t="s">
        <v>1365</v>
      </c>
      <c r="F1252" s="617" t="s">
        <v>1366</v>
      </c>
      <c r="G1252" s="616" t="s">
        <v>219</v>
      </c>
      <c r="H1252" s="617"/>
      <c r="I1252" s="617"/>
      <c r="J1252" s="617" t="s">
        <v>1375</v>
      </c>
      <c r="K1252" s="618"/>
      <c r="L1252" s="616"/>
      <c r="M1252" s="616"/>
      <c r="N1252" s="617"/>
      <c r="O1252" s="617"/>
      <c r="P1252" s="617"/>
      <c r="Q1252" s="617"/>
      <c r="R1252" s="619"/>
      <c r="S1252" s="617"/>
      <c r="T1252" s="616" t="s">
        <v>221</v>
      </c>
    </row>
    <row r="1253" ht="34.5">
      <c r="A1253" s="616" t="s">
        <v>1353</v>
      </c>
      <c r="B1253" s="616" t="s">
        <v>1354</v>
      </c>
      <c r="C1253" s="616" t="s">
        <v>1373</v>
      </c>
      <c r="D1253" s="616" t="s">
        <v>216</v>
      </c>
      <c r="E1253" s="616" t="s">
        <v>1365</v>
      </c>
      <c r="F1253" s="617" t="s">
        <v>1366</v>
      </c>
      <c r="G1253" s="616" t="s">
        <v>219</v>
      </c>
      <c r="H1253" s="617"/>
      <c r="I1253" s="617"/>
      <c r="J1253" s="617" t="s">
        <v>1376</v>
      </c>
      <c r="K1253" s="618"/>
      <c r="L1253" s="616"/>
      <c r="M1253" s="616"/>
      <c r="N1253" s="617"/>
      <c r="O1253" s="617"/>
      <c r="P1253" s="617"/>
      <c r="Q1253" s="617"/>
      <c r="R1253" s="619"/>
      <c r="S1253" s="617"/>
      <c r="T1253" s="616" t="s">
        <v>221</v>
      </c>
    </row>
    <row r="1254" ht="34.5">
      <c r="A1254" s="616" t="s">
        <v>1353</v>
      </c>
      <c r="B1254" s="616" t="s">
        <v>1354</v>
      </c>
      <c r="C1254" s="616" t="s">
        <v>1373</v>
      </c>
      <c r="D1254" s="616" t="s">
        <v>216</v>
      </c>
      <c r="E1254" s="616" t="s">
        <v>1365</v>
      </c>
      <c r="F1254" s="617" t="s">
        <v>1366</v>
      </c>
      <c r="G1254" s="616" t="s">
        <v>219</v>
      </c>
      <c r="H1254" s="617"/>
      <c r="I1254" s="617"/>
      <c r="J1254" s="617" t="s">
        <v>1377</v>
      </c>
      <c r="K1254" s="618"/>
      <c r="L1254" s="616"/>
      <c r="M1254" s="616"/>
      <c r="N1254" s="617"/>
      <c r="O1254" s="617"/>
      <c r="P1254" s="617"/>
      <c r="Q1254" s="617"/>
      <c r="R1254" s="619"/>
      <c r="S1254" s="617"/>
      <c r="T1254" s="616" t="s">
        <v>221</v>
      </c>
    </row>
    <row r="1255" ht="34.5">
      <c r="A1255" s="616" t="s">
        <v>1353</v>
      </c>
      <c r="B1255" s="616" t="s">
        <v>1354</v>
      </c>
      <c r="C1255" s="616" t="s">
        <v>1373</v>
      </c>
      <c r="D1255" s="616" t="s">
        <v>216</v>
      </c>
      <c r="E1255" s="616" t="s">
        <v>1365</v>
      </c>
      <c r="F1255" s="617" t="s">
        <v>1366</v>
      </c>
      <c r="G1255" s="616" t="s">
        <v>219</v>
      </c>
      <c r="H1255" s="617"/>
      <c r="I1255" s="617"/>
      <c r="J1255" s="617" t="s">
        <v>1378</v>
      </c>
      <c r="K1255" s="618"/>
      <c r="L1255" s="616"/>
      <c r="M1255" s="616"/>
      <c r="N1255" s="617"/>
      <c r="O1255" s="617"/>
      <c r="P1255" s="617"/>
      <c r="Q1255" s="617"/>
      <c r="R1255" s="619"/>
      <c r="S1255" s="617"/>
      <c r="T1255" s="616" t="s">
        <v>221</v>
      </c>
    </row>
    <row r="1256" ht="34.5">
      <c r="A1256" s="616" t="s">
        <v>1353</v>
      </c>
      <c r="B1256" s="616" t="s">
        <v>1354</v>
      </c>
      <c r="C1256" s="616" t="s">
        <v>1373</v>
      </c>
      <c r="D1256" s="616" t="s">
        <v>216</v>
      </c>
      <c r="E1256" s="616" t="s">
        <v>1365</v>
      </c>
      <c r="F1256" s="617" t="s">
        <v>1366</v>
      </c>
      <c r="G1256" s="616" t="s">
        <v>219</v>
      </c>
      <c r="H1256" s="617"/>
      <c r="I1256" s="617"/>
      <c r="J1256" s="617" t="s">
        <v>1379</v>
      </c>
      <c r="K1256" s="618"/>
      <c r="L1256" s="616"/>
      <c r="M1256" s="616"/>
      <c r="N1256" s="617"/>
      <c r="O1256" s="617"/>
      <c r="P1256" s="617"/>
      <c r="Q1256" s="617"/>
      <c r="R1256" s="619"/>
      <c r="S1256" s="617"/>
      <c r="T1256" s="616" t="s">
        <v>221</v>
      </c>
    </row>
    <row r="1257" ht="34.5">
      <c r="A1257" s="616" t="s">
        <v>1353</v>
      </c>
      <c r="B1257" s="616" t="s">
        <v>1354</v>
      </c>
      <c r="C1257" s="616" t="s">
        <v>1373</v>
      </c>
      <c r="D1257" s="616" t="s">
        <v>216</v>
      </c>
      <c r="E1257" s="616" t="s">
        <v>1365</v>
      </c>
      <c r="F1257" s="617" t="s">
        <v>1366</v>
      </c>
      <c r="G1257" s="616" t="s">
        <v>219</v>
      </c>
      <c r="H1257" s="617"/>
      <c r="I1257" s="617"/>
      <c r="J1257" s="617" t="s">
        <v>1380</v>
      </c>
      <c r="K1257" s="618"/>
      <c r="L1257" s="616"/>
      <c r="M1257" s="616"/>
      <c r="N1257" s="617"/>
      <c r="O1257" s="617"/>
      <c r="P1257" s="617"/>
      <c r="Q1257" s="617"/>
      <c r="R1257" s="619"/>
      <c r="S1257" s="617"/>
      <c r="T1257" s="616" t="s">
        <v>221</v>
      </c>
    </row>
    <row r="1258" ht="34.5">
      <c r="A1258" s="616" t="s">
        <v>1353</v>
      </c>
      <c r="B1258" s="616" t="s">
        <v>1354</v>
      </c>
      <c r="C1258" s="616" t="s">
        <v>1373</v>
      </c>
      <c r="D1258" s="616" t="s">
        <v>216</v>
      </c>
      <c r="E1258" s="616" t="s">
        <v>1365</v>
      </c>
      <c r="F1258" s="617" t="s">
        <v>1366</v>
      </c>
      <c r="G1258" s="616" t="s">
        <v>219</v>
      </c>
      <c r="H1258" s="617"/>
      <c r="I1258" s="617"/>
      <c r="J1258" s="617" t="s">
        <v>1381</v>
      </c>
      <c r="K1258" s="618"/>
      <c r="L1258" s="616"/>
      <c r="M1258" s="616"/>
      <c r="N1258" s="617"/>
      <c r="O1258" s="617"/>
      <c r="P1258" s="617"/>
      <c r="Q1258" s="617"/>
      <c r="R1258" s="619"/>
      <c r="S1258" s="617"/>
      <c r="T1258" s="616" t="s">
        <v>221</v>
      </c>
    </row>
    <row r="1259" ht="34.5">
      <c r="A1259" s="616" t="s">
        <v>1353</v>
      </c>
      <c r="B1259" s="616" t="s">
        <v>1354</v>
      </c>
      <c r="C1259" s="616" t="s">
        <v>1373</v>
      </c>
      <c r="D1259" s="616" t="s">
        <v>216</v>
      </c>
      <c r="E1259" s="616" t="s">
        <v>1365</v>
      </c>
      <c r="F1259" s="617" t="s">
        <v>1366</v>
      </c>
      <c r="G1259" s="616" t="s">
        <v>219</v>
      </c>
      <c r="H1259" s="617"/>
      <c r="I1259" s="617"/>
      <c r="J1259" s="617" t="s">
        <v>1382</v>
      </c>
      <c r="K1259" s="618"/>
      <c r="L1259" s="616"/>
      <c r="M1259" s="616"/>
      <c r="N1259" s="617"/>
      <c r="O1259" s="617"/>
      <c r="P1259" s="617"/>
      <c r="Q1259" s="617"/>
      <c r="R1259" s="619"/>
      <c r="S1259" s="617"/>
      <c r="T1259" s="616" t="s">
        <v>221</v>
      </c>
    </row>
    <row r="1260" ht="34.5">
      <c r="A1260" s="616" t="s">
        <v>1353</v>
      </c>
      <c r="B1260" s="616" t="s">
        <v>1354</v>
      </c>
      <c r="C1260" s="616" t="s">
        <v>1373</v>
      </c>
      <c r="D1260" s="616" t="s">
        <v>216</v>
      </c>
      <c r="E1260" s="616" t="s">
        <v>1365</v>
      </c>
      <c r="F1260" s="617" t="s">
        <v>1366</v>
      </c>
      <c r="G1260" s="616" t="s">
        <v>219</v>
      </c>
      <c r="H1260" s="617"/>
      <c r="I1260" s="617"/>
      <c r="J1260" s="617" t="s">
        <v>1383</v>
      </c>
      <c r="K1260" s="618"/>
      <c r="L1260" s="616"/>
      <c r="M1260" s="616"/>
      <c r="N1260" s="617"/>
      <c r="O1260" s="617"/>
      <c r="P1260" s="617"/>
      <c r="Q1260" s="617"/>
      <c r="R1260" s="619"/>
      <c r="S1260" s="617"/>
      <c r="T1260" s="616" t="s">
        <v>221</v>
      </c>
    </row>
    <row r="1261" ht="34.5">
      <c r="A1261" s="616" t="s">
        <v>1353</v>
      </c>
      <c r="B1261" s="616" t="s">
        <v>1354</v>
      </c>
      <c r="C1261" s="616" t="s">
        <v>1373</v>
      </c>
      <c r="D1261" s="616" t="s">
        <v>216</v>
      </c>
      <c r="E1261" s="616" t="s">
        <v>1365</v>
      </c>
      <c r="F1261" s="617" t="s">
        <v>1366</v>
      </c>
      <c r="G1261" s="616" t="s">
        <v>219</v>
      </c>
      <c r="H1261" s="617"/>
      <c r="I1261" s="617"/>
      <c r="J1261" s="617" t="s">
        <v>1384</v>
      </c>
      <c r="K1261" s="618"/>
      <c r="L1261" s="616"/>
      <c r="M1261" s="616"/>
      <c r="N1261" s="617"/>
      <c r="O1261" s="617"/>
      <c r="P1261" s="617"/>
      <c r="Q1261" s="617"/>
      <c r="R1261" s="619"/>
      <c r="S1261" s="617"/>
      <c r="T1261" s="616" t="s">
        <v>221</v>
      </c>
    </row>
    <row r="1262" ht="34.5">
      <c r="A1262" s="616" t="s">
        <v>1353</v>
      </c>
      <c r="B1262" s="616" t="s">
        <v>1354</v>
      </c>
      <c r="C1262" s="616" t="s">
        <v>1373</v>
      </c>
      <c r="D1262" s="616" t="s">
        <v>216</v>
      </c>
      <c r="E1262" s="616" t="s">
        <v>1365</v>
      </c>
      <c r="F1262" s="617" t="s">
        <v>1366</v>
      </c>
      <c r="G1262" s="616" t="s">
        <v>219</v>
      </c>
      <c r="H1262" s="617"/>
      <c r="I1262" s="617"/>
      <c r="J1262" s="617" t="s">
        <v>1385</v>
      </c>
      <c r="K1262" s="618"/>
      <c r="L1262" s="616"/>
      <c r="M1262" s="616"/>
      <c r="N1262" s="617"/>
      <c r="O1262" s="617"/>
      <c r="P1262" s="617"/>
      <c r="Q1262" s="617"/>
      <c r="R1262" s="619"/>
      <c r="S1262" s="617"/>
      <c r="T1262" s="616" t="s">
        <v>221</v>
      </c>
    </row>
    <row r="1263" ht="34.5">
      <c r="A1263" s="616" t="s">
        <v>1353</v>
      </c>
      <c r="B1263" s="616" t="s">
        <v>1354</v>
      </c>
      <c r="C1263" s="616" t="s">
        <v>1373</v>
      </c>
      <c r="D1263" s="616" t="s">
        <v>216</v>
      </c>
      <c r="E1263" s="616" t="s">
        <v>1365</v>
      </c>
      <c r="F1263" s="617" t="s">
        <v>1366</v>
      </c>
      <c r="G1263" s="616" t="s">
        <v>219</v>
      </c>
      <c r="H1263" s="617"/>
      <c r="I1263" s="617"/>
      <c r="J1263" s="617" t="s">
        <v>1386</v>
      </c>
      <c r="K1263" s="618"/>
      <c r="L1263" s="616"/>
      <c r="M1263" s="616"/>
      <c r="N1263" s="617"/>
      <c r="O1263" s="617"/>
      <c r="P1263" s="617"/>
      <c r="Q1263" s="617"/>
      <c r="R1263" s="619"/>
      <c r="S1263" s="617"/>
      <c r="T1263" s="616" t="s">
        <v>221</v>
      </c>
    </row>
    <row r="1264" ht="34.5">
      <c r="A1264" s="616" t="s">
        <v>1353</v>
      </c>
      <c r="B1264" s="616" t="s">
        <v>1354</v>
      </c>
      <c r="C1264" s="616" t="s">
        <v>1387</v>
      </c>
      <c r="D1264" s="616" t="s">
        <v>216</v>
      </c>
      <c r="E1264" s="616" t="s">
        <v>1365</v>
      </c>
      <c r="F1264" s="617" t="s">
        <v>1366</v>
      </c>
      <c r="G1264" s="616" t="s">
        <v>219</v>
      </c>
      <c r="H1264" s="617"/>
      <c r="I1264" s="617"/>
      <c r="J1264" s="617" t="s">
        <v>1388</v>
      </c>
      <c r="K1264" s="618"/>
      <c r="L1264" s="616"/>
      <c r="M1264" s="616"/>
      <c r="N1264" s="617"/>
      <c r="O1264" s="617"/>
      <c r="P1264" s="617"/>
      <c r="Q1264" s="617"/>
      <c r="R1264" s="619"/>
      <c r="S1264" s="617"/>
      <c r="T1264" s="616" t="s">
        <v>221</v>
      </c>
    </row>
    <row r="1265" ht="34.5">
      <c r="A1265" s="616" t="s">
        <v>1353</v>
      </c>
      <c r="B1265" s="616" t="s">
        <v>1354</v>
      </c>
      <c r="C1265" s="616" t="s">
        <v>1387</v>
      </c>
      <c r="D1265" s="616" t="s">
        <v>216</v>
      </c>
      <c r="E1265" s="616" t="s">
        <v>1365</v>
      </c>
      <c r="F1265" s="617" t="s">
        <v>1366</v>
      </c>
      <c r="G1265" s="616" t="s">
        <v>219</v>
      </c>
      <c r="H1265" s="617"/>
      <c r="I1265" s="617"/>
      <c r="J1265" s="617" t="s">
        <v>1389</v>
      </c>
      <c r="K1265" s="618"/>
      <c r="L1265" s="616"/>
      <c r="M1265" s="616"/>
      <c r="N1265" s="617"/>
      <c r="O1265" s="617"/>
      <c r="P1265" s="617"/>
      <c r="Q1265" s="617"/>
      <c r="R1265" s="619"/>
      <c r="S1265" s="617"/>
      <c r="T1265" s="616" t="s">
        <v>221</v>
      </c>
    </row>
    <row r="1266" ht="34.5">
      <c r="A1266" s="616" t="s">
        <v>1353</v>
      </c>
      <c r="B1266" s="616" t="s">
        <v>1354</v>
      </c>
      <c r="C1266" s="616" t="s">
        <v>1387</v>
      </c>
      <c r="D1266" s="616" t="s">
        <v>1390</v>
      </c>
      <c r="E1266" s="616" t="s">
        <v>1365</v>
      </c>
      <c r="F1266" s="617" t="s">
        <v>1366</v>
      </c>
      <c r="G1266" s="616" t="s">
        <v>219</v>
      </c>
      <c r="H1266" s="617"/>
      <c r="I1266" s="617"/>
      <c r="J1266" s="617" t="s">
        <v>1391</v>
      </c>
      <c r="K1266" s="618"/>
      <c r="L1266" s="616"/>
      <c r="M1266" s="616"/>
      <c r="N1266" s="617"/>
      <c r="O1266" s="617"/>
      <c r="P1266" s="617"/>
      <c r="Q1266" s="617"/>
      <c r="R1266" s="619"/>
      <c r="S1266" s="617"/>
      <c r="T1266" s="616" t="s">
        <v>221</v>
      </c>
    </row>
    <row r="1267" ht="34.5">
      <c r="A1267" s="616" t="s">
        <v>1353</v>
      </c>
      <c r="B1267" s="616" t="s">
        <v>1354</v>
      </c>
      <c r="C1267" s="616" t="s">
        <v>1387</v>
      </c>
      <c r="D1267" s="616" t="s">
        <v>216</v>
      </c>
      <c r="E1267" s="616" t="s">
        <v>1365</v>
      </c>
      <c r="F1267" s="617" t="s">
        <v>1366</v>
      </c>
      <c r="G1267" s="616" t="s">
        <v>219</v>
      </c>
      <c r="H1267" s="617"/>
      <c r="I1267" s="617"/>
      <c r="J1267" s="617" t="s">
        <v>1392</v>
      </c>
      <c r="K1267" s="618"/>
      <c r="L1267" s="616"/>
      <c r="M1267" s="616"/>
      <c r="N1267" s="617"/>
      <c r="O1267" s="617"/>
      <c r="P1267" s="617"/>
      <c r="Q1267" s="617"/>
      <c r="R1267" s="619"/>
      <c r="S1267" s="617"/>
      <c r="T1267" s="616" t="s">
        <v>221</v>
      </c>
    </row>
    <row r="1268" ht="34.5">
      <c r="A1268" s="616" t="s">
        <v>1353</v>
      </c>
      <c r="B1268" s="616" t="s">
        <v>1354</v>
      </c>
      <c r="C1268" s="616" t="s">
        <v>1387</v>
      </c>
      <c r="D1268" s="616" t="s">
        <v>216</v>
      </c>
      <c r="E1268" s="616" t="s">
        <v>1365</v>
      </c>
      <c r="F1268" s="617" t="s">
        <v>1366</v>
      </c>
      <c r="G1268" s="616" t="s">
        <v>219</v>
      </c>
      <c r="H1268" s="617"/>
      <c r="I1268" s="617"/>
      <c r="J1268" s="617" t="s">
        <v>1393</v>
      </c>
      <c r="K1268" s="618"/>
      <c r="L1268" s="616"/>
      <c r="M1268" s="616"/>
      <c r="N1268" s="617"/>
      <c r="O1268" s="617"/>
      <c r="P1268" s="617"/>
      <c r="Q1268" s="617"/>
      <c r="R1268" s="619"/>
      <c r="S1268" s="617"/>
      <c r="T1268" s="616" t="s">
        <v>221</v>
      </c>
    </row>
    <row r="1269" ht="34.5">
      <c r="A1269" s="616" t="s">
        <v>1353</v>
      </c>
      <c r="B1269" s="616" t="s">
        <v>1354</v>
      </c>
      <c r="C1269" s="616" t="s">
        <v>1387</v>
      </c>
      <c r="D1269" s="616" t="s">
        <v>216</v>
      </c>
      <c r="E1269" s="616" t="s">
        <v>1365</v>
      </c>
      <c r="F1269" s="617" t="s">
        <v>1366</v>
      </c>
      <c r="G1269" s="616" t="s">
        <v>219</v>
      </c>
      <c r="H1269" s="617"/>
      <c r="I1269" s="617"/>
      <c r="J1269" s="617" t="s">
        <v>1394</v>
      </c>
      <c r="K1269" s="618"/>
      <c r="L1269" s="616"/>
      <c r="M1269" s="616"/>
      <c r="N1269" s="617"/>
      <c r="O1269" s="617"/>
      <c r="P1269" s="617"/>
      <c r="Q1269" s="617"/>
      <c r="R1269" s="619"/>
      <c r="S1269" s="617"/>
      <c r="T1269" s="616" t="s">
        <v>221</v>
      </c>
    </row>
    <row r="1270" ht="34.5">
      <c r="A1270" s="616" t="s">
        <v>1353</v>
      </c>
      <c r="B1270" s="616" t="s">
        <v>1354</v>
      </c>
      <c r="C1270" s="616" t="s">
        <v>1387</v>
      </c>
      <c r="D1270" s="616" t="s">
        <v>216</v>
      </c>
      <c r="E1270" s="616" t="s">
        <v>1365</v>
      </c>
      <c r="F1270" s="617" t="s">
        <v>1366</v>
      </c>
      <c r="G1270" s="616" t="s">
        <v>219</v>
      </c>
      <c r="H1270" s="617"/>
      <c r="I1270" s="617"/>
      <c r="J1270" s="617" t="s">
        <v>1395</v>
      </c>
      <c r="K1270" s="618"/>
      <c r="L1270" s="616"/>
      <c r="M1270" s="616"/>
      <c r="N1270" s="617"/>
      <c r="O1270" s="617"/>
      <c r="P1270" s="617"/>
      <c r="Q1270" s="617"/>
      <c r="R1270" s="619"/>
      <c r="S1270" s="617"/>
      <c r="T1270" s="616" t="s">
        <v>221</v>
      </c>
    </row>
    <row r="1271" ht="34.5">
      <c r="A1271" s="616" t="s">
        <v>1353</v>
      </c>
      <c r="B1271" s="616" t="s">
        <v>1354</v>
      </c>
      <c r="C1271" s="616" t="s">
        <v>1387</v>
      </c>
      <c r="D1271" s="616" t="s">
        <v>216</v>
      </c>
      <c r="E1271" s="616" t="s">
        <v>1365</v>
      </c>
      <c r="F1271" s="617" t="s">
        <v>1366</v>
      </c>
      <c r="G1271" s="616" t="s">
        <v>219</v>
      </c>
      <c r="H1271" s="617"/>
      <c r="I1271" s="617"/>
      <c r="J1271" s="617" t="s">
        <v>1396</v>
      </c>
      <c r="K1271" s="618"/>
      <c r="L1271" s="616"/>
      <c r="M1271" s="616"/>
      <c r="N1271" s="617"/>
      <c r="O1271" s="617"/>
      <c r="P1271" s="617"/>
      <c r="Q1271" s="617"/>
      <c r="R1271" s="619"/>
      <c r="S1271" s="617"/>
      <c r="T1271" s="616" t="s">
        <v>221</v>
      </c>
    </row>
    <row r="1272" ht="34.5">
      <c r="A1272" s="616" t="s">
        <v>1353</v>
      </c>
      <c r="B1272" s="616" t="s">
        <v>1354</v>
      </c>
      <c r="C1272" s="616" t="s">
        <v>1387</v>
      </c>
      <c r="D1272" s="616" t="s">
        <v>216</v>
      </c>
      <c r="E1272" s="616" t="s">
        <v>1365</v>
      </c>
      <c r="F1272" s="617" t="s">
        <v>1366</v>
      </c>
      <c r="G1272" s="616" t="s">
        <v>219</v>
      </c>
      <c r="H1272" s="617"/>
      <c r="I1272" s="617"/>
      <c r="J1272" s="617" t="s">
        <v>1397</v>
      </c>
      <c r="K1272" s="618"/>
      <c r="L1272" s="616"/>
      <c r="M1272" s="616"/>
      <c r="N1272" s="617"/>
      <c r="O1272" s="617"/>
      <c r="P1272" s="617"/>
      <c r="Q1272" s="617"/>
      <c r="R1272" s="619"/>
      <c r="S1272" s="617"/>
      <c r="T1272" s="616" t="s">
        <v>221</v>
      </c>
    </row>
    <row r="1273" ht="34.5">
      <c r="A1273" s="616" t="s">
        <v>1353</v>
      </c>
      <c r="B1273" s="616" t="s">
        <v>1354</v>
      </c>
      <c r="C1273" s="616" t="s">
        <v>1387</v>
      </c>
      <c r="D1273" s="616" t="s">
        <v>216</v>
      </c>
      <c r="E1273" s="616" t="s">
        <v>1365</v>
      </c>
      <c r="F1273" s="617" t="s">
        <v>1366</v>
      </c>
      <c r="G1273" s="616" t="s">
        <v>219</v>
      </c>
      <c r="H1273" s="617"/>
      <c r="I1273" s="617"/>
      <c r="J1273" s="617" t="s">
        <v>1398</v>
      </c>
      <c r="K1273" s="618"/>
      <c r="L1273" s="616"/>
      <c r="M1273" s="616"/>
      <c r="N1273" s="617"/>
      <c r="O1273" s="617"/>
      <c r="P1273" s="617"/>
      <c r="Q1273" s="617"/>
      <c r="R1273" s="619"/>
      <c r="S1273" s="617"/>
      <c r="T1273" s="616" t="s">
        <v>221</v>
      </c>
    </row>
    <row r="1274" ht="34.5">
      <c r="A1274" s="616" t="s">
        <v>1353</v>
      </c>
      <c r="B1274" s="616" t="s">
        <v>1354</v>
      </c>
      <c r="C1274" s="616" t="s">
        <v>1387</v>
      </c>
      <c r="D1274" s="616" t="s">
        <v>216</v>
      </c>
      <c r="E1274" s="616" t="s">
        <v>1365</v>
      </c>
      <c r="F1274" s="617" t="s">
        <v>1366</v>
      </c>
      <c r="G1274" s="616" t="s">
        <v>219</v>
      </c>
      <c r="H1274" s="617"/>
      <c r="I1274" s="617"/>
      <c r="J1274" s="617" t="s">
        <v>1399</v>
      </c>
      <c r="K1274" s="618"/>
      <c r="L1274" s="616"/>
      <c r="M1274" s="616"/>
      <c r="N1274" s="617"/>
      <c r="O1274" s="617"/>
      <c r="P1274" s="617"/>
      <c r="Q1274" s="617"/>
      <c r="R1274" s="619"/>
      <c r="S1274" s="617"/>
      <c r="T1274" s="616" t="s">
        <v>221</v>
      </c>
    </row>
    <row r="1275" ht="34.5">
      <c r="A1275" s="616" t="s">
        <v>1353</v>
      </c>
      <c r="B1275" s="616" t="s">
        <v>1354</v>
      </c>
      <c r="C1275" s="616" t="s">
        <v>1387</v>
      </c>
      <c r="D1275" s="616" t="s">
        <v>216</v>
      </c>
      <c r="E1275" s="616" t="s">
        <v>1365</v>
      </c>
      <c r="F1275" s="617" t="s">
        <v>1366</v>
      </c>
      <c r="G1275" s="616" t="s">
        <v>219</v>
      </c>
      <c r="H1275" s="617"/>
      <c r="I1275" s="617"/>
      <c r="J1275" s="617" t="s">
        <v>1400</v>
      </c>
      <c r="K1275" s="618"/>
      <c r="L1275" s="616"/>
      <c r="M1275" s="616"/>
      <c r="N1275" s="617"/>
      <c r="O1275" s="617"/>
      <c r="P1275" s="617"/>
      <c r="Q1275" s="617"/>
      <c r="R1275" s="619"/>
      <c r="S1275" s="617"/>
      <c r="T1275" s="616" t="s">
        <v>221</v>
      </c>
    </row>
    <row r="1276" ht="34.5">
      <c r="A1276" s="616" t="s">
        <v>1353</v>
      </c>
      <c r="B1276" s="616" t="s">
        <v>1354</v>
      </c>
      <c r="C1276" s="616" t="s">
        <v>1387</v>
      </c>
      <c r="D1276" s="616" t="s">
        <v>216</v>
      </c>
      <c r="E1276" s="616" t="s">
        <v>1365</v>
      </c>
      <c r="F1276" s="617" t="s">
        <v>1366</v>
      </c>
      <c r="G1276" s="616" t="s">
        <v>219</v>
      </c>
      <c r="H1276" s="617"/>
      <c r="I1276" s="617"/>
      <c r="J1276" s="617" t="s">
        <v>1401</v>
      </c>
      <c r="K1276" s="618"/>
      <c r="L1276" s="616"/>
      <c r="M1276" s="616"/>
      <c r="N1276" s="617"/>
      <c r="O1276" s="617"/>
      <c r="P1276" s="617"/>
      <c r="Q1276" s="617"/>
      <c r="R1276" s="619"/>
      <c r="S1276" s="617"/>
      <c r="T1276" s="616" t="s">
        <v>221</v>
      </c>
    </row>
    <row r="1277" ht="34.5">
      <c r="A1277" s="616" t="s">
        <v>1353</v>
      </c>
      <c r="B1277" s="616" t="s">
        <v>1354</v>
      </c>
      <c r="C1277" s="616" t="s">
        <v>1387</v>
      </c>
      <c r="D1277" s="616" t="s">
        <v>216</v>
      </c>
      <c r="E1277" s="616" t="s">
        <v>1365</v>
      </c>
      <c r="F1277" s="617" t="s">
        <v>1366</v>
      </c>
      <c r="G1277" s="616" t="s">
        <v>219</v>
      </c>
      <c r="H1277" s="617"/>
      <c r="I1277" s="617"/>
      <c r="J1277" s="617" t="s">
        <v>1402</v>
      </c>
      <c r="K1277" s="618"/>
      <c r="L1277" s="616"/>
      <c r="M1277" s="616"/>
      <c r="N1277" s="617"/>
      <c r="O1277" s="617"/>
      <c r="P1277" s="617"/>
      <c r="Q1277" s="617"/>
      <c r="R1277" s="619"/>
      <c r="S1277" s="617"/>
      <c r="T1277" s="616" t="s">
        <v>221</v>
      </c>
    </row>
    <row r="1278" ht="34.5">
      <c r="A1278" s="616" t="s">
        <v>1353</v>
      </c>
      <c r="B1278" s="616" t="s">
        <v>1354</v>
      </c>
      <c r="C1278" s="616" t="s">
        <v>1387</v>
      </c>
      <c r="D1278" s="616" t="s">
        <v>216</v>
      </c>
      <c r="E1278" s="616" t="s">
        <v>1365</v>
      </c>
      <c r="F1278" s="617" t="s">
        <v>1366</v>
      </c>
      <c r="G1278" s="616" t="s">
        <v>219</v>
      </c>
      <c r="H1278" s="617"/>
      <c r="I1278" s="617"/>
      <c r="J1278" s="617" t="s">
        <v>1403</v>
      </c>
      <c r="K1278" s="618"/>
      <c r="L1278" s="616"/>
      <c r="M1278" s="616"/>
      <c r="N1278" s="617"/>
      <c r="O1278" s="617"/>
      <c r="P1278" s="617"/>
      <c r="Q1278" s="617"/>
      <c r="R1278" s="619"/>
      <c r="S1278" s="617"/>
      <c r="T1278" s="616" t="s">
        <v>221</v>
      </c>
    </row>
    <row r="1279" ht="34.5">
      <c r="A1279" s="616" t="s">
        <v>1353</v>
      </c>
      <c r="B1279" s="616" t="s">
        <v>1354</v>
      </c>
      <c r="C1279" s="616" t="s">
        <v>1387</v>
      </c>
      <c r="D1279" s="616" t="s">
        <v>216</v>
      </c>
      <c r="E1279" s="616" t="s">
        <v>1365</v>
      </c>
      <c r="F1279" s="617" t="s">
        <v>1366</v>
      </c>
      <c r="G1279" s="616" t="s">
        <v>219</v>
      </c>
      <c r="H1279" s="617"/>
      <c r="I1279" s="617"/>
      <c r="J1279" s="617" t="s">
        <v>1404</v>
      </c>
      <c r="K1279" s="618"/>
      <c r="L1279" s="616"/>
      <c r="M1279" s="616"/>
      <c r="N1279" s="617"/>
      <c r="O1279" s="617"/>
      <c r="P1279" s="617"/>
      <c r="Q1279" s="617"/>
      <c r="R1279" s="619"/>
      <c r="S1279" s="617"/>
      <c r="T1279" s="616" t="s">
        <v>221</v>
      </c>
    </row>
    <row r="1280" ht="34.5">
      <c r="A1280" s="616" t="s">
        <v>1353</v>
      </c>
      <c r="B1280" s="616" t="s">
        <v>1354</v>
      </c>
      <c r="C1280" s="616" t="s">
        <v>1387</v>
      </c>
      <c r="D1280" s="616" t="s">
        <v>216</v>
      </c>
      <c r="E1280" s="616" t="s">
        <v>1365</v>
      </c>
      <c r="F1280" s="617" t="s">
        <v>1366</v>
      </c>
      <c r="G1280" s="616" t="s">
        <v>219</v>
      </c>
      <c r="H1280" s="617"/>
      <c r="I1280" s="617"/>
      <c r="J1280" s="617" t="s">
        <v>1405</v>
      </c>
      <c r="K1280" s="618"/>
      <c r="L1280" s="616"/>
      <c r="M1280" s="616"/>
      <c r="N1280" s="617"/>
      <c r="O1280" s="617"/>
      <c r="P1280" s="617"/>
      <c r="Q1280" s="617"/>
      <c r="R1280" s="619"/>
      <c r="S1280" s="617"/>
      <c r="T1280" s="616" t="s">
        <v>221</v>
      </c>
    </row>
    <row r="1281" ht="34.5">
      <c r="A1281" s="616" t="s">
        <v>1353</v>
      </c>
      <c r="B1281" s="616" t="s">
        <v>1354</v>
      </c>
      <c r="C1281" s="616" t="s">
        <v>1387</v>
      </c>
      <c r="D1281" s="616" t="s">
        <v>216</v>
      </c>
      <c r="E1281" s="616" t="s">
        <v>1365</v>
      </c>
      <c r="F1281" s="617" t="s">
        <v>1366</v>
      </c>
      <c r="G1281" s="616" t="s">
        <v>219</v>
      </c>
      <c r="H1281" s="617"/>
      <c r="I1281" s="617"/>
      <c r="J1281" s="617" t="s">
        <v>1406</v>
      </c>
      <c r="K1281" s="618"/>
      <c r="L1281" s="616"/>
      <c r="M1281" s="616"/>
      <c r="N1281" s="617"/>
      <c r="O1281" s="617"/>
      <c r="P1281" s="617"/>
      <c r="Q1281" s="617"/>
      <c r="R1281" s="619"/>
      <c r="S1281" s="617"/>
      <c r="T1281" s="616" t="s">
        <v>221</v>
      </c>
    </row>
    <row r="1282" ht="34.5">
      <c r="A1282" s="616" t="s">
        <v>1353</v>
      </c>
      <c r="B1282" s="616" t="s">
        <v>1354</v>
      </c>
      <c r="C1282" s="616" t="s">
        <v>1387</v>
      </c>
      <c r="D1282" s="616" t="s">
        <v>216</v>
      </c>
      <c r="E1282" s="616" t="s">
        <v>1365</v>
      </c>
      <c r="F1282" s="617" t="s">
        <v>1366</v>
      </c>
      <c r="G1282" s="616" t="s">
        <v>219</v>
      </c>
      <c r="H1282" s="617"/>
      <c r="I1282" s="617"/>
      <c r="J1282" s="617" t="s">
        <v>1407</v>
      </c>
      <c r="K1282" s="618"/>
      <c r="L1282" s="616"/>
      <c r="M1282" s="616"/>
      <c r="N1282" s="617"/>
      <c r="O1282" s="617"/>
      <c r="P1282" s="617"/>
      <c r="Q1282" s="617"/>
      <c r="R1282" s="619"/>
      <c r="S1282" s="617"/>
      <c r="T1282" s="616" t="s">
        <v>221</v>
      </c>
    </row>
    <row r="1283" ht="34.5">
      <c r="A1283" s="616" t="s">
        <v>1353</v>
      </c>
      <c r="B1283" s="616" t="s">
        <v>1354</v>
      </c>
      <c r="C1283" s="616" t="s">
        <v>1408</v>
      </c>
      <c r="D1283" s="616" t="s">
        <v>216</v>
      </c>
      <c r="E1283" s="616" t="s">
        <v>1365</v>
      </c>
      <c r="F1283" s="617" t="s">
        <v>1366</v>
      </c>
      <c r="G1283" s="616" t="s">
        <v>219</v>
      </c>
      <c r="H1283" s="617"/>
      <c r="I1283" s="617"/>
      <c r="J1283" s="617" t="s">
        <v>1409</v>
      </c>
      <c r="K1283" s="618"/>
      <c r="L1283" s="616"/>
      <c r="M1283" s="616"/>
      <c r="N1283" s="617"/>
      <c r="O1283" s="617"/>
      <c r="P1283" s="617"/>
      <c r="Q1283" s="617"/>
      <c r="R1283" s="619"/>
      <c r="S1283" s="617"/>
      <c r="T1283" s="616" t="s">
        <v>221</v>
      </c>
    </row>
    <row r="1284" ht="34.5">
      <c r="A1284" s="616" t="s">
        <v>1353</v>
      </c>
      <c r="B1284" s="616" t="s">
        <v>1354</v>
      </c>
      <c r="C1284" s="616" t="s">
        <v>1408</v>
      </c>
      <c r="D1284" s="616" t="s">
        <v>216</v>
      </c>
      <c r="E1284" s="616" t="s">
        <v>1365</v>
      </c>
      <c r="F1284" s="617" t="s">
        <v>1366</v>
      </c>
      <c r="G1284" s="616" t="s">
        <v>219</v>
      </c>
      <c r="H1284" s="617"/>
      <c r="I1284" s="617"/>
      <c r="J1284" s="617" t="s">
        <v>1410</v>
      </c>
      <c r="K1284" s="618"/>
      <c r="L1284" s="616"/>
      <c r="M1284" s="616"/>
      <c r="N1284" s="617"/>
      <c r="O1284" s="617"/>
      <c r="P1284" s="617"/>
      <c r="Q1284" s="617"/>
      <c r="R1284" s="619"/>
      <c r="S1284" s="617"/>
      <c r="T1284" s="616" t="s">
        <v>221</v>
      </c>
    </row>
    <row r="1285" ht="34.5">
      <c r="A1285" s="616" t="s">
        <v>1353</v>
      </c>
      <c r="B1285" s="616" t="s">
        <v>1354</v>
      </c>
      <c r="C1285" s="616" t="s">
        <v>1408</v>
      </c>
      <c r="D1285" s="616" t="s">
        <v>216</v>
      </c>
      <c r="E1285" s="616" t="s">
        <v>1365</v>
      </c>
      <c r="F1285" s="617" t="s">
        <v>1366</v>
      </c>
      <c r="G1285" s="616" t="s">
        <v>219</v>
      </c>
      <c r="H1285" s="617"/>
      <c r="I1285" s="617"/>
      <c r="J1285" s="617" t="s">
        <v>1411</v>
      </c>
      <c r="K1285" s="618"/>
      <c r="L1285" s="616"/>
      <c r="M1285" s="616"/>
      <c r="N1285" s="617"/>
      <c r="O1285" s="617"/>
      <c r="P1285" s="617"/>
      <c r="Q1285" s="617"/>
      <c r="R1285" s="619"/>
      <c r="S1285" s="617"/>
      <c r="T1285" s="616" t="s">
        <v>221</v>
      </c>
    </row>
    <row r="1286" ht="34.5">
      <c r="A1286" s="616" t="s">
        <v>1353</v>
      </c>
      <c r="B1286" s="616" t="s">
        <v>1354</v>
      </c>
      <c r="C1286" s="616" t="s">
        <v>1408</v>
      </c>
      <c r="D1286" s="616" t="s">
        <v>216</v>
      </c>
      <c r="E1286" s="616" t="s">
        <v>1365</v>
      </c>
      <c r="F1286" s="617" t="s">
        <v>1366</v>
      </c>
      <c r="G1286" s="616" t="s">
        <v>219</v>
      </c>
      <c r="H1286" s="617"/>
      <c r="I1286" s="617"/>
      <c r="J1286" s="617" t="s">
        <v>1412</v>
      </c>
      <c r="K1286" s="618"/>
      <c r="L1286" s="616"/>
      <c r="M1286" s="616"/>
      <c r="N1286" s="617"/>
      <c r="O1286" s="617"/>
      <c r="P1286" s="617"/>
      <c r="Q1286" s="617"/>
      <c r="R1286" s="619"/>
      <c r="S1286" s="617"/>
      <c r="T1286" s="616" t="s">
        <v>221</v>
      </c>
    </row>
    <row r="1287" ht="34.5">
      <c r="A1287" s="616" t="s">
        <v>1353</v>
      </c>
      <c r="B1287" s="616" t="s">
        <v>1354</v>
      </c>
      <c r="C1287" s="616" t="s">
        <v>1408</v>
      </c>
      <c r="D1287" s="616" t="s">
        <v>216</v>
      </c>
      <c r="E1287" s="616" t="s">
        <v>1365</v>
      </c>
      <c r="F1287" s="617" t="s">
        <v>1366</v>
      </c>
      <c r="G1287" s="616" t="s">
        <v>219</v>
      </c>
      <c r="H1287" s="617"/>
      <c r="I1287" s="617"/>
      <c r="J1287" s="617" t="s">
        <v>1413</v>
      </c>
      <c r="K1287" s="618"/>
      <c r="L1287" s="616"/>
      <c r="M1287" s="616"/>
      <c r="N1287" s="617"/>
      <c r="O1287" s="617"/>
      <c r="P1287" s="617"/>
      <c r="Q1287" s="617"/>
      <c r="R1287" s="619"/>
      <c r="S1287" s="617"/>
      <c r="T1287" s="616" t="s">
        <v>221</v>
      </c>
    </row>
    <row r="1288" ht="34.5">
      <c r="A1288" s="616" t="s">
        <v>1353</v>
      </c>
      <c r="B1288" s="616" t="s">
        <v>1354</v>
      </c>
      <c r="C1288" s="616" t="s">
        <v>1408</v>
      </c>
      <c r="D1288" s="616" t="s">
        <v>216</v>
      </c>
      <c r="E1288" s="616" t="s">
        <v>1365</v>
      </c>
      <c r="F1288" s="617" t="s">
        <v>1366</v>
      </c>
      <c r="G1288" s="616" t="s">
        <v>219</v>
      </c>
      <c r="H1288" s="617"/>
      <c r="I1288" s="617"/>
      <c r="J1288" s="617" t="s">
        <v>1414</v>
      </c>
      <c r="K1288" s="618"/>
      <c r="L1288" s="616"/>
      <c r="M1288" s="616"/>
      <c r="N1288" s="617"/>
      <c r="O1288" s="617"/>
      <c r="P1288" s="617"/>
      <c r="Q1288" s="617"/>
      <c r="R1288" s="619"/>
      <c r="S1288" s="617"/>
      <c r="T1288" s="616" t="s">
        <v>221</v>
      </c>
    </row>
    <row r="1289" ht="34.5">
      <c r="A1289" s="616" t="s">
        <v>1353</v>
      </c>
      <c r="B1289" s="616" t="s">
        <v>1354</v>
      </c>
      <c r="C1289" s="616" t="s">
        <v>1408</v>
      </c>
      <c r="D1289" s="616" t="s">
        <v>216</v>
      </c>
      <c r="E1289" s="616" t="s">
        <v>1365</v>
      </c>
      <c r="F1289" s="617" t="s">
        <v>1366</v>
      </c>
      <c r="G1289" s="616" t="s">
        <v>219</v>
      </c>
      <c r="H1289" s="617"/>
      <c r="I1289" s="617"/>
      <c r="J1289" s="617" t="s">
        <v>1415</v>
      </c>
      <c r="K1289" s="618"/>
      <c r="L1289" s="616"/>
      <c r="M1289" s="616"/>
      <c r="N1289" s="617"/>
      <c r="O1289" s="617"/>
      <c r="P1289" s="617"/>
      <c r="Q1289" s="617"/>
      <c r="R1289" s="619"/>
      <c r="S1289" s="617"/>
      <c r="T1289" s="616" t="s">
        <v>221</v>
      </c>
    </row>
    <row r="1290" ht="34.5">
      <c r="A1290" s="616" t="s">
        <v>1353</v>
      </c>
      <c r="B1290" s="616" t="s">
        <v>1354</v>
      </c>
      <c r="C1290" s="616" t="s">
        <v>1408</v>
      </c>
      <c r="D1290" s="616" t="s">
        <v>216</v>
      </c>
      <c r="E1290" s="616" t="s">
        <v>1365</v>
      </c>
      <c r="F1290" s="617" t="s">
        <v>1366</v>
      </c>
      <c r="G1290" s="616" t="s">
        <v>219</v>
      </c>
      <c r="H1290" s="617"/>
      <c r="I1290" s="617"/>
      <c r="J1290" s="617" t="s">
        <v>1416</v>
      </c>
      <c r="K1290" s="618"/>
      <c r="L1290" s="616"/>
      <c r="M1290" s="616"/>
      <c r="N1290" s="617"/>
      <c r="O1290" s="617"/>
      <c r="P1290" s="617"/>
      <c r="Q1290" s="617"/>
      <c r="R1290" s="619"/>
      <c r="S1290" s="617"/>
      <c r="T1290" s="616" t="s">
        <v>221</v>
      </c>
    </row>
    <row r="1291" ht="34.5">
      <c r="A1291" s="616" t="s">
        <v>1353</v>
      </c>
      <c r="B1291" s="616" t="s">
        <v>1354</v>
      </c>
      <c r="C1291" s="616" t="s">
        <v>1408</v>
      </c>
      <c r="D1291" s="616" t="s">
        <v>216</v>
      </c>
      <c r="E1291" s="616" t="s">
        <v>1365</v>
      </c>
      <c r="F1291" s="617" t="s">
        <v>1366</v>
      </c>
      <c r="G1291" s="616" t="s">
        <v>219</v>
      </c>
      <c r="H1291" s="617"/>
      <c r="I1291" s="617"/>
      <c r="J1291" s="617" t="s">
        <v>1417</v>
      </c>
      <c r="K1291" s="618"/>
      <c r="L1291" s="616"/>
      <c r="M1291" s="616"/>
      <c r="N1291" s="617"/>
      <c r="O1291" s="617"/>
      <c r="P1291" s="617"/>
      <c r="Q1291" s="617"/>
      <c r="R1291" s="619"/>
      <c r="S1291" s="617"/>
      <c r="T1291" s="616" t="s">
        <v>221</v>
      </c>
    </row>
    <row r="1292" ht="34.5">
      <c r="A1292" s="616" t="s">
        <v>1353</v>
      </c>
      <c r="B1292" s="616" t="s">
        <v>1354</v>
      </c>
      <c r="C1292" s="616" t="s">
        <v>1408</v>
      </c>
      <c r="D1292" s="616" t="s">
        <v>216</v>
      </c>
      <c r="E1292" s="616" t="s">
        <v>1365</v>
      </c>
      <c r="F1292" s="617" t="s">
        <v>1366</v>
      </c>
      <c r="G1292" s="616" t="s">
        <v>219</v>
      </c>
      <c r="H1292" s="617"/>
      <c r="I1292" s="617"/>
      <c r="J1292" s="617" t="s">
        <v>1418</v>
      </c>
      <c r="K1292" s="618"/>
      <c r="L1292" s="616"/>
      <c r="M1292" s="616"/>
      <c r="N1292" s="617"/>
      <c r="O1292" s="617"/>
      <c r="P1292" s="617"/>
      <c r="Q1292" s="617"/>
      <c r="R1292" s="619"/>
      <c r="S1292" s="617"/>
      <c r="T1292" s="616" t="s">
        <v>221</v>
      </c>
    </row>
    <row r="1293" ht="34.5">
      <c r="A1293" s="616" t="s">
        <v>1353</v>
      </c>
      <c r="B1293" s="616" t="s">
        <v>1354</v>
      </c>
      <c r="C1293" s="616" t="s">
        <v>1408</v>
      </c>
      <c r="D1293" s="616" t="s">
        <v>216</v>
      </c>
      <c r="E1293" s="616" t="s">
        <v>1365</v>
      </c>
      <c r="F1293" s="617" t="s">
        <v>1366</v>
      </c>
      <c r="G1293" s="616" t="s">
        <v>219</v>
      </c>
      <c r="H1293" s="617"/>
      <c r="I1293" s="617"/>
      <c r="J1293" s="617" t="s">
        <v>1419</v>
      </c>
      <c r="K1293" s="618"/>
      <c r="L1293" s="616"/>
      <c r="M1293" s="616"/>
      <c r="N1293" s="617"/>
      <c r="O1293" s="617"/>
      <c r="P1293" s="617"/>
      <c r="Q1293" s="617"/>
      <c r="R1293" s="619"/>
      <c r="S1293" s="617"/>
      <c r="T1293" s="616" t="s">
        <v>221</v>
      </c>
    </row>
    <row r="1294" ht="34.5">
      <c r="A1294" s="616" t="s">
        <v>1353</v>
      </c>
      <c r="B1294" s="616" t="s">
        <v>1354</v>
      </c>
      <c r="C1294" s="616" t="s">
        <v>1408</v>
      </c>
      <c r="D1294" s="616" t="s">
        <v>216</v>
      </c>
      <c r="E1294" s="616" t="s">
        <v>1365</v>
      </c>
      <c r="F1294" s="617" t="s">
        <v>1366</v>
      </c>
      <c r="G1294" s="616" t="s">
        <v>219</v>
      </c>
      <c r="H1294" s="617"/>
      <c r="I1294" s="617"/>
      <c r="J1294" s="617" t="s">
        <v>1420</v>
      </c>
      <c r="K1294" s="618"/>
      <c r="L1294" s="616"/>
      <c r="M1294" s="616"/>
      <c r="N1294" s="617"/>
      <c r="O1294" s="617"/>
      <c r="P1294" s="617"/>
      <c r="Q1294" s="617"/>
      <c r="R1294" s="619"/>
      <c r="S1294" s="617"/>
      <c r="T1294" s="616" t="s">
        <v>221</v>
      </c>
    </row>
    <row r="1295" ht="34.5">
      <c r="A1295" s="616" t="s">
        <v>1353</v>
      </c>
      <c r="B1295" s="616" t="s">
        <v>1354</v>
      </c>
      <c r="C1295" s="616" t="s">
        <v>1408</v>
      </c>
      <c r="D1295" s="616" t="s">
        <v>216</v>
      </c>
      <c r="E1295" s="616" t="s">
        <v>1365</v>
      </c>
      <c r="F1295" s="617" t="s">
        <v>1366</v>
      </c>
      <c r="G1295" s="616" t="s">
        <v>219</v>
      </c>
      <c r="H1295" s="617"/>
      <c r="I1295" s="617"/>
      <c r="J1295" s="617" t="s">
        <v>1421</v>
      </c>
      <c r="K1295" s="618"/>
      <c r="L1295" s="616"/>
      <c r="M1295" s="616"/>
      <c r="N1295" s="617"/>
      <c r="O1295" s="617"/>
      <c r="P1295" s="617"/>
      <c r="Q1295" s="617"/>
      <c r="R1295" s="619"/>
      <c r="S1295" s="617"/>
      <c r="T1295" s="616" t="s">
        <v>221</v>
      </c>
    </row>
    <row r="1296" ht="34.5">
      <c r="A1296" s="616" t="s">
        <v>1353</v>
      </c>
      <c r="B1296" s="616" t="s">
        <v>1354</v>
      </c>
      <c r="C1296" s="616" t="s">
        <v>1422</v>
      </c>
      <c r="D1296" s="616" t="s">
        <v>216</v>
      </c>
      <c r="E1296" s="616" t="s">
        <v>217</v>
      </c>
      <c r="F1296" s="617" t="s">
        <v>218</v>
      </c>
      <c r="G1296" s="616" t="s">
        <v>219</v>
      </c>
      <c r="H1296" s="617"/>
      <c r="I1296" s="617"/>
      <c r="J1296" s="617" t="s">
        <v>1423</v>
      </c>
      <c r="K1296" s="618"/>
      <c r="L1296" s="616"/>
      <c r="M1296" s="616"/>
      <c r="N1296" s="617"/>
      <c r="O1296" s="617"/>
      <c r="P1296" s="617"/>
      <c r="Q1296" s="617"/>
      <c r="R1296" s="619"/>
      <c r="S1296" s="617"/>
      <c r="T1296" s="616" t="s">
        <v>221</v>
      </c>
    </row>
    <row r="1297" ht="34.5">
      <c r="A1297" s="616" t="s">
        <v>1353</v>
      </c>
      <c r="B1297" s="616" t="s">
        <v>1354</v>
      </c>
      <c r="C1297" s="616" t="s">
        <v>1422</v>
      </c>
      <c r="D1297" s="616" t="s">
        <v>216</v>
      </c>
      <c r="E1297" s="616" t="s">
        <v>217</v>
      </c>
      <c r="F1297" s="617" t="s">
        <v>218</v>
      </c>
      <c r="G1297" s="616" t="s">
        <v>219</v>
      </c>
      <c r="H1297" s="617"/>
      <c r="I1297" s="617"/>
      <c r="J1297" s="617" t="s">
        <v>1424</v>
      </c>
      <c r="K1297" s="618"/>
      <c r="L1297" s="616"/>
      <c r="M1297" s="616"/>
      <c r="N1297" s="617"/>
      <c r="O1297" s="617"/>
      <c r="P1297" s="617"/>
      <c r="Q1297" s="617"/>
      <c r="R1297" s="619"/>
      <c r="S1297" s="617"/>
      <c r="T1297" s="616" t="s">
        <v>221</v>
      </c>
    </row>
    <row r="1298" ht="34.5">
      <c r="A1298" s="616" t="s">
        <v>1353</v>
      </c>
      <c r="B1298" s="616" t="s">
        <v>1354</v>
      </c>
      <c r="C1298" s="616" t="s">
        <v>1422</v>
      </c>
      <c r="D1298" s="616" t="s">
        <v>216</v>
      </c>
      <c r="E1298" s="616" t="s">
        <v>217</v>
      </c>
      <c r="F1298" s="617" t="s">
        <v>218</v>
      </c>
      <c r="G1298" s="616" t="s">
        <v>219</v>
      </c>
      <c r="H1298" s="617"/>
      <c r="I1298" s="617"/>
      <c r="J1298" s="617" t="s">
        <v>225</v>
      </c>
      <c r="K1298" s="618"/>
      <c r="L1298" s="616"/>
      <c r="M1298" s="616"/>
      <c r="N1298" s="617"/>
      <c r="O1298" s="617"/>
      <c r="P1298" s="617"/>
      <c r="Q1298" s="617"/>
      <c r="R1298" s="619"/>
      <c r="S1298" s="617"/>
      <c r="T1298" s="616" t="s">
        <v>221</v>
      </c>
    </row>
    <row r="1299" ht="34.5">
      <c r="A1299" s="616" t="s">
        <v>1353</v>
      </c>
      <c r="B1299" s="616" t="s">
        <v>1354</v>
      </c>
      <c r="C1299" s="616" t="s">
        <v>1422</v>
      </c>
      <c r="D1299" s="616" t="s">
        <v>216</v>
      </c>
      <c r="E1299" s="616" t="s">
        <v>217</v>
      </c>
      <c r="F1299" s="617" t="s">
        <v>218</v>
      </c>
      <c r="G1299" s="616" t="s">
        <v>219</v>
      </c>
      <c r="H1299" s="617"/>
      <c r="I1299" s="617"/>
      <c r="J1299" s="617" t="s">
        <v>1425</v>
      </c>
      <c r="K1299" s="618"/>
      <c r="L1299" s="616"/>
      <c r="M1299" s="616"/>
      <c r="N1299" s="617"/>
      <c r="O1299" s="617"/>
      <c r="P1299" s="617"/>
      <c r="Q1299" s="617"/>
      <c r="R1299" s="619"/>
      <c r="S1299" s="617"/>
      <c r="T1299" s="616" t="s">
        <v>221</v>
      </c>
    </row>
    <row r="1300" ht="34.5">
      <c r="A1300" s="616" t="s">
        <v>1353</v>
      </c>
      <c r="B1300" s="616" t="s">
        <v>1354</v>
      </c>
      <c r="C1300" s="616" t="s">
        <v>1422</v>
      </c>
      <c r="D1300" s="616" t="s">
        <v>216</v>
      </c>
      <c r="E1300" s="616" t="s">
        <v>217</v>
      </c>
      <c r="F1300" s="617" t="s">
        <v>218</v>
      </c>
      <c r="G1300" s="616" t="s">
        <v>219</v>
      </c>
      <c r="H1300" s="617"/>
      <c r="I1300" s="617"/>
      <c r="J1300" s="617" t="s">
        <v>227</v>
      </c>
      <c r="K1300" s="618"/>
      <c r="L1300" s="616"/>
      <c r="M1300" s="616"/>
      <c r="N1300" s="617"/>
      <c r="O1300" s="617"/>
      <c r="P1300" s="617"/>
      <c r="Q1300" s="617"/>
      <c r="R1300" s="619"/>
      <c r="S1300" s="617"/>
      <c r="T1300" s="616" t="s">
        <v>221</v>
      </c>
    </row>
    <row r="1301" ht="34.5">
      <c r="A1301" s="616" t="s">
        <v>1353</v>
      </c>
      <c r="B1301" s="616" t="s">
        <v>1354</v>
      </c>
      <c r="C1301" s="616" t="s">
        <v>1422</v>
      </c>
      <c r="D1301" s="616" t="s">
        <v>216</v>
      </c>
      <c r="E1301" s="616" t="s">
        <v>217</v>
      </c>
      <c r="F1301" s="617" t="s">
        <v>218</v>
      </c>
      <c r="G1301" s="616" t="s">
        <v>219</v>
      </c>
      <c r="H1301" s="617"/>
      <c r="I1301" s="617"/>
      <c r="J1301" s="617" t="s">
        <v>228</v>
      </c>
      <c r="K1301" s="618"/>
      <c r="L1301" s="616"/>
      <c r="M1301" s="616"/>
      <c r="N1301" s="617"/>
      <c r="O1301" s="617"/>
      <c r="P1301" s="617"/>
      <c r="Q1301" s="617"/>
      <c r="R1301" s="619"/>
      <c r="S1301" s="617"/>
      <c r="T1301" s="616" t="s">
        <v>221</v>
      </c>
    </row>
    <row r="1302" ht="34.5">
      <c r="A1302" s="616" t="s">
        <v>1353</v>
      </c>
      <c r="B1302" s="616" t="s">
        <v>1354</v>
      </c>
      <c r="C1302" s="616" t="s">
        <v>1422</v>
      </c>
      <c r="D1302" s="616" t="s">
        <v>216</v>
      </c>
      <c r="E1302" s="616" t="s">
        <v>217</v>
      </c>
      <c r="F1302" s="617" t="s">
        <v>218</v>
      </c>
      <c r="G1302" s="616" t="s">
        <v>219</v>
      </c>
      <c r="H1302" s="617"/>
      <c r="I1302" s="617"/>
      <c r="J1302" s="617" t="s">
        <v>1426</v>
      </c>
      <c r="K1302" s="618"/>
      <c r="L1302" s="616"/>
      <c r="M1302" s="616"/>
      <c r="N1302" s="617"/>
      <c r="O1302" s="617"/>
      <c r="P1302" s="617"/>
      <c r="Q1302" s="617"/>
      <c r="R1302" s="619"/>
      <c r="S1302" s="617"/>
      <c r="T1302" s="616" t="s">
        <v>221</v>
      </c>
    </row>
    <row r="1303" ht="34.5">
      <c r="A1303" s="616" t="s">
        <v>1353</v>
      </c>
      <c r="B1303" s="616" t="s">
        <v>1354</v>
      </c>
      <c r="C1303" s="616" t="s">
        <v>1422</v>
      </c>
      <c r="D1303" s="616" t="s">
        <v>216</v>
      </c>
      <c r="E1303" s="616" t="s">
        <v>217</v>
      </c>
      <c r="F1303" s="617" t="s">
        <v>218</v>
      </c>
      <c r="G1303" s="616" t="s">
        <v>219</v>
      </c>
      <c r="H1303" s="617"/>
      <c r="I1303" s="617"/>
      <c r="J1303" s="617" t="s">
        <v>230</v>
      </c>
      <c r="K1303" s="618"/>
      <c r="L1303" s="616"/>
      <c r="M1303" s="616"/>
      <c r="N1303" s="617"/>
      <c r="O1303" s="617"/>
      <c r="P1303" s="617"/>
      <c r="Q1303" s="617"/>
      <c r="R1303" s="619"/>
      <c r="S1303" s="617"/>
      <c r="T1303" s="616" t="s">
        <v>221</v>
      </c>
    </row>
    <row r="1304" ht="34.5">
      <c r="A1304" s="616" t="s">
        <v>1353</v>
      </c>
      <c r="B1304" s="616" t="s">
        <v>1354</v>
      </c>
      <c r="C1304" s="616" t="s">
        <v>1422</v>
      </c>
      <c r="D1304" s="616" t="s">
        <v>216</v>
      </c>
      <c r="E1304" s="616" t="s">
        <v>217</v>
      </c>
      <c r="F1304" s="617" t="s">
        <v>218</v>
      </c>
      <c r="G1304" s="616" t="s">
        <v>219</v>
      </c>
      <c r="H1304" s="617"/>
      <c r="I1304" s="617"/>
      <c r="J1304" s="617" t="s">
        <v>231</v>
      </c>
      <c r="K1304" s="618"/>
      <c r="L1304" s="616"/>
      <c r="M1304" s="616"/>
      <c r="N1304" s="617"/>
      <c r="O1304" s="617"/>
      <c r="P1304" s="617"/>
      <c r="Q1304" s="617"/>
      <c r="R1304" s="619"/>
      <c r="S1304" s="617"/>
      <c r="T1304" s="616" t="s">
        <v>221</v>
      </c>
    </row>
    <row r="1305" ht="34.5">
      <c r="A1305" s="616" t="s">
        <v>1353</v>
      </c>
      <c r="B1305" s="616" t="s">
        <v>1354</v>
      </c>
      <c r="C1305" s="616" t="s">
        <v>1422</v>
      </c>
      <c r="D1305" s="616" t="s">
        <v>216</v>
      </c>
      <c r="E1305" s="616" t="s">
        <v>217</v>
      </c>
      <c r="F1305" s="617" t="s">
        <v>218</v>
      </c>
      <c r="G1305" s="616" t="s">
        <v>219</v>
      </c>
      <c r="H1305" s="617"/>
      <c r="I1305" s="617"/>
      <c r="J1305" s="617" t="s">
        <v>232</v>
      </c>
      <c r="K1305" s="618"/>
      <c r="L1305" s="616"/>
      <c r="M1305" s="616"/>
      <c r="N1305" s="617"/>
      <c r="O1305" s="617"/>
      <c r="P1305" s="617"/>
      <c r="Q1305" s="617"/>
      <c r="R1305" s="619"/>
      <c r="S1305" s="617"/>
      <c r="T1305" s="616" t="s">
        <v>221</v>
      </c>
    </row>
    <row r="1306" ht="34.5">
      <c r="A1306" s="616" t="s">
        <v>1353</v>
      </c>
      <c r="B1306" s="616" t="s">
        <v>1354</v>
      </c>
      <c r="C1306" s="616" t="s">
        <v>1422</v>
      </c>
      <c r="D1306" s="616" t="s">
        <v>216</v>
      </c>
      <c r="E1306" s="616" t="s">
        <v>217</v>
      </c>
      <c r="F1306" s="617" t="s">
        <v>218</v>
      </c>
      <c r="G1306" s="616" t="s">
        <v>219</v>
      </c>
      <c r="H1306" s="617"/>
      <c r="I1306" s="617"/>
      <c r="J1306" s="617" t="s">
        <v>233</v>
      </c>
      <c r="K1306" s="618"/>
      <c r="L1306" s="616"/>
      <c r="M1306" s="616"/>
      <c r="N1306" s="617"/>
      <c r="O1306" s="617"/>
      <c r="P1306" s="617"/>
      <c r="Q1306" s="617"/>
      <c r="R1306" s="619"/>
      <c r="S1306" s="617"/>
      <c r="T1306" s="616" t="s">
        <v>221</v>
      </c>
    </row>
    <row r="1307" ht="34.5">
      <c r="A1307" s="616" t="s">
        <v>1353</v>
      </c>
      <c r="B1307" s="616" t="s">
        <v>1354</v>
      </c>
      <c r="C1307" s="616" t="s">
        <v>1422</v>
      </c>
      <c r="D1307" s="616" t="s">
        <v>216</v>
      </c>
      <c r="E1307" s="616" t="s">
        <v>217</v>
      </c>
      <c r="F1307" s="617" t="s">
        <v>218</v>
      </c>
      <c r="G1307" s="616" t="s">
        <v>219</v>
      </c>
      <c r="H1307" s="617"/>
      <c r="I1307" s="617"/>
      <c r="J1307" s="617" t="s">
        <v>234</v>
      </c>
      <c r="K1307" s="618"/>
      <c r="L1307" s="616"/>
      <c r="M1307" s="616"/>
      <c r="N1307" s="617"/>
      <c r="O1307" s="617"/>
      <c r="P1307" s="617"/>
      <c r="Q1307" s="617"/>
      <c r="R1307" s="619"/>
      <c r="S1307" s="617"/>
      <c r="T1307" s="616" t="s">
        <v>221</v>
      </c>
    </row>
    <row r="1308" ht="34.5">
      <c r="A1308" s="616" t="s">
        <v>1353</v>
      </c>
      <c r="B1308" s="616" t="s">
        <v>1354</v>
      </c>
      <c r="C1308" s="616" t="s">
        <v>1422</v>
      </c>
      <c r="D1308" s="616" t="s">
        <v>216</v>
      </c>
      <c r="E1308" s="616" t="s">
        <v>217</v>
      </c>
      <c r="F1308" s="617" t="s">
        <v>218</v>
      </c>
      <c r="G1308" s="616" t="s">
        <v>219</v>
      </c>
      <c r="H1308" s="617"/>
      <c r="I1308" s="617"/>
      <c r="J1308" s="617" t="s">
        <v>235</v>
      </c>
      <c r="K1308" s="618"/>
      <c r="L1308" s="616"/>
      <c r="M1308" s="616"/>
      <c r="N1308" s="617"/>
      <c r="O1308" s="617"/>
      <c r="P1308" s="617"/>
      <c r="Q1308" s="617"/>
      <c r="R1308" s="619"/>
      <c r="S1308" s="617"/>
      <c r="T1308" s="616" t="s">
        <v>221</v>
      </c>
    </row>
    <row r="1309" ht="34.5">
      <c r="A1309" s="616" t="s">
        <v>1353</v>
      </c>
      <c r="B1309" s="616" t="s">
        <v>1354</v>
      </c>
      <c r="C1309" s="616" t="s">
        <v>1422</v>
      </c>
      <c r="D1309" s="616" t="s">
        <v>216</v>
      </c>
      <c r="E1309" s="616" t="s">
        <v>217</v>
      </c>
      <c r="F1309" s="617" t="s">
        <v>218</v>
      </c>
      <c r="G1309" s="616" t="s">
        <v>219</v>
      </c>
      <c r="H1309" s="617"/>
      <c r="I1309" s="617"/>
      <c r="J1309" s="617" t="s">
        <v>236</v>
      </c>
      <c r="K1309" s="618"/>
      <c r="L1309" s="616"/>
      <c r="M1309" s="616"/>
      <c r="N1309" s="617"/>
      <c r="O1309" s="617"/>
      <c r="P1309" s="617"/>
      <c r="Q1309" s="617"/>
      <c r="R1309" s="619"/>
      <c r="S1309" s="617"/>
      <c r="T1309" s="616" t="s">
        <v>221</v>
      </c>
    </row>
    <row r="1310" ht="34.5">
      <c r="A1310" s="616" t="s">
        <v>1353</v>
      </c>
      <c r="B1310" s="616" t="s">
        <v>1354</v>
      </c>
      <c r="C1310" s="616" t="s">
        <v>1422</v>
      </c>
      <c r="D1310" s="616" t="s">
        <v>216</v>
      </c>
      <c r="E1310" s="616" t="s">
        <v>217</v>
      </c>
      <c r="F1310" s="617" t="s">
        <v>218</v>
      </c>
      <c r="G1310" s="616" t="s">
        <v>219</v>
      </c>
      <c r="H1310" s="617"/>
      <c r="I1310" s="617"/>
      <c r="J1310" s="617" t="s">
        <v>1427</v>
      </c>
      <c r="K1310" s="618"/>
      <c r="L1310" s="616"/>
      <c r="M1310" s="616"/>
      <c r="N1310" s="617"/>
      <c r="O1310" s="617"/>
      <c r="P1310" s="617"/>
      <c r="Q1310" s="617"/>
      <c r="R1310" s="619"/>
      <c r="S1310" s="617"/>
      <c r="T1310" s="616" t="s">
        <v>221</v>
      </c>
    </row>
    <row r="1311" ht="34.5">
      <c r="A1311" s="616" t="s">
        <v>1353</v>
      </c>
      <c r="B1311" s="616" t="s">
        <v>1354</v>
      </c>
      <c r="C1311" s="616" t="s">
        <v>1428</v>
      </c>
      <c r="D1311" s="616" t="s">
        <v>216</v>
      </c>
      <c r="E1311" s="616" t="s">
        <v>217</v>
      </c>
      <c r="F1311" s="617" t="s">
        <v>218</v>
      </c>
      <c r="G1311" s="616" t="s">
        <v>219</v>
      </c>
      <c r="H1311" s="617"/>
      <c r="I1311" s="617"/>
      <c r="J1311" s="617" t="s">
        <v>240</v>
      </c>
      <c r="K1311" s="618"/>
      <c r="L1311" s="616"/>
      <c r="M1311" s="616"/>
      <c r="N1311" s="617"/>
      <c r="O1311" s="617"/>
      <c r="P1311" s="617"/>
      <c r="Q1311" s="617"/>
      <c r="R1311" s="619"/>
      <c r="S1311" s="617"/>
      <c r="T1311" s="616" t="s">
        <v>221</v>
      </c>
    </row>
    <row r="1312" ht="34.5">
      <c r="A1312" s="616" t="s">
        <v>1353</v>
      </c>
      <c r="B1312" s="616" t="s">
        <v>1354</v>
      </c>
      <c r="C1312" s="616" t="s">
        <v>1428</v>
      </c>
      <c r="D1312" s="616" t="s">
        <v>216</v>
      </c>
      <c r="E1312" s="616" t="s">
        <v>217</v>
      </c>
      <c r="F1312" s="617" t="s">
        <v>218</v>
      </c>
      <c r="G1312" s="616" t="s">
        <v>219</v>
      </c>
      <c r="H1312" s="617"/>
      <c r="I1312" s="617"/>
      <c r="J1312" s="617" t="s">
        <v>241</v>
      </c>
      <c r="K1312" s="618"/>
      <c r="L1312" s="616"/>
      <c r="M1312" s="616"/>
      <c r="N1312" s="617"/>
      <c r="O1312" s="617"/>
      <c r="P1312" s="617"/>
      <c r="Q1312" s="617"/>
      <c r="R1312" s="619"/>
      <c r="S1312" s="617"/>
      <c r="T1312" s="616" t="s">
        <v>221</v>
      </c>
    </row>
    <row r="1313" ht="34.5">
      <c r="A1313" s="616" t="s">
        <v>1353</v>
      </c>
      <c r="B1313" s="616" t="s">
        <v>1354</v>
      </c>
      <c r="C1313" s="616" t="s">
        <v>1428</v>
      </c>
      <c r="D1313" s="616" t="s">
        <v>216</v>
      </c>
      <c r="E1313" s="616" t="s">
        <v>217</v>
      </c>
      <c r="F1313" s="617" t="s">
        <v>218</v>
      </c>
      <c r="G1313" s="616" t="s">
        <v>219</v>
      </c>
      <c r="H1313" s="617"/>
      <c r="I1313" s="617"/>
      <c r="J1313" s="617" t="s">
        <v>242</v>
      </c>
      <c r="K1313" s="618"/>
      <c r="L1313" s="616"/>
      <c r="M1313" s="616"/>
      <c r="N1313" s="617"/>
      <c r="O1313" s="617"/>
      <c r="P1313" s="617"/>
      <c r="Q1313" s="617"/>
      <c r="R1313" s="619"/>
      <c r="S1313" s="617"/>
      <c r="T1313" s="616" t="s">
        <v>221</v>
      </c>
    </row>
    <row r="1314" ht="34.5">
      <c r="A1314" s="616" t="s">
        <v>1353</v>
      </c>
      <c r="B1314" s="616" t="s">
        <v>1354</v>
      </c>
      <c r="C1314" s="616" t="s">
        <v>1428</v>
      </c>
      <c r="D1314" s="616" t="s">
        <v>216</v>
      </c>
      <c r="E1314" s="616" t="s">
        <v>217</v>
      </c>
      <c r="F1314" s="617" t="s">
        <v>218</v>
      </c>
      <c r="G1314" s="616" t="s">
        <v>219</v>
      </c>
      <c r="H1314" s="617"/>
      <c r="I1314" s="617"/>
      <c r="J1314" s="617" t="s">
        <v>1429</v>
      </c>
      <c r="K1314" s="618"/>
      <c r="L1314" s="616"/>
      <c r="M1314" s="616"/>
      <c r="N1314" s="617"/>
      <c r="O1314" s="617"/>
      <c r="P1314" s="617"/>
      <c r="Q1314" s="617"/>
      <c r="R1314" s="619"/>
      <c r="S1314" s="617"/>
      <c r="T1314" s="616" t="s">
        <v>221</v>
      </c>
    </row>
    <row r="1315" ht="34.5">
      <c r="A1315" s="616" t="s">
        <v>1353</v>
      </c>
      <c r="B1315" s="616" t="s">
        <v>1354</v>
      </c>
      <c r="C1315" s="616" t="s">
        <v>1428</v>
      </c>
      <c r="D1315" s="616" t="s">
        <v>216</v>
      </c>
      <c r="E1315" s="616" t="s">
        <v>217</v>
      </c>
      <c r="F1315" s="617" t="s">
        <v>218</v>
      </c>
      <c r="G1315" s="616" t="s">
        <v>219</v>
      </c>
      <c r="H1315" s="617"/>
      <c r="I1315" s="617"/>
      <c r="J1315" s="617" t="s">
        <v>244</v>
      </c>
      <c r="K1315" s="618"/>
      <c r="L1315" s="616"/>
      <c r="M1315" s="616"/>
      <c r="N1315" s="617"/>
      <c r="O1315" s="617"/>
      <c r="P1315" s="617"/>
      <c r="Q1315" s="617"/>
      <c r="R1315" s="619"/>
      <c r="S1315" s="617"/>
      <c r="T1315" s="616" t="s">
        <v>221</v>
      </c>
    </row>
    <row r="1316" ht="34.5">
      <c r="A1316" s="616" t="s">
        <v>1353</v>
      </c>
      <c r="B1316" s="616" t="s">
        <v>1354</v>
      </c>
      <c r="C1316" s="616" t="s">
        <v>1428</v>
      </c>
      <c r="D1316" s="616" t="s">
        <v>216</v>
      </c>
      <c r="E1316" s="616" t="s">
        <v>217</v>
      </c>
      <c r="F1316" s="617" t="s">
        <v>218</v>
      </c>
      <c r="G1316" s="616" t="s">
        <v>219</v>
      </c>
      <c r="H1316" s="617"/>
      <c r="I1316" s="617"/>
      <c r="J1316" s="617" t="s">
        <v>245</v>
      </c>
      <c r="K1316" s="618"/>
      <c r="L1316" s="616"/>
      <c r="M1316" s="616"/>
      <c r="N1316" s="617"/>
      <c r="O1316" s="617"/>
      <c r="P1316" s="617"/>
      <c r="Q1316" s="617"/>
      <c r="R1316" s="619"/>
      <c r="S1316" s="617"/>
      <c r="T1316" s="616" t="s">
        <v>221</v>
      </c>
    </row>
    <row r="1317" ht="34.5">
      <c r="A1317" s="616" t="s">
        <v>1353</v>
      </c>
      <c r="B1317" s="616" t="s">
        <v>1354</v>
      </c>
      <c r="C1317" s="616" t="s">
        <v>1428</v>
      </c>
      <c r="D1317" s="616" t="s">
        <v>216</v>
      </c>
      <c r="E1317" s="616" t="s">
        <v>217</v>
      </c>
      <c r="F1317" s="617" t="s">
        <v>218</v>
      </c>
      <c r="G1317" s="616" t="s">
        <v>219</v>
      </c>
      <c r="H1317" s="617"/>
      <c r="I1317" s="617"/>
      <c r="J1317" s="617" t="s">
        <v>246</v>
      </c>
      <c r="K1317" s="618"/>
      <c r="L1317" s="616"/>
      <c r="M1317" s="616"/>
      <c r="N1317" s="617"/>
      <c r="O1317" s="617"/>
      <c r="P1317" s="617"/>
      <c r="Q1317" s="617"/>
      <c r="R1317" s="619"/>
      <c r="S1317" s="617"/>
      <c r="T1317" s="616" t="s">
        <v>221</v>
      </c>
    </row>
    <row r="1318" ht="34.5">
      <c r="A1318" s="616" t="s">
        <v>1353</v>
      </c>
      <c r="B1318" s="616" t="s">
        <v>1354</v>
      </c>
      <c r="C1318" s="616" t="s">
        <v>1428</v>
      </c>
      <c r="D1318" s="616" t="s">
        <v>216</v>
      </c>
      <c r="E1318" s="616" t="s">
        <v>217</v>
      </c>
      <c r="F1318" s="617" t="s">
        <v>218</v>
      </c>
      <c r="G1318" s="616" t="s">
        <v>219</v>
      </c>
      <c r="H1318" s="617"/>
      <c r="I1318" s="617"/>
      <c r="J1318" s="617" t="s">
        <v>247</v>
      </c>
      <c r="K1318" s="618"/>
      <c r="L1318" s="616"/>
      <c r="M1318" s="616"/>
      <c r="N1318" s="617"/>
      <c r="O1318" s="617"/>
      <c r="P1318" s="617"/>
      <c r="Q1318" s="617"/>
      <c r="R1318" s="619"/>
      <c r="S1318" s="617"/>
      <c r="T1318" s="616" t="s">
        <v>221</v>
      </c>
    </row>
    <row r="1319" ht="34.5">
      <c r="A1319" s="616" t="s">
        <v>1353</v>
      </c>
      <c r="B1319" s="616" t="s">
        <v>1354</v>
      </c>
      <c r="C1319" s="616" t="s">
        <v>1428</v>
      </c>
      <c r="D1319" s="616" t="s">
        <v>216</v>
      </c>
      <c r="E1319" s="616" t="s">
        <v>217</v>
      </c>
      <c r="F1319" s="617" t="s">
        <v>218</v>
      </c>
      <c r="G1319" s="616" t="s">
        <v>219</v>
      </c>
      <c r="H1319" s="617"/>
      <c r="I1319" s="617"/>
      <c r="J1319" s="617" t="s">
        <v>248</v>
      </c>
      <c r="K1319" s="618"/>
      <c r="L1319" s="616"/>
      <c r="M1319" s="616"/>
      <c r="N1319" s="617"/>
      <c r="O1319" s="617"/>
      <c r="P1319" s="617"/>
      <c r="Q1319" s="617"/>
      <c r="R1319" s="619"/>
      <c r="S1319" s="617"/>
      <c r="T1319" s="616" t="s">
        <v>221</v>
      </c>
    </row>
    <row r="1320" ht="34.5">
      <c r="A1320" s="616" t="s">
        <v>1353</v>
      </c>
      <c r="B1320" s="616" t="s">
        <v>1354</v>
      </c>
      <c r="C1320" s="616" t="s">
        <v>1428</v>
      </c>
      <c r="D1320" s="616" t="s">
        <v>216</v>
      </c>
      <c r="E1320" s="616" t="s">
        <v>217</v>
      </c>
      <c r="F1320" s="617" t="s">
        <v>218</v>
      </c>
      <c r="G1320" s="616" t="s">
        <v>219</v>
      </c>
      <c r="H1320" s="617"/>
      <c r="I1320" s="617"/>
      <c r="J1320" s="617" t="s">
        <v>249</v>
      </c>
      <c r="K1320" s="618"/>
      <c r="L1320" s="616"/>
      <c r="M1320" s="616"/>
      <c r="N1320" s="617"/>
      <c r="O1320" s="617"/>
      <c r="P1320" s="617"/>
      <c r="Q1320" s="617"/>
      <c r="R1320" s="619"/>
      <c r="S1320" s="617"/>
      <c r="T1320" s="616" t="s">
        <v>221</v>
      </c>
    </row>
    <row r="1321" ht="34.5">
      <c r="A1321" s="616" t="s">
        <v>1353</v>
      </c>
      <c r="B1321" s="616" t="s">
        <v>1354</v>
      </c>
      <c r="C1321" s="616" t="s">
        <v>1428</v>
      </c>
      <c r="D1321" s="616" t="s">
        <v>216</v>
      </c>
      <c r="E1321" s="616" t="s">
        <v>217</v>
      </c>
      <c r="F1321" s="617" t="s">
        <v>218</v>
      </c>
      <c r="G1321" s="616" t="s">
        <v>219</v>
      </c>
      <c r="H1321" s="617"/>
      <c r="I1321" s="617"/>
      <c r="J1321" s="617" t="s">
        <v>250</v>
      </c>
      <c r="K1321" s="618"/>
      <c r="L1321" s="616"/>
      <c r="M1321" s="616"/>
      <c r="N1321" s="617"/>
      <c r="O1321" s="617"/>
      <c r="P1321" s="617"/>
      <c r="Q1321" s="617"/>
      <c r="R1321" s="619"/>
      <c r="S1321" s="617"/>
      <c r="T1321" s="616" t="s">
        <v>221</v>
      </c>
    </row>
    <row r="1322" ht="34.5">
      <c r="A1322" s="616" t="s">
        <v>1353</v>
      </c>
      <c r="B1322" s="616" t="s">
        <v>1354</v>
      </c>
      <c r="C1322" s="616" t="s">
        <v>1428</v>
      </c>
      <c r="D1322" s="616" t="s">
        <v>216</v>
      </c>
      <c r="E1322" s="616" t="s">
        <v>217</v>
      </c>
      <c r="F1322" s="617" t="s">
        <v>218</v>
      </c>
      <c r="G1322" s="616" t="s">
        <v>219</v>
      </c>
      <c r="H1322" s="617"/>
      <c r="I1322" s="617"/>
      <c r="J1322" s="617" t="s">
        <v>253</v>
      </c>
      <c r="K1322" s="618"/>
      <c r="L1322" s="616"/>
      <c r="M1322" s="616"/>
      <c r="N1322" s="617"/>
      <c r="O1322" s="617"/>
      <c r="P1322" s="617"/>
      <c r="Q1322" s="617"/>
      <c r="R1322" s="619"/>
      <c r="S1322" s="617"/>
      <c r="T1322" s="616" t="s">
        <v>221</v>
      </c>
    </row>
    <row r="1323" ht="34.5">
      <c r="A1323" s="616" t="s">
        <v>1353</v>
      </c>
      <c r="B1323" s="616" t="s">
        <v>1354</v>
      </c>
      <c r="C1323" s="616" t="s">
        <v>1428</v>
      </c>
      <c r="D1323" s="616" t="s">
        <v>216</v>
      </c>
      <c r="E1323" s="616" t="s">
        <v>217</v>
      </c>
      <c r="F1323" s="617" t="s">
        <v>218</v>
      </c>
      <c r="G1323" s="616" t="s">
        <v>219</v>
      </c>
      <c r="H1323" s="617"/>
      <c r="I1323" s="617"/>
      <c r="J1323" s="617" t="s">
        <v>1430</v>
      </c>
      <c r="K1323" s="618"/>
      <c r="L1323" s="616"/>
      <c r="M1323" s="616"/>
      <c r="N1323" s="617"/>
      <c r="O1323" s="617"/>
      <c r="P1323" s="617"/>
      <c r="Q1323" s="617"/>
      <c r="R1323" s="619"/>
      <c r="S1323" s="617"/>
      <c r="T1323" s="616" t="s">
        <v>221</v>
      </c>
    </row>
    <row r="1324" ht="34.5">
      <c r="A1324" s="616" t="s">
        <v>1353</v>
      </c>
      <c r="B1324" s="616" t="s">
        <v>1354</v>
      </c>
      <c r="C1324" s="616" t="s">
        <v>1428</v>
      </c>
      <c r="D1324" s="616" t="s">
        <v>216</v>
      </c>
      <c r="E1324" s="616" t="s">
        <v>217</v>
      </c>
      <c r="F1324" s="617" t="s">
        <v>218</v>
      </c>
      <c r="G1324" s="616" t="s">
        <v>219</v>
      </c>
      <c r="H1324" s="617"/>
      <c r="I1324" s="617"/>
      <c r="J1324" s="617" t="s">
        <v>237</v>
      </c>
      <c r="K1324" s="618"/>
      <c r="L1324" s="616"/>
      <c r="M1324" s="616"/>
      <c r="N1324" s="617"/>
      <c r="O1324" s="617"/>
      <c r="P1324" s="617"/>
      <c r="Q1324" s="617"/>
      <c r="R1324" s="619"/>
      <c r="S1324" s="617"/>
      <c r="T1324" s="616" t="s">
        <v>221</v>
      </c>
    </row>
    <row r="1325" ht="34.5">
      <c r="A1325" s="616" t="s">
        <v>1353</v>
      </c>
      <c r="B1325" s="616" t="s">
        <v>1354</v>
      </c>
      <c r="C1325" s="616" t="s">
        <v>1431</v>
      </c>
      <c r="D1325" s="616" t="s">
        <v>216</v>
      </c>
      <c r="E1325" s="616" t="s">
        <v>217</v>
      </c>
      <c r="F1325" s="617" t="s">
        <v>218</v>
      </c>
      <c r="G1325" s="616" t="s">
        <v>219</v>
      </c>
      <c r="H1325" s="617"/>
      <c r="I1325" s="617"/>
      <c r="J1325" s="617" t="s">
        <v>255</v>
      </c>
      <c r="K1325" s="618"/>
      <c r="L1325" s="616"/>
      <c r="M1325" s="616"/>
      <c r="N1325" s="617"/>
      <c r="O1325" s="617"/>
      <c r="P1325" s="617"/>
      <c r="Q1325" s="617"/>
      <c r="R1325" s="619"/>
      <c r="S1325" s="617"/>
      <c r="T1325" s="616" t="s">
        <v>221</v>
      </c>
    </row>
    <row r="1326" ht="34.5">
      <c r="A1326" s="616" t="s">
        <v>1353</v>
      </c>
      <c r="B1326" s="616" t="s">
        <v>1354</v>
      </c>
      <c r="C1326" s="616" t="s">
        <v>1431</v>
      </c>
      <c r="D1326" s="616" t="s">
        <v>216</v>
      </c>
      <c r="E1326" s="616" t="s">
        <v>217</v>
      </c>
      <c r="F1326" s="617" t="s">
        <v>218</v>
      </c>
      <c r="G1326" s="616" t="s">
        <v>219</v>
      </c>
      <c r="H1326" s="617"/>
      <c r="I1326" s="617"/>
      <c r="J1326" s="617" t="s">
        <v>1432</v>
      </c>
      <c r="K1326" s="618"/>
      <c r="L1326" s="616"/>
      <c r="M1326" s="616"/>
      <c r="N1326" s="617"/>
      <c r="O1326" s="617"/>
      <c r="P1326" s="617"/>
      <c r="Q1326" s="617"/>
      <c r="R1326" s="619"/>
      <c r="S1326" s="617"/>
      <c r="T1326" s="616" t="s">
        <v>221</v>
      </c>
    </row>
    <row r="1327" ht="34.5">
      <c r="A1327" s="616" t="s">
        <v>1353</v>
      </c>
      <c r="B1327" s="616" t="s">
        <v>1354</v>
      </c>
      <c r="C1327" s="616" t="s">
        <v>1431</v>
      </c>
      <c r="D1327" s="616" t="s">
        <v>216</v>
      </c>
      <c r="E1327" s="616" t="s">
        <v>217</v>
      </c>
      <c r="F1327" s="617" t="s">
        <v>218</v>
      </c>
      <c r="G1327" s="616" t="s">
        <v>219</v>
      </c>
      <c r="H1327" s="617"/>
      <c r="I1327" s="617"/>
      <c r="J1327" s="617" t="s">
        <v>1433</v>
      </c>
      <c r="K1327" s="618"/>
      <c r="L1327" s="616"/>
      <c r="M1327" s="616"/>
      <c r="N1327" s="617"/>
      <c r="O1327" s="617"/>
      <c r="P1327" s="617"/>
      <c r="Q1327" s="617"/>
      <c r="R1327" s="619"/>
      <c r="S1327" s="617"/>
      <c r="T1327" s="616" t="s">
        <v>221</v>
      </c>
    </row>
    <row r="1328" ht="34.5">
      <c r="A1328" s="616" t="s">
        <v>1353</v>
      </c>
      <c r="B1328" s="616" t="s">
        <v>1354</v>
      </c>
      <c r="C1328" s="616" t="s">
        <v>1431</v>
      </c>
      <c r="D1328" s="616" t="s">
        <v>216</v>
      </c>
      <c r="E1328" s="616" t="s">
        <v>217</v>
      </c>
      <c r="F1328" s="617" t="s">
        <v>218</v>
      </c>
      <c r="G1328" s="616" t="s">
        <v>219</v>
      </c>
      <c r="H1328" s="617"/>
      <c r="I1328" s="617"/>
      <c r="J1328" s="617" t="s">
        <v>258</v>
      </c>
      <c r="K1328" s="618"/>
      <c r="L1328" s="616"/>
      <c r="M1328" s="616"/>
      <c r="N1328" s="617"/>
      <c r="O1328" s="617"/>
      <c r="P1328" s="617"/>
      <c r="Q1328" s="617"/>
      <c r="R1328" s="619"/>
      <c r="S1328" s="617"/>
      <c r="T1328" s="616" t="s">
        <v>221</v>
      </c>
    </row>
    <row r="1329" ht="34.5">
      <c r="A1329" s="616" t="s">
        <v>1353</v>
      </c>
      <c r="B1329" s="616" t="s">
        <v>1354</v>
      </c>
      <c r="C1329" s="616" t="s">
        <v>1431</v>
      </c>
      <c r="D1329" s="616" t="s">
        <v>216</v>
      </c>
      <c r="E1329" s="616" t="s">
        <v>217</v>
      </c>
      <c r="F1329" s="617" t="s">
        <v>218</v>
      </c>
      <c r="G1329" s="616" t="s">
        <v>219</v>
      </c>
      <c r="H1329" s="617"/>
      <c r="I1329" s="617"/>
      <c r="J1329" s="617" t="s">
        <v>259</v>
      </c>
      <c r="K1329" s="618"/>
      <c r="L1329" s="616"/>
      <c r="M1329" s="616"/>
      <c r="N1329" s="617"/>
      <c r="O1329" s="617"/>
      <c r="P1329" s="617"/>
      <c r="Q1329" s="617"/>
      <c r="R1329" s="619"/>
      <c r="S1329" s="617"/>
      <c r="T1329" s="616" t="s">
        <v>221</v>
      </c>
    </row>
    <row r="1330" ht="34.5">
      <c r="A1330" s="616" t="s">
        <v>1353</v>
      </c>
      <c r="B1330" s="616" t="s">
        <v>1354</v>
      </c>
      <c r="C1330" s="616" t="s">
        <v>1431</v>
      </c>
      <c r="D1330" s="616" t="s">
        <v>216</v>
      </c>
      <c r="E1330" s="616" t="s">
        <v>217</v>
      </c>
      <c r="F1330" s="617" t="s">
        <v>218</v>
      </c>
      <c r="G1330" s="616" t="s">
        <v>219</v>
      </c>
      <c r="H1330" s="617"/>
      <c r="I1330" s="617"/>
      <c r="J1330" s="617" t="s">
        <v>1434</v>
      </c>
      <c r="K1330" s="618"/>
      <c r="L1330" s="616"/>
      <c r="M1330" s="616"/>
      <c r="N1330" s="617"/>
      <c r="O1330" s="617"/>
      <c r="P1330" s="617"/>
      <c r="Q1330" s="617"/>
      <c r="R1330" s="619"/>
      <c r="S1330" s="617"/>
      <c r="T1330" s="616" t="s">
        <v>221</v>
      </c>
    </row>
    <row r="1331" ht="34.5">
      <c r="A1331" s="616" t="s">
        <v>1353</v>
      </c>
      <c r="B1331" s="616" t="s">
        <v>1354</v>
      </c>
      <c r="C1331" s="616" t="s">
        <v>1431</v>
      </c>
      <c r="D1331" s="616" t="s">
        <v>216</v>
      </c>
      <c r="E1331" s="616" t="s">
        <v>217</v>
      </c>
      <c r="F1331" s="617" t="s">
        <v>218</v>
      </c>
      <c r="G1331" s="616" t="s">
        <v>219</v>
      </c>
      <c r="H1331" s="617"/>
      <c r="I1331" s="617"/>
      <c r="J1331" s="617" t="s">
        <v>261</v>
      </c>
      <c r="K1331" s="618"/>
      <c r="L1331" s="616"/>
      <c r="M1331" s="616"/>
      <c r="N1331" s="617"/>
      <c r="O1331" s="617"/>
      <c r="P1331" s="617"/>
      <c r="Q1331" s="617"/>
      <c r="R1331" s="619"/>
      <c r="S1331" s="617"/>
      <c r="T1331" s="616" t="s">
        <v>221</v>
      </c>
    </row>
    <row r="1332" ht="34.5">
      <c r="A1332" s="616" t="s">
        <v>1353</v>
      </c>
      <c r="B1332" s="616" t="s">
        <v>1354</v>
      </c>
      <c r="C1332" s="616" t="s">
        <v>1431</v>
      </c>
      <c r="D1332" s="616" t="s">
        <v>216</v>
      </c>
      <c r="E1332" s="616" t="s">
        <v>217</v>
      </c>
      <c r="F1332" s="617" t="s">
        <v>218</v>
      </c>
      <c r="G1332" s="616" t="s">
        <v>219</v>
      </c>
      <c r="H1332" s="617"/>
      <c r="I1332" s="617"/>
      <c r="J1332" s="617" t="s">
        <v>262</v>
      </c>
      <c r="K1332" s="618"/>
      <c r="L1332" s="616"/>
      <c r="M1332" s="616"/>
      <c r="N1332" s="617"/>
      <c r="O1332" s="617"/>
      <c r="P1332" s="617"/>
      <c r="Q1332" s="617"/>
      <c r="R1332" s="619"/>
      <c r="S1332" s="617"/>
      <c r="T1332" s="616" t="s">
        <v>221</v>
      </c>
    </row>
    <row r="1333" ht="34.5">
      <c r="A1333" s="616" t="s">
        <v>1353</v>
      </c>
      <c r="B1333" s="616" t="s">
        <v>1354</v>
      </c>
      <c r="C1333" s="616" t="s">
        <v>1431</v>
      </c>
      <c r="D1333" s="616" t="s">
        <v>216</v>
      </c>
      <c r="E1333" s="616" t="s">
        <v>217</v>
      </c>
      <c r="F1333" s="617" t="s">
        <v>218</v>
      </c>
      <c r="G1333" s="616" t="s">
        <v>219</v>
      </c>
      <c r="H1333" s="617"/>
      <c r="I1333" s="617"/>
      <c r="J1333" s="617" t="s">
        <v>1435</v>
      </c>
      <c r="K1333" s="618"/>
      <c r="L1333" s="616"/>
      <c r="M1333" s="616"/>
      <c r="N1333" s="617"/>
      <c r="O1333" s="617"/>
      <c r="P1333" s="617"/>
      <c r="Q1333" s="617"/>
      <c r="R1333" s="619"/>
      <c r="S1333" s="617"/>
      <c r="T1333" s="616" t="s">
        <v>221</v>
      </c>
    </row>
    <row r="1334" ht="34.5">
      <c r="A1334" s="616" t="s">
        <v>1353</v>
      </c>
      <c r="B1334" s="616" t="s">
        <v>1354</v>
      </c>
      <c r="C1334" s="616" t="s">
        <v>1431</v>
      </c>
      <c r="D1334" s="616" t="s">
        <v>216</v>
      </c>
      <c r="E1334" s="616" t="s">
        <v>217</v>
      </c>
      <c r="F1334" s="617" t="s">
        <v>218</v>
      </c>
      <c r="G1334" s="616" t="s">
        <v>219</v>
      </c>
      <c r="H1334" s="617"/>
      <c r="I1334" s="617"/>
      <c r="J1334" s="617" t="s">
        <v>266</v>
      </c>
      <c r="K1334" s="618"/>
      <c r="L1334" s="616"/>
      <c r="M1334" s="616"/>
      <c r="N1334" s="617"/>
      <c r="O1334" s="617"/>
      <c r="P1334" s="617"/>
      <c r="Q1334" s="617"/>
      <c r="R1334" s="619"/>
      <c r="S1334" s="617"/>
      <c r="T1334" s="616" t="s">
        <v>221</v>
      </c>
    </row>
    <row r="1335" ht="34.5">
      <c r="A1335" s="616" t="s">
        <v>1353</v>
      </c>
      <c r="B1335" s="616" t="s">
        <v>1354</v>
      </c>
      <c r="C1335" s="616" t="s">
        <v>1431</v>
      </c>
      <c r="D1335" s="616" t="s">
        <v>216</v>
      </c>
      <c r="E1335" s="616" t="s">
        <v>217</v>
      </c>
      <c r="F1335" s="617" t="s">
        <v>218</v>
      </c>
      <c r="G1335" s="616" t="s">
        <v>219</v>
      </c>
      <c r="H1335" s="617"/>
      <c r="I1335" s="617"/>
      <c r="J1335" s="617" t="s">
        <v>1436</v>
      </c>
      <c r="K1335" s="618"/>
      <c r="L1335" s="616"/>
      <c r="M1335" s="616"/>
      <c r="N1335" s="617"/>
      <c r="O1335" s="617"/>
      <c r="P1335" s="617"/>
      <c r="Q1335" s="617"/>
      <c r="R1335" s="619"/>
      <c r="S1335" s="617"/>
      <c r="T1335" s="616" t="s">
        <v>221</v>
      </c>
    </row>
    <row r="1336" ht="34.5">
      <c r="A1336" s="616" t="s">
        <v>1353</v>
      </c>
      <c r="B1336" s="616" t="s">
        <v>1354</v>
      </c>
      <c r="C1336" s="616" t="s">
        <v>1431</v>
      </c>
      <c r="D1336" s="616" t="s">
        <v>216</v>
      </c>
      <c r="E1336" s="616" t="s">
        <v>217</v>
      </c>
      <c r="F1336" s="617" t="s">
        <v>218</v>
      </c>
      <c r="G1336" s="616" t="s">
        <v>219</v>
      </c>
      <c r="H1336" s="617"/>
      <c r="I1336" s="617"/>
      <c r="J1336" s="617" t="s">
        <v>268</v>
      </c>
      <c r="K1336" s="618"/>
      <c r="L1336" s="616"/>
      <c r="M1336" s="616"/>
      <c r="N1336" s="617"/>
      <c r="O1336" s="617"/>
      <c r="P1336" s="617"/>
      <c r="Q1336" s="617"/>
      <c r="R1336" s="619"/>
      <c r="S1336" s="617"/>
      <c r="T1336" s="616" t="s">
        <v>221</v>
      </c>
    </row>
    <row r="1337" ht="34.5">
      <c r="A1337" s="616" t="s">
        <v>1353</v>
      </c>
      <c r="B1337" s="616" t="s">
        <v>1354</v>
      </c>
      <c r="C1337" s="616" t="s">
        <v>1431</v>
      </c>
      <c r="D1337" s="616" t="s">
        <v>216</v>
      </c>
      <c r="E1337" s="616" t="s">
        <v>217</v>
      </c>
      <c r="F1337" s="617" t="s">
        <v>218</v>
      </c>
      <c r="G1337" s="616" t="s">
        <v>219</v>
      </c>
      <c r="H1337" s="617"/>
      <c r="I1337" s="617"/>
      <c r="J1337" s="617" t="s">
        <v>269</v>
      </c>
      <c r="K1337" s="618"/>
      <c r="L1337" s="616"/>
      <c r="M1337" s="616"/>
      <c r="N1337" s="617"/>
      <c r="O1337" s="617"/>
      <c r="P1337" s="617"/>
      <c r="Q1337" s="617"/>
      <c r="R1337" s="619"/>
      <c r="S1337" s="617"/>
      <c r="T1337" s="616" t="s">
        <v>221</v>
      </c>
    </row>
    <row r="1338" ht="34.5">
      <c r="A1338" s="616" t="s">
        <v>1353</v>
      </c>
      <c r="B1338" s="616" t="s">
        <v>1354</v>
      </c>
      <c r="C1338" s="616" t="s">
        <v>1431</v>
      </c>
      <c r="D1338" s="616" t="s">
        <v>216</v>
      </c>
      <c r="E1338" s="616" t="s">
        <v>217</v>
      </c>
      <c r="F1338" s="617" t="s">
        <v>218</v>
      </c>
      <c r="G1338" s="616" t="s">
        <v>219</v>
      </c>
      <c r="H1338" s="617"/>
      <c r="I1338" s="617"/>
      <c r="J1338" s="617" t="s">
        <v>251</v>
      </c>
      <c r="K1338" s="618"/>
      <c r="L1338" s="616"/>
      <c r="M1338" s="616"/>
      <c r="N1338" s="617"/>
      <c r="O1338" s="617"/>
      <c r="P1338" s="617"/>
      <c r="Q1338" s="617"/>
      <c r="R1338" s="619"/>
      <c r="S1338" s="617"/>
      <c r="T1338" s="616" t="s">
        <v>221</v>
      </c>
    </row>
    <row r="1339" ht="34.5">
      <c r="A1339" s="616" t="s">
        <v>1353</v>
      </c>
      <c r="B1339" s="616" t="s">
        <v>1354</v>
      </c>
      <c r="C1339" s="616" t="s">
        <v>1437</v>
      </c>
      <c r="D1339" s="616" t="s">
        <v>216</v>
      </c>
      <c r="E1339" s="616" t="s">
        <v>217</v>
      </c>
      <c r="F1339" s="617" t="s">
        <v>218</v>
      </c>
      <c r="G1339" s="616" t="s">
        <v>219</v>
      </c>
      <c r="H1339" s="617"/>
      <c r="I1339" s="617"/>
      <c r="J1339" s="617" t="s">
        <v>1438</v>
      </c>
      <c r="K1339" s="618"/>
      <c r="L1339" s="616"/>
      <c r="M1339" s="616"/>
      <c r="N1339" s="617"/>
      <c r="O1339" s="617"/>
      <c r="P1339" s="617"/>
      <c r="Q1339" s="617"/>
      <c r="R1339" s="619"/>
      <c r="S1339" s="617"/>
      <c r="T1339" s="616" t="s">
        <v>221</v>
      </c>
    </row>
    <row r="1340" ht="34.5">
      <c r="A1340" s="616" t="s">
        <v>1353</v>
      </c>
      <c r="B1340" s="616" t="s">
        <v>1354</v>
      </c>
      <c r="C1340" s="616" t="s">
        <v>1437</v>
      </c>
      <c r="D1340" s="616" t="s">
        <v>216</v>
      </c>
      <c r="E1340" s="616" t="s">
        <v>217</v>
      </c>
      <c r="F1340" s="617" t="s">
        <v>218</v>
      </c>
      <c r="G1340" s="616" t="s">
        <v>219</v>
      </c>
      <c r="H1340" s="617"/>
      <c r="I1340" s="617"/>
      <c r="J1340" s="617" t="s">
        <v>1439</v>
      </c>
      <c r="K1340" s="618"/>
      <c r="L1340" s="616"/>
      <c r="M1340" s="616"/>
      <c r="N1340" s="617"/>
      <c r="O1340" s="617"/>
      <c r="P1340" s="617"/>
      <c r="Q1340" s="617"/>
      <c r="R1340" s="619"/>
      <c r="S1340" s="617"/>
      <c r="T1340" s="616" t="s">
        <v>221</v>
      </c>
    </row>
    <row r="1341" ht="34.5">
      <c r="A1341" s="616" t="s">
        <v>1353</v>
      </c>
      <c r="B1341" s="616" t="s">
        <v>1354</v>
      </c>
      <c r="C1341" s="616" t="s">
        <v>1437</v>
      </c>
      <c r="D1341" s="616" t="s">
        <v>216</v>
      </c>
      <c r="E1341" s="616" t="s">
        <v>217</v>
      </c>
      <c r="F1341" s="617" t="s">
        <v>218</v>
      </c>
      <c r="G1341" s="616" t="s">
        <v>219</v>
      </c>
      <c r="H1341" s="617"/>
      <c r="I1341" s="617"/>
      <c r="J1341" s="617" t="s">
        <v>271</v>
      </c>
      <c r="K1341" s="618"/>
      <c r="L1341" s="616"/>
      <c r="M1341" s="616"/>
      <c r="N1341" s="617"/>
      <c r="O1341" s="617"/>
      <c r="P1341" s="617"/>
      <c r="Q1341" s="617"/>
      <c r="R1341" s="619"/>
      <c r="S1341" s="617"/>
      <c r="T1341" s="616" t="s">
        <v>221</v>
      </c>
    </row>
    <row r="1342" ht="34.5">
      <c r="A1342" s="616" t="s">
        <v>1353</v>
      </c>
      <c r="B1342" s="616" t="s">
        <v>1354</v>
      </c>
      <c r="C1342" s="616" t="s">
        <v>1437</v>
      </c>
      <c r="D1342" s="616" t="s">
        <v>216</v>
      </c>
      <c r="E1342" s="616" t="s">
        <v>217</v>
      </c>
      <c r="F1342" s="617" t="s">
        <v>218</v>
      </c>
      <c r="G1342" s="616" t="s">
        <v>219</v>
      </c>
      <c r="H1342" s="617"/>
      <c r="I1342" s="617"/>
      <c r="J1342" s="617" t="s">
        <v>1440</v>
      </c>
      <c r="K1342" s="618"/>
      <c r="L1342" s="616"/>
      <c r="M1342" s="616"/>
      <c r="N1342" s="617"/>
      <c r="O1342" s="617"/>
      <c r="P1342" s="617"/>
      <c r="Q1342" s="617"/>
      <c r="R1342" s="619"/>
      <c r="S1342" s="617"/>
      <c r="T1342" s="616" t="s">
        <v>221</v>
      </c>
    </row>
    <row r="1343" ht="34.5">
      <c r="A1343" s="616" t="s">
        <v>1353</v>
      </c>
      <c r="B1343" s="616" t="s">
        <v>1354</v>
      </c>
      <c r="C1343" s="616" t="s">
        <v>1437</v>
      </c>
      <c r="D1343" s="616" t="s">
        <v>216</v>
      </c>
      <c r="E1343" s="616" t="s">
        <v>217</v>
      </c>
      <c r="F1343" s="617" t="s">
        <v>218</v>
      </c>
      <c r="G1343" s="616" t="s">
        <v>219</v>
      </c>
      <c r="H1343" s="617"/>
      <c r="I1343" s="617"/>
      <c r="J1343" s="617" t="s">
        <v>1441</v>
      </c>
      <c r="K1343" s="618"/>
      <c r="L1343" s="616"/>
      <c r="M1343" s="616"/>
      <c r="N1343" s="617"/>
      <c r="O1343" s="617"/>
      <c r="P1343" s="617"/>
      <c r="Q1343" s="617"/>
      <c r="R1343" s="619"/>
      <c r="S1343" s="617"/>
      <c r="T1343" s="616" t="s">
        <v>221</v>
      </c>
    </row>
    <row r="1344" ht="34.5">
      <c r="A1344" s="616" t="s">
        <v>1353</v>
      </c>
      <c r="B1344" s="616" t="s">
        <v>1354</v>
      </c>
      <c r="C1344" s="616" t="s">
        <v>1437</v>
      </c>
      <c r="D1344" s="616" t="s">
        <v>216</v>
      </c>
      <c r="E1344" s="616" t="s">
        <v>217</v>
      </c>
      <c r="F1344" s="617" t="s">
        <v>218</v>
      </c>
      <c r="G1344" s="616" t="s">
        <v>219</v>
      </c>
      <c r="H1344" s="617"/>
      <c r="I1344" s="617"/>
      <c r="J1344" s="617" t="s">
        <v>274</v>
      </c>
      <c r="K1344" s="618"/>
      <c r="L1344" s="616"/>
      <c r="M1344" s="616"/>
      <c r="N1344" s="617"/>
      <c r="O1344" s="617"/>
      <c r="P1344" s="617"/>
      <c r="Q1344" s="617"/>
      <c r="R1344" s="619"/>
      <c r="S1344" s="617"/>
      <c r="T1344" s="616" t="s">
        <v>221</v>
      </c>
    </row>
    <row r="1345" ht="34.5">
      <c r="A1345" s="616" t="s">
        <v>1353</v>
      </c>
      <c r="B1345" s="616" t="s">
        <v>1354</v>
      </c>
      <c r="C1345" s="616" t="s">
        <v>1437</v>
      </c>
      <c r="D1345" s="616" t="s">
        <v>216</v>
      </c>
      <c r="E1345" s="616" t="s">
        <v>217</v>
      </c>
      <c r="F1345" s="617" t="s">
        <v>218</v>
      </c>
      <c r="G1345" s="616" t="s">
        <v>219</v>
      </c>
      <c r="H1345" s="617"/>
      <c r="I1345" s="617"/>
      <c r="J1345" s="617" t="s">
        <v>1442</v>
      </c>
      <c r="K1345" s="618"/>
      <c r="L1345" s="616"/>
      <c r="M1345" s="616"/>
      <c r="N1345" s="617"/>
      <c r="O1345" s="617"/>
      <c r="P1345" s="617"/>
      <c r="Q1345" s="617"/>
      <c r="R1345" s="619"/>
      <c r="S1345" s="617"/>
      <c r="T1345" s="616" t="s">
        <v>221</v>
      </c>
    </row>
    <row r="1346" ht="34.5">
      <c r="A1346" s="616" t="s">
        <v>1353</v>
      </c>
      <c r="B1346" s="616" t="s">
        <v>1354</v>
      </c>
      <c r="C1346" s="616" t="s">
        <v>1437</v>
      </c>
      <c r="D1346" s="616" t="s">
        <v>216</v>
      </c>
      <c r="E1346" s="616" t="s">
        <v>217</v>
      </c>
      <c r="F1346" s="617" t="s">
        <v>218</v>
      </c>
      <c r="G1346" s="616" t="s">
        <v>219</v>
      </c>
      <c r="H1346" s="617"/>
      <c r="I1346" s="617"/>
      <c r="J1346" s="617" t="s">
        <v>1443</v>
      </c>
      <c r="K1346" s="618"/>
      <c r="L1346" s="616"/>
      <c r="M1346" s="616"/>
      <c r="N1346" s="617"/>
      <c r="O1346" s="617"/>
      <c r="P1346" s="617"/>
      <c r="Q1346" s="617"/>
      <c r="R1346" s="619"/>
      <c r="S1346" s="617"/>
      <c r="T1346" s="616" t="s">
        <v>221</v>
      </c>
    </row>
    <row r="1347" ht="34.5">
      <c r="A1347" s="616" t="s">
        <v>1353</v>
      </c>
      <c r="B1347" s="616" t="s">
        <v>1354</v>
      </c>
      <c r="C1347" s="616" t="s">
        <v>1437</v>
      </c>
      <c r="D1347" s="616" t="s">
        <v>216</v>
      </c>
      <c r="E1347" s="616" t="s">
        <v>217</v>
      </c>
      <c r="F1347" s="617" t="s">
        <v>218</v>
      </c>
      <c r="G1347" s="616" t="s">
        <v>219</v>
      </c>
      <c r="H1347" s="617"/>
      <c r="I1347" s="617"/>
      <c r="J1347" s="617" t="s">
        <v>1444</v>
      </c>
      <c r="K1347" s="618"/>
      <c r="L1347" s="616"/>
      <c r="M1347" s="616"/>
      <c r="N1347" s="617"/>
      <c r="O1347" s="617"/>
      <c r="P1347" s="617"/>
      <c r="Q1347" s="617"/>
      <c r="R1347" s="619"/>
      <c r="S1347" s="617"/>
      <c r="T1347" s="616" t="s">
        <v>221</v>
      </c>
    </row>
    <row r="1348" ht="34.5">
      <c r="A1348" s="616" t="s">
        <v>1353</v>
      </c>
      <c r="B1348" s="616" t="s">
        <v>1354</v>
      </c>
      <c r="C1348" s="616" t="s">
        <v>1437</v>
      </c>
      <c r="D1348" s="616" t="s">
        <v>216</v>
      </c>
      <c r="E1348" s="616" t="s">
        <v>217</v>
      </c>
      <c r="F1348" s="617" t="s">
        <v>218</v>
      </c>
      <c r="G1348" s="616" t="s">
        <v>219</v>
      </c>
      <c r="H1348" s="617"/>
      <c r="I1348" s="617"/>
      <c r="J1348" s="617" t="s">
        <v>280</v>
      </c>
      <c r="K1348" s="618"/>
      <c r="L1348" s="616"/>
      <c r="M1348" s="616"/>
      <c r="N1348" s="617"/>
      <c r="O1348" s="617"/>
      <c r="P1348" s="617"/>
      <c r="Q1348" s="617"/>
      <c r="R1348" s="619"/>
      <c r="S1348" s="617"/>
      <c r="T1348" s="616" t="s">
        <v>221</v>
      </c>
    </row>
    <row r="1349" ht="34.5">
      <c r="A1349" s="616" t="s">
        <v>1353</v>
      </c>
      <c r="B1349" s="616" t="s">
        <v>1354</v>
      </c>
      <c r="C1349" s="616" t="s">
        <v>1437</v>
      </c>
      <c r="D1349" s="616" t="s">
        <v>216</v>
      </c>
      <c r="E1349" s="616" t="s">
        <v>217</v>
      </c>
      <c r="F1349" s="617" t="s">
        <v>218</v>
      </c>
      <c r="G1349" s="616" t="s">
        <v>219</v>
      </c>
      <c r="H1349" s="617"/>
      <c r="I1349" s="617"/>
      <c r="J1349" s="617" t="s">
        <v>281</v>
      </c>
      <c r="K1349" s="618"/>
      <c r="L1349" s="616"/>
      <c r="M1349" s="616"/>
      <c r="N1349" s="617"/>
      <c r="O1349" s="617"/>
      <c r="P1349" s="617"/>
      <c r="Q1349" s="617"/>
      <c r="R1349" s="619"/>
      <c r="S1349" s="617"/>
      <c r="T1349" s="616" t="s">
        <v>221</v>
      </c>
    </row>
    <row r="1350" ht="34.5">
      <c r="A1350" s="616" t="s">
        <v>1353</v>
      </c>
      <c r="B1350" s="616" t="s">
        <v>1354</v>
      </c>
      <c r="C1350" s="616" t="s">
        <v>1437</v>
      </c>
      <c r="D1350" s="616" t="s">
        <v>216</v>
      </c>
      <c r="E1350" s="616" t="s">
        <v>217</v>
      </c>
      <c r="F1350" s="617" t="s">
        <v>218</v>
      </c>
      <c r="G1350" s="616" t="s">
        <v>219</v>
      </c>
      <c r="H1350" s="617"/>
      <c r="I1350" s="617"/>
      <c r="J1350" s="617" t="s">
        <v>1445</v>
      </c>
      <c r="K1350" s="618"/>
      <c r="L1350" s="616"/>
      <c r="M1350" s="616"/>
      <c r="N1350" s="617"/>
      <c r="O1350" s="617"/>
      <c r="P1350" s="617"/>
      <c r="Q1350" s="617"/>
      <c r="R1350" s="619"/>
      <c r="S1350" s="617"/>
      <c r="T1350" s="616" t="s">
        <v>221</v>
      </c>
    </row>
    <row r="1351" ht="34.5">
      <c r="A1351" s="616" t="s">
        <v>1353</v>
      </c>
      <c r="B1351" s="616" t="s">
        <v>1354</v>
      </c>
      <c r="C1351" s="616" t="s">
        <v>1437</v>
      </c>
      <c r="D1351" s="616" t="s">
        <v>216</v>
      </c>
      <c r="E1351" s="616" t="s">
        <v>217</v>
      </c>
      <c r="F1351" s="617" t="s">
        <v>218</v>
      </c>
      <c r="G1351" s="616" t="s">
        <v>219</v>
      </c>
      <c r="H1351" s="617"/>
      <c r="I1351" s="617"/>
      <c r="J1351" s="617" t="s">
        <v>1446</v>
      </c>
      <c r="K1351" s="618"/>
      <c r="L1351" s="616"/>
      <c r="M1351" s="616"/>
      <c r="N1351" s="617"/>
      <c r="O1351" s="617"/>
      <c r="P1351" s="617"/>
      <c r="Q1351" s="617"/>
      <c r="R1351" s="619"/>
      <c r="S1351" s="617"/>
      <c r="T1351" s="616" t="s">
        <v>221</v>
      </c>
    </row>
    <row r="1352" ht="34.5">
      <c r="A1352" s="616" t="s">
        <v>1353</v>
      </c>
      <c r="B1352" s="616" t="s">
        <v>1354</v>
      </c>
      <c r="C1352" s="616" t="s">
        <v>1437</v>
      </c>
      <c r="D1352" s="616" t="s">
        <v>216</v>
      </c>
      <c r="E1352" s="616" t="s">
        <v>217</v>
      </c>
      <c r="F1352" s="617" t="s">
        <v>218</v>
      </c>
      <c r="G1352" s="616" t="s">
        <v>219</v>
      </c>
      <c r="H1352" s="617"/>
      <c r="I1352" s="617"/>
      <c r="J1352" s="617" t="s">
        <v>284</v>
      </c>
      <c r="K1352" s="618"/>
      <c r="L1352" s="616"/>
      <c r="M1352" s="616"/>
      <c r="N1352" s="617"/>
      <c r="O1352" s="617"/>
      <c r="P1352" s="617"/>
      <c r="Q1352" s="617"/>
      <c r="R1352" s="619"/>
      <c r="S1352" s="617"/>
      <c r="T1352" s="616" t="s">
        <v>221</v>
      </c>
    </row>
    <row r="1353" ht="34.5">
      <c r="A1353" s="616" t="s">
        <v>1353</v>
      </c>
      <c r="B1353" s="616" t="s">
        <v>1354</v>
      </c>
      <c r="C1353" s="616" t="s">
        <v>1437</v>
      </c>
      <c r="D1353" s="616" t="s">
        <v>216</v>
      </c>
      <c r="E1353" s="616" t="s">
        <v>217</v>
      </c>
      <c r="F1353" s="617" t="s">
        <v>218</v>
      </c>
      <c r="G1353" s="616" t="s">
        <v>219</v>
      </c>
      <c r="H1353" s="617"/>
      <c r="I1353" s="617"/>
      <c r="J1353" s="617" t="s">
        <v>264</v>
      </c>
      <c r="K1353" s="618"/>
      <c r="L1353" s="616"/>
      <c r="M1353" s="616"/>
      <c r="N1353" s="617"/>
      <c r="O1353" s="617"/>
      <c r="P1353" s="617"/>
      <c r="Q1353" s="617"/>
      <c r="R1353" s="619"/>
      <c r="S1353" s="617"/>
      <c r="T1353" s="616" t="s">
        <v>221</v>
      </c>
    </row>
    <row r="1354" ht="34.5">
      <c r="A1354" s="616" t="s">
        <v>1353</v>
      </c>
      <c r="B1354" s="616" t="s">
        <v>1354</v>
      </c>
      <c r="C1354" s="616" t="s">
        <v>1447</v>
      </c>
      <c r="D1354" s="616" t="s">
        <v>216</v>
      </c>
      <c r="E1354" s="616" t="s">
        <v>217</v>
      </c>
      <c r="F1354" s="617" t="s">
        <v>218</v>
      </c>
      <c r="G1354" s="616" t="s">
        <v>219</v>
      </c>
      <c r="H1354" s="617"/>
      <c r="I1354" s="617"/>
      <c r="J1354" s="617" t="s">
        <v>1448</v>
      </c>
      <c r="K1354" s="618"/>
      <c r="L1354" s="616"/>
      <c r="M1354" s="616"/>
      <c r="N1354" s="617"/>
      <c r="O1354" s="617"/>
      <c r="P1354" s="617"/>
      <c r="Q1354" s="617"/>
      <c r="R1354" s="619"/>
      <c r="S1354" s="617"/>
      <c r="T1354" s="616" t="s">
        <v>221</v>
      </c>
    </row>
    <row r="1355" ht="34.5">
      <c r="A1355" s="616" t="s">
        <v>1353</v>
      </c>
      <c r="B1355" s="616" t="s">
        <v>1354</v>
      </c>
      <c r="C1355" s="616" t="s">
        <v>1447</v>
      </c>
      <c r="D1355" s="616" t="s">
        <v>216</v>
      </c>
      <c r="E1355" s="616" t="s">
        <v>217</v>
      </c>
      <c r="F1355" s="617" t="s">
        <v>218</v>
      </c>
      <c r="G1355" s="616" t="s">
        <v>219</v>
      </c>
      <c r="H1355" s="617"/>
      <c r="I1355" s="617"/>
      <c r="J1355" s="617" t="s">
        <v>286</v>
      </c>
      <c r="K1355" s="618"/>
      <c r="L1355" s="616"/>
      <c r="M1355" s="616"/>
      <c r="N1355" s="617"/>
      <c r="O1355" s="617"/>
      <c r="P1355" s="617"/>
      <c r="Q1355" s="617"/>
      <c r="R1355" s="619"/>
      <c r="S1355" s="617"/>
      <c r="T1355" s="616" t="s">
        <v>221</v>
      </c>
    </row>
    <row r="1356" ht="34.5">
      <c r="A1356" s="616" t="s">
        <v>1353</v>
      </c>
      <c r="B1356" s="616" t="s">
        <v>1354</v>
      </c>
      <c r="C1356" s="616" t="s">
        <v>1447</v>
      </c>
      <c r="D1356" s="616" t="s">
        <v>216</v>
      </c>
      <c r="E1356" s="616" t="s">
        <v>217</v>
      </c>
      <c r="F1356" s="617" t="s">
        <v>218</v>
      </c>
      <c r="G1356" s="616" t="s">
        <v>219</v>
      </c>
      <c r="H1356" s="617"/>
      <c r="I1356" s="617"/>
      <c r="J1356" s="617" t="s">
        <v>287</v>
      </c>
      <c r="K1356" s="618"/>
      <c r="L1356" s="616"/>
      <c r="M1356" s="616"/>
      <c r="N1356" s="617"/>
      <c r="O1356" s="617"/>
      <c r="P1356" s="617"/>
      <c r="Q1356" s="617"/>
      <c r="R1356" s="619"/>
      <c r="S1356" s="617"/>
      <c r="T1356" s="616" t="s">
        <v>221</v>
      </c>
    </row>
    <row r="1357" ht="34.5">
      <c r="A1357" s="616" t="s">
        <v>1353</v>
      </c>
      <c r="B1357" s="616" t="s">
        <v>1354</v>
      </c>
      <c r="C1357" s="616" t="s">
        <v>1447</v>
      </c>
      <c r="D1357" s="616" t="s">
        <v>216</v>
      </c>
      <c r="E1357" s="616" t="s">
        <v>217</v>
      </c>
      <c r="F1357" s="617" t="s">
        <v>218</v>
      </c>
      <c r="G1357" s="616" t="s">
        <v>219</v>
      </c>
      <c r="H1357" s="617"/>
      <c r="I1357" s="617"/>
      <c r="J1357" s="617" t="s">
        <v>1449</v>
      </c>
      <c r="K1357" s="618"/>
      <c r="L1357" s="616"/>
      <c r="M1357" s="616"/>
      <c r="N1357" s="617"/>
      <c r="O1357" s="617"/>
      <c r="P1357" s="617"/>
      <c r="Q1357" s="617"/>
      <c r="R1357" s="619"/>
      <c r="S1357" s="617"/>
      <c r="T1357" s="616" t="s">
        <v>221</v>
      </c>
    </row>
    <row r="1358" ht="34.5">
      <c r="A1358" s="616" t="s">
        <v>1353</v>
      </c>
      <c r="B1358" s="616" t="s">
        <v>1354</v>
      </c>
      <c r="C1358" s="616" t="s">
        <v>1447</v>
      </c>
      <c r="D1358" s="616" t="s">
        <v>216</v>
      </c>
      <c r="E1358" s="616" t="s">
        <v>217</v>
      </c>
      <c r="F1358" s="617" t="s">
        <v>218</v>
      </c>
      <c r="G1358" s="616" t="s">
        <v>219</v>
      </c>
      <c r="H1358" s="617"/>
      <c r="I1358" s="617"/>
      <c r="J1358" s="617" t="s">
        <v>289</v>
      </c>
      <c r="K1358" s="618"/>
      <c r="L1358" s="616"/>
      <c r="M1358" s="616"/>
      <c r="N1358" s="617"/>
      <c r="O1358" s="617"/>
      <c r="P1358" s="617"/>
      <c r="Q1358" s="617"/>
      <c r="R1358" s="619"/>
      <c r="S1358" s="617"/>
      <c r="T1358" s="616" t="s">
        <v>221</v>
      </c>
    </row>
    <row r="1359" ht="34.5">
      <c r="A1359" s="616" t="s">
        <v>1353</v>
      </c>
      <c r="B1359" s="616" t="s">
        <v>1354</v>
      </c>
      <c r="C1359" s="616" t="s">
        <v>1447</v>
      </c>
      <c r="D1359" s="616" t="s">
        <v>216</v>
      </c>
      <c r="E1359" s="616" t="s">
        <v>217</v>
      </c>
      <c r="F1359" s="617" t="s">
        <v>218</v>
      </c>
      <c r="G1359" s="616" t="s">
        <v>219</v>
      </c>
      <c r="H1359" s="617"/>
      <c r="I1359" s="617"/>
      <c r="J1359" s="617" t="s">
        <v>1450</v>
      </c>
      <c r="K1359" s="618"/>
      <c r="L1359" s="616"/>
      <c r="M1359" s="616"/>
      <c r="N1359" s="617"/>
      <c r="O1359" s="617"/>
      <c r="P1359" s="617"/>
      <c r="Q1359" s="617"/>
      <c r="R1359" s="619"/>
      <c r="S1359" s="617"/>
      <c r="T1359" s="616" t="s">
        <v>221</v>
      </c>
    </row>
    <row r="1360" ht="34.5">
      <c r="A1360" s="616" t="s">
        <v>1353</v>
      </c>
      <c r="B1360" s="616" t="s">
        <v>1354</v>
      </c>
      <c r="C1360" s="616" t="s">
        <v>1447</v>
      </c>
      <c r="D1360" s="616" t="s">
        <v>216</v>
      </c>
      <c r="E1360" s="616" t="s">
        <v>217</v>
      </c>
      <c r="F1360" s="617" t="s">
        <v>218</v>
      </c>
      <c r="G1360" s="616" t="s">
        <v>219</v>
      </c>
      <c r="H1360" s="617"/>
      <c r="I1360" s="617"/>
      <c r="J1360" s="617" t="s">
        <v>291</v>
      </c>
      <c r="K1360" s="618"/>
      <c r="L1360" s="616"/>
      <c r="M1360" s="616"/>
      <c r="N1360" s="617"/>
      <c r="O1360" s="617"/>
      <c r="P1360" s="617"/>
      <c r="Q1360" s="617"/>
      <c r="R1360" s="619"/>
      <c r="S1360" s="617"/>
      <c r="T1360" s="616" t="s">
        <v>221</v>
      </c>
    </row>
    <row r="1361" ht="34.5">
      <c r="A1361" s="616" t="s">
        <v>1353</v>
      </c>
      <c r="B1361" s="616" t="s">
        <v>1354</v>
      </c>
      <c r="C1361" s="616" t="s">
        <v>1447</v>
      </c>
      <c r="D1361" s="616" t="s">
        <v>216</v>
      </c>
      <c r="E1361" s="616" t="s">
        <v>217</v>
      </c>
      <c r="F1361" s="617" t="s">
        <v>218</v>
      </c>
      <c r="G1361" s="616" t="s">
        <v>219</v>
      </c>
      <c r="H1361" s="617"/>
      <c r="I1361" s="617"/>
      <c r="J1361" s="617" t="s">
        <v>294</v>
      </c>
      <c r="K1361" s="618"/>
      <c r="L1361" s="616"/>
      <c r="M1361" s="616"/>
      <c r="N1361" s="617"/>
      <c r="O1361" s="617"/>
      <c r="P1361" s="617"/>
      <c r="Q1361" s="617"/>
      <c r="R1361" s="619"/>
      <c r="S1361" s="617"/>
      <c r="T1361" s="616" t="s">
        <v>221</v>
      </c>
    </row>
    <row r="1362" ht="34.5">
      <c r="A1362" s="616" t="s">
        <v>1353</v>
      </c>
      <c r="B1362" s="616" t="s">
        <v>1354</v>
      </c>
      <c r="C1362" s="616" t="s">
        <v>1447</v>
      </c>
      <c r="D1362" s="616" t="s">
        <v>216</v>
      </c>
      <c r="E1362" s="616" t="s">
        <v>217</v>
      </c>
      <c r="F1362" s="617" t="s">
        <v>218</v>
      </c>
      <c r="G1362" s="616" t="s">
        <v>219</v>
      </c>
      <c r="H1362" s="617"/>
      <c r="I1362" s="617"/>
      <c r="J1362" s="617" t="s">
        <v>1451</v>
      </c>
      <c r="K1362" s="618"/>
      <c r="L1362" s="616"/>
      <c r="M1362" s="616"/>
      <c r="N1362" s="617"/>
      <c r="O1362" s="617"/>
      <c r="P1362" s="617"/>
      <c r="Q1362" s="617"/>
      <c r="R1362" s="619"/>
      <c r="S1362" s="617"/>
      <c r="T1362" s="616" t="s">
        <v>221</v>
      </c>
    </row>
    <row r="1363" ht="34.5">
      <c r="A1363" s="616" t="s">
        <v>1353</v>
      </c>
      <c r="B1363" s="616" t="s">
        <v>1354</v>
      </c>
      <c r="C1363" s="616" t="s">
        <v>1447</v>
      </c>
      <c r="D1363" s="616" t="s">
        <v>216</v>
      </c>
      <c r="E1363" s="616" t="s">
        <v>217</v>
      </c>
      <c r="F1363" s="617" t="s">
        <v>218</v>
      </c>
      <c r="G1363" s="616" t="s">
        <v>219</v>
      </c>
      <c r="H1363" s="617"/>
      <c r="I1363" s="617"/>
      <c r="J1363" s="617" t="s">
        <v>1452</v>
      </c>
      <c r="K1363" s="618"/>
      <c r="L1363" s="616"/>
      <c r="M1363" s="616"/>
      <c r="N1363" s="617"/>
      <c r="O1363" s="617"/>
      <c r="P1363" s="617"/>
      <c r="Q1363" s="617"/>
      <c r="R1363" s="619"/>
      <c r="S1363" s="617"/>
      <c r="T1363" s="616" t="s">
        <v>221</v>
      </c>
    </row>
    <row r="1364" ht="34.5">
      <c r="A1364" s="616" t="s">
        <v>1353</v>
      </c>
      <c r="B1364" s="616" t="s">
        <v>1354</v>
      </c>
      <c r="C1364" s="616" t="s">
        <v>1447</v>
      </c>
      <c r="D1364" s="616" t="s">
        <v>216</v>
      </c>
      <c r="E1364" s="616" t="s">
        <v>217</v>
      </c>
      <c r="F1364" s="617" t="s">
        <v>218</v>
      </c>
      <c r="G1364" s="616" t="s">
        <v>219</v>
      </c>
      <c r="H1364" s="617"/>
      <c r="I1364" s="617"/>
      <c r="J1364" s="617" t="s">
        <v>297</v>
      </c>
      <c r="K1364" s="618"/>
      <c r="L1364" s="616"/>
      <c r="M1364" s="616"/>
      <c r="N1364" s="617"/>
      <c r="O1364" s="617"/>
      <c r="P1364" s="617"/>
      <c r="Q1364" s="617"/>
      <c r="R1364" s="619"/>
      <c r="S1364" s="617"/>
      <c r="T1364" s="616" t="s">
        <v>221</v>
      </c>
    </row>
    <row r="1365" ht="34.5">
      <c r="A1365" s="616" t="s">
        <v>1353</v>
      </c>
      <c r="B1365" s="616" t="s">
        <v>1354</v>
      </c>
      <c r="C1365" s="616" t="s">
        <v>1447</v>
      </c>
      <c r="D1365" s="616" t="s">
        <v>216</v>
      </c>
      <c r="E1365" s="616" t="s">
        <v>217</v>
      </c>
      <c r="F1365" s="617" t="s">
        <v>218</v>
      </c>
      <c r="G1365" s="616" t="s">
        <v>219</v>
      </c>
      <c r="H1365" s="617"/>
      <c r="I1365" s="617"/>
      <c r="J1365" s="617" t="s">
        <v>298</v>
      </c>
      <c r="K1365" s="618"/>
      <c r="L1365" s="616"/>
      <c r="M1365" s="616"/>
      <c r="N1365" s="617"/>
      <c r="O1365" s="617"/>
      <c r="P1365" s="617"/>
      <c r="Q1365" s="617"/>
      <c r="R1365" s="619"/>
      <c r="S1365" s="617"/>
      <c r="T1365" s="616" t="s">
        <v>221</v>
      </c>
    </row>
    <row r="1366" ht="34.5">
      <c r="A1366" s="616" t="s">
        <v>1353</v>
      </c>
      <c r="B1366" s="616" t="s">
        <v>1354</v>
      </c>
      <c r="C1366" s="616" t="s">
        <v>1447</v>
      </c>
      <c r="D1366" s="616" t="s">
        <v>216</v>
      </c>
      <c r="E1366" s="616" t="s">
        <v>217</v>
      </c>
      <c r="F1366" s="617" t="s">
        <v>218</v>
      </c>
      <c r="G1366" s="616" t="s">
        <v>219</v>
      </c>
      <c r="H1366" s="617"/>
      <c r="I1366" s="617"/>
      <c r="J1366" s="617" t="s">
        <v>1453</v>
      </c>
      <c r="K1366" s="618"/>
      <c r="L1366" s="616"/>
      <c r="M1366" s="616"/>
      <c r="N1366" s="617"/>
      <c r="O1366" s="617"/>
      <c r="P1366" s="617"/>
      <c r="Q1366" s="617"/>
      <c r="R1366" s="619"/>
      <c r="S1366" s="617"/>
      <c r="T1366" s="616" t="s">
        <v>221</v>
      </c>
    </row>
    <row r="1367" ht="34.5">
      <c r="A1367" s="616" t="s">
        <v>1353</v>
      </c>
      <c r="B1367" s="616" t="s">
        <v>1354</v>
      </c>
      <c r="C1367" s="616" t="s">
        <v>1447</v>
      </c>
      <c r="D1367" s="616" t="s">
        <v>216</v>
      </c>
      <c r="E1367" s="616" t="s">
        <v>217</v>
      </c>
      <c r="F1367" s="617" t="s">
        <v>218</v>
      </c>
      <c r="G1367" s="616" t="s">
        <v>219</v>
      </c>
      <c r="H1367" s="617"/>
      <c r="I1367" s="617"/>
      <c r="J1367" s="617" t="s">
        <v>300</v>
      </c>
      <c r="K1367" s="618"/>
      <c r="L1367" s="616"/>
      <c r="M1367" s="616"/>
      <c r="N1367" s="617"/>
      <c r="O1367" s="617"/>
      <c r="P1367" s="617"/>
      <c r="Q1367" s="617"/>
      <c r="R1367" s="619"/>
      <c r="S1367" s="617"/>
      <c r="T1367" s="616" t="s">
        <v>221</v>
      </c>
    </row>
    <row r="1368" ht="34.5">
      <c r="A1368" s="616" t="s">
        <v>1353</v>
      </c>
      <c r="B1368" s="616" t="s">
        <v>1354</v>
      </c>
      <c r="C1368" s="616" t="s">
        <v>1454</v>
      </c>
      <c r="D1368" s="616" t="s">
        <v>216</v>
      </c>
      <c r="E1368" s="616" t="s">
        <v>217</v>
      </c>
      <c r="F1368" s="617" t="s">
        <v>218</v>
      </c>
      <c r="G1368" s="616" t="s">
        <v>219</v>
      </c>
      <c r="H1368" s="617"/>
      <c r="I1368" s="617"/>
      <c r="J1368" s="617" t="s">
        <v>302</v>
      </c>
      <c r="K1368" s="618"/>
      <c r="L1368" s="616"/>
      <c r="M1368" s="616"/>
      <c r="N1368" s="617"/>
      <c r="O1368" s="617"/>
      <c r="P1368" s="617"/>
      <c r="Q1368" s="617"/>
      <c r="R1368" s="619"/>
      <c r="S1368" s="617"/>
      <c r="T1368" s="616" t="s">
        <v>221</v>
      </c>
    </row>
    <row r="1369" ht="34.5">
      <c r="A1369" s="616" t="s">
        <v>1353</v>
      </c>
      <c r="B1369" s="616" t="s">
        <v>1354</v>
      </c>
      <c r="C1369" s="616" t="s">
        <v>1454</v>
      </c>
      <c r="D1369" s="616" t="s">
        <v>216</v>
      </c>
      <c r="E1369" s="616" t="s">
        <v>217</v>
      </c>
      <c r="F1369" s="617" t="s">
        <v>218</v>
      </c>
      <c r="G1369" s="616" t="s">
        <v>219</v>
      </c>
      <c r="H1369" s="617"/>
      <c r="I1369" s="617"/>
      <c r="J1369" s="617" t="s">
        <v>303</v>
      </c>
      <c r="K1369" s="618"/>
      <c r="L1369" s="616"/>
      <c r="M1369" s="616"/>
      <c r="N1369" s="617"/>
      <c r="O1369" s="617"/>
      <c r="P1369" s="617"/>
      <c r="Q1369" s="617"/>
      <c r="R1369" s="619"/>
      <c r="S1369" s="617"/>
      <c r="T1369" s="616" t="s">
        <v>221</v>
      </c>
    </row>
    <row r="1370" ht="34.5">
      <c r="A1370" s="616" t="s">
        <v>1353</v>
      </c>
      <c r="B1370" s="616" t="s">
        <v>1354</v>
      </c>
      <c r="C1370" s="616" t="s">
        <v>1454</v>
      </c>
      <c r="D1370" s="616" t="s">
        <v>216</v>
      </c>
      <c r="E1370" s="616" t="s">
        <v>217</v>
      </c>
      <c r="F1370" s="617" t="s">
        <v>218</v>
      </c>
      <c r="G1370" s="616" t="s">
        <v>219</v>
      </c>
      <c r="H1370" s="617"/>
      <c r="I1370" s="617"/>
      <c r="J1370" s="617" t="s">
        <v>304</v>
      </c>
      <c r="K1370" s="618"/>
      <c r="L1370" s="616"/>
      <c r="M1370" s="616"/>
      <c r="N1370" s="617"/>
      <c r="O1370" s="617"/>
      <c r="P1370" s="617"/>
      <c r="Q1370" s="617"/>
      <c r="R1370" s="619"/>
      <c r="S1370" s="617"/>
      <c r="T1370" s="616" t="s">
        <v>221</v>
      </c>
    </row>
    <row r="1371" ht="34.5">
      <c r="A1371" s="616" t="s">
        <v>1353</v>
      </c>
      <c r="B1371" s="616" t="s">
        <v>1354</v>
      </c>
      <c r="C1371" s="616" t="s">
        <v>1454</v>
      </c>
      <c r="D1371" s="616" t="s">
        <v>216</v>
      </c>
      <c r="E1371" s="616" t="s">
        <v>217</v>
      </c>
      <c r="F1371" s="617" t="s">
        <v>218</v>
      </c>
      <c r="G1371" s="616" t="s">
        <v>219</v>
      </c>
      <c r="H1371" s="617"/>
      <c r="I1371" s="617"/>
      <c r="J1371" s="617" t="s">
        <v>305</v>
      </c>
      <c r="K1371" s="618"/>
      <c r="L1371" s="616"/>
      <c r="M1371" s="616"/>
      <c r="N1371" s="617"/>
      <c r="O1371" s="617"/>
      <c r="P1371" s="617"/>
      <c r="Q1371" s="617"/>
      <c r="R1371" s="619"/>
      <c r="S1371" s="617"/>
      <c r="T1371" s="616" t="s">
        <v>221</v>
      </c>
    </row>
    <row r="1372" ht="34.5">
      <c r="A1372" s="616" t="s">
        <v>1353</v>
      </c>
      <c r="B1372" s="616" t="s">
        <v>1354</v>
      </c>
      <c r="C1372" s="616" t="s">
        <v>1454</v>
      </c>
      <c r="D1372" s="616" t="s">
        <v>216</v>
      </c>
      <c r="E1372" s="616" t="s">
        <v>217</v>
      </c>
      <c r="F1372" s="617" t="s">
        <v>218</v>
      </c>
      <c r="G1372" s="616" t="s">
        <v>219</v>
      </c>
      <c r="H1372" s="617"/>
      <c r="I1372" s="617"/>
      <c r="J1372" s="617" t="s">
        <v>1455</v>
      </c>
      <c r="K1372" s="618"/>
      <c r="L1372" s="616"/>
      <c r="M1372" s="616"/>
      <c r="N1372" s="617"/>
      <c r="O1372" s="617"/>
      <c r="P1372" s="617"/>
      <c r="Q1372" s="617"/>
      <c r="R1372" s="619"/>
      <c r="S1372" s="617"/>
      <c r="T1372" s="616" t="s">
        <v>221</v>
      </c>
    </row>
    <row r="1373" ht="34.5">
      <c r="A1373" s="616" t="s">
        <v>1353</v>
      </c>
      <c r="B1373" s="616" t="s">
        <v>1354</v>
      </c>
      <c r="C1373" s="616" t="s">
        <v>1454</v>
      </c>
      <c r="D1373" s="616" t="s">
        <v>216</v>
      </c>
      <c r="E1373" s="616" t="s">
        <v>217</v>
      </c>
      <c r="F1373" s="617" t="s">
        <v>218</v>
      </c>
      <c r="G1373" s="616" t="s">
        <v>219</v>
      </c>
      <c r="H1373" s="617"/>
      <c r="I1373" s="617"/>
      <c r="J1373" s="617" t="s">
        <v>310</v>
      </c>
      <c r="K1373" s="618"/>
      <c r="L1373" s="616"/>
      <c r="M1373" s="616"/>
      <c r="N1373" s="617"/>
      <c r="O1373" s="617"/>
      <c r="P1373" s="617"/>
      <c r="Q1373" s="617"/>
      <c r="R1373" s="619"/>
      <c r="S1373" s="617"/>
      <c r="T1373" s="616" t="s">
        <v>221</v>
      </c>
    </row>
    <row r="1374" ht="34.5">
      <c r="A1374" s="616" t="s">
        <v>1353</v>
      </c>
      <c r="B1374" s="616" t="s">
        <v>1354</v>
      </c>
      <c r="C1374" s="616" t="s">
        <v>1454</v>
      </c>
      <c r="D1374" s="616" t="s">
        <v>216</v>
      </c>
      <c r="E1374" s="616" t="s">
        <v>217</v>
      </c>
      <c r="F1374" s="617" t="s">
        <v>218</v>
      </c>
      <c r="G1374" s="616" t="s">
        <v>219</v>
      </c>
      <c r="H1374" s="617"/>
      <c r="I1374" s="617"/>
      <c r="J1374" s="617" t="s">
        <v>1456</v>
      </c>
      <c r="K1374" s="618"/>
      <c r="L1374" s="616"/>
      <c r="M1374" s="616"/>
      <c r="N1374" s="617"/>
      <c r="O1374" s="617"/>
      <c r="P1374" s="617"/>
      <c r="Q1374" s="617"/>
      <c r="R1374" s="619"/>
      <c r="S1374" s="617"/>
      <c r="T1374" s="616" t="s">
        <v>221</v>
      </c>
    </row>
    <row r="1375" ht="34.5">
      <c r="A1375" s="616" t="s">
        <v>1353</v>
      </c>
      <c r="B1375" s="616" t="s">
        <v>1354</v>
      </c>
      <c r="C1375" s="616" t="s">
        <v>1454</v>
      </c>
      <c r="D1375" s="616" t="s">
        <v>216</v>
      </c>
      <c r="E1375" s="616" t="s">
        <v>217</v>
      </c>
      <c r="F1375" s="617" t="s">
        <v>218</v>
      </c>
      <c r="G1375" s="616" t="s">
        <v>219</v>
      </c>
      <c r="H1375" s="617"/>
      <c r="I1375" s="617"/>
      <c r="J1375" s="617" t="s">
        <v>312</v>
      </c>
      <c r="K1375" s="618"/>
      <c r="L1375" s="616"/>
      <c r="M1375" s="616"/>
      <c r="N1375" s="617"/>
      <c r="O1375" s="617"/>
      <c r="P1375" s="617"/>
      <c r="Q1375" s="617"/>
      <c r="R1375" s="619"/>
      <c r="S1375" s="617"/>
      <c r="T1375" s="616" t="s">
        <v>221</v>
      </c>
    </row>
    <row r="1376" ht="34.5">
      <c r="A1376" s="616" t="s">
        <v>1353</v>
      </c>
      <c r="B1376" s="616" t="s">
        <v>1354</v>
      </c>
      <c r="C1376" s="616" t="s">
        <v>1454</v>
      </c>
      <c r="D1376" s="616" t="s">
        <v>216</v>
      </c>
      <c r="E1376" s="616" t="s">
        <v>217</v>
      </c>
      <c r="F1376" s="617" t="s">
        <v>218</v>
      </c>
      <c r="G1376" s="616" t="s">
        <v>219</v>
      </c>
      <c r="H1376" s="617"/>
      <c r="I1376" s="617"/>
      <c r="J1376" s="617" t="s">
        <v>313</v>
      </c>
      <c r="K1376" s="618"/>
      <c r="L1376" s="616"/>
      <c r="M1376" s="616"/>
      <c r="N1376" s="617"/>
      <c r="O1376" s="617"/>
      <c r="P1376" s="617"/>
      <c r="Q1376" s="617"/>
      <c r="R1376" s="619"/>
      <c r="S1376" s="617"/>
      <c r="T1376" s="616" t="s">
        <v>221</v>
      </c>
    </row>
    <row r="1377" ht="34.5">
      <c r="A1377" s="616" t="s">
        <v>1353</v>
      </c>
      <c r="B1377" s="616" t="s">
        <v>1354</v>
      </c>
      <c r="C1377" s="616" t="s">
        <v>1454</v>
      </c>
      <c r="D1377" s="616" t="s">
        <v>216</v>
      </c>
      <c r="E1377" s="616" t="s">
        <v>217</v>
      </c>
      <c r="F1377" s="617" t="s">
        <v>218</v>
      </c>
      <c r="G1377" s="616" t="s">
        <v>219</v>
      </c>
      <c r="H1377" s="617"/>
      <c r="I1377" s="617"/>
      <c r="J1377" s="617" t="s">
        <v>1457</v>
      </c>
      <c r="K1377" s="618"/>
      <c r="L1377" s="616"/>
      <c r="M1377" s="616"/>
      <c r="N1377" s="617"/>
      <c r="O1377" s="617"/>
      <c r="P1377" s="617"/>
      <c r="Q1377" s="617"/>
      <c r="R1377" s="619"/>
      <c r="S1377" s="617"/>
      <c r="T1377" s="616" t="s">
        <v>221</v>
      </c>
    </row>
    <row r="1378" ht="34.5">
      <c r="A1378" s="616" t="s">
        <v>1353</v>
      </c>
      <c r="B1378" s="616" t="s">
        <v>1354</v>
      </c>
      <c r="C1378" s="616" t="s">
        <v>1454</v>
      </c>
      <c r="D1378" s="616" t="s">
        <v>216</v>
      </c>
      <c r="E1378" s="616" t="s">
        <v>217</v>
      </c>
      <c r="F1378" s="617" t="s">
        <v>218</v>
      </c>
      <c r="G1378" s="616" t="s">
        <v>219</v>
      </c>
      <c r="H1378" s="617"/>
      <c r="I1378" s="617"/>
      <c r="J1378" s="617" t="s">
        <v>1458</v>
      </c>
      <c r="K1378" s="618"/>
      <c r="L1378" s="616"/>
      <c r="M1378" s="616"/>
      <c r="N1378" s="617"/>
      <c r="O1378" s="617"/>
      <c r="P1378" s="617"/>
      <c r="Q1378" s="617"/>
      <c r="R1378" s="619"/>
      <c r="S1378" s="617"/>
      <c r="T1378" s="616" t="s">
        <v>221</v>
      </c>
    </row>
    <row r="1379" ht="34.5">
      <c r="A1379" s="616" t="s">
        <v>1353</v>
      </c>
      <c r="B1379" s="616" t="s">
        <v>1354</v>
      </c>
      <c r="C1379" s="616" t="s">
        <v>1454</v>
      </c>
      <c r="D1379" s="616" t="s">
        <v>216</v>
      </c>
      <c r="E1379" s="616" t="s">
        <v>217</v>
      </c>
      <c r="F1379" s="617" t="s">
        <v>218</v>
      </c>
      <c r="G1379" s="616" t="s">
        <v>219</v>
      </c>
      <c r="H1379" s="617"/>
      <c r="I1379" s="617"/>
      <c r="J1379" s="617" t="s">
        <v>292</v>
      </c>
      <c r="K1379" s="618"/>
      <c r="L1379" s="616"/>
      <c r="M1379" s="616"/>
      <c r="N1379" s="617"/>
      <c r="O1379" s="617"/>
      <c r="P1379" s="617"/>
      <c r="Q1379" s="617"/>
      <c r="R1379" s="619"/>
      <c r="S1379" s="617"/>
      <c r="T1379" s="616" t="s">
        <v>221</v>
      </c>
    </row>
    <row r="1380" ht="34.5">
      <c r="A1380" s="616" t="s">
        <v>1353</v>
      </c>
      <c r="B1380" s="616" t="s">
        <v>1354</v>
      </c>
      <c r="C1380" s="616" t="s">
        <v>1459</v>
      </c>
      <c r="D1380" s="616" t="s">
        <v>216</v>
      </c>
      <c r="E1380" s="616" t="s">
        <v>217</v>
      </c>
      <c r="F1380" s="617" t="s">
        <v>218</v>
      </c>
      <c r="G1380" s="616" t="s">
        <v>219</v>
      </c>
      <c r="H1380" s="617"/>
      <c r="I1380" s="617"/>
      <c r="J1380" s="617" t="s">
        <v>1460</v>
      </c>
      <c r="K1380" s="618"/>
      <c r="L1380" s="616"/>
      <c r="M1380" s="616"/>
      <c r="N1380" s="617"/>
      <c r="O1380" s="617"/>
      <c r="P1380" s="617"/>
      <c r="Q1380" s="617"/>
      <c r="R1380" s="619"/>
      <c r="S1380" s="617"/>
      <c r="T1380" s="616" t="s">
        <v>221</v>
      </c>
    </row>
    <row r="1381" ht="34.5">
      <c r="A1381" s="616" t="s">
        <v>1353</v>
      </c>
      <c r="B1381" s="616" t="s">
        <v>1354</v>
      </c>
      <c r="C1381" s="616" t="s">
        <v>1459</v>
      </c>
      <c r="D1381" s="616" t="s">
        <v>216</v>
      </c>
      <c r="E1381" s="616" t="s">
        <v>217</v>
      </c>
      <c r="F1381" s="617" t="s">
        <v>218</v>
      </c>
      <c r="G1381" s="616" t="s">
        <v>219</v>
      </c>
      <c r="H1381" s="617"/>
      <c r="I1381" s="617"/>
      <c r="J1381" s="617" t="s">
        <v>317</v>
      </c>
      <c r="K1381" s="618"/>
      <c r="L1381" s="616"/>
      <c r="M1381" s="616"/>
      <c r="N1381" s="617"/>
      <c r="O1381" s="617"/>
      <c r="P1381" s="617"/>
      <c r="Q1381" s="617"/>
      <c r="R1381" s="619"/>
      <c r="S1381" s="617"/>
      <c r="T1381" s="616" t="s">
        <v>221</v>
      </c>
    </row>
    <row r="1382" ht="34.5">
      <c r="A1382" s="616" t="s">
        <v>1353</v>
      </c>
      <c r="B1382" s="616" t="s">
        <v>1354</v>
      </c>
      <c r="C1382" s="616" t="s">
        <v>1459</v>
      </c>
      <c r="D1382" s="616" t="s">
        <v>216</v>
      </c>
      <c r="E1382" s="616" t="s">
        <v>217</v>
      </c>
      <c r="F1382" s="617" t="s">
        <v>218</v>
      </c>
      <c r="G1382" s="616" t="s">
        <v>219</v>
      </c>
      <c r="H1382" s="617"/>
      <c r="I1382" s="617"/>
      <c r="J1382" s="617" t="s">
        <v>1461</v>
      </c>
      <c r="K1382" s="618"/>
      <c r="L1382" s="616"/>
      <c r="M1382" s="616"/>
      <c r="N1382" s="617"/>
      <c r="O1382" s="617"/>
      <c r="P1382" s="617"/>
      <c r="Q1382" s="617"/>
      <c r="R1382" s="619"/>
      <c r="S1382" s="617"/>
      <c r="T1382" s="616" t="s">
        <v>221</v>
      </c>
    </row>
    <row r="1383" ht="34.5">
      <c r="A1383" s="616" t="s">
        <v>1353</v>
      </c>
      <c r="B1383" s="616" t="s">
        <v>1354</v>
      </c>
      <c r="C1383" s="616" t="s">
        <v>1459</v>
      </c>
      <c r="D1383" s="616" t="s">
        <v>216</v>
      </c>
      <c r="E1383" s="616" t="s">
        <v>217</v>
      </c>
      <c r="F1383" s="617" t="s">
        <v>218</v>
      </c>
      <c r="G1383" s="616" t="s">
        <v>219</v>
      </c>
      <c r="H1383" s="617"/>
      <c r="I1383" s="617"/>
      <c r="J1383" s="617" t="s">
        <v>322</v>
      </c>
      <c r="K1383" s="618"/>
      <c r="L1383" s="616"/>
      <c r="M1383" s="616"/>
      <c r="N1383" s="617"/>
      <c r="O1383" s="617"/>
      <c r="P1383" s="617"/>
      <c r="Q1383" s="617"/>
      <c r="R1383" s="619"/>
      <c r="S1383" s="617"/>
      <c r="T1383" s="616" t="s">
        <v>221</v>
      </c>
    </row>
    <row r="1384" ht="34.5">
      <c r="A1384" s="616" t="s">
        <v>1353</v>
      </c>
      <c r="B1384" s="616" t="s">
        <v>1354</v>
      </c>
      <c r="C1384" s="616" t="s">
        <v>1459</v>
      </c>
      <c r="D1384" s="616" t="s">
        <v>216</v>
      </c>
      <c r="E1384" s="616" t="s">
        <v>217</v>
      </c>
      <c r="F1384" s="617" t="s">
        <v>218</v>
      </c>
      <c r="G1384" s="616" t="s">
        <v>219</v>
      </c>
      <c r="H1384" s="617"/>
      <c r="I1384" s="617"/>
      <c r="J1384" s="617" t="s">
        <v>1462</v>
      </c>
      <c r="K1384" s="618"/>
      <c r="L1384" s="616"/>
      <c r="M1384" s="616"/>
      <c r="N1384" s="617"/>
      <c r="O1384" s="617"/>
      <c r="P1384" s="617"/>
      <c r="Q1384" s="617"/>
      <c r="R1384" s="619"/>
      <c r="S1384" s="617"/>
      <c r="T1384" s="616" t="s">
        <v>221</v>
      </c>
    </row>
    <row r="1385" ht="34.5">
      <c r="A1385" s="616" t="s">
        <v>1353</v>
      </c>
      <c r="B1385" s="616" t="s">
        <v>1354</v>
      </c>
      <c r="C1385" s="616" t="s">
        <v>1459</v>
      </c>
      <c r="D1385" s="616" t="s">
        <v>216</v>
      </c>
      <c r="E1385" s="616" t="s">
        <v>217</v>
      </c>
      <c r="F1385" s="617" t="s">
        <v>218</v>
      </c>
      <c r="G1385" s="616" t="s">
        <v>219</v>
      </c>
      <c r="H1385" s="617"/>
      <c r="I1385" s="617"/>
      <c r="J1385" s="617" t="s">
        <v>324</v>
      </c>
      <c r="K1385" s="618"/>
      <c r="L1385" s="616"/>
      <c r="M1385" s="616"/>
      <c r="N1385" s="617"/>
      <c r="O1385" s="617"/>
      <c r="P1385" s="617"/>
      <c r="Q1385" s="617"/>
      <c r="R1385" s="619"/>
      <c r="S1385" s="617"/>
      <c r="T1385" s="616" t="s">
        <v>221</v>
      </c>
    </row>
    <row r="1386" ht="34.5">
      <c r="A1386" s="616" t="s">
        <v>1353</v>
      </c>
      <c r="B1386" s="616" t="s">
        <v>1354</v>
      </c>
      <c r="C1386" s="616" t="s">
        <v>1459</v>
      </c>
      <c r="D1386" s="616" t="s">
        <v>216</v>
      </c>
      <c r="E1386" s="616" t="s">
        <v>217</v>
      </c>
      <c r="F1386" s="617" t="s">
        <v>218</v>
      </c>
      <c r="G1386" s="616" t="s">
        <v>219</v>
      </c>
      <c r="H1386" s="617"/>
      <c r="I1386" s="617"/>
      <c r="J1386" s="617" t="s">
        <v>325</v>
      </c>
      <c r="K1386" s="618"/>
      <c r="L1386" s="616"/>
      <c r="M1386" s="616"/>
      <c r="N1386" s="617"/>
      <c r="O1386" s="617"/>
      <c r="P1386" s="617"/>
      <c r="Q1386" s="617"/>
      <c r="R1386" s="619"/>
      <c r="S1386" s="617"/>
      <c r="T1386" s="616" t="s">
        <v>221</v>
      </c>
    </row>
    <row r="1387" ht="34.5">
      <c r="A1387" s="616" t="s">
        <v>1353</v>
      </c>
      <c r="B1387" s="616" t="s">
        <v>1354</v>
      </c>
      <c r="C1387" s="616" t="s">
        <v>1459</v>
      </c>
      <c r="D1387" s="616" t="s">
        <v>216</v>
      </c>
      <c r="E1387" s="616" t="s">
        <v>217</v>
      </c>
      <c r="F1387" s="617" t="s">
        <v>218</v>
      </c>
      <c r="G1387" s="616" t="s">
        <v>219</v>
      </c>
      <c r="H1387" s="617"/>
      <c r="I1387" s="617"/>
      <c r="J1387" s="617" t="s">
        <v>326</v>
      </c>
      <c r="K1387" s="618"/>
      <c r="L1387" s="616"/>
      <c r="M1387" s="616"/>
      <c r="N1387" s="617"/>
      <c r="O1387" s="617"/>
      <c r="P1387" s="617"/>
      <c r="Q1387" s="617"/>
      <c r="R1387" s="619"/>
      <c r="S1387" s="617"/>
      <c r="T1387" s="616" t="s">
        <v>221</v>
      </c>
    </row>
    <row r="1388" ht="34.5">
      <c r="A1388" s="616" t="s">
        <v>1353</v>
      </c>
      <c r="B1388" s="616" t="s">
        <v>1354</v>
      </c>
      <c r="C1388" s="616" t="s">
        <v>1459</v>
      </c>
      <c r="D1388" s="616" t="s">
        <v>216</v>
      </c>
      <c r="E1388" s="616" t="s">
        <v>217</v>
      </c>
      <c r="F1388" s="617" t="s">
        <v>218</v>
      </c>
      <c r="G1388" s="616" t="s">
        <v>219</v>
      </c>
      <c r="H1388" s="617"/>
      <c r="I1388" s="617"/>
      <c r="J1388" s="617" t="s">
        <v>327</v>
      </c>
      <c r="K1388" s="618"/>
      <c r="L1388" s="616"/>
      <c r="M1388" s="616"/>
      <c r="N1388" s="617"/>
      <c r="O1388" s="617"/>
      <c r="P1388" s="617"/>
      <c r="Q1388" s="617"/>
      <c r="R1388" s="619"/>
      <c r="S1388" s="617"/>
      <c r="T1388" s="616" t="s">
        <v>221</v>
      </c>
    </row>
    <row r="1389" ht="34.5">
      <c r="A1389" s="616" t="s">
        <v>1353</v>
      </c>
      <c r="B1389" s="616" t="s">
        <v>1354</v>
      </c>
      <c r="C1389" s="616" t="s">
        <v>1459</v>
      </c>
      <c r="D1389" s="616" t="s">
        <v>216</v>
      </c>
      <c r="E1389" s="616" t="s">
        <v>217</v>
      </c>
      <c r="F1389" s="617" t="s">
        <v>218</v>
      </c>
      <c r="G1389" s="616" t="s">
        <v>219</v>
      </c>
      <c r="H1389" s="617"/>
      <c r="I1389" s="617"/>
      <c r="J1389" s="617" t="s">
        <v>328</v>
      </c>
      <c r="K1389" s="618"/>
      <c r="L1389" s="616"/>
      <c r="M1389" s="616"/>
      <c r="N1389" s="617"/>
      <c r="O1389" s="617"/>
      <c r="P1389" s="617"/>
      <c r="Q1389" s="617"/>
      <c r="R1389" s="619"/>
      <c r="S1389" s="617"/>
      <c r="T1389" s="616" t="s">
        <v>221</v>
      </c>
    </row>
    <row r="1390" ht="34.5">
      <c r="A1390" s="616" t="s">
        <v>1353</v>
      </c>
      <c r="B1390" s="616" t="s">
        <v>1354</v>
      </c>
      <c r="C1390" s="616" t="s">
        <v>1459</v>
      </c>
      <c r="D1390" s="616" t="s">
        <v>216</v>
      </c>
      <c r="E1390" s="616" t="s">
        <v>217</v>
      </c>
      <c r="F1390" s="617" t="s">
        <v>218</v>
      </c>
      <c r="G1390" s="616" t="s">
        <v>219</v>
      </c>
      <c r="H1390" s="617"/>
      <c r="I1390" s="617"/>
      <c r="J1390" s="617" t="s">
        <v>329</v>
      </c>
      <c r="K1390" s="618"/>
      <c r="L1390" s="616"/>
      <c r="M1390" s="616"/>
      <c r="N1390" s="617"/>
      <c r="O1390" s="617"/>
      <c r="P1390" s="617"/>
      <c r="Q1390" s="617"/>
      <c r="R1390" s="619"/>
      <c r="S1390" s="617"/>
      <c r="T1390" s="616" t="s">
        <v>221</v>
      </c>
    </row>
    <row r="1391" ht="34.5">
      <c r="A1391" s="616" t="s">
        <v>1353</v>
      </c>
      <c r="B1391" s="616" t="s">
        <v>1354</v>
      </c>
      <c r="C1391" s="616" t="s">
        <v>1463</v>
      </c>
      <c r="D1391" s="616" t="s">
        <v>216</v>
      </c>
      <c r="E1391" s="616" t="s">
        <v>217</v>
      </c>
      <c r="F1391" s="617" t="s">
        <v>218</v>
      </c>
      <c r="G1391" s="616" t="s">
        <v>219</v>
      </c>
      <c r="H1391" s="617"/>
      <c r="I1391" s="617"/>
      <c r="J1391" s="617" t="s">
        <v>332</v>
      </c>
      <c r="K1391" s="618"/>
      <c r="L1391" s="616"/>
      <c r="M1391" s="616"/>
      <c r="N1391" s="617"/>
      <c r="O1391" s="617"/>
      <c r="P1391" s="617"/>
      <c r="Q1391" s="617"/>
      <c r="R1391" s="619"/>
      <c r="S1391" s="617"/>
      <c r="T1391" s="616" t="s">
        <v>221</v>
      </c>
    </row>
    <row r="1392" ht="34.5">
      <c r="A1392" s="616" t="s">
        <v>1353</v>
      </c>
      <c r="B1392" s="616" t="s">
        <v>1354</v>
      </c>
      <c r="C1392" s="616" t="s">
        <v>1463</v>
      </c>
      <c r="D1392" s="616" t="s">
        <v>216</v>
      </c>
      <c r="E1392" s="616" t="s">
        <v>217</v>
      </c>
      <c r="F1392" s="617" t="s">
        <v>218</v>
      </c>
      <c r="G1392" s="616" t="s">
        <v>219</v>
      </c>
      <c r="H1392" s="617"/>
      <c r="I1392" s="617"/>
      <c r="J1392" s="617" t="s">
        <v>333</v>
      </c>
      <c r="K1392" s="618"/>
      <c r="L1392" s="616"/>
      <c r="M1392" s="616"/>
      <c r="N1392" s="617"/>
      <c r="O1392" s="617"/>
      <c r="P1392" s="617"/>
      <c r="Q1392" s="617"/>
      <c r="R1392" s="619"/>
      <c r="S1392" s="617"/>
      <c r="T1392" s="616" t="s">
        <v>221</v>
      </c>
    </row>
    <row r="1393" ht="34.5">
      <c r="A1393" s="616" t="s">
        <v>1353</v>
      </c>
      <c r="B1393" s="616" t="s">
        <v>1354</v>
      </c>
      <c r="C1393" s="616" t="s">
        <v>1463</v>
      </c>
      <c r="D1393" s="616" t="s">
        <v>216</v>
      </c>
      <c r="E1393" s="616" t="s">
        <v>217</v>
      </c>
      <c r="F1393" s="617" t="s">
        <v>218</v>
      </c>
      <c r="G1393" s="616" t="s">
        <v>219</v>
      </c>
      <c r="H1393" s="617"/>
      <c r="I1393" s="617"/>
      <c r="J1393" s="617" t="s">
        <v>1464</v>
      </c>
      <c r="K1393" s="618"/>
      <c r="L1393" s="616"/>
      <c r="M1393" s="616"/>
      <c r="N1393" s="617"/>
      <c r="O1393" s="617"/>
      <c r="P1393" s="617"/>
      <c r="Q1393" s="617"/>
      <c r="R1393" s="619"/>
      <c r="S1393" s="617"/>
      <c r="T1393" s="616" t="s">
        <v>221</v>
      </c>
    </row>
    <row r="1394" ht="34.5">
      <c r="A1394" s="616" t="s">
        <v>1353</v>
      </c>
      <c r="B1394" s="616" t="s">
        <v>1354</v>
      </c>
      <c r="C1394" s="616" t="s">
        <v>1463</v>
      </c>
      <c r="D1394" s="616" t="s">
        <v>216</v>
      </c>
      <c r="E1394" s="616" t="s">
        <v>217</v>
      </c>
      <c r="F1394" s="617" t="s">
        <v>218</v>
      </c>
      <c r="G1394" s="616" t="s">
        <v>219</v>
      </c>
      <c r="H1394" s="617"/>
      <c r="I1394" s="617"/>
      <c r="J1394" s="617" t="s">
        <v>335</v>
      </c>
      <c r="K1394" s="618"/>
      <c r="L1394" s="616"/>
      <c r="M1394" s="616"/>
      <c r="N1394" s="617"/>
      <c r="O1394" s="617"/>
      <c r="P1394" s="617"/>
      <c r="Q1394" s="617"/>
      <c r="R1394" s="619"/>
      <c r="S1394" s="617"/>
      <c r="T1394" s="616" t="s">
        <v>221</v>
      </c>
    </row>
    <row r="1395" ht="34.5">
      <c r="A1395" s="616" t="s">
        <v>1353</v>
      </c>
      <c r="B1395" s="616" t="s">
        <v>1354</v>
      </c>
      <c r="C1395" s="616" t="s">
        <v>1463</v>
      </c>
      <c r="D1395" s="616" t="s">
        <v>216</v>
      </c>
      <c r="E1395" s="616" t="s">
        <v>217</v>
      </c>
      <c r="F1395" s="617" t="s">
        <v>218</v>
      </c>
      <c r="G1395" s="616" t="s">
        <v>219</v>
      </c>
      <c r="H1395" s="617"/>
      <c r="I1395" s="617"/>
      <c r="J1395" s="617" t="s">
        <v>1465</v>
      </c>
      <c r="K1395" s="618"/>
      <c r="L1395" s="616"/>
      <c r="M1395" s="616"/>
      <c r="N1395" s="617"/>
      <c r="O1395" s="617"/>
      <c r="P1395" s="617"/>
      <c r="Q1395" s="617"/>
      <c r="R1395" s="619"/>
      <c r="S1395" s="617"/>
      <c r="T1395" s="616" t="s">
        <v>221</v>
      </c>
    </row>
    <row r="1396" ht="34.5">
      <c r="A1396" s="616" t="s">
        <v>1353</v>
      </c>
      <c r="B1396" s="616" t="s">
        <v>1354</v>
      </c>
      <c r="C1396" s="616" t="s">
        <v>1463</v>
      </c>
      <c r="D1396" s="616" t="s">
        <v>216</v>
      </c>
      <c r="E1396" s="616" t="s">
        <v>217</v>
      </c>
      <c r="F1396" s="617" t="s">
        <v>218</v>
      </c>
      <c r="G1396" s="616" t="s">
        <v>219</v>
      </c>
      <c r="H1396" s="617"/>
      <c r="I1396" s="617"/>
      <c r="J1396" s="617" t="s">
        <v>337</v>
      </c>
      <c r="K1396" s="618"/>
      <c r="L1396" s="616"/>
      <c r="M1396" s="616"/>
      <c r="N1396" s="617"/>
      <c r="O1396" s="617"/>
      <c r="P1396" s="617"/>
      <c r="Q1396" s="617"/>
      <c r="R1396" s="619"/>
      <c r="S1396" s="617"/>
      <c r="T1396" s="616" t="s">
        <v>221</v>
      </c>
    </row>
    <row r="1397" ht="34.5">
      <c r="A1397" s="616" t="s">
        <v>1353</v>
      </c>
      <c r="B1397" s="616" t="s">
        <v>1354</v>
      </c>
      <c r="C1397" s="616" t="s">
        <v>1463</v>
      </c>
      <c r="D1397" s="616" t="s">
        <v>216</v>
      </c>
      <c r="E1397" s="616" t="s">
        <v>217</v>
      </c>
      <c r="F1397" s="617" t="s">
        <v>218</v>
      </c>
      <c r="G1397" s="616" t="s">
        <v>219</v>
      </c>
      <c r="H1397" s="617"/>
      <c r="I1397" s="617"/>
      <c r="J1397" s="617" t="s">
        <v>338</v>
      </c>
      <c r="K1397" s="618"/>
      <c r="L1397" s="616"/>
      <c r="M1397" s="616"/>
      <c r="N1397" s="617"/>
      <c r="O1397" s="617"/>
      <c r="P1397" s="617"/>
      <c r="Q1397" s="617"/>
      <c r="R1397" s="619"/>
      <c r="S1397" s="617"/>
      <c r="T1397" s="616" t="s">
        <v>221</v>
      </c>
    </row>
    <row r="1398" ht="34.5">
      <c r="A1398" s="616" t="s">
        <v>1353</v>
      </c>
      <c r="B1398" s="616" t="s">
        <v>1354</v>
      </c>
      <c r="C1398" s="616" t="s">
        <v>1463</v>
      </c>
      <c r="D1398" s="616" t="s">
        <v>216</v>
      </c>
      <c r="E1398" s="616" t="s">
        <v>217</v>
      </c>
      <c r="F1398" s="617" t="s">
        <v>218</v>
      </c>
      <c r="G1398" s="616" t="s">
        <v>219</v>
      </c>
      <c r="H1398" s="617"/>
      <c r="I1398" s="617"/>
      <c r="J1398" s="617" t="s">
        <v>339</v>
      </c>
      <c r="K1398" s="618"/>
      <c r="L1398" s="616"/>
      <c r="M1398" s="616"/>
      <c r="N1398" s="617"/>
      <c r="O1398" s="617"/>
      <c r="P1398" s="617"/>
      <c r="Q1398" s="617"/>
      <c r="R1398" s="619"/>
      <c r="S1398" s="617"/>
      <c r="T1398" s="616" t="s">
        <v>221</v>
      </c>
    </row>
    <row r="1399" ht="34.5">
      <c r="A1399" s="616" t="s">
        <v>1353</v>
      </c>
      <c r="B1399" s="616" t="s">
        <v>1354</v>
      </c>
      <c r="C1399" s="616" t="s">
        <v>1463</v>
      </c>
      <c r="D1399" s="616" t="s">
        <v>216</v>
      </c>
      <c r="E1399" s="616" t="s">
        <v>217</v>
      </c>
      <c r="F1399" s="617" t="s">
        <v>218</v>
      </c>
      <c r="G1399" s="616" t="s">
        <v>219</v>
      </c>
      <c r="H1399" s="617"/>
      <c r="I1399" s="617"/>
      <c r="J1399" s="617" t="s">
        <v>340</v>
      </c>
      <c r="K1399" s="618"/>
      <c r="L1399" s="616"/>
      <c r="M1399" s="616"/>
      <c r="N1399" s="617"/>
      <c r="O1399" s="617"/>
      <c r="P1399" s="617"/>
      <c r="Q1399" s="617"/>
      <c r="R1399" s="619"/>
      <c r="S1399" s="617"/>
      <c r="T1399" s="616" t="s">
        <v>221</v>
      </c>
    </row>
    <row r="1400" ht="34.5">
      <c r="A1400" s="616" t="s">
        <v>1353</v>
      </c>
      <c r="B1400" s="616" t="s">
        <v>1354</v>
      </c>
      <c r="C1400" s="616" t="s">
        <v>1463</v>
      </c>
      <c r="D1400" s="616" t="s">
        <v>216</v>
      </c>
      <c r="E1400" s="616" t="s">
        <v>217</v>
      </c>
      <c r="F1400" s="617" t="s">
        <v>218</v>
      </c>
      <c r="G1400" s="616" t="s">
        <v>219</v>
      </c>
      <c r="H1400" s="617"/>
      <c r="I1400" s="617"/>
      <c r="J1400" s="617" t="s">
        <v>341</v>
      </c>
      <c r="K1400" s="618"/>
      <c r="L1400" s="616"/>
      <c r="M1400" s="616"/>
      <c r="N1400" s="617"/>
      <c r="O1400" s="617"/>
      <c r="P1400" s="617"/>
      <c r="Q1400" s="617"/>
      <c r="R1400" s="619"/>
      <c r="S1400" s="617"/>
      <c r="T1400" s="616" t="s">
        <v>221</v>
      </c>
    </row>
    <row r="1401" ht="34.5">
      <c r="A1401" s="616" t="s">
        <v>1353</v>
      </c>
      <c r="B1401" s="616" t="s">
        <v>1354</v>
      </c>
      <c r="C1401" s="616" t="s">
        <v>1463</v>
      </c>
      <c r="D1401" s="616" t="s">
        <v>216</v>
      </c>
      <c r="E1401" s="616" t="s">
        <v>217</v>
      </c>
      <c r="F1401" s="617" t="s">
        <v>218</v>
      </c>
      <c r="G1401" s="616" t="s">
        <v>219</v>
      </c>
      <c r="H1401" s="617"/>
      <c r="I1401" s="617"/>
      <c r="J1401" s="617" t="s">
        <v>342</v>
      </c>
      <c r="K1401" s="618"/>
      <c r="L1401" s="616"/>
      <c r="M1401" s="616"/>
      <c r="N1401" s="617"/>
      <c r="O1401" s="617"/>
      <c r="P1401" s="617"/>
      <c r="Q1401" s="617"/>
      <c r="R1401" s="619"/>
      <c r="S1401" s="617"/>
      <c r="T1401" s="616" t="s">
        <v>221</v>
      </c>
    </row>
    <row r="1402" ht="34.5">
      <c r="A1402" s="616" t="s">
        <v>1353</v>
      </c>
      <c r="B1402" s="616" t="s">
        <v>1354</v>
      </c>
      <c r="C1402" s="616" t="s">
        <v>1463</v>
      </c>
      <c r="D1402" s="616" t="s">
        <v>216</v>
      </c>
      <c r="E1402" s="616" t="s">
        <v>217</v>
      </c>
      <c r="F1402" s="617" t="s">
        <v>218</v>
      </c>
      <c r="G1402" s="616" t="s">
        <v>219</v>
      </c>
      <c r="H1402" s="617"/>
      <c r="I1402" s="617"/>
      <c r="J1402" s="617" t="s">
        <v>1466</v>
      </c>
      <c r="K1402" s="618"/>
      <c r="L1402" s="616"/>
      <c r="M1402" s="616"/>
      <c r="N1402" s="617"/>
      <c r="O1402" s="617"/>
      <c r="P1402" s="617"/>
      <c r="Q1402" s="617"/>
      <c r="R1402" s="619"/>
      <c r="S1402" s="617"/>
      <c r="T1402" s="616" t="s">
        <v>221</v>
      </c>
    </row>
    <row r="1403" ht="34.5">
      <c r="A1403" s="616" t="s">
        <v>1353</v>
      </c>
      <c r="B1403" s="616" t="s">
        <v>1354</v>
      </c>
      <c r="C1403" s="616" t="s">
        <v>1463</v>
      </c>
      <c r="D1403" s="616" t="s">
        <v>216</v>
      </c>
      <c r="E1403" s="616" t="s">
        <v>217</v>
      </c>
      <c r="F1403" s="617" t="s">
        <v>218</v>
      </c>
      <c r="G1403" s="616" t="s">
        <v>219</v>
      </c>
      <c r="H1403" s="617"/>
      <c r="I1403" s="617"/>
      <c r="J1403" s="617" t="s">
        <v>319</v>
      </c>
      <c r="K1403" s="618"/>
      <c r="L1403" s="616"/>
      <c r="M1403" s="616"/>
      <c r="N1403" s="617"/>
      <c r="O1403" s="617"/>
      <c r="P1403" s="617"/>
      <c r="Q1403" s="617"/>
      <c r="R1403" s="619"/>
      <c r="S1403" s="617"/>
      <c r="T1403" s="616" t="s">
        <v>221</v>
      </c>
    </row>
    <row r="1404" ht="34.5">
      <c r="A1404" s="616" t="s">
        <v>1353</v>
      </c>
      <c r="B1404" s="616" t="s">
        <v>1354</v>
      </c>
      <c r="C1404" s="616" t="s">
        <v>1467</v>
      </c>
      <c r="D1404" s="616" t="s">
        <v>216</v>
      </c>
      <c r="E1404" s="616" t="s">
        <v>217</v>
      </c>
      <c r="F1404" s="617" t="s">
        <v>218</v>
      </c>
      <c r="G1404" s="616" t="s">
        <v>219</v>
      </c>
      <c r="H1404" s="617"/>
      <c r="I1404" s="617"/>
      <c r="J1404" s="617" t="s">
        <v>1468</v>
      </c>
      <c r="K1404" s="618"/>
      <c r="L1404" s="616"/>
      <c r="M1404" s="616"/>
      <c r="N1404" s="617"/>
      <c r="O1404" s="617"/>
      <c r="P1404" s="617"/>
      <c r="Q1404" s="617"/>
      <c r="R1404" s="619"/>
      <c r="S1404" s="617"/>
      <c r="T1404" s="616" t="s">
        <v>221</v>
      </c>
    </row>
    <row r="1405" ht="34.5">
      <c r="A1405" s="616" t="s">
        <v>1353</v>
      </c>
      <c r="B1405" s="616" t="s">
        <v>1354</v>
      </c>
      <c r="C1405" s="616" t="s">
        <v>1467</v>
      </c>
      <c r="D1405" s="616" t="s">
        <v>216</v>
      </c>
      <c r="E1405" s="616" t="s">
        <v>217</v>
      </c>
      <c r="F1405" s="617" t="s">
        <v>218</v>
      </c>
      <c r="G1405" s="616" t="s">
        <v>219</v>
      </c>
      <c r="H1405" s="617"/>
      <c r="I1405" s="617"/>
      <c r="J1405" s="617" t="s">
        <v>1469</v>
      </c>
      <c r="K1405" s="618"/>
      <c r="L1405" s="616"/>
      <c r="M1405" s="616"/>
      <c r="N1405" s="617"/>
      <c r="O1405" s="617"/>
      <c r="P1405" s="617"/>
      <c r="Q1405" s="617"/>
      <c r="R1405" s="619"/>
      <c r="S1405" s="617"/>
      <c r="T1405" s="616" t="s">
        <v>221</v>
      </c>
    </row>
    <row r="1406" ht="34.5">
      <c r="A1406" s="616" t="s">
        <v>1353</v>
      </c>
      <c r="B1406" s="616" t="s">
        <v>1354</v>
      </c>
      <c r="C1406" s="616" t="s">
        <v>1467</v>
      </c>
      <c r="D1406" s="616" t="s">
        <v>216</v>
      </c>
      <c r="E1406" s="616" t="s">
        <v>217</v>
      </c>
      <c r="F1406" s="617" t="s">
        <v>218</v>
      </c>
      <c r="G1406" s="616" t="s">
        <v>219</v>
      </c>
      <c r="H1406" s="617"/>
      <c r="I1406" s="617"/>
      <c r="J1406" s="617" t="s">
        <v>350</v>
      </c>
      <c r="K1406" s="618"/>
      <c r="L1406" s="616"/>
      <c r="M1406" s="616"/>
      <c r="N1406" s="617"/>
      <c r="O1406" s="617"/>
      <c r="P1406" s="617"/>
      <c r="Q1406" s="617"/>
      <c r="R1406" s="619"/>
      <c r="S1406" s="617"/>
      <c r="T1406" s="616" t="s">
        <v>221</v>
      </c>
    </row>
    <row r="1407" ht="34.5">
      <c r="A1407" s="616" t="s">
        <v>1353</v>
      </c>
      <c r="B1407" s="616" t="s">
        <v>1354</v>
      </c>
      <c r="C1407" s="616" t="s">
        <v>1467</v>
      </c>
      <c r="D1407" s="616" t="s">
        <v>216</v>
      </c>
      <c r="E1407" s="616" t="s">
        <v>217</v>
      </c>
      <c r="F1407" s="617" t="s">
        <v>218</v>
      </c>
      <c r="G1407" s="616" t="s">
        <v>219</v>
      </c>
      <c r="H1407" s="617"/>
      <c r="I1407" s="617"/>
      <c r="J1407" s="617" t="s">
        <v>1470</v>
      </c>
      <c r="K1407" s="618"/>
      <c r="L1407" s="616"/>
      <c r="M1407" s="616"/>
      <c r="N1407" s="617"/>
      <c r="O1407" s="617"/>
      <c r="P1407" s="617"/>
      <c r="Q1407" s="617"/>
      <c r="R1407" s="619"/>
      <c r="S1407" s="617"/>
      <c r="T1407" s="616" t="s">
        <v>221</v>
      </c>
    </row>
    <row r="1408" ht="34.5">
      <c r="A1408" s="616" t="s">
        <v>1353</v>
      </c>
      <c r="B1408" s="616" t="s">
        <v>1354</v>
      </c>
      <c r="C1408" s="616" t="s">
        <v>1467</v>
      </c>
      <c r="D1408" s="616" t="s">
        <v>216</v>
      </c>
      <c r="E1408" s="616" t="s">
        <v>217</v>
      </c>
      <c r="F1408" s="617" t="s">
        <v>218</v>
      </c>
      <c r="G1408" s="616" t="s">
        <v>219</v>
      </c>
      <c r="H1408" s="617"/>
      <c r="I1408" s="617"/>
      <c r="J1408" s="617" t="s">
        <v>352</v>
      </c>
      <c r="K1408" s="618"/>
      <c r="L1408" s="616"/>
      <c r="M1408" s="616"/>
      <c r="N1408" s="617"/>
      <c r="O1408" s="617"/>
      <c r="P1408" s="617"/>
      <c r="Q1408" s="617"/>
      <c r="R1408" s="619"/>
      <c r="S1408" s="617"/>
      <c r="T1408" s="616" t="s">
        <v>221</v>
      </c>
    </row>
    <row r="1409" ht="34.5">
      <c r="A1409" s="616" t="s">
        <v>1353</v>
      </c>
      <c r="B1409" s="616" t="s">
        <v>1354</v>
      </c>
      <c r="C1409" s="616" t="s">
        <v>1467</v>
      </c>
      <c r="D1409" s="616" t="s">
        <v>216</v>
      </c>
      <c r="E1409" s="616" t="s">
        <v>217</v>
      </c>
      <c r="F1409" s="617" t="s">
        <v>218</v>
      </c>
      <c r="G1409" s="616" t="s">
        <v>219</v>
      </c>
      <c r="H1409" s="617"/>
      <c r="I1409" s="617"/>
      <c r="J1409" s="617" t="s">
        <v>1471</v>
      </c>
      <c r="K1409" s="618"/>
      <c r="L1409" s="616"/>
      <c r="M1409" s="616"/>
      <c r="N1409" s="617"/>
      <c r="O1409" s="617"/>
      <c r="P1409" s="617"/>
      <c r="Q1409" s="617"/>
      <c r="R1409" s="619"/>
      <c r="S1409" s="617"/>
      <c r="T1409" s="616" t="s">
        <v>221</v>
      </c>
    </row>
    <row r="1410" ht="34.5">
      <c r="A1410" s="616" t="s">
        <v>1353</v>
      </c>
      <c r="B1410" s="616" t="s">
        <v>1354</v>
      </c>
      <c r="C1410" s="616" t="s">
        <v>1467</v>
      </c>
      <c r="D1410" s="616" t="s">
        <v>216</v>
      </c>
      <c r="E1410" s="616" t="s">
        <v>217</v>
      </c>
      <c r="F1410" s="617" t="s">
        <v>218</v>
      </c>
      <c r="G1410" s="616" t="s">
        <v>219</v>
      </c>
      <c r="H1410" s="617"/>
      <c r="I1410" s="617"/>
      <c r="J1410" s="617" t="s">
        <v>1472</v>
      </c>
      <c r="K1410" s="618"/>
      <c r="L1410" s="616"/>
      <c r="M1410" s="616"/>
      <c r="N1410" s="617"/>
      <c r="O1410" s="617"/>
      <c r="P1410" s="617"/>
      <c r="Q1410" s="617"/>
      <c r="R1410" s="619"/>
      <c r="S1410" s="617"/>
      <c r="T1410" s="616" t="s">
        <v>221</v>
      </c>
    </row>
    <row r="1411" ht="34.5">
      <c r="A1411" s="616" t="s">
        <v>1353</v>
      </c>
      <c r="B1411" s="616" t="s">
        <v>1354</v>
      </c>
      <c r="C1411" s="616" t="s">
        <v>1467</v>
      </c>
      <c r="D1411" s="616" t="s">
        <v>216</v>
      </c>
      <c r="E1411" s="616" t="s">
        <v>217</v>
      </c>
      <c r="F1411" s="617" t="s">
        <v>218</v>
      </c>
      <c r="G1411" s="616" t="s">
        <v>219</v>
      </c>
      <c r="H1411" s="617"/>
      <c r="I1411" s="617"/>
      <c r="J1411" s="617" t="s">
        <v>355</v>
      </c>
      <c r="K1411" s="618"/>
      <c r="L1411" s="616"/>
      <c r="M1411" s="616"/>
      <c r="N1411" s="617"/>
      <c r="O1411" s="617"/>
      <c r="P1411" s="617"/>
      <c r="Q1411" s="617"/>
      <c r="R1411" s="619"/>
      <c r="S1411" s="617"/>
      <c r="T1411" s="616" t="s">
        <v>221</v>
      </c>
    </row>
    <row r="1412" ht="34.5">
      <c r="A1412" s="616" t="s">
        <v>1353</v>
      </c>
      <c r="B1412" s="616" t="s">
        <v>1354</v>
      </c>
      <c r="C1412" s="616" t="s">
        <v>1467</v>
      </c>
      <c r="D1412" s="616" t="s">
        <v>216</v>
      </c>
      <c r="E1412" s="616" t="s">
        <v>217</v>
      </c>
      <c r="F1412" s="617" t="s">
        <v>218</v>
      </c>
      <c r="G1412" s="616" t="s">
        <v>219</v>
      </c>
      <c r="H1412" s="617"/>
      <c r="I1412" s="617"/>
      <c r="J1412" s="617" t="s">
        <v>358</v>
      </c>
      <c r="K1412" s="618"/>
      <c r="L1412" s="616"/>
      <c r="M1412" s="616"/>
      <c r="N1412" s="617"/>
      <c r="O1412" s="617"/>
      <c r="P1412" s="617"/>
      <c r="Q1412" s="617"/>
      <c r="R1412" s="619"/>
      <c r="S1412" s="617"/>
      <c r="T1412" s="616" t="s">
        <v>221</v>
      </c>
    </row>
    <row r="1413" ht="34.5">
      <c r="A1413" s="616" t="s">
        <v>1353</v>
      </c>
      <c r="B1413" s="616" t="s">
        <v>1354</v>
      </c>
      <c r="C1413" s="616" t="s">
        <v>1467</v>
      </c>
      <c r="D1413" s="616" t="s">
        <v>216</v>
      </c>
      <c r="E1413" s="616" t="s">
        <v>217</v>
      </c>
      <c r="F1413" s="617" t="s">
        <v>218</v>
      </c>
      <c r="G1413" s="616" t="s">
        <v>219</v>
      </c>
      <c r="H1413" s="617"/>
      <c r="I1413" s="617"/>
      <c r="J1413" s="617" t="s">
        <v>359</v>
      </c>
      <c r="K1413" s="618"/>
      <c r="L1413" s="616"/>
      <c r="M1413" s="616"/>
      <c r="N1413" s="617"/>
      <c r="O1413" s="617"/>
      <c r="P1413" s="617"/>
      <c r="Q1413" s="617"/>
      <c r="R1413" s="619"/>
      <c r="S1413" s="617"/>
      <c r="T1413" s="616" t="s">
        <v>221</v>
      </c>
    </row>
    <row r="1414" ht="34.5">
      <c r="A1414" s="616" t="s">
        <v>1353</v>
      </c>
      <c r="B1414" s="616" t="s">
        <v>1354</v>
      </c>
      <c r="C1414" s="616" t="s">
        <v>1467</v>
      </c>
      <c r="D1414" s="616" t="s">
        <v>216</v>
      </c>
      <c r="E1414" s="616" t="s">
        <v>217</v>
      </c>
      <c r="F1414" s="617" t="s">
        <v>218</v>
      </c>
      <c r="G1414" s="616" t="s">
        <v>219</v>
      </c>
      <c r="H1414" s="617"/>
      <c r="I1414" s="617"/>
      <c r="J1414" s="617" t="s">
        <v>360</v>
      </c>
      <c r="K1414" s="618"/>
      <c r="L1414" s="616"/>
      <c r="M1414" s="616"/>
      <c r="N1414" s="617"/>
      <c r="O1414" s="617"/>
      <c r="P1414" s="617"/>
      <c r="Q1414" s="617"/>
      <c r="R1414" s="619"/>
      <c r="S1414" s="617"/>
      <c r="T1414" s="616" t="s">
        <v>221</v>
      </c>
    </row>
    <row r="1415" ht="34.5">
      <c r="A1415" s="616" t="s">
        <v>1353</v>
      </c>
      <c r="B1415" s="616" t="s">
        <v>1354</v>
      </c>
      <c r="C1415" s="616" t="s">
        <v>1473</v>
      </c>
      <c r="D1415" s="616" t="s">
        <v>216</v>
      </c>
      <c r="E1415" s="616" t="s">
        <v>217</v>
      </c>
      <c r="F1415" s="617" t="s">
        <v>218</v>
      </c>
      <c r="G1415" s="616" t="s">
        <v>219</v>
      </c>
      <c r="H1415" s="617"/>
      <c r="I1415" s="617"/>
      <c r="J1415" s="617" t="s">
        <v>361</v>
      </c>
      <c r="K1415" s="618"/>
      <c r="L1415" s="616"/>
      <c r="M1415" s="616"/>
      <c r="N1415" s="617"/>
      <c r="O1415" s="617"/>
      <c r="P1415" s="617"/>
      <c r="Q1415" s="617"/>
      <c r="R1415" s="619"/>
      <c r="S1415" s="617"/>
      <c r="T1415" s="616" t="s">
        <v>221</v>
      </c>
    </row>
    <row r="1416" ht="34.5">
      <c r="A1416" s="616" t="s">
        <v>1353</v>
      </c>
      <c r="B1416" s="616" t="s">
        <v>1354</v>
      </c>
      <c r="C1416" s="616" t="s">
        <v>1473</v>
      </c>
      <c r="D1416" s="616" t="s">
        <v>216</v>
      </c>
      <c r="E1416" s="616" t="s">
        <v>217</v>
      </c>
      <c r="F1416" s="617" t="s">
        <v>218</v>
      </c>
      <c r="G1416" s="616" t="s">
        <v>219</v>
      </c>
      <c r="H1416" s="617"/>
      <c r="I1416" s="617"/>
      <c r="J1416" s="617" t="s">
        <v>362</v>
      </c>
      <c r="K1416" s="618"/>
      <c r="L1416" s="616"/>
      <c r="M1416" s="616"/>
      <c r="N1416" s="617"/>
      <c r="O1416" s="617"/>
      <c r="P1416" s="617"/>
      <c r="Q1416" s="617"/>
      <c r="R1416" s="619"/>
      <c r="S1416" s="617"/>
      <c r="T1416" s="616" t="s">
        <v>221</v>
      </c>
    </row>
    <row r="1417" ht="34.5">
      <c r="A1417" s="616" t="s">
        <v>1353</v>
      </c>
      <c r="B1417" s="616" t="s">
        <v>1354</v>
      </c>
      <c r="C1417" s="616" t="s">
        <v>1473</v>
      </c>
      <c r="D1417" s="616" t="s">
        <v>216</v>
      </c>
      <c r="E1417" s="616" t="s">
        <v>217</v>
      </c>
      <c r="F1417" s="617" t="s">
        <v>218</v>
      </c>
      <c r="G1417" s="616" t="s">
        <v>219</v>
      </c>
      <c r="H1417" s="617"/>
      <c r="I1417" s="617"/>
      <c r="J1417" s="617" t="s">
        <v>363</v>
      </c>
      <c r="K1417" s="618"/>
      <c r="L1417" s="616"/>
      <c r="M1417" s="616"/>
      <c r="N1417" s="617"/>
      <c r="O1417" s="617"/>
      <c r="P1417" s="617"/>
      <c r="Q1417" s="617"/>
      <c r="R1417" s="619"/>
      <c r="S1417" s="617"/>
      <c r="T1417" s="616" t="s">
        <v>221</v>
      </c>
    </row>
    <row r="1418" ht="34.5">
      <c r="A1418" s="616" t="s">
        <v>1353</v>
      </c>
      <c r="B1418" s="616" t="s">
        <v>1354</v>
      </c>
      <c r="C1418" s="616" t="s">
        <v>1473</v>
      </c>
      <c r="D1418" s="616" t="s">
        <v>216</v>
      </c>
      <c r="E1418" s="616" t="s">
        <v>217</v>
      </c>
      <c r="F1418" s="617" t="s">
        <v>218</v>
      </c>
      <c r="G1418" s="616" t="s">
        <v>219</v>
      </c>
      <c r="H1418" s="617"/>
      <c r="I1418" s="617"/>
      <c r="J1418" s="617" t="s">
        <v>364</v>
      </c>
      <c r="K1418" s="618"/>
      <c r="L1418" s="616"/>
      <c r="M1418" s="616"/>
      <c r="N1418" s="617"/>
      <c r="O1418" s="617"/>
      <c r="P1418" s="617"/>
      <c r="Q1418" s="617"/>
      <c r="R1418" s="619"/>
      <c r="S1418" s="617"/>
      <c r="T1418" s="616" t="s">
        <v>221</v>
      </c>
    </row>
    <row r="1419" ht="34.5">
      <c r="A1419" s="616" t="s">
        <v>1353</v>
      </c>
      <c r="B1419" s="616" t="s">
        <v>1354</v>
      </c>
      <c r="C1419" s="616" t="s">
        <v>1473</v>
      </c>
      <c r="D1419" s="616" t="s">
        <v>216</v>
      </c>
      <c r="E1419" s="616" t="s">
        <v>217</v>
      </c>
      <c r="F1419" s="617" t="s">
        <v>218</v>
      </c>
      <c r="G1419" s="616" t="s">
        <v>219</v>
      </c>
      <c r="H1419" s="617"/>
      <c r="I1419" s="617"/>
      <c r="J1419" s="617" t="s">
        <v>1474</v>
      </c>
      <c r="K1419" s="618"/>
      <c r="L1419" s="616"/>
      <c r="M1419" s="616"/>
      <c r="N1419" s="617"/>
      <c r="O1419" s="617"/>
      <c r="P1419" s="617"/>
      <c r="Q1419" s="617"/>
      <c r="R1419" s="619"/>
      <c r="S1419" s="617"/>
      <c r="T1419" s="616" t="s">
        <v>221</v>
      </c>
    </row>
    <row r="1420" ht="34.5">
      <c r="A1420" s="616" t="s">
        <v>1353</v>
      </c>
      <c r="B1420" s="616" t="s">
        <v>1354</v>
      </c>
      <c r="C1420" s="616" t="s">
        <v>1473</v>
      </c>
      <c r="D1420" s="616" t="s">
        <v>216</v>
      </c>
      <c r="E1420" s="616" t="s">
        <v>217</v>
      </c>
      <c r="F1420" s="617" t="s">
        <v>218</v>
      </c>
      <c r="G1420" s="616" t="s">
        <v>219</v>
      </c>
      <c r="H1420" s="617"/>
      <c r="I1420" s="617"/>
      <c r="J1420" s="617" t="s">
        <v>1475</v>
      </c>
      <c r="K1420" s="618"/>
      <c r="L1420" s="616"/>
      <c r="M1420" s="616"/>
      <c r="N1420" s="617"/>
      <c r="O1420" s="617"/>
      <c r="P1420" s="617"/>
      <c r="Q1420" s="617"/>
      <c r="R1420" s="619"/>
      <c r="S1420" s="617"/>
      <c r="T1420" s="616" t="s">
        <v>221</v>
      </c>
    </row>
    <row r="1421" ht="34.5">
      <c r="A1421" s="616" t="s">
        <v>1353</v>
      </c>
      <c r="B1421" s="616" t="s">
        <v>1354</v>
      </c>
      <c r="C1421" s="616" t="s">
        <v>1473</v>
      </c>
      <c r="D1421" s="616" t="s">
        <v>216</v>
      </c>
      <c r="E1421" s="616" t="s">
        <v>217</v>
      </c>
      <c r="F1421" s="617" t="s">
        <v>218</v>
      </c>
      <c r="G1421" s="616" t="s">
        <v>219</v>
      </c>
      <c r="H1421" s="617"/>
      <c r="I1421" s="617"/>
      <c r="J1421" s="617" t="s">
        <v>369</v>
      </c>
      <c r="K1421" s="618"/>
      <c r="L1421" s="616"/>
      <c r="M1421" s="616"/>
      <c r="N1421" s="617"/>
      <c r="O1421" s="617"/>
      <c r="P1421" s="617"/>
      <c r="Q1421" s="617"/>
      <c r="R1421" s="619"/>
      <c r="S1421" s="617"/>
      <c r="T1421" s="616" t="s">
        <v>221</v>
      </c>
    </row>
    <row r="1422" ht="34.5">
      <c r="A1422" s="616" t="s">
        <v>1353</v>
      </c>
      <c r="B1422" s="616" t="s">
        <v>1354</v>
      </c>
      <c r="C1422" s="616" t="s">
        <v>1473</v>
      </c>
      <c r="D1422" s="616" t="s">
        <v>216</v>
      </c>
      <c r="E1422" s="616" t="s">
        <v>217</v>
      </c>
      <c r="F1422" s="617" t="s">
        <v>218</v>
      </c>
      <c r="G1422" s="616" t="s">
        <v>219</v>
      </c>
      <c r="H1422" s="617"/>
      <c r="I1422" s="617"/>
      <c r="J1422" s="617" t="s">
        <v>370</v>
      </c>
      <c r="K1422" s="618"/>
      <c r="L1422" s="616"/>
      <c r="M1422" s="616"/>
      <c r="N1422" s="617"/>
      <c r="O1422" s="617"/>
      <c r="P1422" s="617"/>
      <c r="Q1422" s="617"/>
      <c r="R1422" s="619"/>
      <c r="S1422" s="617"/>
      <c r="T1422" s="616" t="s">
        <v>221</v>
      </c>
    </row>
    <row r="1423" ht="34.5">
      <c r="A1423" s="616" t="s">
        <v>1353</v>
      </c>
      <c r="B1423" s="616" t="s">
        <v>1354</v>
      </c>
      <c r="C1423" s="616" t="s">
        <v>1473</v>
      </c>
      <c r="D1423" s="616" t="s">
        <v>216</v>
      </c>
      <c r="E1423" s="616" t="s">
        <v>217</v>
      </c>
      <c r="F1423" s="617" t="s">
        <v>218</v>
      </c>
      <c r="G1423" s="616" t="s">
        <v>219</v>
      </c>
      <c r="H1423" s="617"/>
      <c r="I1423" s="617"/>
      <c r="J1423" s="617" t="s">
        <v>371</v>
      </c>
      <c r="K1423" s="618"/>
      <c r="L1423" s="616"/>
      <c r="M1423" s="616"/>
      <c r="N1423" s="617"/>
      <c r="O1423" s="617"/>
      <c r="P1423" s="617"/>
      <c r="Q1423" s="617"/>
      <c r="R1423" s="619"/>
      <c r="S1423" s="617"/>
      <c r="T1423" s="616" t="s">
        <v>221</v>
      </c>
    </row>
    <row r="1424" ht="34.5">
      <c r="A1424" s="616" t="s">
        <v>1353</v>
      </c>
      <c r="B1424" s="616" t="s">
        <v>1354</v>
      </c>
      <c r="C1424" s="616" t="s">
        <v>1473</v>
      </c>
      <c r="D1424" s="616" t="s">
        <v>216</v>
      </c>
      <c r="E1424" s="616" t="s">
        <v>217</v>
      </c>
      <c r="F1424" s="617" t="s">
        <v>218</v>
      </c>
      <c r="G1424" s="616" t="s">
        <v>219</v>
      </c>
      <c r="H1424" s="617"/>
      <c r="I1424" s="617"/>
      <c r="J1424" s="617" t="s">
        <v>372</v>
      </c>
      <c r="K1424" s="618"/>
      <c r="L1424" s="616"/>
      <c r="M1424" s="616"/>
      <c r="N1424" s="617"/>
      <c r="O1424" s="617"/>
      <c r="P1424" s="617"/>
      <c r="Q1424" s="617"/>
      <c r="R1424" s="619"/>
      <c r="S1424" s="617"/>
      <c r="T1424" s="616" t="s">
        <v>221</v>
      </c>
    </row>
    <row r="1425" ht="34.5">
      <c r="A1425" s="616" t="s">
        <v>1353</v>
      </c>
      <c r="B1425" s="616" t="s">
        <v>1354</v>
      </c>
      <c r="C1425" s="616" t="s">
        <v>1473</v>
      </c>
      <c r="D1425" s="616" t="s">
        <v>216</v>
      </c>
      <c r="E1425" s="616" t="s">
        <v>217</v>
      </c>
      <c r="F1425" s="617" t="s">
        <v>218</v>
      </c>
      <c r="G1425" s="616" t="s">
        <v>219</v>
      </c>
      <c r="H1425" s="617"/>
      <c r="I1425" s="617"/>
      <c r="J1425" s="617" t="s">
        <v>373</v>
      </c>
      <c r="K1425" s="618"/>
      <c r="L1425" s="616"/>
      <c r="M1425" s="616"/>
      <c r="N1425" s="617"/>
      <c r="O1425" s="617"/>
      <c r="P1425" s="617"/>
      <c r="Q1425" s="617"/>
      <c r="R1425" s="619"/>
      <c r="S1425" s="617"/>
      <c r="T1425" s="616" t="s">
        <v>221</v>
      </c>
    </row>
    <row r="1426" ht="34.5">
      <c r="A1426" s="616" t="s">
        <v>1353</v>
      </c>
      <c r="B1426" s="616" t="s">
        <v>1354</v>
      </c>
      <c r="C1426" s="616" t="s">
        <v>1476</v>
      </c>
      <c r="D1426" s="616" t="s">
        <v>216</v>
      </c>
      <c r="E1426" s="616" t="s">
        <v>217</v>
      </c>
      <c r="F1426" s="617" t="s">
        <v>218</v>
      </c>
      <c r="G1426" s="616" t="s">
        <v>219</v>
      </c>
      <c r="H1426" s="617"/>
      <c r="I1426" s="617"/>
      <c r="J1426" s="617" t="s">
        <v>1477</v>
      </c>
      <c r="K1426" s="618"/>
      <c r="L1426" s="616"/>
      <c r="M1426" s="616"/>
      <c r="N1426" s="617"/>
      <c r="O1426" s="617"/>
      <c r="P1426" s="617"/>
      <c r="Q1426" s="617"/>
      <c r="R1426" s="619"/>
      <c r="S1426" s="617"/>
      <c r="T1426" s="616" t="s">
        <v>221</v>
      </c>
    </row>
    <row r="1427" ht="34.5">
      <c r="A1427" s="616" t="s">
        <v>1353</v>
      </c>
      <c r="B1427" s="616" t="s">
        <v>1354</v>
      </c>
      <c r="C1427" s="616" t="s">
        <v>1476</v>
      </c>
      <c r="D1427" s="616" t="s">
        <v>216</v>
      </c>
      <c r="E1427" s="616" t="s">
        <v>217</v>
      </c>
      <c r="F1427" s="617" t="s">
        <v>218</v>
      </c>
      <c r="G1427" s="616" t="s">
        <v>219</v>
      </c>
      <c r="H1427" s="617"/>
      <c r="I1427" s="617"/>
      <c r="J1427" s="617" t="s">
        <v>375</v>
      </c>
      <c r="K1427" s="618"/>
      <c r="L1427" s="616"/>
      <c r="M1427" s="616"/>
      <c r="N1427" s="617"/>
      <c r="O1427" s="617"/>
      <c r="P1427" s="617"/>
      <c r="Q1427" s="617"/>
      <c r="R1427" s="619"/>
      <c r="S1427" s="617"/>
      <c r="T1427" s="616" t="s">
        <v>221</v>
      </c>
    </row>
    <row r="1428" ht="34.5">
      <c r="A1428" s="616" t="s">
        <v>1353</v>
      </c>
      <c r="B1428" s="616" t="s">
        <v>1354</v>
      </c>
      <c r="C1428" s="616" t="s">
        <v>1476</v>
      </c>
      <c r="D1428" s="616" t="s">
        <v>216</v>
      </c>
      <c r="E1428" s="616" t="s">
        <v>217</v>
      </c>
      <c r="F1428" s="617" t="s">
        <v>218</v>
      </c>
      <c r="G1428" s="616" t="s">
        <v>219</v>
      </c>
      <c r="H1428" s="617"/>
      <c r="I1428" s="617"/>
      <c r="J1428" s="617" t="s">
        <v>376</v>
      </c>
      <c r="K1428" s="618"/>
      <c r="L1428" s="616"/>
      <c r="M1428" s="616"/>
      <c r="N1428" s="617"/>
      <c r="O1428" s="617"/>
      <c r="P1428" s="617"/>
      <c r="Q1428" s="617"/>
      <c r="R1428" s="619"/>
      <c r="S1428" s="617"/>
      <c r="T1428" s="616" t="s">
        <v>221</v>
      </c>
    </row>
    <row r="1429" ht="34.5">
      <c r="A1429" s="616" t="s">
        <v>1353</v>
      </c>
      <c r="B1429" s="616" t="s">
        <v>1354</v>
      </c>
      <c r="C1429" s="616" t="s">
        <v>1476</v>
      </c>
      <c r="D1429" s="616" t="s">
        <v>216</v>
      </c>
      <c r="E1429" s="616" t="s">
        <v>217</v>
      </c>
      <c r="F1429" s="617" t="s">
        <v>218</v>
      </c>
      <c r="G1429" s="616" t="s">
        <v>219</v>
      </c>
      <c r="H1429" s="617"/>
      <c r="I1429" s="617"/>
      <c r="J1429" s="617" t="s">
        <v>1478</v>
      </c>
      <c r="K1429" s="618"/>
      <c r="L1429" s="616"/>
      <c r="M1429" s="616"/>
      <c r="N1429" s="617"/>
      <c r="O1429" s="617"/>
      <c r="P1429" s="617"/>
      <c r="Q1429" s="617"/>
      <c r="R1429" s="619"/>
      <c r="S1429" s="617"/>
      <c r="T1429" s="616" t="s">
        <v>221</v>
      </c>
    </row>
    <row r="1430" ht="34.5">
      <c r="A1430" s="616" t="s">
        <v>1353</v>
      </c>
      <c r="B1430" s="616" t="s">
        <v>1354</v>
      </c>
      <c r="C1430" s="616" t="s">
        <v>1476</v>
      </c>
      <c r="D1430" s="616" t="s">
        <v>216</v>
      </c>
      <c r="E1430" s="616" t="s">
        <v>217</v>
      </c>
      <c r="F1430" s="617" t="s">
        <v>218</v>
      </c>
      <c r="G1430" s="616" t="s">
        <v>219</v>
      </c>
      <c r="H1430" s="617"/>
      <c r="I1430" s="617"/>
      <c r="J1430" s="617" t="s">
        <v>378</v>
      </c>
      <c r="K1430" s="618"/>
      <c r="L1430" s="616"/>
      <c r="M1430" s="616"/>
      <c r="N1430" s="617"/>
      <c r="O1430" s="617"/>
      <c r="P1430" s="617"/>
      <c r="Q1430" s="617"/>
      <c r="R1430" s="619"/>
      <c r="S1430" s="617"/>
      <c r="T1430" s="616" t="s">
        <v>221</v>
      </c>
    </row>
    <row r="1431" ht="34.5">
      <c r="A1431" s="616" t="s">
        <v>1353</v>
      </c>
      <c r="B1431" s="616" t="s">
        <v>1354</v>
      </c>
      <c r="C1431" s="616" t="s">
        <v>1476</v>
      </c>
      <c r="D1431" s="616" t="s">
        <v>216</v>
      </c>
      <c r="E1431" s="616" t="s">
        <v>217</v>
      </c>
      <c r="F1431" s="617" t="s">
        <v>218</v>
      </c>
      <c r="G1431" s="616" t="s">
        <v>219</v>
      </c>
      <c r="H1431" s="617"/>
      <c r="I1431" s="617"/>
      <c r="J1431" s="617" t="s">
        <v>1479</v>
      </c>
      <c r="K1431" s="618"/>
      <c r="L1431" s="616"/>
      <c r="M1431" s="616"/>
      <c r="N1431" s="617"/>
      <c r="O1431" s="617"/>
      <c r="P1431" s="617"/>
      <c r="Q1431" s="617"/>
      <c r="R1431" s="619"/>
      <c r="S1431" s="617"/>
      <c r="T1431" s="616" t="s">
        <v>221</v>
      </c>
    </row>
    <row r="1432" ht="34.5">
      <c r="A1432" s="616" t="s">
        <v>1353</v>
      </c>
      <c r="B1432" s="616" t="s">
        <v>1354</v>
      </c>
      <c r="C1432" s="616" t="s">
        <v>1476</v>
      </c>
      <c r="D1432" s="616" t="s">
        <v>216</v>
      </c>
      <c r="E1432" s="616" t="s">
        <v>217</v>
      </c>
      <c r="F1432" s="617" t="s">
        <v>218</v>
      </c>
      <c r="G1432" s="616" t="s">
        <v>219</v>
      </c>
      <c r="H1432" s="617"/>
      <c r="I1432" s="617"/>
      <c r="J1432" s="617" t="s">
        <v>1480</v>
      </c>
      <c r="K1432" s="618"/>
      <c r="L1432" s="616"/>
      <c r="M1432" s="616"/>
      <c r="N1432" s="617"/>
      <c r="O1432" s="617"/>
      <c r="P1432" s="617"/>
      <c r="Q1432" s="617"/>
      <c r="R1432" s="619"/>
      <c r="S1432" s="617"/>
      <c r="T1432" s="616" t="s">
        <v>221</v>
      </c>
    </row>
    <row r="1433" ht="34.5">
      <c r="A1433" s="616" t="s">
        <v>1353</v>
      </c>
      <c r="B1433" s="616" t="s">
        <v>1354</v>
      </c>
      <c r="C1433" s="616" t="s">
        <v>1476</v>
      </c>
      <c r="D1433" s="616" t="s">
        <v>216</v>
      </c>
      <c r="E1433" s="616" t="s">
        <v>217</v>
      </c>
      <c r="F1433" s="617" t="s">
        <v>218</v>
      </c>
      <c r="G1433" s="616" t="s">
        <v>219</v>
      </c>
      <c r="H1433" s="617"/>
      <c r="I1433" s="617"/>
      <c r="J1433" s="617" t="s">
        <v>381</v>
      </c>
      <c r="K1433" s="618"/>
      <c r="L1433" s="616"/>
      <c r="M1433" s="616"/>
      <c r="N1433" s="617"/>
      <c r="O1433" s="617"/>
      <c r="P1433" s="617"/>
      <c r="Q1433" s="617"/>
      <c r="R1433" s="619"/>
      <c r="S1433" s="617"/>
      <c r="T1433" s="616" t="s">
        <v>221</v>
      </c>
    </row>
    <row r="1434" ht="34.5">
      <c r="A1434" s="616" t="s">
        <v>1353</v>
      </c>
      <c r="B1434" s="616" t="s">
        <v>1354</v>
      </c>
      <c r="C1434" s="616" t="s">
        <v>1476</v>
      </c>
      <c r="D1434" s="616" t="s">
        <v>216</v>
      </c>
      <c r="E1434" s="616" t="s">
        <v>217</v>
      </c>
      <c r="F1434" s="617" t="s">
        <v>218</v>
      </c>
      <c r="G1434" s="616" t="s">
        <v>219</v>
      </c>
      <c r="H1434" s="617"/>
      <c r="I1434" s="617"/>
      <c r="J1434" s="617" t="s">
        <v>382</v>
      </c>
      <c r="K1434" s="618"/>
      <c r="L1434" s="616"/>
      <c r="M1434" s="616"/>
      <c r="N1434" s="617"/>
      <c r="O1434" s="617"/>
      <c r="P1434" s="617"/>
      <c r="Q1434" s="617"/>
      <c r="R1434" s="619"/>
      <c r="S1434" s="617"/>
      <c r="T1434" s="616" t="s">
        <v>221</v>
      </c>
    </row>
    <row r="1435" ht="34.5">
      <c r="A1435" s="616" t="s">
        <v>1353</v>
      </c>
      <c r="B1435" s="616" t="s">
        <v>1354</v>
      </c>
      <c r="C1435" s="616" t="s">
        <v>1476</v>
      </c>
      <c r="D1435" s="616" t="s">
        <v>216</v>
      </c>
      <c r="E1435" s="616" t="s">
        <v>217</v>
      </c>
      <c r="F1435" s="617" t="s">
        <v>218</v>
      </c>
      <c r="G1435" s="616" t="s">
        <v>219</v>
      </c>
      <c r="H1435" s="617"/>
      <c r="I1435" s="617"/>
      <c r="J1435" s="617" t="s">
        <v>1481</v>
      </c>
      <c r="K1435" s="618"/>
      <c r="L1435" s="616"/>
      <c r="M1435" s="616"/>
      <c r="N1435" s="617"/>
      <c r="O1435" s="617"/>
      <c r="P1435" s="617"/>
      <c r="Q1435" s="617"/>
      <c r="R1435" s="619"/>
      <c r="S1435" s="617"/>
      <c r="T1435" s="616" t="s">
        <v>221</v>
      </c>
    </row>
    <row r="1436" ht="34.5">
      <c r="A1436" s="616" t="s">
        <v>1353</v>
      </c>
      <c r="B1436" s="616" t="s">
        <v>1354</v>
      </c>
      <c r="C1436" s="616" t="s">
        <v>1476</v>
      </c>
      <c r="D1436" s="616" t="s">
        <v>216</v>
      </c>
      <c r="E1436" s="616" t="s">
        <v>217</v>
      </c>
      <c r="F1436" s="617" t="s">
        <v>218</v>
      </c>
      <c r="G1436" s="616" t="s">
        <v>219</v>
      </c>
      <c r="H1436" s="617"/>
      <c r="I1436" s="617"/>
      <c r="J1436" s="617" t="s">
        <v>386</v>
      </c>
      <c r="K1436" s="618"/>
      <c r="L1436" s="616"/>
      <c r="M1436" s="616"/>
      <c r="N1436" s="617"/>
      <c r="O1436" s="617"/>
      <c r="P1436" s="617"/>
      <c r="Q1436" s="617"/>
      <c r="R1436" s="619"/>
      <c r="S1436" s="617"/>
      <c r="T1436" s="616" t="s">
        <v>221</v>
      </c>
    </row>
    <row r="1437" ht="34.5">
      <c r="A1437" s="616" t="s">
        <v>1353</v>
      </c>
      <c r="B1437" s="616" t="s">
        <v>1354</v>
      </c>
      <c r="C1437" s="616" t="s">
        <v>1476</v>
      </c>
      <c r="D1437" s="616" t="s">
        <v>216</v>
      </c>
      <c r="E1437" s="616" t="s">
        <v>217</v>
      </c>
      <c r="F1437" s="617" t="s">
        <v>218</v>
      </c>
      <c r="G1437" s="616" t="s">
        <v>219</v>
      </c>
      <c r="H1437" s="617"/>
      <c r="I1437" s="617"/>
      <c r="J1437" s="617" t="s">
        <v>1482</v>
      </c>
      <c r="K1437" s="618"/>
      <c r="L1437" s="616"/>
      <c r="M1437" s="616"/>
      <c r="N1437" s="617"/>
      <c r="O1437" s="617"/>
      <c r="P1437" s="617"/>
      <c r="Q1437" s="617"/>
      <c r="R1437" s="619"/>
      <c r="S1437" s="617"/>
      <c r="T1437" s="616" t="s">
        <v>221</v>
      </c>
    </row>
    <row r="1438" ht="34.5">
      <c r="A1438" s="616" t="s">
        <v>1353</v>
      </c>
      <c r="B1438" s="616" t="s">
        <v>1354</v>
      </c>
      <c r="C1438" s="616" t="s">
        <v>1476</v>
      </c>
      <c r="D1438" s="616" t="s">
        <v>216</v>
      </c>
      <c r="E1438" s="616" t="s">
        <v>217</v>
      </c>
      <c r="F1438" s="617" t="s">
        <v>218</v>
      </c>
      <c r="G1438" s="616" t="s">
        <v>219</v>
      </c>
      <c r="H1438" s="617"/>
      <c r="I1438" s="617"/>
      <c r="J1438" s="617" t="s">
        <v>388</v>
      </c>
      <c r="K1438" s="618"/>
      <c r="L1438" s="616"/>
      <c r="M1438" s="616"/>
      <c r="N1438" s="617"/>
      <c r="O1438" s="617"/>
      <c r="P1438" s="617"/>
      <c r="Q1438" s="617"/>
      <c r="R1438" s="619"/>
      <c r="S1438" s="617"/>
      <c r="T1438" s="616" t="s">
        <v>221</v>
      </c>
    </row>
    <row r="1439" ht="34.5">
      <c r="A1439" s="616" t="s">
        <v>1353</v>
      </c>
      <c r="B1439" s="616" t="s">
        <v>1354</v>
      </c>
      <c r="C1439" s="616" t="s">
        <v>1476</v>
      </c>
      <c r="D1439" s="616" t="s">
        <v>216</v>
      </c>
      <c r="E1439" s="616" t="s">
        <v>217</v>
      </c>
      <c r="F1439" s="617" t="s">
        <v>218</v>
      </c>
      <c r="G1439" s="616" t="s">
        <v>219</v>
      </c>
      <c r="H1439" s="617"/>
      <c r="I1439" s="617"/>
      <c r="J1439" s="617" t="s">
        <v>389</v>
      </c>
      <c r="K1439" s="618"/>
      <c r="L1439" s="616"/>
      <c r="M1439" s="616"/>
      <c r="N1439" s="617"/>
      <c r="O1439" s="617"/>
      <c r="P1439" s="617"/>
      <c r="Q1439" s="617"/>
      <c r="R1439" s="619"/>
      <c r="S1439" s="617"/>
      <c r="T1439" s="616" t="s">
        <v>221</v>
      </c>
    </row>
    <row r="1440" ht="34.5">
      <c r="A1440" s="616" t="s">
        <v>1353</v>
      </c>
      <c r="B1440" s="616" t="s">
        <v>1354</v>
      </c>
      <c r="C1440" s="616" t="s">
        <v>1476</v>
      </c>
      <c r="D1440" s="616" t="s">
        <v>216</v>
      </c>
      <c r="E1440" s="616" t="s">
        <v>217</v>
      </c>
      <c r="F1440" s="617" t="s">
        <v>218</v>
      </c>
      <c r="G1440" s="616" t="s">
        <v>219</v>
      </c>
      <c r="H1440" s="617"/>
      <c r="I1440" s="617"/>
      <c r="J1440" s="617" t="s">
        <v>1483</v>
      </c>
      <c r="K1440" s="618"/>
      <c r="L1440" s="616"/>
      <c r="M1440" s="616"/>
      <c r="N1440" s="617"/>
      <c r="O1440" s="617"/>
      <c r="P1440" s="617"/>
      <c r="Q1440" s="617"/>
      <c r="R1440" s="619"/>
      <c r="S1440" s="617"/>
      <c r="T1440" s="616" t="s">
        <v>221</v>
      </c>
    </row>
    <row r="1441" ht="34.5">
      <c r="A1441" s="616" t="s">
        <v>1353</v>
      </c>
      <c r="B1441" s="616" t="s">
        <v>1354</v>
      </c>
      <c r="C1441" s="616" t="s">
        <v>1476</v>
      </c>
      <c r="D1441" s="616" t="s">
        <v>216</v>
      </c>
      <c r="E1441" s="616" t="s">
        <v>217</v>
      </c>
      <c r="F1441" s="617" t="s">
        <v>218</v>
      </c>
      <c r="G1441" s="616" t="s">
        <v>219</v>
      </c>
      <c r="H1441" s="617"/>
      <c r="I1441" s="617"/>
      <c r="J1441" s="617" t="s">
        <v>391</v>
      </c>
      <c r="K1441" s="618"/>
      <c r="L1441" s="616"/>
      <c r="M1441" s="616"/>
      <c r="N1441" s="617"/>
      <c r="O1441" s="617"/>
      <c r="P1441" s="617"/>
      <c r="Q1441" s="617"/>
      <c r="R1441" s="619"/>
      <c r="S1441" s="617"/>
      <c r="T1441" s="616" t="s">
        <v>221</v>
      </c>
    </row>
    <row r="1442" ht="34.5">
      <c r="A1442" s="616" t="s">
        <v>1353</v>
      </c>
      <c r="B1442" s="616" t="s">
        <v>1354</v>
      </c>
      <c r="C1442" s="616" t="s">
        <v>1484</v>
      </c>
      <c r="D1442" s="616" t="s">
        <v>216</v>
      </c>
      <c r="E1442" s="616" t="s">
        <v>217</v>
      </c>
      <c r="F1442" s="617" t="s">
        <v>218</v>
      </c>
      <c r="G1442" s="616" t="s">
        <v>219</v>
      </c>
      <c r="H1442" s="617"/>
      <c r="I1442" s="617"/>
      <c r="J1442" s="617" t="s">
        <v>1485</v>
      </c>
      <c r="K1442" s="618"/>
      <c r="L1442" s="616"/>
      <c r="M1442" s="616"/>
      <c r="N1442" s="617"/>
      <c r="O1442" s="617"/>
      <c r="P1442" s="617"/>
      <c r="Q1442" s="617"/>
      <c r="R1442" s="619"/>
      <c r="S1442" s="617"/>
      <c r="T1442" s="616" t="s">
        <v>221</v>
      </c>
    </row>
    <row r="1443" ht="34.5">
      <c r="A1443" s="616" t="s">
        <v>1353</v>
      </c>
      <c r="B1443" s="616" t="s">
        <v>1354</v>
      </c>
      <c r="C1443" s="616" t="s">
        <v>1484</v>
      </c>
      <c r="D1443" s="616" t="s">
        <v>216</v>
      </c>
      <c r="E1443" s="616" t="s">
        <v>217</v>
      </c>
      <c r="F1443" s="617" t="s">
        <v>218</v>
      </c>
      <c r="G1443" s="616" t="s">
        <v>219</v>
      </c>
      <c r="H1443" s="617"/>
      <c r="I1443" s="617"/>
      <c r="J1443" s="617" t="s">
        <v>393</v>
      </c>
      <c r="K1443" s="618"/>
      <c r="L1443" s="616"/>
      <c r="M1443" s="616"/>
      <c r="N1443" s="617"/>
      <c r="O1443" s="617"/>
      <c r="P1443" s="617"/>
      <c r="Q1443" s="617"/>
      <c r="R1443" s="619"/>
      <c r="S1443" s="617"/>
      <c r="T1443" s="616" t="s">
        <v>221</v>
      </c>
    </row>
    <row r="1444" ht="34.5">
      <c r="A1444" s="616" t="s">
        <v>1353</v>
      </c>
      <c r="B1444" s="616" t="s">
        <v>1354</v>
      </c>
      <c r="C1444" s="616" t="s">
        <v>1484</v>
      </c>
      <c r="D1444" s="616" t="s">
        <v>216</v>
      </c>
      <c r="E1444" s="616" t="s">
        <v>217</v>
      </c>
      <c r="F1444" s="617" t="s">
        <v>218</v>
      </c>
      <c r="G1444" s="616" t="s">
        <v>219</v>
      </c>
      <c r="H1444" s="617"/>
      <c r="I1444" s="617"/>
      <c r="J1444" s="617" t="s">
        <v>394</v>
      </c>
      <c r="K1444" s="618"/>
      <c r="L1444" s="616"/>
      <c r="M1444" s="616"/>
      <c r="N1444" s="617"/>
      <c r="O1444" s="617"/>
      <c r="P1444" s="617"/>
      <c r="Q1444" s="617"/>
      <c r="R1444" s="619"/>
      <c r="S1444" s="617"/>
      <c r="T1444" s="616" t="s">
        <v>221</v>
      </c>
    </row>
    <row r="1445" ht="34.5">
      <c r="A1445" s="616" t="s">
        <v>1353</v>
      </c>
      <c r="B1445" s="616" t="s">
        <v>1354</v>
      </c>
      <c r="C1445" s="616" t="s">
        <v>1484</v>
      </c>
      <c r="D1445" s="616" t="s">
        <v>216</v>
      </c>
      <c r="E1445" s="616" t="s">
        <v>217</v>
      </c>
      <c r="F1445" s="617" t="s">
        <v>218</v>
      </c>
      <c r="G1445" s="616" t="s">
        <v>219</v>
      </c>
      <c r="H1445" s="617"/>
      <c r="I1445" s="617"/>
      <c r="J1445" s="617" t="s">
        <v>1486</v>
      </c>
      <c r="K1445" s="618"/>
      <c r="L1445" s="616"/>
      <c r="M1445" s="616"/>
      <c r="N1445" s="617"/>
      <c r="O1445" s="617"/>
      <c r="P1445" s="617"/>
      <c r="Q1445" s="617"/>
      <c r="R1445" s="619"/>
      <c r="S1445" s="617"/>
      <c r="T1445" s="616" t="s">
        <v>221</v>
      </c>
    </row>
    <row r="1446" ht="34.5">
      <c r="A1446" s="616" t="s">
        <v>1353</v>
      </c>
      <c r="B1446" s="616" t="s">
        <v>1354</v>
      </c>
      <c r="C1446" s="616" t="s">
        <v>1484</v>
      </c>
      <c r="D1446" s="616" t="s">
        <v>216</v>
      </c>
      <c r="E1446" s="616" t="s">
        <v>217</v>
      </c>
      <c r="F1446" s="617" t="s">
        <v>218</v>
      </c>
      <c r="G1446" s="616" t="s">
        <v>219</v>
      </c>
      <c r="H1446" s="617"/>
      <c r="I1446" s="617"/>
      <c r="J1446" s="617" t="s">
        <v>396</v>
      </c>
      <c r="K1446" s="618"/>
      <c r="L1446" s="616"/>
      <c r="M1446" s="616"/>
      <c r="N1446" s="617"/>
      <c r="O1446" s="617"/>
      <c r="P1446" s="617"/>
      <c r="Q1446" s="617"/>
      <c r="R1446" s="619"/>
      <c r="S1446" s="617"/>
      <c r="T1446" s="616" t="s">
        <v>221</v>
      </c>
    </row>
    <row r="1447" ht="34.5">
      <c r="A1447" s="616" t="s">
        <v>1353</v>
      </c>
      <c r="B1447" s="616" t="s">
        <v>1354</v>
      </c>
      <c r="C1447" s="616" t="s">
        <v>1484</v>
      </c>
      <c r="D1447" s="616" t="s">
        <v>216</v>
      </c>
      <c r="E1447" s="616" t="s">
        <v>217</v>
      </c>
      <c r="F1447" s="617" t="s">
        <v>218</v>
      </c>
      <c r="G1447" s="616" t="s">
        <v>219</v>
      </c>
      <c r="H1447" s="617"/>
      <c r="I1447" s="617"/>
      <c r="J1447" s="617" t="s">
        <v>1487</v>
      </c>
      <c r="K1447" s="618"/>
      <c r="L1447" s="616"/>
      <c r="M1447" s="616"/>
      <c r="N1447" s="617"/>
      <c r="O1447" s="617"/>
      <c r="P1447" s="617"/>
      <c r="Q1447" s="617"/>
      <c r="R1447" s="619"/>
      <c r="S1447" s="617"/>
      <c r="T1447" s="616" t="s">
        <v>221</v>
      </c>
    </row>
    <row r="1448" ht="34.5">
      <c r="A1448" s="616" t="s">
        <v>1353</v>
      </c>
      <c r="B1448" s="616" t="s">
        <v>1354</v>
      </c>
      <c r="C1448" s="616" t="s">
        <v>1484</v>
      </c>
      <c r="D1448" s="616" t="s">
        <v>216</v>
      </c>
      <c r="E1448" s="616" t="s">
        <v>217</v>
      </c>
      <c r="F1448" s="617" t="s">
        <v>218</v>
      </c>
      <c r="G1448" s="616" t="s">
        <v>219</v>
      </c>
      <c r="H1448" s="617"/>
      <c r="I1448" s="617"/>
      <c r="J1448" s="617" t="s">
        <v>400</v>
      </c>
      <c r="K1448" s="618"/>
      <c r="L1448" s="616"/>
      <c r="M1448" s="616"/>
      <c r="N1448" s="617"/>
      <c r="O1448" s="617"/>
      <c r="P1448" s="617"/>
      <c r="Q1448" s="617"/>
      <c r="R1448" s="619"/>
      <c r="S1448" s="617"/>
      <c r="T1448" s="616" t="s">
        <v>221</v>
      </c>
    </row>
    <row r="1449" ht="34.5">
      <c r="A1449" s="616" t="s">
        <v>1353</v>
      </c>
      <c r="B1449" s="616" t="s">
        <v>1354</v>
      </c>
      <c r="C1449" s="616" t="s">
        <v>1484</v>
      </c>
      <c r="D1449" s="616" t="s">
        <v>216</v>
      </c>
      <c r="E1449" s="616" t="s">
        <v>217</v>
      </c>
      <c r="F1449" s="617" t="s">
        <v>218</v>
      </c>
      <c r="G1449" s="616" t="s">
        <v>219</v>
      </c>
      <c r="H1449" s="617"/>
      <c r="I1449" s="617"/>
      <c r="J1449" s="617" t="s">
        <v>1488</v>
      </c>
      <c r="K1449" s="618"/>
      <c r="L1449" s="616"/>
      <c r="M1449" s="616"/>
      <c r="N1449" s="617"/>
      <c r="O1449" s="617"/>
      <c r="P1449" s="617"/>
      <c r="Q1449" s="617"/>
      <c r="R1449" s="619"/>
      <c r="S1449" s="617"/>
      <c r="T1449" s="616" t="s">
        <v>221</v>
      </c>
    </row>
    <row r="1450" ht="34.5">
      <c r="A1450" s="616" t="s">
        <v>1353</v>
      </c>
      <c r="B1450" s="616" t="s">
        <v>1354</v>
      </c>
      <c r="C1450" s="616" t="s">
        <v>1484</v>
      </c>
      <c r="D1450" s="616" t="s">
        <v>216</v>
      </c>
      <c r="E1450" s="616" t="s">
        <v>217</v>
      </c>
      <c r="F1450" s="617" t="s">
        <v>218</v>
      </c>
      <c r="G1450" s="616" t="s">
        <v>219</v>
      </c>
      <c r="H1450" s="617"/>
      <c r="I1450" s="617"/>
      <c r="J1450" s="617" t="s">
        <v>402</v>
      </c>
      <c r="K1450" s="618"/>
      <c r="L1450" s="616"/>
      <c r="M1450" s="616"/>
      <c r="N1450" s="617"/>
      <c r="O1450" s="617"/>
      <c r="P1450" s="617"/>
      <c r="Q1450" s="617"/>
      <c r="R1450" s="619"/>
      <c r="S1450" s="617"/>
      <c r="T1450" s="616" t="s">
        <v>221</v>
      </c>
    </row>
    <row r="1451" ht="34.5">
      <c r="A1451" s="616" t="s">
        <v>1353</v>
      </c>
      <c r="B1451" s="616" t="s">
        <v>1354</v>
      </c>
      <c r="C1451" s="616" t="s">
        <v>1484</v>
      </c>
      <c r="D1451" s="616" t="s">
        <v>216</v>
      </c>
      <c r="E1451" s="616" t="s">
        <v>217</v>
      </c>
      <c r="F1451" s="617" t="s">
        <v>218</v>
      </c>
      <c r="G1451" s="616" t="s">
        <v>219</v>
      </c>
      <c r="H1451" s="617"/>
      <c r="I1451" s="617"/>
      <c r="J1451" s="617" t="s">
        <v>1489</v>
      </c>
      <c r="K1451" s="618"/>
      <c r="L1451" s="616"/>
      <c r="M1451" s="616"/>
      <c r="N1451" s="617"/>
      <c r="O1451" s="617"/>
      <c r="P1451" s="617"/>
      <c r="Q1451" s="617"/>
      <c r="R1451" s="619"/>
      <c r="S1451" s="617"/>
      <c r="T1451" s="616" t="s">
        <v>221</v>
      </c>
    </row>
    <row r="1452" ht="34.5">
      <c r="A1452" s="616" t="s">
        <v>1353</v>
      </c>
      <c r="B1452" s="616" t="s">
        <v>1354</v>
      </c>
      <c r="C1452" s="616" t="s">
        <v>1484</v>
      </c>
      <c r="D1452" s="616" t="s">
        <v>216</v>
      </c>
      <c r="E1452" s="616" t="s">
        <v>217</v>
      </c>
      <c r="F1452" s="617" t="s">
        <v>218</v>
      </c>
      <c r="G1452" s="616" t="s">
        <v>219</v>
      </c>
      <c r="H1452" s="617"/>
      <c r="I1452" s="617"/>
      <c r="J1452" s="617" t="s">
        <v>404</v>
      </c>
      <c r="K1452" s="618"/>
      <c r="L1452" s="616"/>
      <c r="M1452" s="616"/>
      <c r="N1452" s="617"/>
      <c r="O1452" s="617"/>
      <c r="P1452" s="617"/>
      <c r="Q1452" s="617"/>
      <c r="R1452" s="619"/>
      <c r="S1452" s="617"/>
      <c r="T1452" s="616" t="s">
        <v>221</v>
      </c>
    </row>
    <row r="1453" ht="34.5">
      <c r="A1453" s="616" t="s">
        <v>1353</v>
      </c>
      <c r="B1453" s="616" t="s">
        <v>1354</v>
      </c>
      <c r="C1453" s="616" t="s">
        <v>1484</v>
      </c>
      <c r="D1453" s="616" t="s">
        <v>216</v>
      </c>
      <c r="E1453" s="616" t="s">
        <v>217</v>
      </c>
      <c r="F1453" s="617" t="s">
        <v>218</v>
      </c>
      <c r="G1453" s="616" t="s">
        <v>219</v>
      </c>
      <c r="H1453" s="617"/>
      <c r="I1453" s="617"/>
      <c r="J1453" s="617" t="s">
        <v>405</v>
      </c>
      <c r="K1453" s="618"/>
      <c r="L1453" s="616"/>
      <c r="M1453" s="616"/>
      <c r="N1453" s="617"/>
      <c r="O1453" s="617"/>
      <c r="P1453" s="617"/>
      <c r="Q1453" s="617"/>
      <c r="R1453" s="619"/>
      <c r="S1453" s="617"/>
      <c r="T1453" s="616" t="s">
        <v>221</v>
      </c>
    </row>
    <row r="1454" ht="34.5">
      <c r="A1454" s="616" t="s">
        <v>1353</v>
      </c>
      <c r="B1454" s="616" t="s">
        <v>1354</v>
      </c>
      <c r="C1454" s="616" t="s">
        <v>1484</v>
      </c>
      <c r="D1454" s="616" t="s">
        <v>216</v>
      </c>
      <c r="E1454" s="616" t="s">
        <v>217</v>
      </c>
      <c r="F1454" s="617" t="s">
        <v>218</v>
      </c>
      <c r="G1454" s="616" t="s">
        <v>219</v>
      </c>
      <c r="H1454" s="617"/>
      <c r="I1454" s="617"/>
      <c r="J1454" s="617" t="s">
        <v>406</v>
      </c>
      <c r="K1454" s="618"/>
      <c r="L1454" s="616"/>
      <c r="M1454" s="616"/>
      <c r="N1454" s="617"/>
      <c r="O1454" s="617"/>
      <c r="P1454" s="617"/>
      <c r="Q1454" s="617"/>
      <c r="R1454" s="619"/>
      <c r="S1454" s="617"/>
      <c r="T1454" s="616" t="s">
        <v>221</v>
      </c>
    </row>
    <row r="1455" ht="34.5">
      <c r="A1455" s="616" t="s">
        <v>1353</v>
      </c>
      <c r="B1455" s="616" t="s">
        <v>1354</v>
      </c>
      <c r="C1455" s="616" t="s">
        <v>1484</v>
      </c>
      <c r="D1455" s="616" t="s">
        <v>216</v>
      </c>
      <c r="E1455" s="616" t="s">
        <v>217</v>
      </c>
      <c r="F1455" s="617" t="s">
        <v>218</v>
      </c>
      <c r="G1455" s="616" t="s">
        <v>219</v>
      </c>
      <c r="H1455" s="617"/>
      <c r="I1455" s="617"/>
      <c r="J1455" s="617" t="s">
        <v>1490</v>
      </c>
      <c r="K1455" s="618"/>
      <c r="L1455" s="616"/>
      <c r="M1455" s="616"/>
      <c r="N1455" s="617"/>
      <c r="O1455" s="617"/>
      <c r="P1455" s="617"/>
      <c r="Q1455" s="617"/>
      <c r="R1455" s="619"/>
      <c r="S1455" s="617"/>
      <c r="T1455" s="616" t="s">
        <v>221</v>
      </c>
    </row>
    <row r="1456" ht="34.5">
      <c r="A1456" s="616" t="s">
        <v>1353</v>
      </c>
      <c r="B1456" s="616" t="s">
        <v>1354</v>
      </c>
      <c r="C1456" s="616" t="s">
        <v>1484</v>
      </c>
      <c r="D1456" s="616" t="s">
        <v>216</v>
      </c>
      <c r="E1456" s="616" t="s">
        <v>217</v>
      </c>
      <c r="F1456" s="617" t="s">
        <v>218</v>
      </c>
      <c r="G1456" s="616" t="s">
        <v>219</v>
      </c>
      <c r="H1456" s="617"/>
      <c r="I1456" s="617"/>
      <c r="J1456" s="617" t="s">
        <v>408</v>
      </c>
      <c r="K1456" s="618"/>
      <c r="L1456" s="616"/>
      <c r="M1456" s="616"/>
      <c r="N1456" s="617"/>
      <c r="O1456" s="617"/>
      <c r="P1456" s="617"/>
      <c r="Q1456" s="617"/>
      <c r="R1456" s="619"/>
      <c r="S1456" s="617"/>
      <c r="T1456" s="616" t="s">
        <v>221</v>
      </c>
    </row>
    <row r="1457" ht="34.5">
      <c r="A1457" s="616" t="s">
        <v>1353</v>
      </c>
      <c r="B1457" s="616" t="s">
        <v>1354</v>
      </c>
      <c r="C1457" s="616" t="s">
        <v>1484</v>
      </c>
      <c r="D1457" s="616" t="s">
        <v>216</v>
      </c>
      <c r="E1457" s="616" t="s">
        <v>217</v>
      </c>
      <c r="F1457" s="617" t="s">
        <v>218</v>
      </c>
      <c r="G1457" s="616" t="s">
        <v>219</v>
      </c>
      <c r="H1457" s="617"/>
      <c r="I1457" s="617"/>
      <c r="J1457" s="617" t="s">
        <v>409</v>
      </c>
      <c r="K1457" s="618"/>
      <c r="L1457" s="616"/>
      <c r="M1457" s="616"/>
      <c r="N1457" s="617"/>
      <c r="O1457" s="617"/>
      <c r="P1457" s="617"/>
      <c r="Q1457" s="617"/>
      <c r="R1457" s="619"/>
      <c r="S1457" s="617"/>
      <c r="T1457" s="616" t="s">
        <v>221</v>
      </c>
    </row>
    <row r="1458" ht="34.5">
      <c r="A1458" s="616" t="s">
        <v>1353</v>
      </c>
      <c r="B1458" s="616" t="s">
        <v>1354</v>
      </c>
      <c r="C1458" s="616" t="s">
        <v>1491</v>
      </c>
      <c r="D1458" s="616" t="s">
        <v>216</v>
      </c>
      <c r="E1458" s="616" t="s">
        <v>217</v>
      </c>
      <c r="F1458" s="617" t="s">
        <v>218</v>
      </c>
      <c r="G1458" s="616" t="s">
        <v>219</v>
      </c>
      <c r="H1458" s="617"/>
      <c r="I1458" s="617"/>
      <c r="J1458" s="617" t="s">
        <v>1492</v>
      </c>
      <c r="K1458" s="618"/>
      <c r="L1458" s="616"/>
      <c r="M1458" s="616"/>
      <c r="N1458" s="617"/>
      <c r="O1458" s="617"/>
      <c r="P1458" s="617"/>
      <c r="Q1458" s="617"/>
      <c r="R1458" s="619"/>
      <c r="S1458" s="617"/>
      <c r="T1458" s="616" t="s">
        <v>221</v>
      </c>
    </row>
    <row r="1459" ht="34.5">
      <c r="A1459" s="616" t="s">
        <v>1353</v>
      </c>
      <c r="B1459" s="616" t="s">
        <v>1354</v>
      </c>
      <c r="C1459" s="616" t="s">
        <v>1491</v>
      </c>
      <c r="D1459" s="616" t="s">
        <v>216</v>
      </c>
      <c r="E1459" s="616" t="s">
        <v>217</v>
      </c>
      <c r="F1459" s="617" t="s">
        <v>218</v>
      </c>
      <c r="G1459" s="616" t="s">
        <v>219</v>
      </c>
      <c r="H1459" s="617"/>
      <c r="I1459" s="617"/>
      <c r="J1459" s="617" t="s">
        <v>411</v>
      </c>
      <c r="K1459" s="618"/>
      <c r="L1459" s="616"/>
      <c r="M1459" s="616"/>
      <c r="N1459" s="617"/>
      <c r="O1459" s="617"/>
      <c r="P1459" s="617"/>
      <c r="Q1459" s="617"/>
      <c r="R1459" s="619"/>
      <c r="S1459" s="617"/>
      <c r="T1459" s="616" t="s">
        <v>221</v>
      </c>
    </row>
    <row r="1460" ht="34.5">
      <c r="A1460" s="616" t="s">
        <v>1353</v>
      </c>
      <c r="B1460" s="616" t="s">
        <v>1354</v>
      </c>
      <c r="C1460" s="616" t="s">
        <v>1491</v>
      </c>
      <c r="D1460" s="616" t="s">
        <v>216</v>
      </c>
      <c r="E1460" s="616" t="s">
        <v>217</v>
      </c>
      <c r="F1460" s="617" t="s">
        <v>218</v>
      </c>
      <c r="G1460" s="616" t="s">
        <v>219</v>
      </c>
      <c r="H1460" s="617"/>
      <c r="I1460" s="617"/>
      <c r="J1460" s="617" t="s">
        <v>414</v>
      </c>
      <c r="K1460" s="618"/>
      <c r="L1460" s="616"/>
      <c r="M1460" s="616"/>
      <c r="N1460" s="617"/>
      <c r="O1460" s="617"/>
      <c r="P1460" s="617"/>
      <c r="Q1460" s="617"/>
      <c r="R1460" s="619"/>
      <c r="S1460" s="617"/>
      <c r="T1460" s="616" t="s">
        <v>221</v>
      </c>
    </row>
    <row r="1461" ht="34.5">
      <c r="A1461" s="616" t="s">
        <v>1353</v>
      </c>
      <c r="B1461" s="616" t="s">
        <v>1354</v>
      </c>
      <c r="C1461" s="616" t="s">
        <v>1491</v>
      </c>
      <c r="D1461" s="616" t="s">
        <v>216</v>
      </c>
      <c r="E1461" s="616" t="s">
        <v>217</v>
      </c>
      <c r="F1461" s="617" t="s">
        <v>218</v>
      </c>
      <c r="G1461" s="616" t="s">
        <v>219</v>
      </c>
      <c r="H1461" s="617"/>
      <c r="I1461" s="617"/>
      <c r="J1461" s="617" t="s">
        <v>415</v>
      </c>
      <c r="K1461" s="618"/>
      <c r="L1461" s="616"/>
      <c r="M1461" s="616"/>
      <c r="N1461" s="617"/>
      <c r="O1461" s="617"/>
      <c r="P1461" s="617"/>
      <c r="Q1461" s="617"/>
      <c r="R1461" s="619"/>
      <c r="S1461" s="617"/>
      <c r="T1461" s="616" t="s">
        <v>221</v>
      </c>
    </row>
    <row r="1462" ht="34.5">
      <c r="A1462" s="616" t="s">
        <v>1353</v>
      </c>
      <c r="B1462" s="616" t="s">
        <v>1354</v>
      </c>
      <c r="C1462" s="616" t="s">
        <v>1491</v>
      </c>
      <c r="D1462" s="616" t="s">
        <v>216</v>
      </c>
      <c r="E1462" s="616" t="s">
        <v>217</v>
      </c>
      <c r="F1462" s="617" t="s">
        <v>218</v>
      </c>
      <c r="G1462" s="616" t="s">
        <v>219</v>
      </c>
      <c r="H1462" s="617"/>
      <c r="I1462" s="617"/>
      <c r="J1462" s="617" t="s">
        <v>416</v>
      </c>
      <c r="K1462" s="618"/>
      <c r="L1462" s="616"/>
      <c r="M1462" s="616"/>
      <c r="N1462" s="617"/>
      <c r="O1462" s="617"/>
      <c r="P1462" s="617"/>
      <c r="Q1462" s="617"/>
      <c r="R1462" s="619"/>
      <c r="S1462" s="617"/>
      <c r="T1462" s="616" t="s">
        <v>221</v>
      </c>
    </row>
    <row r="1463" ht="34.5">
      <c r="A1463" s="616" t="s">
        <v>1353</v>
      </c>
      <c r="B1463" s="616" t="s">
        <v>1354</v>
      </c>
      <c r="C1463" s="616" t="s">
        <v>1491</v>
      </c>
      <c r="D1463" s="616" t="s">
        <v>216</v>
      </c>
      <c r="E1463" s="616" t="s">
        <v>217</v>
      </c>
      <c r="F1463" s="617" t="s">
        <v>218</v>
      </c>
      <c r="G1463" s="616" t="s">
        <v>219</v>
      </c>
      <c r="H1463" s="617"/>
      <c r="I1463" s="617"/>
      <c r="J1463" s="617" t="s">
        <v>417</v>
      </c>
      <c r="K1463" s="618"/>
      <c r="L1463" s="616"/>
      <c r="M1463" s="616"/>
      <c r="N1463" s="617"/>
      <c r="O1463" s="617"/>
      <c r="P1463" s="617"/>
      <c r="Q1463" s="617"/>
      <c r="R1463" s="619"/>
      <c r="S1463" s="617"/>
      <c r="T1463" s="616" t="s">
        <v>221</v>
      </c>
    </row>
    <row r="1464" ht="34.5">
      <c r="A1464" s="616" t="s">
        <v>1353</v>
      </c>
      <c r="B1464" s="616" t="s">
        <v>1354</v>
      </c>
      <c r="C1464" s="616" t="s">
        <v>1491</v>
      </c>
      <c r="D1464" s="616" t="s">
        <v>216</v>
      </c>
      <c r="E1464" s="616" t="s">
        <v>217</v>
      </c>
      <c r="F1464" s="617" t="s">
        <v>218</v>
      </c>
      <c r="G1464" s="616" t="s">
        <v>219</v>
      </c>
      <c r="H1464" s="617"/>
      <c r="I1464" s="617"/>
      <c r="J1464" s="617" t="s">
        <v>418</v>
      </c>
      <c r="K1464" s="618"/>
      <c r="L1464" s="616"/>
      <c r="M1464" s="616"/>
      <c r="N1464" s="617"/>
      <c r="O1464" s="617"/>
      <c r="P1464" s="617"/>
      <c r="Q1464" s="617"/>
      <c r="R1464" s="619"/>
      <c r="S1464" s="617"/>
      <c r="T1464" s="616" t="s">
        <v>221</v>
      </c>
    </row>
    <row r="1465" ht="34.5">
      <c r="A1465" s="616" t="s">
        <v>1353</v>
      </c>
      <c r="B1465" s="616" t="s">
        <v>1354</v>
      </c>
      <c r="C1465" s="616" t="s">
        <v>1491</v>
      </c>
      <c r="D1465" s="616" t="s">
        <v>216</v>
      </c>
      <c r="E1465" s="616" t="s">
        <v>217</v>
      </c>
      <c r="F1465" s="617" t="s">
        <v>218</v>
      </c>
      <c r="G1465" s="616" t="s">
        <v>219</v>
      </c>
      <c r="H1465" s="617"/>
      <c r="I1465" s="617"/>
      <c r="J1465" s="617" t="s">
        <v>419</v>
      </c>
      <c r="K1465" s="618"/>
      <c r="L1465" s="616"/>
      <c r="M1465" s="616"/>
      <c r="N1465" s="617"/>
      <c r="O1465" s="617"/>
      <c r="P1465" s="617"/>
      <c r="Q1465" s="617"/>
      <c r="R1465" s="619"/>
      <c r="S1465" s="617"/>
      <c r="T1465" s="616" t="s">
        <v>221</v>
      </c>
    </row>
    <row r="1466" ht="34.5">
      <c r="A1466" s="616" t="s">
        <v>1353</v>
      </c>
      <c r="B1466" s="616" t="s">
        <v>1354</v>
      </c>
      <c r="C1466" s="616" t="s">
        <v>1491</v>
      </c>
      <c r="D1466" s="616" t="s">
        <v>216</v>
      </c>
      <c r="E1466" s="616" t="s">
        <v>217</v>
      </c>
      <c r="F1466" s="617" t="s">
        <v>218</v>
      </c>
      <c r="G1466" s="616" t="s">
        <v>219</v>
      </c>
      <c r="H1466" s="617"/>
      <c r="I1466" s="617"/>
      <c r="J1466" s="617" t="s">
        <v>420</v>
      </c>
      <c r="K1466" s="618"/>
      <c r="L1466" s="616"/>
      <c r="M1466" s="616"/>
      <c r="N1466" s="617"/>
      <c r="O1466" s="617"/>
      <c r="P1466" s="617"/>
      <c r="Q1466" s="617"/>
      <c r="R1466" s="619"/>
      <c r="S1466" s="617"/>
      <c r="T1466" s="616" t="s">
        <v>221</v>
      </c>
    </row>
    <row r="1467" ht="34.5">
      <c r="A1467" s="616" t="s">
        <v>1353</v>
      </c>
      <c r="B1467" s="616" t="s">
        <v>1354</v>
      </c>
      <c r="C1467" s="616" t="s">
        <v>1491</v>
      </c>
      <c r="D1467" s="616" t="s">
        <v>216</v>
      </c>
      <c r="E1467" s="616" t="s">
        <v>217</v>
      </c>
      <c r="F1467" s="617" t="s">
        <v>218</v>
      </c>
      <c r="G1467" s="616" t="s">
        <v>219</v>
      </c>
      <c r="H1467" s="617"/>
      <c r="I1467" s="617"/>
      <c r="J1467" s="617" t="s">
        <v>421</v>
      </c>
      <c r="K1467" s="618"/>
      <c r="L1467" s="616"/>
      <c r="M1467" s="616"/>
      <c r="N1467" s="617"/>
      <c r="O1467" s="617"/>
      <c r="P1467" s="617"/>
      <c r="Q1467" s="617"/>
      <c r="R1467" s="619"/>
      <c r="S1467" s="617"/>
      <c r="T1467" s="616" t="s">
        <v>221</v>
      </c>
    </row>
    <row r="1468" ht="34.5">
      <c r="A1468" s="616" t="s">
        <v>1353</v>
      </c>
      <c r="B1468" s="616" t="s">
        <v>1354</v>
      </c>
      <c r="C1468" s="616" t="s">
        <v>1491</v>
      </c>
      <c r="D1468" s="616" t="s">
        <v>216</v>
      </c>
      <c r="E1468" s="616" t="s">
        <v>217</v>
      </c>
      <c r="F1468" s="617" t="s">
        <v>218</v>
      </c>
      <c r="G1468" s="616" t="s">
        <v>219</v>
      </c>
      <c r="H1468" s="617"/>
      <c r="I1468" s="617"/>
      <c r="J1468" s="617" t="s">
        <v>422</v>
      </c>
      <c r="K1468" s="618"/>
      <c r="L1468" s="616"/>
      <c r="M1468" s="616"/>
      <c r="N1468" s="617"/>
      <c r="O1468" s="617"/>
      <c r="P1468" s="617"/>
      <c r="Q1468" s="617"/>
      <c r="R1468" s="619"/>
      <c r="S1468" s="617"/>
      <c r="T1468" s="616" t="s">
        <v>221</v>
      </c>
    </row>
    <row r="1469" ht="34.5">
      <c r="A1469" s="616" t="s">
        <v>1353</v>
      </c>
      <c r="B1469" s="616" t="s">
        <v>1354</v>
      </c>
      <c r="C1469" s="616" t="s">
        <v>1493</v>
      </c>
      <c r="D1469" s="616" t="s">
        <v>216</v>
      </c>
      <c r="E1469" s="616" t="s">
        <v>217</v>
      </c>
      <c r="F1469" s="617" t="s">
        <v>218</v>
      </c>
      <c r="G1469" s="616" t="s">
        <v>219</v>
      </c>
      <c r="H1469" s="617"/>
      <c r="I1469" s="617"/>
      <c r="J1469" s="617" t="s">
        <v>425</v>
      </c>
      <c r="K1469" s="618"/>
      <c r="L1469" s="616"/>
      <c r="M1469" s="616"/>
      <c r="N1469" s="617"/>
      <c r="O1469" s="617"/>
      <c r="P1469" s="617"/>
      <c r="Q1469" s="617"/>
      <c r="R1469" s="619"/>
      <c r="S1469" s="617"/>
      <c r="T1469" s="616" t="s">
        <v>221</v>
      </c>
    </row>
    <row r="1470" ht="34.5">
      <c r="A1470" s="616" t="s">
        <v>1353</v>
      </c>
      <c r="B1470" s="616" t="s">
        <v>1354</v>
      </c>
      <c r="C1470" s="616" t="s">
        <v>1493</v>
      </c>
      <c r="D1470" s="616" t="s">
        <v>216</v>
      </c>
      <c r="E1470" s="616" t="s">
        <v>217</v>
      </c>
      <c r="F1470" s="617" t="s">
        <v>218</v>
      </c>
      <c r="G1470" s="616" t="s">
        <v>219</v>
      </c>
      <c r="H1470" s="617"/>
      <c r="I1470" s="617"/>
      <c r="J1470" s="617" t="s">
        <v>426</v>
      </c>
      <c r="K1470" s="618"/>
      <c r="L1470" s="616"/>
      <c r="M1470" s="616"/>
      <c r="N1470" s="617"/>
      <c r="O1470" s="617"/>
      <c r="P1470" s="617"/>
      <c r="Q1470" s="617"/>
      <c r="R1470" s="619"/>
      <c r="S1470" s="617"/>
      <c r="T1470" s="616" t="s">
        <v>221</v>
      </c>
    </row>
    <row r="1471" ht="34.5">
      <c r="A1471" s="616" t="s">
        <v>1353</v>
      </c>
      <c r="B1471" s="616" t="s">
        <v>1354</v>
      </c>
      <c r="C1471" s="616" t="s">
        <v>1493</v>
      </c>
      <c r="D1471" s="616" t="s">
        <v>216</v>
      </c>
      <c r="E1471" s="616" t="s">
        <v>217</v>
      </c>
      <c r="F1471" s="617" t="s">
        <v>218</v>
      </c>
      <c r="G1471" s="616" t="s">
        <v>219</v>
      </c>
      <c r="H1471" s="617"/>
      <c r="I1471" s="617"/>
      <c r="J1471" s="617" t="s">
        <v>427</v>
      </c>
      <c r="K1471" s="618"/>
      <c r="L1471" s="616"/>
      <c r="M1471" s="616"/>
      <c r="N1471" s="617"/>
      <c r="O1471" s="617"/>
      <c r="P1471" s="617"/>
      <c r="Q1471" s="617"/>
      <c r="R1471" s="619"/>
      <c r="S1471" s="617"/>
      <c r="T1471" s="616" t="s">
        <v>221</v>
      </c>
    </row>
    <row r="1472" ht="34.5">
      <c r="A1472" s="616" t="s">
        <v>1353</v>
      </c>
      <c r="B1472" s="616" t="s">
        <v>1354</v>
      </c>
      <c r="C1472" s="616" t="s">
        <v>1493</v>
      </c>
      <c r="D1472" s="616" t="s">
        <v>216</v>
      </c>
      <c r="E1472" s="616" t="s">
        <v>217</v>
      </c>
      <c r="F1472" s="617" t="s">
        <v>218</v>
      </c>
      <c r="G1472" s="616" t="s">
        <v>219</v>
      </c>
      <c r="H1472" s="617"/>
      <c r="I1472" s="617"/>
      <c r="J1472" s="617" t="s">
        <v>1494</v>
      </c>
      <c r="K1472" s="618"/>
      <c r="L1472" s="616"/>
      <c r="M1472" s="616"/>
      <c r="N1472" s="617"/>
      <c r="O1472" s="617"/>
      <c r="P1472" s="617"/>
      <c r="Q1472" s="617"/>
      <c r="R1472" s="619"/>
      <c r="S1472" s="617"/>
      <c r="T1472" s="616" t="s">
        <v>221</v>
      </c>
    </row>
    <row r="1473" ht="34.5">
      <c r="A1473" s="616" t="s">
        <v>1353</v>
      </c>
      <c r="B1473" s="616" t="s">
        <v>1354</v>
      </c>
      <c r="C1473" s="616" t="s">
        <v>1493</v>
      </c>
      <c r="D1473" s="616" t="s">
        <v>216</v>
      </c>
      <c r="E1473" s="616" t="s">
        <v>217</v>
      </c>
      <c r="F1473" s="617" t="s">
        <v>218</v>
      </c>
      <c r="G1473" s="616" t="s">
        <v>219</v>
      </c>
      <c r="H1473" s="617"/>
      <c r="I1473" s="617"/>
      <c r="J1473" s="617" t="s">
        <v>429</v>
      </c>
      <c r="K1473" s="618"/>
      <c r="L1473" s="616"/>
      <c r="M1473" s="616"/>
      <c r="N1473" s="617"/>
      <c r="O1473" s="617"/>
      <c r="P1473" s="617"/>
      <c r="Q1473" s="617"/>
      <c r="R1473" s="619"/>
      <c r="S1473" s="617"/>
      <c r="T1473" s="616" t="s">
        <v>221</v>
      </c>
    </row>
    <row r="1474" ht="34.5">
      <c r="A1474" s="616" t="s">
        <v>1353</v>
      </c>
      <c r="B1474" s="616" t="s">
        <v>1354</v>
      </c>
      <c r="C1474" s="616" t="s">
        <v>1493</v>
      </c>
      <c r="D1474" s="616" t="s">
        <v>1495</v>
      </c>
      <c r="E1474" s="616" t="s">
        <v>217</v>
      </c>
      <c r="F1474" s="617" t="s">
        <v>218</v>
      </c>
      <c r="G1474" s="616" t="s">
        <v>219</v>
      </c>
      <c r="H1474" s="617"/>
      <c r="I1474" s="617"/>
      <c r="J1474" s="617" t="s">
        <v>1496</v>
      </c>
      <c r="K1474" s="618"/>
      <c r="L1474" s="616"/>
      <c r="M1474" s="616"/>
      <c r="N1474" s="617"/>
      <c r="O1474" s="617"/>
      <c r="P1474" s="617"/>
      <c r="Q1474" s="617"/>
      <c r="R1474" s="619"/>
      <c r="S1474" s="617"/>
      <c r="T1474" s="616" t="s">
        <v>221</v>
      </c>
    </row>
    <row r="1475" ht="34.5">
      <c r="A1475" s="616" t="s">
        <v>1353</v>
      </c>
      <c r="B1475" s="616" t="s">
        <v>1354</v>
      </c>
      <c r="C1475" s="616" t="s">
        <v>1493</v>
      </c>
      <c r="D1475" s="616" t="s">
        <v>216</v>
      </c>
      <c r="E1475" s="616" t="s">
        <v>217</v>
      </c>
      <c r="F1475" s="617" t="s">
        <v>218</v>
      </c>
      <c r="G1475" s="616" t="s">
        <v>219</v>
      </c>
      <c r="H1475" s="617"/>
      <c r="I1475" s="617"/>
      <c r="J1475" s="617" t="s">
        <v>432</v>
      </c>
      <c r="K1475" s="618"/>
      <c r="L1475" s="616"/>
      <c r="M1475" s="616"/>
      <c r="N1475" s="617"/>
      <c r="O1475" s="617"/>
      <c r="P1475" s="617"/>
      <c r="Q1475" s="617"/>
      <c r="R1475" s="619"/>
      <c r="S1475" s="617"/>
      <c r="T1475" s="616" t="s">
        <v>221</v>
      </c>
    </row>
    <row r="1476" ht="34.5">
      <c r="A1476" s="616" t="s">
        <v>1353</v>
      </c>
      <c r="B1476" s="616" t="s">
        <v>1354</v>
      </c>
      <c r="C1476" s="616" t="s">
        <v>1493</v>
      </c>
      <c r="D1476" s="616" t="s">
        <v>216</v>
      </c>
      <c r="E1476" s="616" t="s">
        <v>217</v>
      </c>
      <c r="F1476" s="617" t="s">
        <v>218</v>
      </c>
      <c r="G1476" s="616" t="s">
        <v>219</v>
      </c>
      <c r="H1476" s="617"/>
      <c r="I1476" s="617"/>
      <c r="J1476" s="617" t="s">
        <v>1497</v>
      </c>
      <c r="K1476" s="618"/>
      <c r="L1476" s="616"/>
      <c r="M1476" s="616"/>
      <c r="N1476" s="617"/>
      <c r="O1476" s="617"/>
      <c r="P1476" s="617"/>
      <c r="Q1476" s="617"/>
      <c r="R1476" s="619"/>
      <c r="S1476" s="617"/>
      <c r="T1476" s="616" t="s">
        <v>221</v>
      </c>
    </row>
    <row r="1477" ht="34.5">
      <c r="A1477" s="616" t="s">
        <v>1353</v>
      </c>
      <c r="B1477" s="616" t="s">
        <v>1354</v>
      </c>
      <c r="C1477" s="616" t="s">
        <v>1493</v>
      </c>
      <c r="D1477" s="616" t="s">
        <v>216</v>
      </c>
      <c r="E1477" s="616" t="s">
        <v>217</v>
      </c>
      <c r="F1477" s="617" t="s">
        <v>218</v>
      </c>
      <c r="G1477" s="616" t="s">
        <v>219</v>
      </c>
      <c r="H1477" s="617"/>
      <c r="I1477" s="617"/>
      <c r="J1477" s="617" t="s">
        <v>434</v>
      </c>
      <c r="K1477" s="618"/>
      <c r="L1477" s="616"/>
      <c r="M1477" s="616"/>
      <c r="N1477" s="617"/>
      <c r="O1477" s="617"/>
      <c r="P1477" s="617"/>
      <c r="Q1477" s="617"/>
      <c r="R1477" s="619"/>
      <c r="S1477" s="617"/>
      <c r="T1477" s="616" t="s">
        <v>221</v>
      </c>
    </row>
    <row r="1478" ht="34.5">
      <c r="A1478" s="616" t="s">
        <v>1353</v>
      </c>
      <c r="B1478" s="616" t="s">
        <v>1354</v>
      </c>
      <c r="C1478" s="616" t="s">
        <v>1493</v>
      </c>
      <c r="D1478" s="616" t="s">
        <v>216</v>
      </c>
      <c r="E1478" s="616" t="s">
        <v>217</v>
      </c>
      <c r="F1478" s="617" t="s">
        <v>218</v>
      </c>
      <c r="G1478" s="616" t="s">
        <v>219</v>
      </c>
      <c r="H1478" s="617"/>
      <c r="I1478" s="617"/>
      <c r="J1478" s="617" t="s">
        <v>1498</v>
      </c>
      <c r="K1478" s="618"/>
      <c r="L1478" s="616"/>
      <c r="M1478" s="616"/>
      <c r="N1478" s="617"/>
      <c r="O1478" s="617"/>
      <c r="P1478" s="617"/>
      <c r="Q1478" s="617"/>
      <c r="R1478" s="619"/>
      <c r="S1478" s="617"/>
      <c r="T1478" s="616" t="s">
        <v>221</v>
      </c>
    </row>
    <row r="1479" ht="34.5">
      <c r="A1479" s="616" t="s">
        <v>1353</v>
      </c>
      <c r="B1479" s="616" t="s">
        <v>1354</v>
      </c>
      <c r="C1479" s="616" t="s">
        <v>1493</v>
      </c>
      <c r="D1479" s="616" t="s">
        <v>216</v>
      </c>
      <c r="E1479" s="616" t="s">
        <v>217</v>
      </c>
      <c r="F1479" s="617" t="s">
        <v>218</v>
      </c>
      <c r="G1479" s="616" t="s">
        <v>219</v>
      </c>
      <c r="H1479" s="617"/>
      <c r="I1479" s="617"/>
      <c r="J1479" s="617" t="s">
        <v>436</v>
      </c>
      <c r="K1479" s="618"/>
      <c r="L1479" s="616"/>
      <c r="M1479" s="616"/>
      <c r="N1479" s="617"/>
      <c r="O1479" s="617"/>
      <c r="P1479" s="617"/>
      <c r="Q1479" s="617"/>
      <c r="R1479" s="619"/>
      <c r="S1479" s="617"/>
      <c r="T1479" s="616" t="s">
        <v>221</v>
      </c>
    </row>
    <row r="1480" ht="34.5">
      <c r="A1480" s="616" t="s">
        <v>1353</v>
      </c>
      <c r="B1480" s="616" t="s">
        <v>1354</v>
      </c>
      <c r="C1480" s="616" t="s">
        <v>1493</v>
      </c>
      <c r="D1480" s="616" t="s">
        <v>216</v>
      </c>
      <c r="E1480" s="616" t="s">
        <v>217</v>
      </c>
      <c r="F1480" s="617" t="s">
        <v>218</v>
      </c>
      <c r="G1480" s="616" t="s">
        <v>219</v>
      </c>
      <c r="H1480" s="617"/>
      <c r="I1480" s="617"/>
      <c r="J1480" s="617" t="s">
        <v>437</v>
      </c>
      <c r="K1480" s="618"/>
      <c r="L1480" s="616"/>
      <c r="M1480" s="616"/>
      <c r="N1480" s="617"/>
      <c r="O1480" s="617"/>
      <c r="P1480" s="617"/>
      <c r="Q1480" s="617"/>
      <c r="R1480" s="619"/>
      <c r="S1480" s="617"/>
      <c r="T1480" s="616" t="s">
        <v>221</v>
      </c>
    </row>
    <row r="1481" ht="34.5">
      <c r="A1481" s="616" t="s">
        <v>1353</v>
      </c>
      <c r="B1481" s="616" t="s">
        <v>1354</v>
      </c>
      <c r="C1481" s="616" t="s">
        <v>1493</v>
      </c>
      <c r="D1481" s="616" t="s">
        <v>216</v>
      </c>
      <c r="E1481" s="616" t="s">
        <v>217</v>
      </c>
      <c r="F1481" s="617" t="s">
        <v>218</v>
      </c>
      <c r="G1481" s="616" t="s">
        <v>219</v>
      </c>
      <c r="H1481" s="617"/>
      <c r="I1481" s="617"/>
      <c r="J1481" s="617" t="s">
        <v>438</v>
      </c>
      <c r="K1481" s="618"/>
      <c r="L1481" s="616"/>
      <c r="M1481" s="616"/>
      <c r="N1481" s="617"/>
      <c r="O1481" s="617"/>
      <c r="P1481" s="617"/>
      <c r="Q1481" s="617"/>
      <c r="R1481" s="619"/>
      <c r="S1481" s="617"/>
      <c r="T1481" s="616" t="s">
        <v>221</v>
      </c>
    </row>
    <row r="1482" ht="34.5">
      <c r="A1482" s="616" t="s">
        <v>1353</v>
      </c>
      <c r="B1482" s="616" t="s">
        <v>1354</v>
      </c>
      <c r="C1482" s="616" t="s">
        <v>1493</v>
      </c>
      <c r="D1482" s="616" t="s">
        <v>216</v>
      </c>
      <c r="E1482" s="616" t="s">
        <v>217</v>
      </c>
      <c r="F1482" s="617" t="s">
        <v>218</v>
      </c>
      <c r="G1482" s="616" t="s">
        <v>219</v>
      </c>
      <c r="H1482" s="617"/>
      <c r="I1482" s="617"/>
      <c r="J1482" s="617" t="s">
        <v>441</v>
      </c>
      <c r="K1482" s="618"/>
      <c r="L1482" s="616"/>
      <c r="M1482" s="616"/>
      <c r="N1482" s="617"/>
      <c r="O1482" s="617"/>
      <c r="P1482" s="617"/>
      <c r="Q1482" s="617"/>
      <c r="R1482" s="619"/>
      <c r="S1482" s="617"/>
      <c r="T1482" s="616" t="s">
        <v>221</v>
      </c>
    </row>
    <row r="1483" ht="34.5">
      <c r="A1483" s="616" t="s">
        <v>1353</v>
      </c>
      <c r="B1483" s="616" t="s">
        <v>1354</v>
      </c>
      <c r="C1483" s="616" t="s">
        <v>1493</v>
      </c>
      <c r="D1483" s="616" t="s">
        <v>216</v>
      </c>
      <c r="E1483" s="616" t="s">
        <v>217</v>
      </c>
      <c r="F1483" s="617" t="s">
        <v>218</v>
      </c>
      <c r="G1483" s="616" t="s">
        <v>219</v>
      </c>
      <c r="H1483" s="617"/>
      <c r="I1483" s="617"/>
      <c r="J1483" s="617" t="s">
        <v>442</v>
      </c>
      <c r="K1483" s="618"/>
      <c r="L1483" s="616"/>
      <c r="M1483" s="616"/>
      <c r="N1483" s="617"/>
      <c r="O1483" s="617"/>
      <c r="P1483" s="617"/>
      <c r="Q1483" s="617"/>
      <c r="R1483" s="619"/>
      <c r="S1483" s="617"/>
      <c r="T1483" s="616" t="s">
        <v>221</v>
      </c>
    </row>
    <row r="1484" ht="34.5">
      <c r="A1484" s="616" t="s">
        <v>1353</v>
      </c>
      <c r="B1484" s="616" t="s">
        <v>1354</v>
      </c>
      <c r="C1484" s="616" t="s">
        <v>1499</v>
      </c>
      <c r="D1484" s="616" t="s">
        <v>216</v>
      </c>
      <c r="E1484" s="616" t="s">
        <v>217</v>
      </c>
      <c r="F1484" s="617" t="s">
        <v>218</v>
      </c>
      <c r="G1484" s="616" t="s">
        <v>219</v>
      </c>
      <c r="H1484" s="617"/>
      <c r="I1484" s="617"/>
      <c r="J1484" s="617" t="s">
        <v>1500</v>
      </c>
      <c r="K1484" s="618"/>
      <c r="L1484" s="616"/>
      <c r="M1484" s="616"/>
      <c r="N1484" s="617"/>
      <c r="O1484" s="617"/>
      <c r="P1484" s="617"/>
      <c r="Q1484" s="617"/>
      <c r="R1484" s="619"/>
      <c r="S1484" s="617"/>
      <c r="T1484" s="616" t="s">
        <v>221</v>
      </c>
    </row>
    <row r="1485" ht="34.5">
      <c r="A1485" s="616" t="s">
        <v>1353</v>
      </c>
      <c r="B1485" s="616" t="s">
        <v>1354</v>
      </c>
      <c r="C1485" s="616" t="s">
        <v>1499</v>
      </c>
      <c r="D1485" s="616" t="s">
        <v>216</v>
      </c>
      <c r="E1485" s="616" t="s">
        <v>217</v>
      </c>
      <c r="F1485" s="617" t="s">
        <v>218</v>
      </c>
      <c r="G1485" s="616" t="s">
        <v>219</v>
      </c>
      <c r="H1485" s="617"/>
      <c r="I1485" s="617"/>
      <c r="J1485" s="617" t="s">
        <v>444</v>
      </c>
      <c r="K1485" s="618"/>
      <c r="L1485" s="616"/>
      <c r="M1485" s="616"/>
      <c r="N1485" s="617"/>
      <c r="O1485" s="617"/>
      <c r="P1485" s="617"/>
      <c r="Q1485" s="617"/>
      <c r="R1485" s="619"/>
      <c r="S1485" s="617"/>
      <c r="T1485" s="616" t="s">
        <v>221</v>
      </c>
    </row>
    <row r="1486" ht="34.5">
      <c r="A1486" s="616" t="s">
        <v>1353</v>
      </c>
      <c r="B1486" s="616" t="s">
        <v>1354</v>
      </c>
      <c r="C1486" s="616" t="s">
        <v>1499</v>
      </c>
      <c r="D1486" s="616" t="s">
        <v>216</v>
      </c>
      <c r="E1486" s="616" t="s">
        <v>217</v>
      </c>
      <c r="F1486" s="617" t="s">
        <v>218</v>
      </c>
      <c r="G1486" s="616" t="s">
        <v>219</v>
      </c>
      <c r="H1486" s="617"/>
      <c r="I1486" s="617"/>
      <c r="J1486" s="617" t="s">
        <v>445</v>
      </c>
      <c r="K1486" s="618"/>
      <c r="L1486" s="616"/>
      <c r="M1486" s="616"/>
      <c r="N1486" s="617"/>
      <c r="O1486" s="617"/>
      <c r="P1486" s="617"/>
      <c r="Q1486" s="617"/>
      <c r="R1486" s="619"/>
      <c r="S1486" s="617"/>
      <c r="T1486" s="616" t="s">
        <v>221</v>
      </c>
    </row>
    <row r="1487" ht="34.5">
      <c r="A1487" s="616" t="s">
        <v>1353</v>
      </c>
      <c r="B1487" s="616" t="s">
        <v>1354</v>
      </c>
      <c r="C1487" s="616" t="s">
        <v>1499</v>
      </c>
      <c r="D1487" s="616" t="s">
        <v>216</v>
      </c>
      <c r="E1487" s="616" t="s">
        <v>217</v>
      </c>
      <c r="F1487" s="617" t="s">
        <v>218</v>
      </c>
      <c r="G1487" s="616" t="s">
        <v>219</v>
      </c>
      <c r="H1487" s="617"/>
      <c r="I1487" s="617"/>
      <c r="J1487" s="617" t="s">
        <v>446</v>
      </c>
      <c r="K1487" s="618"/>
      <c r="L1487" s="616"/>
      <c r="M1487" s="616"/>
      <c r="N1487" s="617"/>
      <c r="O1487" s="617"/>
      <c r="P1487" s="617"/>
      <c r="Q1487" s="617"/>
      <c r="R1487" s="619"/>
      <c r="S1487" s="617"/>
      <c r="T1487" s="616" t="s">
        <v>221</v>
      </c>
    </row>
    <row r="1488" ht="34.5">
      <c r="A1488" s="616" t="s">
        <v>1353</v>
      </c>
      <c r="B1488" s="616" t="s">
        <v>1354</v>
      </c>
      <c r="C1488" s="616" t="s">
        <v>1499</v>
      </c>
      <c r="D1488" s="616" t="s">
        <v>216</v>
      </c>
      <c r="E1488" s="616" t="s">
        <v>217</v>
      </c>
      <c r="F1488" s="617" t="s">
        <v>218</v>
      </c>
      <c r="G1488" s="616" t="s">
        <v>219</v>
      </c>
      <c r="H1488" s="617"/>
      <c r="I1488" s="617"/>
      <c r="J1488" s="617" t="s">
        <v>447</v>
      </c>
      <c r="K1488" s="618"/>
      <c r="L1488" s="616"/>
      <c r="M1488" s="616"/>
      <c r="N1488" s="617"/>
      <c r="O1488" s="617"/>
      <c r="P1488" s="617"/>
      <c r="Q1488" s="617"/>
      <c r="R1488" s="619"/>
      <c r="S1488" s="617"/>
      <c r="T1488" s="616" t="s">
        <v>221</v>
      </c>
    </row>
    <row r="1489" ht="34.5">
      <c r="A1489" s="616" t="s">
        <v>1353</v>
      </c>
      <c r="B1489" s="616" t="s">
        <v>1354</v>
      </c>
      <c r="C1489" s="616" t="s">
        <v>1499</v>
      </c>
      <c r="D1489" s="616" t="s">
        <v>216</v>
      </c>
      <c r="E1489" s="616" t="s">
        <v>217</v>
      </c>
      <c r="F1489" s="617" t="s">
        <v>218</v>
      </c>
      <c r="G1489" s="616" t="s">
        <v>219</v>
      </c>
      <c r="H1489" s="617"/>
      <c r="I1489" s="617"/>
      <c r="J1489" s="617" t="s">
        <v>448</v>
      </c>
      <c r="K1489" s="618"/>
      <c r="L1489" s="616"/>
      <c r="M1489" s="616"/>
      <c r="N1489" s="617"/>
      <c r="O1489" s="617"/>
      <c r="P1489" s="617"/>
      <c r="Q1489" s="617"/>
      <c r="R1489" s="619"/>
      <c r="S1489" s="617"/>
      <c r="T1489" s="616" t="s">
        <v>221</v>
      </c>
    </row>
    <row r="1490" ht="34.5">
      <c r="A1490" s="616" t="s">
        <v>1353</v>
      </c>
      <c r="B1490" s="616" t="s">
        <v>1354</v>
      </c>
      <c r="C1490" s="616" t="s">
        <v>1499</v>
      </c>
      <c r="D1490" s="616" t="s">
        <v>216</v>
      </c>
      <c r="E1490" s="616" t="s">
        <v>217</v>
      </c>
      <c r="F1490" s="617" t="s">
        <v>218</v>
      </c>
      <c r="G1490" s="616" t="s">
        <v>219</v>
      </c>
      <c r="H1490" s="617"/>
      <c r="I1490" s="617"/>
      <c r="J1490" s="617" t="s">
        <v>449</v>
      </c>
      <c r="K1490" s="618"/>
      <c r="L1490" s="616"/>
      <c r="M1490" s="616"/>
      <c r="N1490" s="617"/>
      <c r="O1490" s="617"/>
      <c r="P1490" s="617"/>
      <c r="Q1490" s="617"/>
      <c r="R1490" s="619"/>
      <c r="S1490" s="617"/>
      <c r="T1490" s="616" t="s">
        <v>221</v>
      </c>
    </row>
    <row r="1491" ht="34.5">
      <c r="A1491" s="616" t="s">
        <v>1353</v>
      </c>
      <c r="B1491" s="616" t="s">
        <v>1354</v>
      </c>
      <c r="C1491" s="616" t="s">
        <v>1499</v>
      </c>
      <c r="D1491" s="616" t="s">
        <v>216</v>
      </c>
      <c r="E1491" s="616" t="s">
        <v>217</v>
      </c>
      <c r="F1491" s="617" t="s">
        <v>218</v>
      </c>
      <c r="G1491" s="616" t="s">
        <v>219</v>
      </c>
      <c r="H1491" s="617"/>
      <c r="I1491" s="617"/>
      <c r="J1491" s="617" t="s">
        <v>1501</v>
      </c>
      <c r="K1491" s="618"/>
      <c r="L1491" s="616"/>
      <c r="M1491" s="616"/>
      <c r="N1491" s="617"/>
      <c r="O1491" s="617"/>
      <c r="P1491" s="617"/>
      <c r="Q1491" s="617"/>
      <c r="R1491" s="619"/>
      <c r="S1491" s="617"/>
      <c r="T1491" s="616" t="s">
        <v>221</v>
      </c>
    </row>
    <row r="1492" ht="34.5">
      <c r="A1492" s="616" t="s">
        <v>1353</v>
      </c>
      <c r="B1492" s="616" t="s">
        <v>1354</v>
      </c>
      <c r="C1492" s="616" t="s">
        <v>1499</v>
      </c>
      <c r="D1492" s="616" t="s">
        <v>216</v>
      </c>
      <c r="E1492" s="616" t="s">
        <v>217</v>
      </c>
      <c r="F1492" s="617" t="s">
        <v>218</v>
      </c>
      <c r="G1492" s="616" t="s">
        <v>219</v>
      </c>
      <c r="H1492" s="617"/>
      <c r="I1492" s="617"/>
      <c r="J1492" s="617" t="s">
        <v>1502</v>
      </c>
      <c r="K1492" s="618"/>
      <c r="L1492" s="616"/>
      <c r="M1492" s="616"/>
      <c r="N1492" s="617"/>
      <c r="O1492" s="617"/>
      <c r="P1492" s="617"/>
      <c r="Q1492" s="617"/>
      <c r="R1492" s="619"/>
      <c r="S1492" s="617"/>
      <c r="T1492" s="616" t="s">
        <v>221</v>
      </c>
    </row>
    <row r="1493" ht="34.5">
      <c r="A1493" s="616" t="s">
        <v>1353</v>
      </c>
      <c r="B1493" s="616" t="s">
        <v>1354</v>
      </c>
      <c r="C1493" s="616" t="s">
        <v>1499</v>
      </c>
      <c r="D1493" s="616" t="s">
        <v>216</v>
      </c>
      <c r="E1493" s="616" t="s">
        <v>217</v>
      </c>
      <c r="F1493" s="617" t="s">
        <v>218</v>
      </c>
      <c r="G1493" s="616" t="s">
        <v>219</v>
      </c>
      <c r="H1493" s="617"/>
      <c r="I1493" s="617"/>
      <c r="J1493" s="617" t="s">
        <v>454</v>
      </c>
      <c r="K1493" s="618"/>
      <c r="L1493" s="616"/>
      <c r="M1493" s="616"/>
      <c r="N1493" s="617"/>
      <c r="O1493" s="617"/>
      <c r="P1493" s="617"/>
      <c r="Q1493" s="617"/>
      <c r="R1493" s="619"/>
      <c r="S1493" s="617"/>
      <c r="T1493" s="616" t="s">
        <v>221</v>
      </c>
    </row>
    <row r="1494" ht="34.5">
      <c r="A1494" s="616" t="s">
        <v>1353</v>
      </c>
      <c r="B1494" s="616" t="s">
        <v>1354</v>
      </c>
      <c r="C1494" s="616" t="s">
        <v>1499</v>
      </c>
      <c r="D1494" s="616" t="s">
        <v>216</v>
      </c>
      <c r="E1494" s="616" t="s">
        <v>217</v>
      </c>
      <c r="F1494" s="617" t="s">
        <v>218</v>
      </c>
      <c r="G1494" s="616" t="s">
        <v>219</v>
      </c>
      <c r="H1494" s="617"/>
      <c r="I1494" s="617"/>
      <c r="J1494" s="617" t="s">
        <v>455</v>
      </c>
      <c r="K1494" s="618"/>
      <c r="L1494" s="616"/>
      <c r="M1494" s="616"/>
      <c r="N1494" s="617"/>
      <c r="O1494" s="617"/>
      <c r="P1494" s="617"/>
      <c r="Q1494" s="617"/>
      <c r="R1494" s="619"/>
      <c r="S1494" s="617"/>
      <c r="T1494" s="616" t="s">
        <v>221</v>
      </c>
    </row>
    <row r="1495" ht="34.5">
      <c r="A1495" s="616" t="s">
        <v>1353</v>
      </c>
      <c r="B1495" s="616" t="s">
        <v>1354</v>
      </c>
      <c r="C1495" s="616" t="s">
        <v>1499</v>
      </c>
      <c r="D1495" s="616" t="s">
        <v>216</v>
      </c>
      <c r="E1495" s="616" t="s">
        <v>217</v>
      </c>
      <c r="F1495" s="617" t="s">
        <v>218</v>
      </c>
      <c r="G1495" s="616" t="s">
        <v>219</v>
      </c>
      <c r="H1495" s="617"/>
      <c r="I1495" s="617"/>
      <c r="J1495" s="617" t="s">
        <v>456</v>
      </c>
      <c r="K1495" s="618"/>
      <c r="L1495" s="616"/>
      <c r="M1495" s="616"/>
      <c r="N1495" s="617"/>
      <c r="O1495" s="617"/>
      <c r="P1495" s="617"/>
      <c r="Q1495" s="617"/>
      <c r="R1495" s="619"/>
      <c r="S1495" s="617"/>
      <c r="T1495" s="616" t="s">
        <v>221</v>
      </c>
    </row>
    <row r="1496" ht="34.5">
      <c r="A1496" s="616" t="s">
        <v>1353</v>
      </c>
      <c r="B1496" s="616" t="s">
        <v>1354</v>
      </c>
      <c r="C1496" s="616" t="s">
        <v>1503</v>
      </c>
      <c r="D1496" s="616" t="s">
        <v>216</v>
      </c>
      <c r="E1496" s="616" t="s">
        <v>217</v>
      </c>
      <c r="F1496" s="617" t="s">
        <v>218</v>
      </c>
      <c r="G1496" s="616" t="s">
        <v>219</v>
      </c>
      <c r="H1496" s="617"/>
      <c r="I1496" s="617"/>
      <c r="J1496" s="617" t="s">
        <v>1504</v>
      </c>
      <c r="K1496" s="618"/>
      <c r="L1496" s="616"/>
      <c r="M1496" s="616"/>
      <c r="N1496" s="617"/>
      <c r="O1496" s="617"/>
      <c r="P1496" s="617"/>
      <c r="Q1496" s="617"/>
      <c r="R1496" s="619"/>
      <c r="S1496" s="617"/>
      <c r="T1496" s="616" t="s">
        <v>221</v>
      </c>
    </row>
    <row r="1497" ht="34.5">
      <c r="A1497" s="616" t="s">
        <v>1353</v>
      </c>
      <c r="B1497" s="616" t="s">
        <v>1354</v>
      </c>
      <c r="C1497" s="616" t="s">
        <v>1503</v>
      </c>
      <c r="D1497" s="616" t="s">
        <v>216</v>
      </c>
      <c r="E1497" s="616" t="s">
        <v>217</v>
      </c>
      <c r="F1497" s="617" t="s">
        <v>218</v>
      </c>
      <c r="G1497" s="616" t="s">
        <v>219</v>
      </c>
      <c r="H1497" s="617"/>
      <c r="I1497" s="617"/>
      <c r="J1497" s="617" t="s">
        <v>1505</v>
      </c>
      <c r="K1497" s="618"/>
      <c r="L1497" s="616"/>
      <c r="M1497" s="616"/>
      <c r="N1497" s="617"/>
      <c r="O1497" s="617"/>
      <c r="P1497" s="617"/>
      <c r="Q1497" s="617"/>
      <c r="R1497" s="619"/>
      <c r="S1497" s="617"/>
      <c r="T1497" s="616" t="s">
        <v>221</v>
      </c>
    </row>
    <row r="1498" ht="34.5">
      <c r="A1498" s="616" t="s">
        <v>1353</v>
      </c>
      <c r="B1498" s="616" t="s">
        <v>1354</v>
      </c>
      <c r="C1498" s="616" t="s">
        <v>1503</v>
      </c>
      <c r="D1498" s="616" t="s">
        <v>216</v>
      </c>
      <c r="E1498" s="616" t="s">
        <v>217</v>
      </c>
      <c r="F1498" s="617" t="s">
        <v>218</v>
      </c>
      <c r="G1498" s="616" t="s">
        <v>219</v>
      </c>
      <c r="H1498" s="617"/>
      <c r="I1498" s="617"/>
      <c r="J1498" s="617" t="s">
        <v>1506</v>
      </c>
      <c r="K1498" s="618"/>
      <c r="L1498" s="616"/>
      <c r="M1498" s="616"/>
      <c r="N1498" s="617"/>
      <c r="O1498" s="617"/>
      <c r="P1498" s="617"/>
      <c r="Q1498" s="617"/>
      <c r="R1498" s="619"/>
      <c r="S1498" s="617"/>
      <c r="T1498" s="616" t="s">
        <v>221</v>
      </c>
    </row>
    <row r="1499" ht="34.5">
      <c r="A1499" s="616" t="s">
        <v>1353</v>
      </c>
      <c r="B1499" s="616" t="s">
        <v>1354</v>
      </c>
      <c r="C1499" s="616" t="s">
        <v>1503</v>
      </c>
      <c r="D1499" s="616" t="s">
        <v>216</v>
      </c>
      <c r="E1499" s="616" t="s">
        <v>217</v>
      </c>
      <c r="F1499" s="617" t="s">
        <v>218</v>
      </c>
      <c r="G1499" s="616" t="s">
        <v>219</v>
      </c>
      <c r="H1499" s="617"/>
      <c r="I1499" s="617"/>
      <c r="J1499" s="617" t="s">
        <v>1507</v>
      </c>
      <c r="K1499" s="618"/>
      <c r="L1499" s="616"/>
      <c r="M1499" s="616"/>
      <c r="N1499" s="617"/>
      <c r="O1499" s="617"/>
      <c r="P1499" s="617"/>
      <c r="Q1499" s="617"/>
      <c r="R1499" s="619"/>
      <c r="S1499" s="617"/>
      <c r="T1499" s="616" t="s">
        <v>221</v>
      </c>
    </row>
    <row r="1500" ht="34.5">
      <c r="A1500" s="616" t="s">
        <v>1353</v>
      </c>
      <c r="B1500" s="616" t="s">
        <v>1354</v>
      </c>
      <c r="C1500" s="616" t="s">
        <v>1503</v>
      </c>
      <c r="D1500" s="616" t="s">
        <v>216</v>
      </c>
      <c r="E1500" s="616" t="s">
        <v>217</v>
      </c>
      <c r="F1500" s="617" t="s">
        <v>218</v>
      </c>
      <c r="G1500" s="616" t="s">
        <v>219</v>
      </c>
      <c r="H1500" s="617"/>
      <c r="I1500" s="617"/>
      <c r="J1500" s="617" t="s">
        <v>1508</v>
      </c>
      <c r="K1500" s="618"/>
      <c r="L1500" s="616"/>
      <c r="M1500" s="616"/>
      <c r="N1500" s="617"/>
      <c r="O1500" s="617"/>
      <c r="P1500" s="617"/>
      <c r="Q1500" s="617"/>
      <c r="R1500" s="619"/>
      <c r="S1500" s="617"/>
      <c r="T1500" s="616" t="s">
        <v>221</v>
      </c>
    </row>
    <row r="1501" ht="34.5">
      <c r="A1501" s="616" t="s">
        <v>1353</v>
      </c>
      <c r="B1501" s="616" t="s">
        <v>1354</v>
      </c>
      <c r="C1501" s="616" t="s">
        <v>1503</v>
      </c>
      <c r="D1501" s="616" t="s">
        <v>216</v>
      </c>
      <c r="E1501" s="616" t="s">
        <v>217</v>
      </c>
      <c r="F1501" s="617" t="s">
        <v>218</v>
      </c>
      <c r="G1501" s="616" t="s">
        <v>219</v>
      </c>
      <c r="H1501" s="617"/>
      <c r="I1501" s="617"/>
      <c r="J1501" s="617" t="s">
        <v>463</v>
      </c>
      <c r="K1501" s="618"/>
      <c r="L1501" s="616"/>
      <c r="M1501" s="616"/>
      <c r="N1501" s="617"/>
      <c r="O1501" s="617"/>
      <c r="P1501" s="617"/>
      <c r="Q1501" s="617"/>
      <c r="R1501" s="619"/>
      <c r="S1501" s="617"/>
      <c r="T1501" s="616" t="s">
        <v>221</v>
      </c>
    </row>
    <row r="1502" ht="34.5">
      <c r="A1502" s="616" t="s">
        <v>1353</v>
      </c>
      <c r="B1502" s="616" t="s">
        <v>1354</v>
      </c>
      <c r="C1502" s="616" t="s">
        <v>1503</v>
      </c>
      <c r="D1502" s="616" t="s">
        <v>216</v>
      </c>
      <c r="E1502" s="616" t="s">
        <v>217</v>
      </c>
      <c r="F1502" s="617" t="s">
        <v>218</v>
      </c>
      <c r="G1502" s="616" t="s">
        <v>219</v>
      </c>
      <c r="H1502" s="617"/>
      <c r="I1502" s="617"/>
      <c r="J1502" s="617" t="s">
        <v>464</v>
      </c>
      <c r="K1502" s="618"/>
      <c r="L1502" s="616"/>
      <c r="M1502" s="616"/>
      <c r="N1502" s="617"/>
      <c r="O1502" s="617"/>
      <c r="P1502" s="617"/>
      <c r="Q1502" s="617"/>
      <c r="R1502" s="619"/>
      <c r="S1502" s="617"/>
      <c r="T1502" s="616" t="s">
        <v>221</v>
      </c>
    </row>
    <row r="1503" ht="34.5">
      <c r="A1503" s="616" t="s">
        <v>1353</v>
      </c>
      <c r="B1503" s="616" t="s">
        <v>1354</v>
      </c>
      <c r="C1503" s="616" t="s">
        <v>1503</v>
      </c>
      <c r="D1503" s="616" t="s">
        <v>216</v>
      </c>
      <c r="E1503" s="616" t="s">
        <v>217</v>
      </c>
      <c r="F1503" s="617" t="s">
        <v>218</v>
      </c>
      <c r="G1503" s="616" t="s">
        <v>219</v>
      </c>
      <c r="H1503" s="617"/>
      <c r="I1503" s="617"/>
      <c r="J1503" s="617" t="s">
        <v>465</v>
      </c>
      <c r="K1503" s="618"/>
      <c r="L1503" s="616"/>
      <c r="M1503" s="616"/>
      <c r="N1503" s="617"/>
      <c r="O1503" s="617"/>
      <c r="P1503" s="617"/>
      <c r="Q1503" s="617"/>
      <c r="R1503" s="619"/>
      <c r="S1503" s="617"/>
      <c r="T1503" s="616" t="s">
        <v>221</v>
      </c>
    </row>
    <row r="1504" ht="34.5">
      <c r="A1504" s="616" t="s">
        <v>1353</v>
      </c>
      <c r="B1504" s="616" t="s">
        <v>1354</v>
      </c>
      <c r="C1504" s="616" t="s">
        <v>1503</v>
      </c>
      <c r="D1504" s="616" t="s">
        <v>216</v>
      </c>
      <c r="E1504" s="616" t="s">
        <v>217</v>
      </c>
      <c r="F1504" s="617" t="s">
        <v>218</v>
      </c>
      <c r="G1504" s="616" t="s">
        <v>219</v>
      </c>
      <c r="H1504" s="617"/>
      <c r="I1504" s="617"/>
      <c r="J1504" s="617" t="s">
        <v>468</v>
      </c>
      <c r="K1504" s="618"/>
      <c r="L1504" s="616"/>
      <c r="M1504" s="616"/>
      <c r="N1504" s="617"/>
      <c r="O1504" s="617"/>
      <c r="P1504" s="617"/>
      <c r="Q1504" s="617"/>
      <c r="R1504" s="619"/>
      <c r="S1504" s="617"/>
      <c r="T1504" s="616" t="s">
        <v>221</v>
      </c>
    </row>
    <row r="1505" ht="34.5">
      <c r="A1505" s="616" t="s">
        <v>1353</v>
      </c>
      <c r="B1505" s="616" t="s">
        <v>1354</v>
      </c>
      <c r="C1505" s="616" t="s">
        <v>1503</v>
      </c>
      <c r="D1505" s="616" t="s">
        <v>216</v>
      </c>
      <c r="E1505" s="616" t="s">
        <v>217</v>
      </c>
      <c r="F1505" s="617" t="s">
        <v>218</v>
      </c>
      <c r="G1505" s="616" t="s">
        <v>219</v>
      </c>
      <c r="H1505" s="617"/>
      <c r="I1505" s="617"/>
      <c r="J1505" s="617" t="s">
        <v>1509</v>
      </c>
      <c r="K1505" s="618"/>
      <c r="L1505" s="616"/>
      <c r="M1505" s="616"/>
      <c r="N1505" s="617"/>
      <c r="O1505" s="617"/>
      <c r="P1505" s="617"/>
      <c r="Q1505" s="617"/>
      <c r="R1505" s="619"/>
      <c r="S1505" s="617"/>
      <c r="T1505" s="616" t="s">
        <v>221</v>
      </c>
    </row>
    <row r="1506" ht="34.5">
      <c r="A1506" s="616" t="s">
        <v>1353</v>
      </c>
      <c r="B1506" s="616" t="s">
        <v>1354</v>
      </c>
      <c r="C1506" s="616" t="s">
        <v>1503</v>
      </c>
      <c r="D1506" s="616" t="s">
        <v>216</v>
      </c>
      <c r="E1506" s="616" t="s">
        <v>217</v>
      </c>
      <c r="F1506" s="617" t="s">
        <v>218</v>
      </c>
      <c r="G1506" s="616" t="s">
        <v>219</v>
      </c>
      <c r="H1506" s="617"/>
      <c r="I1506" s="617"/>
      <c r="J1506" s="617" t="s">
        <v>470</v>
      </c>
      <c r="K1506" s="618"/>
      <c r="L1506" s="616"/>
      <c r="M1506" s="616"/>
      <c r="N1506" s="617"/>
      <c r="O1506" s="617"/>
      <c r="P1506" s="617"/>
      <c r="Q1506" s="617"/>
      <c r="R1506" s="619"/>
      <c r="S1506" s="617"/>
      <c r="T1506" s="616" t="s">
        <v>221</v>
      </c>
    </row>
    <row r="1507" ht="34.5">
      <c r="A1507" s="616" t="s">
        <v>1353</v>
      </c>
      <c r="B1507" s="616" t="s">
        <v>1354</v>
      </c>
      <c r="C1507" s="616" t="s">
        <v>1503</v>
      </c>
      <c r="D1507" s="616" t="s">
        <v>216</v>
      </c>
      <c r="E1507" s="616" t="s">
        <v>217</v>
      </c>
      <c r="F1507" s="617" t="s">
        <v>218</v>
      </c>
      <c r="G1507" s="616" t="s">
        <v>219</v>
      </c>
      <c r="H1507" s="617"/>
      <c r="I1507" s="617"/>
      <c r="J1507" s="617" t="s">
        <v>471</v>
      </c>
      <c r="K1507" s="618"/>
      <c r="L1507" s="616"/>
      <c r="M1507" s="616"/>
      <c r="N1507" s="617"/>
      <c r="O1507" s="617"/>
      <c r="P1507" s="617"/>
      <c r="Q1507" s="617"/>
      <c r="R1507" s="619"/>
      <c r="S1507" s="617"/>
      <c r="T1507" s="616" t="s">
        <v>221</v>
      </c>
    </row>
    <row r="1508" ht="34.5">
      <c r="A1508" s="616" t="s">
        <v>1353</v>
      </c>
      <c r="B1508" s="616" t="s">
        <v>1354</v>
      </c>
      <c r="C1508" s="616" t="s">
        <v>1503</v>
      </c>
      <c r="D1508" s="616" t="s">
        <v>216</v>
      </c>
      <c r="E1508" s="616" t="s">
        <v>217</v>
      </c>
      <c r="F1508" s="617" t="s">
        <v>218</v>
      </c>
      <c r="G1508" s="616" t="s">
        <v>219</v>
      </c>
      <c r="H1508" s="617"/>
      <c r="I1508" s="617"/>
      <c r="J1508" s="617" t="s">
        <v>472</v>
      </c>
      <c r="K1508" s="618"/>
      <c r="L1508" s="616"/>
      <c r="M1508" s="616"/>
      <c r="N1508" s="617"/>
      <c r="O1508" s="617"/>
      <c r="P1508" s="617"/>
      <c r="Q1508" s="617"/>
      <c r="R1508" s="619"/>
      <c r="S1508" s="617"/>
      <c r="T1508" s="616" t="s">
        <v>221</v>
      </c>
    </row>
    <row r="1509" ht="34.5">
      <c r="A1509" s="616" t="s">
        <v>1353</v>
      </c>
      <c r="B1509" s="616" t="s">
        <v>1354</v>
      </c>
      <c r="C1509" s="616" t="s">
        <v>1503</v>
      </c>
      <c r="D1509" s="616" t="s">
        <v>216</v>
      </c>
      <c r="E1509" s="616" t="s">
        <v>217</v>
      </c>
      <c r="F1509" s="617" t="s">
        <v>218</v>
      </c>
      <c r="G1509" s="616" t="s">
        <v>219</v>
      </c>
      <c r="H1509" s="617"/>
      <c r="I1509" s="617"/>
      <c r="J1509" s="617" t="s">
        <v>473</v>
      </c>
      <c r="K1509" s="618"/>
      <c r="L1509" s="616"/>
      <c r="M1509" s="616"/>
      <c r="N1509" s="617"/>
      <c r="O1509" s="617"/>
      <c r="P1509" s="617"/>
      <c r="Q1509" s="617"/>
      <c r="R1509" s="619"/>
      <c r="S1509" s="617"/>
      <c r="T1509" s="616" t="s">
        <v>221</v>
      </c>
    </row>
    <row r="1510" ht="34.5">
      <c r="A1510" s="616" t="s">
        <v>1353</v>
      </c>
      <c r="B1510" s="616" t="s">
        <v>1354</v>
      </c>
      <c r="C1510" s="616" t="s">
        <v>1503</v>
      </c>
      <c r="D1510" s="616" t="s">
        <v>216</v>
      </c>
      <c r="E1510" s="616" t="s">
        <v>217</v>
      </c>
      <c r="F1510" s="617" t="s">
        <v>218</v>
      </c>
      <c r="G1510" s="616" t="s">
        <v>219</v>
      </c>
      <c r="H1510" s="617"/>
      <c r="I1510" s="617"/>
      <c r="J1510" s="617" t="s">
        <v>474</v>
      </c>
      <c r="K1510" s="618"/>
      <c r="L1510" s="616"/>
      <c r="M1510" s="616"/>
      <c r="N1510" s="617"/>
      <c r="O1510" s="617"/>
      <c r="P1510" s="617"/>
      <c r="Q1510" s="617"/>
      <c r="R1510" s="619"/>
      <c r="S1510" s="617"/>
      <c r="T1510" s="616" t="s">
        <v>221</v>
      </c>
    </row>
    <row r="1511" ht="34.5">
      <c r="A1511" s="616" t="s">
        <v>1353</v>
      </c>
      <c r="B1511" s="616" t="s">
        <v>1354</v>
      </c>
      <c r="C1511" s="616" t="s">
        <v>1510</v>
      </c>
      <c r="D1511" s="616" t="s">
        <v>216</v>
      </c>
      <c r="E1511" s="616" t="s">
        <v>217</v>
      </c>
      <c r="F1511" s="617" t="s">
        <v>218</v>
      </c>
      <c r="G1511" s="616" t="s">
        <v>219</v>
      </c>
      <c r="H1511" s="617"/>
      <c r="I1511" s="617"/>
      <c r="J1511" s="617" t="s">
        <v>475</v>
      </c>
      <c r="K1511" s="618"/>
      <c r="L1511" s="616"/>
      <c r="M1511" s="616"/>
      <c r="N1511" s="617"/>
      <c r="O1511" s="617"/>
      <c r="P1511" s="617"/>
      <c r="Q1511" s="617"/>
      <c r="R1511" s="619"/>
      <c r="S1511" s="617"/>
      <c r="T1511" s="616" t="s">
        <v>221</v>
      </c>
    </row>
    <row r="1512" ht="34.5">
      <c r="A1512" s="616" t="s">
        <v>1353</v>
      </c>
      <c r="B1512" s="616" t="s">
        <v>1354</v>
      </c>
      <c r="C1512" s="616" t="s">
        <v>1510</v>
      </c>
      <c r="D1512" s="616" t="s">
        <v>216</v>
      </c>
      <c r="E1512" s="616" t="s">
        <v>217</v>
      </c>
      <c r="F1512" s="617" t="s">
        <v>218</v>
      </c>
      <c r="G1512" s="616" t="s">
        <v>219</v>
      </c>
      <c r="H1512" s="617"/>
      <c r="I1512" s="617"/>
      <c r="J1512" s="617" t="s">
        <v>476</v>
      </c>
      <c r="K1512" s="618"/>
      <c r="L1512" s="616"/>
      <c r="M1512" s="616"/>
      <c r="N1512" s="617"/>
      <c r="O1512" s="617"/>
      <c r="P1512" s="617"/>
      <c r="Q1512" s="617"/>
      <c r="R1512" s="619"/>
      <c r="S1512" s="617"/>
      <c r="T1512" s="616" t="s">
        <v>221</v>
      </c>
    </row>
    <row r="1513" ht="34.5">
      <c r="A1513" s="616" t="s">
        <v>1353</v>
      </c>
      <c r="B1513" s="616" t="s">
        <v>1354</v>
      </c>
      <c r="C1513" s="616" t="s">
        <v>1510</v>
      </c>
      <c r="D1513" s="616" t="s">
        <v>216</v>
      </c>
      <c r="E1513" s="616" t="s">
        <v>217</v>
      </c>
      <c r="F1513" s="617" t="s">
        <v>218</v>
      </c>
      <c r="G1513" s="616" t="s">
        <v>219</v>
      </c>
      <c r="H1513" s="617"/>
      <c r="I1513" s="617"/>
      <c r="J1513" s="617" t="s">
        <v>477</v>
      </c>
      <c r="K1513" s="618"/>
      <c r="L1513" s="616"/>
      <c r="M1513" s="616"/>
      <c r="N1513" s="617"/>
      <c r="O1513" s="617"/>
      <c r="P1513" s="617"/>
      <c r="Q1513" s="617"/>
      <c r="R1513" s="619"/>
      <c r="S1513" s="617"/>
      <c r="T1513" s="616" t="s">
        <v>221</v>
      </c>
    </row>
    <row r="1514" ht="34.5">
      <c r="A1514" s="616" t="s">
        <v>1353</v>
      </c>
      <c r="B1514" s="616" t="s">
        <v>1354</v>
      </c>
      <c r="C1514" s="616" t="s">
        <v>1510</v>
      </c>
      <c r="D1514" s="616" t="s">
        <v>216</v>
      </c>
      <c r="E1514" s="616" t="s">
        <v>217</v>
      </c>
      <c r="F1514" s="617" t="s">
        <v>218</v>
      </c>
      <c r="G1514" s="616" t="s">
        <v>219</v>
      </c>
      <c r="H1514" s="617"/>
      <c r="I1514" s="617"/>
      <c r="J1514" s="617" t="s">
        <v>478</v>
      </c>
      <c r="K1514" s="618"/>
      <c r="L1514" s="616"/>
      <c r="M1514" s="616"/>
      <c r="N1514" s="617"/>
      <c r="O1514" s="617"/>
      <c r="P1514" s="617"/>
      <c r="Q1514" s="617"/>
      <c r="R1514" s="619"/>
      <c r="S1514" s="617"/>
      <c r="T1514" s="616" t="s">
        <v>221</v>
      </c>
    </row>
    <row r="1515" ht="34.5">
      <c r="A1515" s="616" t="s">
        <v>1353</v>
      </c>
      <c r="B1515" s="616" t="s">
        <v>1354</v>
      </c>
      <c r="C1515" s="616" t="s">
        <v>1510</v>
      </c>
      <c r="D1515" s="616" t="s">
        <v>216</v>
      </c>
      <c r="E1515" s="616" t="s">
        <v>217</v>
      </c>
      <c r="F1515" s="617" t="s">
        <v>218</v>
      </c>
      <c r="G1515" s="616" t="s">
        <v>219</v>
      </c>
      <c r="H1515" s="617"/>
      <c r="I1515" s="617"/>
      <c r="J1515" s="617" t="s">
        <v>479</v>
      </c>
      <c r="K1515" s="618"/>
      <c r="L1515" s="616"/>
      <c r="M1515" s="616"/>
      <c r="N1515" s="617"/>
      <c r="O1515" s="617"/>
      <c r="P1515" s="617"/>
      <c r="Q1515" s="617"/>
      <c r="R1515" s="619"/>
      <c r="S1515" s="617"/>
      <c r="T1515" s="616" t="s">
        <v>221</v>
      </c>
    </row>
    <row r="1516" ht="34.5">
      <c r="A1516" s="616" t="s">
        <v>1353</v>
      </c>
      <c r="B1516" s="616" t="s">
        <v>1354</v>
      </c>
      <c r="C1516" s="616" t="s">
        <v>1510</v>
      </c>
      <c r="D1516" s="616" t="s">
        <v>216</v>
      </c>
      <c r="E1516" s="616" t="s">
        <v>217</v>
      </c>
      <c r="F1516" s="617" t="s">
        <v>218</v>
      </c>
      <c r="G1516" s="616" t="s">
        <v>219</v>
      </c>
      <c r="H1516" s="617"/>
      <c r="I1516" s="617"/>
      <c r="J1516" s="617" t="s">
        <v>480</v>
      </c>
      <c r="K1516" s="618"/>
      <c r="L1516" s="616"/>
      <c r="M1516" s="616"/>
      <c r="N1516" s="617"/>
      <c r="O1516" s="617"/>
      <c r="P1516" s="617"/>
      <c r="Q1516" s="617"/>
      <c r="R1516" s="619"/>
      <c r="S1516" s="617"/>
      <c r="T1516" s="616" t="s">
        <v>221</v>
      </c>
    </row>
    <row r="1517" ht="34.5">
      <c r="A1517" s="616" t="s">
        <v>1353</v>
      </c>
      <c r="B1517" s="616" t="s">
        <v>1354</v>
      </c>
      <c r="C1517" s="616" t="s">
        <v>1510</v>
      </c>
      <c r="D1517" s="616" t="s">
        <v>216</v>
      </c>
      <c r="E1517" s="616" t="s">
        <v>217</v>
      </c>
      <c r="F1517" s="617" t="s">
        <v>218</v>
      </c>
      <c r="G1517" s="616" t="s">
        <v>219</v>
      </c>
      <c r="H1517" s="617"/>
      <c r="I1517" s="617"/>
      <c r="J1517" s="617" t="s">
        <v>1511</v>
      </c>
      <c r="K1517" s="618"/>
      <c r="L1517" s="616"/>
      <c r="M1517" s="616"/>
      <c r="N1517" s="617"/>
      <c r="O1517" s="617"/>
      <c r="P1517" s="617"/>
      <c r="Q1517" s="617"/>
      <c r="R1517" s="619"/>
      <c r="S1517" s="617"/>
      <c r="T1517" s="616" t="s">
        <v>221</v>
      </c>
    </row>
    <row r="1518" ht="34.5">
      <c r="A1518" s="616" t="s">
        <v>1353</v>
      </c>
      <c r="B1518" s="616" t="s">
        <v>1354</v>
      </c>
      <c r="C1518" s="616" t="s">
        <v>1510</v>
      </c>
      <c r="D1518" s="616" t="s">
        <v>216</v>
      </c>
      <c r="E1518" s="616" t="s">
        <v>217</v>
      </c>
      <c r="F1518" s="617" t="s">
        <v>218</v>
      </c>
      <c r="G1518" s="616" t="s">
        <v>219</v>
      </c>
      <c r="H1518" s="617"/>
      <c r="I1518" s="617"/>
      <c r="J1518" s="617" t="s">
        <v>485</v>
      </c>
      <c r="K1518" s="618"/>
      <c r="L1518" s="616"/>
      <c r="M1518" s="616"/>
      <c r="N1518" s="617"/>
      <c r="O1518" s="617"/>
      <c r="P1518" s="617"/>
      <c r="Q1518" s="617"/>
      <c r="R1518" s="619"/>
      <c r="S1518" s="617"/>
      <c r="T1518" s="616" t="s">
        <v>221</v>
      </c>
    </row>
    <row r="1519" ht="34.5">
      <c r="A1519" s="616" t="s">
        <v>1353</v>
      </c>
      <c r="B1519" s="616" t="s">
        <v>1354</v>
      </c>
      <c r="C1519" s="616" t="s">
        <v>1510</v>
      </c>
      <c r="D1519" s="616" t="s">
        <v>216</v>
      </c>
      <c r="E1519" s="616" t="s">
        <v>217</v>
      </c>
      <c r="F1519" s="617" t="s">
        <v>218</v>
      </c>
      <c r="G1519" s="616" t="s">
        <v>219</v>
      </c>
      <c r="H1519" s="617"/>
      <c r="I1519" s="617"/>
      <c r="J1519" s="617" t="s">
        <v>1512</v>
      </c>
      <c r="K1519" s="618"/>
      <c r="L1519" s="616"/>
      <c r="M1519" s="616"/>
      <c r="N1519" s="617"/>
      <c r="O1519" s="617"/>
      <c r="P1519" s="617"/>
      <c r="Q1519" s="617"/>
      <c r="R1519" s="619"/>
      <c r="S1519" s="617"/>
      <c r="T1519" s="616" t="s">
        <v>221</v>
      </c>
    </row>
    <row r="1520" ht="34.5">
      <c r="A1520" s="616" t="s">
        <v>1353</v>
      </c>
      <c r="B1520" s="616" t="s">
        <v>1354</v>
      </c>
      <c r="C1520" s="616" t="s">
        <v>1510</v>
      </c>
      <c r="D1520" s="616" t="s">
        <v>216</v>
      </c>
      <c r="E1520" s="616" t="s">
        <v>217</v>
      </c>
      <c r="F1520" s="617" t="s">
        <v>218</v>
      </c>
      <c r="G1520" s="616" t="s">
        <v>219</v>
      </c>
      <c r="H1520" s="617"/>
      <c r="I1520" s="617"/>
      <c r="J1520" s="617" t="s">
        <v>487</v>
      </c>
      <c r="K1520" s="618"/>
      <c r="L1520" s="616"/>
      <c r="M1520" s="616"/>
      <c r="N1520" s="617"/>
      <c r="O1520" s="617"/>
      <c r="P1520" s="617"/>
      <c r="Q1520" s="617"/>
      <c r="R1520" s="619"/>
      <c r="S1520" s="617"/>
      <c r="T1520" s="616" t="s">
        <v>221</v>
      </c>
    </row>
    <row r="1521" ht="34.5">
      <c r="A1521" s="616" t="s">
        <v>1353</v>
      </c>
      <c r="B1521" s="616" t="s">
        <v>1354</v>
      </c>
      <c r="C1521" s="616" t="s">
        <v>1510</v>
      </c>
      <c r="D1521" s="616" t="s">
        <v>216</v>
      </c>
      <c r="E1521" s="616" t="s">
        <v>217</v>
      </c>
      <c r="F1521" s="617" t="s">
        <v>218</v>
      </c>
      <c r="G1521" s="616" t="s">
        <v>219</v>
      </c>
      <c r="H1521" s="617"/>
      <c r="I1521" s="617"/>
      <c r="J1521" s="617" t="s">
        <v>488</v>
      </c>
      <c r="K1521" s="618"/>
      <c r="L1521" s="616"/>
      <c r="M1521" s="616"/>
      <c r="N1521" s="617"/>
      <c r="O1521" s="617"/>
      <c r="P1521" s="617"/>
      <c r="Q1521" s="617"/>
      <c r="R1521" s="619"/>
      <c r="S1521" s="617"/>
      <c r="T1521" s="616" t="s">
        <v>221</v>
      </c>
    </row>
    <row r="1522" ht="34.5">
      <c r="A1522" s="616" t="s">
        <v>1353</v>
      </c>
      <c r="B1522" s="616" t="s">
        <v>1354</v>
      </c>
      <c r="C1522" s="616" t="s">
        <v>1510</v>
      </c>
      <c r="D1522" s="616" t="s">
        <v>216</v>
      </c>
      <c r="E1522" s="616" t="s">
        <v>217</v>
      </c>
      <c r="F1522" s="617" t="s">
        <v>218</v>
      </c>
      <c r="G1522" s="616" t="s">
        <v>219</v>
      </c>
      <c r="H1522" s="617"/>
      <c r="I1522" s="617"/>
      <c r="J1522" s="617" t="s">
        <v>439</v>
      </c>
      <c r="K1522" s="618"/>
      <c r="L1522" s="616"/>
      <c r="M1522" s="616"/>
      <c r="N1522" s="617"/>
      <c r="O1522" s="617"/>
      <c r="P1522" s="617"/>
      <c r="Q1522" s="617"/>
      <c r="R1522" s="619"/>
      <c r="S1522" s="617"/>
      <c r="T1522" s="616" t="s">
        <v>221</v>
      </c>
    </row>
    <row r="1523" ht="34.5">
      <c r="A1523" s="616" t="s">
        <v>1353</v>
      </c>
      <c r="B1523" s="616" t="s">
        <v>1354</v>
      </c>
      <c r="C1523" s="616" t="s">
        <v>1513</v>
      </c>
      <c r="D1523" s="616" t="s">
        <v>216</v>
      </c>
      <c r="E1523" s="616" t="s">
        <v>217</v>
      </c>
      <c r="F1523" s="617" t="s">
        <v>218</v>
      </c>
      <c r="G1523" s="616" t="s">
        <v>219</v>
      </c>
      <c r="H1523" s="617"/>
      <c r="I1523" s="617"/>
      <c r="J1523" s="617" t="s">
        <v>489</v>
      </c>
      <c r="K1523" s="618"/>
      <c r="L1523" s="616"/>
      <c r="M1523" s="616"/>
      <c r="N1523" s="617"/>
      <c r="O1523" s="617"/>
      <c r="P1523" s="617"/>
      <c r="Q1523" s="617"/>
      <c r="R1523" s="619"/>
      <c r="S1523" s="617"/>
      <c r="T1523" s="616" t="s">
        <v>221</v>
      </c>
    </row>
    <row r="1524" ht="34.5">
      <c r="A1524" s="616" t="s">
        <v>1353</v>
      </c>
      <c r="B1524" s="616" t="s">
        <v>1354</v>
      </c>
      <c r="C1524" s="616" t="s">
        <v>1513</v>
      </c>
      <c r="D1524" s="616" t="s">
        <v>216</v>
      </c>
      <c r="E1524" s="616" t="s">
        <v>217</v>
      </c>
      <c r="F1524" s="617" t="s">
        <v>218</v>
      </c>
      <c r="G1524" s="616" t="s">
        <v>219</v>
      </c>
      <c r="H1524" s="617"/>
      <c r="I1524" s="617"/>
      <c r="J1524" s="617" t="s">
        <v>490</v>
      </c>
      <c r="K1524" s="618"/>
      <c r="L1524" s="616"/>
      <c r="M1524" s="616"/>
      <c r="N1524" s="617"/>
      <c r="O1524" s="617"/>
      <c r="P1524" s="617"/>
      <c r="Q1524" s="617"/>
      <c r="R1524" s="619"/>
      <c r="S1524" s="617"/>
      <c r="T1524" s="616" t="s">
        <v>221</v>
      </c>
    </row>
    <row r="1525" ht="34.5">
      <c r="A1525" s="616" t="s">
        <v>1353</v>
      </c>
      <c r="B1525" s="616" t="s">
        <v>1354</v>
      </c>
      <c r="C1525" s="616" t="s">
        <v>1513</v>
      </c>
      <c r="D1525" s="616" t="s">
        <v>216</v>
      </c>
      <c r="E1525" s="616" t="s">
        <v>217</v>
      </c>
      <c r="F1525" s="617" t="s">
        <v>218</v>
      </c>
      <c r="G1525" s="616" t="s">
        <v>219</v>
      </c>
      <c r="H1525" s="617"/>
      <c r="I1525" s="617"/>
      <c r="J1525" s="617" t="s">
        <v>1514</v>
      </c>
      <c r="K1525" s="618"/>
      <c r="L1525" s="616"/>
      <c r="M1525" s="616"/>
      <c r="N1525" s="617"/>
      <c r="O1525" s="617"/>
      <c r="P1525" s="617"/>
      <c r="Q1525" s="617"/>
      <c r="R1525" s="619"/>
      <c r="S1525" s="617"/>
      <c r="T1525" s="616" t="s">
        <v>221</v>
      </c>
    </row>
    <row r="1526" ht="34.5">
      <c r="A1526" s="616" t="s">
        <v>1353</v>
      </c>
      <c r="B1526" s="616" t="s">
        <v>1354</v>
      </c>
      <c r="C1526" s="616" t="s">
        <v>1513</v>
      </c>
      <c r="D1526" s="616" t="s">
        <v>216</v>
      </c>
      <c r="E1526" s="616" t="s">
        <v>217</v>
      </c>
      <c r="F1526" s="617" t="s">
        <v>218</v>
      </c>
      <c r="G1526" s="616" t="s">
        <v>219</v>
      </c>
      <c r="H1526" s="617"/>
      <c r="I1526" s="617"/>
      <c r="J1526" s="617" t="s">
        <v>492</v>
      </c>
      <c r="K1526" s="618"/>
      <c r="L1526" s="616"/>
      <c r="M1526" s="616"/>
      <c r="N1526" s="617"/>
      <c r="O1526" s="617"/>
      <c r="P1526" s="617"/>
      <c r="Q1526" s="617"/>
      <c r="R1526" s="619"/>
      <c r="S1526" s="617"/>
      <c r="T1526" s="616" t="s">
        <v>221</v>
      </c>
    </row>
    <row r="1527" ht="34.5">
      <c r="A1527" s="616" t="s">
        <v>1353</v>
      </c>
      <c r="B1527" s="616" t="s">
        <v>1354</v>
      </c>
      <c r="C1527" s="616" t="s">
        <v>1513</v>
      </c>
      <c r="D1527" s="616" t="s">
        <v>216</v>
      </c>
      <c r="E1527" s="616" t="s">
        <v>217</v>
      </c>
      <c r="F1527" s="617" t="s">
        <v>218</v>
      </c>
      <c r="G1527" s="616" t="s">
        <v>219</v>
      </c>
      <c r="H1527" s="617"/>
      <c r="I1527" s="617"/>
      <c r="J1527" s="617" t="s">
        <v>1515</v>
      </c>
      <c r="K1527" s="618"/>
      <c r="L1527" s="616"/>
      <c r="M1527" s="616"/>
      <c r="N1527" s="617"/>
      <c r="O1527" s="617"/>
      <c r="P1527" s="617"/>
      <c r="Q1527" s="617"/>
      <c r="R1527" s="619"/>
      <c r="S1527" s="617"/>
      <c r="T1527" s="616" t="s">
        <v>221</v>
      </c>
    </row>
    <row r="1528" ht="34.5">
      <c r="A1528" s="616" t="s">
        <v>1353</v>
      </c>
      <c r="B1528" s="616" t="s">
        <v>1354</v>
      </c>
      <c r="C1528" s="616" t="s">
        <v>1513</v>
      </c>
      <c r="D1528" s="616" t="s">
        <v>216</v>
      </c>
      <c r="E1528" s="616" t="s">
        <v>217</v>
      </c>
      <c r="F1528" s="617" t="s">
        <v>218</v>
      </c>
      <c r="G1528" s="616" t="s">
        <v>219</v>
      </c>
      <c r="H1528" s="617"/>
      <c r="I1528" s="617"/>
      <c r="J1528" s="617" t="s">
        <v>496</v>
      </c>
      <c r="K1528" s="618"/>
      <c r="L1528" s="616"/>
      <c r="M1528" s="616"/>
      <c r="N1528" s="617"/>
      <c r="O1528" s="617"/>
      <c r="P1528" s="617"/>
      <c r="Q1528" s="617"/>
      <c r="R1528" s="619"/>
      <c r="S1528" s="617"/>
      <c r="T1528" s="616" t="s">
        <v>221</v>
      </c>
    </row>
    <row r="1529" ht="34.5">
      <c r="A1529" s="616" t="s">
        <v>1353</v>
      </c>
      <c r="B1529" s="616" t="s">
        <v>1354</v>
      </c>
      <c r="C1529" s="616" t="s">
        <v>1513</v>
      </c>
      <c r="D1529" s="616" t="s">
        <v>216</v>
      </c>
      <c r="E1529" s="616" t="s">
        <v>217</v>
      </c>
      <c r="F1529" s="617" t="s">
        <v>218</v>
      </c>
      <c r="G1529" s="616" t="s">
        <v>219</v>
      </c>
      <c r="H1529" s="617"/>
      <c r="I1529" s="617"/>
      <c r="J1529" s="617" t="s">
        <v>497</v>
      </c>
      <c r="K1529" s="618"/>
      <c r="L1529" s="616"/>
      <c r="M1529" s="616"/>
      <c r="N1529" s="617"/>
      <c r="O1529" s="617"/>
      <c r="P1529" s="617"/>
      <c r="Q1529" s="617"/>
      <c r="R1529" s="619"/>
      <c r="S1529" s="617"/>
      <c r="T1529" s="616" t="s">
        <v>221</v>
      </c>
    </row>
    <row r="1530" ht="34.5">
      <c r="A1530" s="616" t="s">
        <v>1353</v>
      </c>
      <c r="B1530" s="616" t="s">
        <v>1354</v>
      </c>
      <c r="C1530" s="616" t="s">
        <v>1513</v>
      </c>
      <c r="D1530" s="616" t="s">
        <v>216</v>
      </c>
      <c r="E1530" s="616" t="s">
        <v>217</v>
      </c>
      <c r="F1530" s="617" t="s">
        <v>218</v>
      </c>
      <c r="G1530" s="616" t="s">
        <v>219</v>
      </c>
      <c r="H1530" s="617"/>
      <c r="I1530" s="617"/>
      <c r="J1530" s="617" t="s">
        <v>1516</v>
      </c>
      <c r="K1530" s="618"/>
      <c r="L1530" s="616"/>
      <c r="M1530" s="616"/>
      <c r="N1530" s="617"/>
      <c r="O1530" s="617"/>
      <c r="P1530" s="617"/>
      <c r="Q1530" s="617"/>
      <c r="R1530" s="619"/>
      <c r="S1530" s="617"/>
      <c r="T1530" s="616" t="s">
        <v>221</v>
      </c>
    </row>
    <row r="1531" ht="34.5">
      <c r="A1531" s="616" t="s">
        <v>1353</v>
      </c>
      <c r="B1531" s="616" t="s">
        <v>1354</v>
      </c>
      <c r="C1531" s="616" t="s">
        <v>1513</v>
      </c>
      <c r="D1531" s="616" t="s">
        <v>216</v>
      </c>
      <c r="E1531" s="616" t="s">
        <v>217</v>
      </c>
      <c r="F1531" s="617" t="s">
        <v>218</v>
      </c>
      <c r="G1531" s="616" t="s">
        <v>219</v>
      </c>
      <c r="H1531" s="617"/>
      <c r="I1531" s="617"/>
      <c r="J1531" s="617" t="s">
        <v>499</v>
      </c>
      <c r="K1531" s="618"/>
      <c r="L1531" s="616"/>
      <c r="M1531" s="616"/>
      <c r="N1531" s="617"/>
      <c r="O1531" s="617"/>
      <c r="P1531" s="617"/>
      <c r="Q1531" s="617"/>
      <c r="R1531" s="619"/>
      <c r="S1531" s="617"/>
      <c r="T1531" s="616" t="s">
        <v>221</v>
      </c>
    </row>
    <row r="1532" ht="34.5">
      <c r="A1532" s="616" t="s">
        <v>1353</v>
      </c>
      <c r="B1532" s="616" t="s">
        <v>1354</v>
      </c>
      <c r="C1532" s="616" t="s">
        <v>1513</v>
      </c>
      <c r="D1532" s="616" t="s">
        <v>216</v>
      </c>
      <c r="E1532" s="616" t="s">
        <v>217</v>
      </c>
      <c r="F1532" s="617" t="s">
        <v>218</v>
      </c>
      <c r="G1532" s="616" t="s">
        <v>219</v>
      </c>
      <c r="H1532" s="617"/>
      <c r="I1532" s="617"/>
      <c r="J1532" s="617" t="s">
        <v>500</v>
      </c>
      <c r="K1532" s="618"/>
      <c r="L1532" s="616"/>
      <c r="M1532" s="616"/>
      <c r="N1532" s="617"/>
      <c r="O1532" s="617"/>
      <c r="P1532" s="617"/>
      <c r="Q1532" s="617"/>
      <c r="R1532" s="619"/>
      <c r="S1532" s="617"/>
      <c r="T1532" s="616" t="s">
        <v>221</v>
      </c>
    </row>
    <row r="1533" ht="34.5">
      <c r="A1533" s="616" t="s">
        <v>1353</v>
      </c>
      <c r="B1533" s="616" t="s">
        <v>1354</v>
      </c>
      <c r="C1533" s="616" t="s">
        <v>1517</v>
      </c>
      <c r="D1533" s="616" t="s">
        <v>216</v>
      </c>
      <c r="E1533" s="616" t="s">
        <v>503</v>
      </c>
      <c r="F1533" s="617" t="s">
        <v>504</v>
      </c>
      <c r="G1533" s="616" t="s">
        <v>505</v>
      </c>
      <c r="H1533" s="617"/>
      <c r="I1533" s="617"/>
      <c r="J1533" s="617" t="s">
        <v>1518</v>
      </c>
      <c r="K1533" s="618"/>
      <c r="L1533" s="616"/>
      <c r="M1533" s="616"/>
      <c r="N1533" s="617"/>
      <c r="O1533" s="617"/>
      <c r="P1533" s="617"/>
      <c r="Q1533" s="617"/>
      <c r="R1533" s="619"/>
      <c r="S1533" s="617"/>
      <c r="T1533" s="616" t="s">
        <v>221</v>
      </c>
    </row>
    <row r="1534" ht="34.5">
      <c r="A1534" s="616" t="s">
        <v>1353</v>
      </c>
      <c r="B1534" s="616" t="s">
        <v>1354</v>
      </c>
      <c r="C1534" s="616" t="s">
        <v>1517</v>
      </c>
      <c r="D1534" s="616" t="s">
        <v>216</v>
      </c>
      <c r="E1534" s="616" t="s">
        <v>503</v>
      </c>
      <c r="F1534" s="617" t="s">
        <v>504</v>
      </c>
      <c r="G1534" s="616" t="s">
        <v>505</v>
      </c>
      <c r="H1534" s="617"/>
      <c r="I1534" s="617"/>
      <c r="J1534" s="617" t="s">
        <v>507</v>
      </c>
      <c r="K1534" s="618"/>
      <c r="L1534" s="616"/>
      <c r="M1534" s="616"/>
      <c r="N1534" s="617"/>
      <c r="O1534" s="617"/>
      <c r="P1534" s="617"/>
      <c r="Q1534" s="617"/>
      <c r="R1534" s="619"/>
      <c r="S1534" s="617"/>
      <c r="T1534" s="616" t="s">
        <v>221</v>
      </c>
    </row>
    <row r="1535" ht="34.5">
      <c r="A1535" s="616" t="s">
        <v>1353</v>
      </c>
      <c r="B1535" s="616" t="s">
        <v>1354</v>
      </c>
      <c r="C1535" s="616" t="s">
        <v>1517</v>
      </c>
      <c r="D1535" s="616" t="s">
        <v>216</v>
      </c>
      <c r="E1535" s="616" t="s">
        <v>503</v>
      </c>
      <c r="F1535" s="617" t="s">
        <v>504</v>
      </c>
      <c r="G1535" s="616" t="s">
        <v>505</v>
      </c>
      <c r="H1535" s="617"/>
      <c r="I1535" s="617"/>
      <c r="J1535" s="617" t="s">
        <v>508</v>
      </c>
      <c r="K1535" s="618"/>
      <c r="L1535" s="616"/>
      <c r="M1535" s="616"/>
      <c r="N1535" s="617"/>
      <c r="O1535" s="617"/>
      <c r="P1535" s="617"/>
      <c r="Q1535" s="617"/>
      <c r="R1535" s="619"/>
      <c r="S1535" s="617"/>
      <c r="T1535" s="616" t="s">
        <v>221</v>
      </c>
    </row>
    <row r="1536" ht="34.5">
      <c r="A1536" s="616" t="s">
        <v>1353</v>
      </c>
      <c r="B1536" s="616" t="s">
        <v>1354</v>
      </c>
      <c r="C1536" s="616" t="s">
        <v>1517</v>
      </c>
      <c r="D1536" s="616" t="s">
        <v>216</v>
      </c>
      <c r="E1536" s="616" t="s">
        <v>503</v>
      </c>
      <c r="F1536" s="617" t="s">
        <v>504</v>
      </c>
      <c r="G1536" s="616" t="s">
        <v>505</v>
      </c>
      <c r="H1536" s="617"/>
      <c r="I1536" s="617"/>
      <c r="J1536" s="617" t="s">
        <v>511</v>
      </c>
      <c r="K1536" s="618"/>
      <c r="L1536" s="616"/>
      <c r="M1536" s="616"/>
      <c r="N1536" s="617"/>
      <c r="O1536" s="617"/>
      <c r="P1536" s="617"/>
      <c r="Q1536" s="617"/>
      <c r="R1536" s="619"/>
      <c r="S1536" s="617"/>
      <c r="T1536" s="616" t="s">
        <v>221</v>
      </c>
    </row>
    <row r="1537" ht="34.5">
      <c r="A1537" s="616" t="s">
        <v>1353</v>
      </c>
      <c r="B1537" s="616" t="s">
        <v>1354</v>
      </c>
      <c r="C1537" s="616" t="s">
        <v>1517</v>
      </c>
      <c r="D1537" s="616" t="s">
        <v>216</v>
      </c>
      <c r="E1537" s="616" t="s">
        <v>503</v>
      </c>
      <c r="F1537" s="617" t="s">
        <v>504</v>
      </c>
      <c r="G1537" s="616" t="s">
        <v>505</v>
      </c>
      <c r="H1537" s="617"/>
      <c r="I1537" s="617"/>
      <c r="J1537" s="617" t="s">
        <v>512</v>
      </c>
      <c r="K1537" s="618"/>
      <c r="L1537" s="616"/>
      <c r="M1537" s="616"/>
      <c r="N1537" s="617"/>
      <c r="O1537" s="617"/>
      <c r="P1537" s="617"/>
      <c r="Q1537" s="617"/>
      <c r="R1537" s="619"/>
      <c r="S1537" s="617"/>
      <c r="T1537" s="616" t="s">
        <v>221</v>
      </c>
    </row>
    <row r="1538" ht="34.5">
      <c r="A1538" s="616" t="s">
        <v>1353</v>
      </c>
      <c r="B1538" s="616" t="s">
        <v>1354</v>
      </c>
      <c r="C1538" s="616" t="s">
        <v>1517</v>
      </c>
      <c r="D1538" s="616" t="s">
        <v>216</v>
      </c>
      <c r="E1538" s="616" t="s">
        <v>503</v>
      </c>
      <c r="F1538" s="617" t="s">
        <v>504</v>
      </c>
      <c r="G1538" s="616" t="s">
        <v>505</v>
      </c>
      <c r="H1538" s="617"/>
      <c r="I1538" s="617"/>
      <c r="J1538" s="617" t="s">
        <v>513</v>
      </c>
      <c r="K1538" s="618"/>
      <c r="L1538" s="616"/>
      <c r="M1538" s="616"/>
      <c r="N1538" s="617"/>
      <c r="O1538" s="617"/>
      <c r="P1538" s="617"/>
      <c r="Q1538" s="617"/>
      <c r="R1538" s="619"/>
      <c r="S1538" s="617"/>
      <c r="T1538" s="616" t="s">
        <v>221</v>
      </c>
    </row>
    <row r="1539" ht="34.5">
      <c r="A1539" s="616" t="s">
        <v>1353</v>
      </c>
      <c r="B1539" s="616" t="s">
        <v>1354</v>
      </c>
      <c r="C1539" s="616" t="s">
        <v>1517</v>
      </c>
      <c r="D1539" s="616" t="s">
        <v>216</v>
      </c>
      <c r="E1539" s="616" t="s">
        <v>503</v>
      </c>
      <c r="F1539" s="617" t="s">
        <v>504</v>
      </c>
      <c r="G1539" s="616" t="s">
        <v>505</v>
      </c>
      <c r="H1539" s="617"/>
      <c r="I1539" s="617"/>
      <c r="J1539" s="617" t="s">
        <v>514</v>
      </c>
      <c r="K1539" s="618"/>
      <c r="L1539" s="616"/>
      <c r="M1539" s="616"/>
      <c r="N1539" s="617"/>
      <c r="O1539" s="617"/>
      <c r="P1539" s="617"/>
      <c r="Q1539" s="617"/>
      <c r="R1539" s="619"/>
      <c r="S1539" s="617"/>
      <c r="T1539" s="616" t="s">
        <v>221</v>
      </c>
    </row>
    <row r="1540" ht="34.5">
      <c r="A1540" s="616" t="s">
        <v>1353</v>
      </c>
      <c r="B1540" s="616" t="s">
        <v>1354</v>
      </c>
      <c r="C1540" s="616" t="s">
        <v>1517</v>
      </c>
      <c r="D1540" s="616" t="s">
        <v>216</v>
      </c>
      <c r="E1540" s="616" t="s">
        <v>503</v>
      </c>
      <c r="F1540" s="617" t="s">
        <v>504</v>
      </c>
      <c r="G1540" s="616" t="s">
        <v>505</v>
      </c>
      <c r="H1540" s="617"/>
      <c r="I1540" s="617"/>
      <c r="J1540" s="617" t="s">
        <v>515</v>
      </c>
      <c r="K1540" s="618"/>
      <c r="L1540" s="616"/>
      <c r="M1540" s="616"/>
      <c r="N1540" s="617"/>
      <c r="O1540" s="617"/>
      <c r="P1540" s="617"/>
      <c r="Q1540" s="617"/>
      <c r="R1540" s="619"/>
      <c r="S1540" s="617"/>
      <c r="T1540" s="616" t="s">
        <v>221</v>
      </c>
    </row>
    <row r="1541" ht="34.5">
      <c r="A1541" s="616" t="s">
        <v>1353</v>
      </c>
      <c r="B1541" s="616" t="s">
        <v>1354</v>
      </c>
      <c r="C1541" s="616" t="s">
        <v>1517</v>
      </c>
      <c r="D1541" s="616" t="s">
        <v>216</v>
      </c>
      <c r="E1541" s="616" t="s">
        <v>503</v>
      </c>
      <c r="F1541" s="617" t="s">
        <v>504</v>
      </c>
      <c r="G1541" s="616" t="s">
        <v>505</v>
      </c>
      <c r="H1541" s="617"/>
      <c r="I1541" s="617"/>
      <c r="J1541" s="617" t="s">
        <v>516</v>
      </c>
      <c r="K1541" s="618"/>
      <c r="L1541" s="616"/>
      <c r="M1541" s="616"/>
      <c r="N1541" s="617"/>
      <c r="O1541" s="617"/>
      <c r="P1541" s="617"/>
      <c r="Q1541" s="617"/>
      <c r="R1541" s="619"/>
      <c r="S1541" s="617"/>
      <c r="T1541" s="616" t="s">
        <v>221</v>
      </c>
    </row>
    <row r="1542" ht="34.5">
      <c r="A1542" s="616" t="s">
        <v>1353</v>
      </c>
      <c r="B1542" s="616" t="s">
        <v>1354</v>
      </c>
      <c r="C1542" s="616" t="s">
        <v>1517</v>
      </c>
      <c r="D1542" s="616" t="s">
        <v>216</v>
      </c>
      <c r="E1542" s="616" t="s">
        <v>503</v>
      </c>
      <c r="F1542" s="617" t="s">
        <v>504</v>
      </c>
      <c r="G1542" s="616" t="s">
        <v>505</v>
      </c>
      <c r="H1542" s="617"/>
      <c r="I1542" s="617"/>
      <c r="J1542" s="617" t="s">
        <v>517</v>
      </c>
      <c r="K1542" s="618"/>
      <c r="L1542" s="616"/>
      <c r="M1542" s="616"/>
      <c r="N1542" s="617"/>
      <c r="O1542" s="617"/>
      <c r="P1542" s="617"/>
      <c r="Q1542" s="617"/>
      <c r="R1542" s="619"/>
      <c r="S1542" s="617"/>
      <c r="T1542" s="616" t="s">
        <v>221</v>
      </c>
    </row>
    <row r="1543" ht="34.5">
      <c r="A1543" s="616" t="s">
        <v>1353</v>
      </c>
      <c r="B1543" s="616" t="s">
        <v>1354</v>
      </c>
      <c r="C1543" s="616" t="s">
        <v>1517</v>
      </c>
      <c r="D1543" s="616" t="s">
        <v>216</v>
      </c>
      <c r="E1543" s="616" t="s">
        <v>503</v>
      </c>
      <c r="F1543" s="617" t="s">
        <v>504</v>
      </c>
      <c r="G1543" s="616" t="s">
        <v>505</v>
      </c>
      <c r="H1543" s="617"/>
      <c r="I1543" s="617"/>
      <c r="J1543" s="617" t="s">
        <v>518</v>
      </c>
      <c r="K1543" s="618"/>
      <c r="L1543" s="616"/>
      <c r="M1543" s="616"/>
      <c r="N1543" s="617"/>
      <c r="O1543" s="617"/>
      <c r="P1543" s="617"/>
      <c r="Q1543" s="617"/>
      <c r="R1543" s="619"/>
      <c r="S1543" s="617"/>
      <c r="T1543" s="616" t="s">
        <v>221</v>
      </c>
    </row>
    <row r="1544" ht="34.5">
      <c r="A1544" s="616" t="s">
        <v>1353</v>
      </c>
      <c r="B1544" s="616" t="s">
        <v>1354</v>
      </c>
      <c r="C1544" s="616" t="s">
        <v>1517</v>
      </c>
      <c r="D1544" s="616" t="s">
        <v>216</v>
      </c>
      <c r="E1544" s="616" t="s">
        <v>503</v>
      </c>
      <c r="F1544" s="617" t="s">
        <v>504</v>
      </c>
      <c r="G1544" s="616" t="s">
        <v>505</v>
      </c>
      <c r="H1544" s="617"/>
      <c r="I1544" s="617"/>
      <c r="J1544" s="617" t="s">
        <v>519</v>
      </c>
      <c r="K1544" s="618"/>
      <c r="L1544" s="616"/>
      <c r="M1544" s="616"/>
      <c r="N1544" s="617"/>
      <c r="O1544" s="617"/>
      <c r="P1544" s="617"/>
      <c r="Q1544" s="617"/>
      <c r="R1544" s="619"/>
      <c r="S1544" s="617"/>
      <c r="T1544" s="616" t="s">
        <v>221</v>
      </c>
    </row>
    <row r="1545" ht="34.5">
      <c r="A1545" s="616" t="s">
        <v>1353</v>
      </c>
      <c r="B1545" s="616" t="s">
        <v>1354</v>
      </c>
      <c r="C1545" s="616" t="s">
        <v>1517</v>
      </c>
      <c r="D1545" s="616" t="s">
        <v>216</v>
      </c>
      <c r="E1545" s="616" t="s">
        <v>503</v>
      </c>
      <c r="F1545" s="617" t="s">
        <v>504</v>
      </c>
      <c r="G1545" s="616" t="s">
        <v>505</v>
      </c>
      <c r="H1545" s="617"/>
      <c r="I1545" s="617"/>
      <c r="J1545" s="617" t="s">
        <v>520</v>
      </c>
      <c r="K1545" s="618"/>
      <c r="L1545" s="616"/>
      <c r="M1545" s="616"/>
      <c r="N1545" s="617"/>
      <c r="O1545" s="617"/>
      <c r="P1545" s="617"/>
      <c r="Q1545" s="617"/>
      <c r="R1545" s="619"/>
      <c r="S1545" s="617"/>
      <c r="T1545" s="616" t="s">
        <v>221</v>
      </c>
    </row>
    <row r="1546" ht="34.5">
      <c r="A1546" s="616" t="s">
        <v>1353</v>
      </c>
      <c r="B1546" s="616" t="s">
        <v>1354</v>
      </c>
      <c r="C1546" s="616" t="s">
        <v>1517</v>
      </c>
      <c r="D1546" s="616" t="s">
        <v>216</v>
      </c>
      <c r="E1546" s="616" t="s">
        <v>503</v>
      </c>
      <c r="F1546" s="617" t="s">
        <v>504</v>
      </c>
      <c r="G1546" s="616" t="s">
        <v>505</v>
      </c>
      <c r="H1546" s="617"/>
      <c r="I1546" s="617"/>
      <c r="J1546" s="617" t="s">
        <v>521</v>
      </c>
      <c r="K1546" s="618"/>
      <c r="L1546" s="616"/>
      <c r="M1546" s="616"/>
      <c r="N1546" s="617"/>
      <c r="O1546" s="617"/>
      <c r="P1546" s="617"/>
      <c r="Q1546" s="617"/>
      <c r="R1546" s="619"/>
      <c r="S1546" s="617"/>
      <c r="T1546" s="616" t="s">
        <v>221</v>
      </c>
    </row>
    <row r="1547" ht="34.5">
      <c r="A1547" s="616" t="s">
        <v>1353</v>
      </c>
      <c r="B1547" s="616" t="s">
        <v>1354</v>
      </c>
      <c r="C1547" s="616" t="s">
        <v>1517</v>
      </c>
      <c r="D1547" s="616" t="s">
        <v>216</v>
      </c>
      <c r="E1547" s="616" t="s">
        <v>503</v>
      </c>
      <c r="F1547" s="617" t="s">
        <v>504</v>
      </c>
      <c r="G1547" s="616" t="s">
        <v>505</v>
      </c>
      <c r="H1547" s="617"/>
      <c r="I1547" s="617"/>
      <c r="J1547" s="617" t="s">
        <v>522</v>
      </c>
      <c r="K1547" s="618"/>
      <c r="L1547" s="616"/>
      <c r="M1547" s="616"/>
      <c r="N1547" s="617"/>
      <c r="O1547" s="617"/>
      <c r="P1547" s="617"/>
      <c r="Q1547" s="617"/>
      <c r="R1547" s="619"/>
      <c r="S1547" s="617"/>
      <c r="T1547" s="616" t="s">
        <v>221</v>
      </c>
    </row>
    <row r="1548" ht="34.5">
      <c r="A1548" s="616" t="s">
        <v>1353</v>
      </c>
      <c r="B1548" s="616" t="s">
        <v>1354</v>
      </c>
      <c r="C1548" s="616" t="s">
        <v>1519</v>
      </c>
      <c r="D1548" s="616" t="s">
        <v>216</v>
      </c>
      <c r="E1548" s="616" t="s">
        <v>503</v>
      </c>
      <c r="F1548" s="617" t="s">
        <v>504</v>
      </c>
      <c r="G1548" s="616" t="s">
        <v>505</v>
      </c>
      <c r="H1548" s="617"/>
      <c r="I1548" s="617"/>
      <c r="J1548" s="617" t="s">
        <v>523</v>
      </c>
      <c r="K1548" s="618"/>
      <c r="L1548" s="616"/>
      <c r="M1548" s="616"/>
      <c r="N1548" s="617"/>
      <c r="O1548" s="617"/>
      <c r="P1548" s="617"/>
      <c r="Q1548" s="617"/>
      <c r="R1548" s="619"/>
      <c r="S1548" s="617"/>
      <c r="T1548" s="616" t="s">
        <v>221</v>
      </c>
    </row>
    <row r="1549" ht="34.5">
      <c r="A1549" s="616" t="s">
        <v>1353</v>
      </c>
      <c r="B1549" s="616" t="s">
        <v>1354</v>
      </c>
      <c r="C1549" s="616" t="s">
        <v>1519</v>
      </c>
      <c r="D1549" s="616" t="s">
        <v>216</v>
      </c>
      <c r="E1549" s="616" t="s">
        <v>503</v>
      </c>
      <c r="F1549" s="617" t="s">
        <v>504</v>
      </c>
      <c r="G1549" s="616" t="s">
        <v>505</v>
      </c>
      <c r="H1549" s="617"/>
      <c r="I1549" s="617"/>
      <c r="J1549" s="617" t="s">
        <v>1520</v>
      </c>
      <c r="K1549" s="618"/>
      <c r="L1549" s="616"/>
      <c r="M1549" s="616"/>
      <c r="N1549" s="617"/>
      <c r="O1549" s="617"/>
      <c r="P1549" s="617"/>
      <c r="Q1549" s="617"/>
      <c r="R1549" s="619"/>
      <c r="S1549" s="617"/>
      <c r="T1549" s="616" t="s">
        <v>221</v>
      </c>
    </row>
    <row r="1550" ht="34.5">
      <c r="A1550" s="616" t="s">
        <v>1353</v>
      </c>
      <c r="B1550" s="616" t="s">
        <v>1354</v>
      </c>
      <c r="C1550" s="616" t="s">
        <v>1519</v>
      </c>
      <c r="D1550" s="616" t="s">
        <v>216</v>
      </c>
      <c r="E1550" s="616" t="s">
        <v>503</v>
      </c>
      <c r="F1550" s="617" t="s">
        <v>504</v>
      </c>
      <c r="G1550" s="616" t="s">
        <v>505</v>
      </c>
      <c r="H1550" s="617"/>
      <c r="I1550" s="617"/>
      <c r="J1550" s="617" t="s">
        <v>525</v>
      </c>
      <c r="K1550" s="618"/>
      <c r="L1550" s="616"/>
      <c r="M1550" s="616"/>
      <c r="N1550" s="617"/>
      <c r="O1550" s="617"/>
      <c r="P1550" s="617"/>
      <c r="Q1550" s="617"/>
      <c r="R1550" s="619"/>
      <c r="S1550" s="617"/>
      <c r="T1550" s="616" t="s">
        <v>221</v>
      </c>
    </row>
    <row r="1551" ht="34.5">
      <c r="A1551" s="616" t="s">
        <v>1353</v>
      </c>
      <c r="B1551" s="616" t="s">
        <v>1354</v>
      </c>
      <c r="C1551" s="616" t="s">
        <v>1519</v>
      </c>
      <c r="D1551" s="616" t="s">
        <v>216</v>
      </c>
      <c r="E1551" s="616" t="s">
        <v>503</v>
      </c>
      <c r="F1551" s="617" t="s">
        <v>504</v>
      </c>
      <c r="G1551" s="616" t="s">
        <v>505</v>
      </c>
      <c r="H1551" s="617"/>
      <c r="I1551" s="617"/>
      <c r="J1551" s="617" t="s">
        <v>528</v>
      </c>
      <c r="K1551" s="618"/>
      <c r="L1551" s="616"/>
      <c r="M1551" s="616"/>
      <c r="N1551" s="617"/>
      <c r="O1551" s="617"/>
      <c r="P1551" s="617"/>
      <c r="Q1551" s="617"/>
      <c r="R1551" s="619"/>
      <c r="S1551" s="617"/>
      <c r="T1551" s="616" t="s">
        <v>221</v>
      </c>
    </row>
    <row r="1552" ht="34.5">
      <c r="A1552" s="616" t="s">
        <v>1353</v>
      </c>
      <c r="B1552" s="616" t="s">
        <v>1354</v>
      </c>
      <c r="C1552" s="616" t="s">
        <v>1519</v>
      </c>
      <c r="D1552" s="616" t="s">
        <v>216</v>
      </c>
      <c r="E1552" s="616" t="s">
        <v>503</v>
      </c>
      <c r="F1552" s="617" t="s">
        <v>504</v>
      </c>
      <c r="G1552" s="616" t="s">
        <v>505</v>
      </c>
      <c r="H1552" s="617"/>
      <c r="I1552" s="617"/>
      <c r="J1552" s="617" t="s">
        <v>529</v>
      </c>
      <c r="K1552" s="618"/>
      <c r="L1552" s="616"/>
      <c r="M1552" s="616"/>
      <c r="N1552" s="617"/>
      <c r="O1552" s="617"/>
      <c r="P1552" s="617"/>
      <c r="Q1552" s="617"/>
      <c r="R1552" s="619"/>
      <c r="S1552" s="617"/>
      <c r="T1552" s="616" t="s">
        <v>221</v>
      </c>
    </row>
    <row r="1553" ht="34.5">
      <c r="A1553" s="616" t="s">
        <v>1353</v>
      </c>
      <c r="B1553" s="616" t="s">
        <v>1354</v>
      </c>
      <c r="C1553" s="616" t="s">
        <v>1519</v>
      </c>
      <c r="D1553" s="616" t="s">
        <v>216</v>
      </c>
      <c r="E1553" s="616" t="s">
        <v>503</v>
      </c>
      <c r="F1553" s="617" t="s">
        <v>504</v>
      </c>
      <c r="G1553" s="616" t="s">
        <v>505</v>
      </c>
      <c r="H1553" s="617"/>
      <c r="I1553" s="617"/>
      <c r="J1553" s="617" t="s">
        <v>530</v>
      </c>
      <c r="K1553" s="618"/>
      <c r="L1553" s="616"/>
      <c r="M1553" s="616"/>
      <c r="N1553" s="617"/>
      <c r="O1553" s="617"/>
      <c r="P1553" s="617"/>
      <c r="Q1553" s="617"/>
      <c r="R1553" s="619"/>
      <c r="S1553" s="617"/>
      <c r="T1553" s="616" t="s">
        <v>221</v>
      </c>
    </row>
    <row r="1554" ht="34.5">
      <c r="A1554" s="616" t="s">
        <v>1353</v>
      </c>
      <c r="B1554" s="616" t="s">
        <v>1354</v>
      </c>
      <c r="C1554" s="616" t="s">
        <v>1519</v>
      </c>
      <c r="D1554" s="616" t="s">
        <v>216</v>
      </c>
      <c r="E1554" s="616" t="s">
        <v>503</v>
      </c>
      <c r="F1554" s="617" t="s">
        <v>504</v>
      </c>
      <c r="G1554" s="616" t="s">
        <v>505</v>
      </c>
      <c r="H1554" s="617"/>
      <c r="I1554" s="617"/>
      <c r="J1554" s="617" t="s">
        <v>531</v>
      </c>
      <c r="K1554" s="618"/>
      <c r="L1554" s="616"/>
      <c r="M1554" s="616"/>
      <c r="N1554" s="617"/>
      <c r="O1554" s="617"/>
      <c r="P1554" s="617"/>
      <c r="Q1554" s="617"/>
      <c r="R1554" s="619"/>
      <c r="S1554" s="617"/>
      <c r="T1554" s="616" t="s">
        <v>221</v>
      </c>
    </row>
    <row r="1555" ht="34.5">
      <c r="A1555" s="616" t="s">
        <v>1353</v>
      </c>
      <c r="B1555" s="616" t="s">
        <v>1354</v>
      </c>
      <c r="C1555" s="616" t="s">
        <v>1519</v>
      </c>
      <c r="D1555" s="616" t="s">
        <v>216</v>
      </c>
      <c r="E1555" s="616" t="s">
        <v>503</v>
      </c>
      <c r="F1555" s="617" t="s">
        <v>504</v>
      </c>
      <c r="G1555" s="616" t="s">
        <v>505</v>
      </c>
      <c r="H1555" s="617"/>
      <c r="I1555" s="617"/>
      <c r="J1555" s="617" t="s">
        <v>532</v>
      </c>
      <c r="K1555" s="618"/>
      <c r="L1555" s="616"/>
      <c r="M1555" s="616"/>
      <c r="N1555" s="617"/>
      <c r="O1555" s="617"/>
      <c r="P1555" s="617"/>
      <c r="Q1555" s="617"/>
      <c r="R1555" s="619"/>
      <c r="S1555" s="617"/>
      <c r="T1555" s="616" t="s">
        <v>221</v>
      </c>
    </row>
    <row r="1556" ht="34.5">
      <c r="A1556" s="616" t="s">
        <v>1353</v>
      </c>
      <c r="B1556" s="616" t="s">
        <v>1354</v>
      </c>
      <c r="C1556" s="616" t="s">
        <v>1519</v>
      </c>
      <c r="D1556" s="616" t="s">
        <v>216</v>
      </c>
      <c r="E1556" s="616" t="s">
        <v>503</v>
      </c>
      <c r="F1556" s="617" t="s">
        <v>504</v>
      </c>
      <c r="G1556" s="616" t="s">
        <v>505</v>
      </c>
      <c r="H1556" s="617"/>
      <c r="I1556" s="617"/>
      <c r="J1556" s="617" t="s">
        <v>533</v>
      </c>
      <c r="K1556" s="618"/>
      <c r="L1556" s="616"/>
      <c r="M1556" s="616"/>
      <c r="N1556" s="617"/>
      <c r="O1556" s="617"/>
      <c r="P1556" s="617"/>
      <c r="Q1556" s="617"/>
      <c r="R1556" s="619"/>
      <c r="S1556" s="617"/>
      <c r="T1556" s="616" t="s">
        <v>221</v>
      </c>
    </row>
    <row r="1557" ht="34.5">
      <c r="A1557" s="616" t="s">
        <v>1353</v>
      </c>
      <c r="B1557" s="616" t="s">
        <v>1354</v>
      </c>
      <c r="C1557" s="616" t="s">
        <v>1519</v>
      </c>
      <c r="D1557" s="616" t="s">
        <v>216</v>
      </c>
      <c r="E1557" s="616" t="s">
        <v>503</v>
      </c>
      <c r="F1557" s="617" t="s">
        <v>504</v>
      </c>
      <c r="G1557" s="616" t="s">
        <v>505</v>
      </c>
      <c r="H1557" s="617"/>
      <c r="I1557" s="617"/>
      <c r="J1557" s="617" t="s">
        <v>534</v>
      </c>
      <c r="K1557" s="618"/>
      <c r="L1557" s="616"/>
      <c r="M1557" s="616"/>
      <c r="N1557" s="617"/>
      <c r="O1557" s="617"/>
      <c r="P1557" s="617"/>
      <c r="Q1557" s="617"/>
      <c r="R1557" s="619"/>
      <c r="S1557" s="617"/>
      <c r="T1557" s="616" t="s">
        <v>221</v>
      </c>
    </row>
    <row r="1558" ht="34.5">
      <c r="A1558" s="616" t="s">
        <v>1353</v>
      </c>
      <c r="B1558" s="616" t="s">
        <v>1354</v>
      </c>
      <c r="C1558" s="616" t="s">
        <v>1519</v>
      </c>
      <c r="D1558" s="616" t="s">
        <v>216</v>
      </c>
      <c r="E1558" s="616" t="s">
        <v>503</v>
      </c>
      <c r="F1558" s="617" t="s">
        <v>504</v>
      </c>
      <c r="G1558" s="616" t="s">
        <v>505</v>
      </c>
      <c r="H1558" s="617"/>
      <c r="I1558" s="617"/>
      <c r="J1558" s="617" t="s">
        <v>535</v>
      </c>
      <c r="K1558" s="618"/>
      <c r="L1558" s="616"/>
      <c r="M1558" s="616"/>
      <c r="N1558" s="617"/>
      <c r="O1558" s="617"/>
      <c r="P1558" s="617"/>
      <c r="Q1558" s="617"/>
      <c r="R1558" s="619"/>
      <c r="S1558" s="617"/>
      <c r="T1558" s="616" t="s">
        <v>221</v>
      </c>
    </row>
    <row r="1559" ht="34.5">
      <c r="A1559" s="616" t="s">
        <v>1353</v>
      </c>
      <c r="B1559" s="616" t="s">
        <v>1354</v>
      </c>
      <c r="C1559" s="616" t="s">
        <v>1519</v>
      </c>
      <c r="D1559" s="616" t="s">
        <v>216</v>
      </c>
      <c r="E1559" s="616" t="s">
        <v>503</v>
      </c>
      <c r="F1559" s="617" t="s">
        <v>504</v>
      </c>
      <c r="G1559" s="616" t="s">
        <v>505</v>
      </c>
      <c r="H1559" s="617"/>
      <c r="I1559" s="617"/>
      <c r="J1559" s="617" t="s">
        <v>536</v>
      </c>
      <c r="K1559" s="618"/>
      <c r="L1559" s="616"/>
      <c r="M1559" s="616"/>
      <c r="N1559" s="617"/>
      <c r="O1559" s="617"/>
      <c r="P1559" s="617"/>
      <c r="Q1559" s="617"/>
      <c r="R1559" s="619"/>
      <c r="S1559" s="617"/>
      <c r="T1559" s="616" t="s">
        <v>221</v>
      </c>
    </row>
    <row r="1560" ht="34.5">
      <c r="A1560" s="616" t="s">
        <v>1353</v>
      </c>
      <c r="B1560" s="616" t="s">
        <v>1354</v>
      </c>
      <c r="C1560" s="616" t="s">
        <v>1519</v>
      </c>
      <c r="D1560" s="616" t="s">
        <v>216</v>
      </c>
      <c r="E1560" s="616" t="s">
        <v>503</v>
      </c>
      <c r="F1560" s="617" t="s">
        <v>504</v>
      </c>
      <c r="G1560" s="616" t="s">
        <v>505</v>
      </c>
      <c r="H1560" s="617"/>
      <c r="I1560" s="617"/>
      <c r="J1560" s="617" t="s">
        <v>537</v>
      </c>
      <c r="K1560" s="618"/>
      <c r="L1560" s="616"/>
      <c r="M1560" s="616"/>
      <c r="N1560" s="617"/>
      <c r="O1560" s="617"/>
      <c r="P1560" s="617"/>
      <c r="Q1560" s="617"/>
      <c r="R1560" s="619"/>
      <c r="S1560" s="617"/>
      <c r="T1560" s="616" t="s">
        <v>221</v>
      </c>
    </row>
    <row r="1561" ht="34.5">
      <c r="A1561" s="616" t="s">
        <v>1353</v>
      </c>
      <c r="B1561" s="616" t="s">
        <v>1354</v>
      </c>
      <c r="C1561" s="616" t="s">
        <v>1519</v>
      </c>
      <c r="D1561" s="616" t="s">
        <v>216</v>
      </c>
      <c r="E1561" s="616" t="s">
        <v>503</v>
      </c>
      <c r="F1561" s="617" t="s">
        <v>504</v>
      </c>
      <c r="G1561" s="616" t="s">
        <v>505</v>
      </c>
      <c r="H1561" s="617"/>
      <c r="I1561" s="617"/>
      <c r="J1561" s="617" t="s">
        <v>538</v>
      </c>
      <c r="K1561" s="618"/>
      <c r="L1561" s="616"/>
      <c r="M1561" s="616"/>
      <c r="N1561" s="617"/>
      <c r="O1561" s="617"/>
      <c r="P1561" s="617"/>
      <c r="Q1561" s="617"/>
      <c r="R1561" s="619"/>
      <c r="S1561" s="617"/>
      <c r="T1561" s="616" t="s">
        <v>221</v>
      </c>
    </row>
    <row r="1562" ht="34.5">
      <c r="A1562" s="616" t="s">
        <v>1353</v>
      </c>
      <c r="B1562" s="616" t="s">
        <v>1354</v>
      </c>
      <c r="C1562" s="616" t="s">
        <v>1519</v>
      </c>
      <c r="D1562" s="616" t="s">
        <v>216</v>
      </c>
      <c r="E1562" s="616" t="s">
        <v>503</v>
      </c>
      <c r="F1562" s="617" t="s">
        <v>504</v>
      </c>
      <c r="G1562" s="616" t="s">
        <v>505</v>
      </c>
      <c r="H1562" s="617"/>
      <c r="I1562" s="617"/>
      <c r="J1562" s="617" t="s">
        <v>1521</v>
      </c>
      <c r="K1562" s="618"/>
      <c r="L1562" s="616"/>
      <c r="M1562" s="616"/>
      <c r="N1562" s="617"/>
      <c r="O1562" s="617"/>
      <c r="P1562" s="617"/>
      <c r="Q1562" s="617"/>
      <c r="R1562" s="619"/>
      <c r="S1562" s="617"/>
      <c r="T1562" s="616" t="s">
        <v>221</v>
      </c>
    </row>
    <row r="1563" ht="34.5">
      <c r="A1563" s="616" t="s">
        <v>1353</v>
      </c>
      <c r="B1563" s="616" t="s">
        <v>1354</v>
      </c>
      <c r="C1563" s="616" t="s">
        <v>1519</v>
      </c>
      <c r="D1563" s="616" t="s">
        <v>216</v>
      </c>
      <c r="E1563" s="616" t="s">
        <v>503</v>
      </c>
      <c r="F1563" s="617" t="s">
        <v>504</v>
      </c>
      <c r="G1563" s="616" t="s">
        <v>505</v>
      </c>
      <c r="H1563" s="617"/>
      <c r="I1563" s="617"/>
      <c r="J1563" s="617" t="s">
        <v>482</v>
      </c>
      <c r="K1563" s="618"/>
      <c r="L1563" s="616"/>
      <c r="M1563" s="616"/>
      <c r="N1563" s="617"/>
      <c r="O1563" s="617"/>
      <c r="P1563" s="617"/>
      <c r="Q1563" s="617"/>
      <c r="R1563" s="619"/>
      <c r="S1563" s="617"/>
      <c r="T1563" s="616" t="s">
        <v>221</v>
      </c>
    </row>
    <row r="1564" ht="34.5">
      <c r="A1564" s="616" t="s">
        <v>1353</v>
      </c>
      <c r="B1564" s="616" t="s">
        <v>1354</v>
      </c>
      <c r="C1564" s="616" t="s">
        <v>1522</v>
      </c>
      <c r="D1564" s="616" t="s">
        <v>216</v>
      </c>
      <c r="E1564" s="616" t="s">
        <v>503</v>
      </c>
      <c r="F1564" s="617" t="s">
        <v>504</v>
      </c>
      <c r="G1564" s="616" t="s">
        <v>505</v>
      </c>
      <c r="H1564" s="617"/>
      <c r="I1564" s="617"/>
      <c r="J1564" s="617" t="s">
        <v>1523</v>
      </c>
      <c r="K1564" s="618"/>
      <c r="L1564" s="616"/>
      <c r="M1564" s="616"/>
      <c r="N1564" s="617"/>
      <c r="O1564" s="617"/>
      <c r="P1564" s="617"/>
      <c r="Q1564" s="617"/>
      <c r="R1564" s="619"/>
      <c r="S1564" s="617"/>
      <c r="T1564" s="616" t="s">
        <v>221</v>
      </c>
    </row>
    <row r="1565" ht="34.5">
      <c r="A1565" s="616" t="s">
        <v>1353</v>
      </c>
      <c r="B1565" s="616" t="s">
        <v>1354</v>
      </c>
      <c r="C1565" s="616" t="s">
        <v>1522</v>
      </c>
      <c r="D1565" s="616" t="s">
        <v>216</v>
      </c>
      <c r="E1565" s="616" t="s">
        <v>503</v>
      </c>
      <c r="F1565" s="617" t="s">
        <v>504</v>
      </c>
      <c r="G1565" s="616" t="s">
        <v>505</v>
      </c>
      <c r="H1565" s="617"/>
      <c r="I1565" s="617"/>
      <c r="J1565" s="617" t="s">
        <v>1524</v>
      </c>
      <c r="K1565" s="618"/>
      <c r="L1565" s="616"/>
      <c r="M1565" s="616"/>
      <c r="N1565" s="617"/>
      <c r="O1565" s="617"/>
      <c r="P1565" s="617"/>
      <c r="Q1565" s="617"/>
      <c r="R1565" s="619"/>
      <c r="S1565" s="617"/>
      <c r="T1565" s="616" t="s">
        <v>221</v>
      </c>
    </row>
    <row r="1566" ht="34.5">
      <c r="A1566" s="616" t="s">
        <v>1353</v>
      </c>
      <c r="B1566" s="616" t="s">
        <v>1354</v>
      </c>
      <c r="C1566" s="616" t="s">
        <v>1522</v>
      </c>
      <c r="D1566" s="616" t="s">
        <v>1525</v>
      </c>
      <c r="E1566" s="616" t="s">
        <v>503</v>
      </c>
      <c r="F1566" s="617" t="s">
        <v>504</v>
      </c>
      <c r="G1566" s="616" t="s">
        <v>505</v>
      </c>
      <c r="H1566" s="617"/>
      <c r="I1566" s="617"/>
      <c r="J1566" s="617" t="s">
        <v>1526</v>
      </c>
      <c r="K1566" s="618"/>
      <c r="L1566" s="616"/>
      <c r="M1566" s="616"/>
      <c r="N1566" s="617"/>
      <c r="O1566" s="617"/>
      <c r="P1566" s="617"/>
      <c r="Q1566" s="617"/>
      <c r="R1566" s="619"/>
      <c r="S1566" s="617"/>
      <c r="T1566" s="616" t="s">
        <v>221</v>
      </c>
    </row>
    <row r="1567" ht="34.5">
      <c r="A1567" s="616" t="s">
        <v>1353</v>
      </c>
      <c r="B1567" s="616" t="s">
        <v>1354</v>
      </c>
      <c r="C1567" s="616" t="s">
        <v>1527</v>
      </c>
      <c r="D1567" s="616" t="s">
        <v>216</v>
      </c>
      <c r="E1567" s="616" t="s">
        <v>503</v>
      </c>
      <c r="F1567" s="617" t="s">
        <v>504</v>
      </c>
      <c r="G1567" s="616" t="s">
        <v>505</v>
      </c>
      <c r="H1567" s="617"/>
      <c r="I1567" s="617"/>
      <c r="J1567" s="617" t="s">
        <v>548</v>
      </c>
      <c r="K1567" s="618"/>
      <c r="L1567" s="616"/>
      <c r="M1567" s="616"/>
      <c r="N1567" s="617"/>
      <c r="O1567" s="617"/>
      <c r="P1567" s="617"/>
      <c r="Q1567" s="617"/>
      <c r="R1567" s="619"/>
      <c r="S1567" s="617"/>
      <c r="T1567" s="616" t="s">
        <v>221</v>
      </c>
    </row>
    <row r="1568" ht="34.5">
      <c r="A1568" s="616" t="s">
        <v>1353</v>
      </c>
      <c r="B1568" s="616" t="s">
        <v>1354</v>
      </c>
      <c r="C1568" s="616" t="s">
        <v>1527</v>
      </c>
      <c r="D1568" s="616" t="s">
        <v>1528</v>
      </c>
      <c r="E1568" s="616" t="s">
        <v>503</v>
      </c>
      <c r="F1568" s="617" t="s">
        <v>504</v>
      </c>
      <c r="G1568" s="616" t="s">
        <v>505</v>
      </c>
      <c r="H1568" s="617"/>
      <c r="I1568" s="617"/>
      <c r="J1568" s="617" t="s">
        <v>1529</v>
      </c>
      <c r="K1568" s="618"/>
      <c r="L1568" s="616"/>
      <c r="M1568" s="616"/>
      <c r="N1568" s="617"/>
      <c r="O1568" s="617"/>
      <c r="P1568" s="617"/>
      <c r="Q1568" s="617"/>
      <c r="R1568" s="619"/>
      <c r="S1568" s="617"/>
      <c r="T1568" s="616" t="s">
        <v>221</v>
      </c>
    </row>
    <row r="1569" ht="34.5">
      <c r="A1569" s="616" t="s">
        <v>1353</v>
      </c>
      <c r="B1569" s="616" t="s">
        <v>1354</v>
      </c>
      <c r="C1569" s="616" t="s">
        <v>215</v>
      </c>
      <c r="D1569" s="616" t="s">
        <v>216</v>
      </c>
      <c r="E1569" s="616" t="s">
        <v>503</v>
      </c>
      <c r="F1569" s="617" t="s">
        <v>504</v>
      </c>
      <c r="G1569" s="616" t="s">
        <v>505</v>
      </c>
      <c r="H1569" s="617"/>
      <c r="I1569" s="617"/>
      <c r="J1569" s="617" t="s">
        <v>551</v>
      </c>
      <c r="K1569" s="618"/>
      <c r="L1569" s="616"/>
      <c r="M1569" s="616"/>
      <c r="N1569" s="617"/>
      <c r="O1569" s="617"/>
      <c r="P1569" s="617"/>
      <c r="Q1569" s="617"/>
      <c r="R1569" s="619"/>
      <c r="S1569" s="617"/>
      <c r="T1569" s="616" t="s">
        <v>221</v>
      </c>
    </row>
    <row r="1570" ht="34.5">
      <c r="A1570" s="616" t="s">
        <v>1353</v>
      </c>
      <c r="B1570" s="616" t="s">
        <v>1354</v>
      </c>
      <c r="C1570" s="616" t="s">
        <v>215</v>
      </c>
      <c r="D1570" s="616" t="s">
        <v>216</v>
      </c>
      <c r="E1570" s="616" t="s">
        <v>503</v>
      </c>
      <c r="F1570" s="617" t="s">
        <v>504</v>
      </c>
      <c r="G1570" s="616" t="s">
        <v>505</v>
      </c>
      <c r="H1570" s="617"/>
      <c r="I1570" s="617"/>
      <c r="J1570" s="617" t="s">
        <v>1530</v>
      </c>
      <c r="K1570" s="618"/>
      <c r="L1570" s="616"/>
      <c r="M1570" s="616"/>
      <c r="N1570" s="617"/>
      <c r="O1570" s="617"/>
      <c r="P1570" s="617"/>
      <c r="Q1570" s="617"/>
      <c r="R1570" s="619"/>
      <c r="S1570" s="617"/>
      <c r="T1570" s="616" t="s">
        <v>221</v>
      </c>
    </row>
    <row r="1571" ht="34.5">
      <c r="A1571" s="616" t="s">
        <v>1353</v>
      </c>
      <c r="B1571" s="616" t="s">
        <v>1354</v>
      </c>
      <c r="C1571" s="616" t="s">
        <v>215</v>
      </c>
      <c r="D1571" s="616" t="s">
        <v>216</v>
      </c>
      <c r="E1571" s="616" t="s">
        <v>503</v>
      </c>
      <c r="F1571" s="617" t="s">
        <v>504</v>
      </c>
      <c r="G1571" s="616" t="s">
        <v>505</v>
      </c>
      <c r="H1571" s="617"/>
      <c r="I1571" s="617"/>
      <c r="J1571" s="617" t="s">
        <v>1531</v>
      </c>
      <c r="K1571" s="618"/>
      <c r="L1571" s="616"/>
      <c r="M1571" s="616"/>
      <c r="N1571" s="617"/>
      <c r="O1571" s="617"/>
      <c r="P1571" s="617"/>
      <c r="Q1571" s="617"/>
      <c r="R1571" s="619"/>
      <c r="S1571" s="617"/>
      <c r="T1571" s="616" t="s">
        <v>221</v>
      </c>
    </row>
    <row r="1572" ht="34.5">
      <c r="A1572" s="616" t="s">
        <v>1353</v>
      </c>
      <c r="B1572" s="616" t="s">
        <v>1354</v>
      </c>
      <c r="C1572" s="616" t="s">
        <v>215</v>
      </c>
      <c r="D1572" s="616" t="s">
        <v>216</v>
      </c>
      <c r="E1572" s="616" t="s">
        <v>503</v>
      </c>
      <c r="F1572" s="617" t="s">
        <v>504</v>
      </c>
      <c r="G1572" s="616" t="s">
        <v>505</v>
      </c>
      <c r="H1572" s="617"/>
      <c r="I1572" s="617"/>
      <c r="J1572" s="617" t="s">
        <v>1532</v>
      </c>
      <c r="K1572" s="618"/>
      <c r="L1572" s="616"/>
      <c r="M1572" s="616"/>
      <c r="N1572" s="617"/>
      <c r="O1572" s="617"/>
      <c r="P1572" s="617"/>
      <c r="Q1572" s="617"/>
      <c r="R1572" s="619"/>
      <c r="S1572" s="617"/>
      <c r="T1572" s="616" t="s">
        <v>221</v>
      </c>
    </row>
    <row r="1573" ht="34.5">
      <c r="A1573" s="616" t="s">
        <v>1353</v>
      </c>
      <c r="B1573" s="616" t="s">
        <v>1354</v>
      </c>
      <c r="C1573" s="616" t="s">
        <v>215</v>
      </c>
      <c r="D1573" s="616" t="s">
        <v>1533</v>
      </c>
      <c r="E1573" s="616" t="s">
        <v>503</v>
      </c>
      <c r="F1573" s="617" t="s">
        <v>504</v>
      </c>
      <c r="G1573" s="616" t="s">
        <v>505</v>
      </c>
      <c r="H1573" s="617"/>
      <c r="I1573" s="617"/>
      <c r="J1573" s="617" t="s">
        <v>1534</v>
      </c>
      <c r="K1573" s="618"/>
      <c r="L1573" s="616"/>
      <c r="M1573" s="616"/>
      <c r="N1573" s="617"/>
      <c r="O1573" s="617"/>
      <c r="P1573" s="617"/>
      <c r="Q1573" s="617"/>
      <c r="R1573" s="619"/>
      <c r="S1573" s="617"/>
      <c r="T1573" s="616" t="s">
        <v>221</v>
      </c>
    </row>
    <row r="1574" ht="34.5">
      <c r="A1574" s="616" t="s">
        <v>1353</v>
      </c>
      <c r="B1574" s="616" t="s">
        <v>1354</v>
      </c>
      <c r="C1574" s="616" t="s">
        <v>224</v>
      </c>
      <c r="D1574" s="616" t="s">
        <v>216</v>
      </c>
      <c r="E1574" s="616" t="s">
        <v>503</v>
      </c>
      <c r="F1574" s="617" t="s">
        <v>504</v>
      </c>
      <c r="G1574" s="616" t="s">
        <v>505</v>
      </c>
      <c r="H1574" s="617"/>
      <c r="I1574" s="617"/>
      <c r="J1574" s="617" t="s">
        <v>1535</v>
      </c>
      <c r="K1574" s="618"/>
      <c r="L1574" s="616"/>
      <c r="M1574" s="616"/>
      <c r="N1574" s="617"/>
      <c r="O1574" s="617"/>
      <c r="P1574" s="617"/>
      <c r="Q1574" s="617"/>
      <c r="R1574" s="619"/>
      <c r="S1574" s="617"/>
      <c r="T1574" s="616" t="s">
        <v>221</v>
      </c>
    </row>
    <row r="1575" ht="34.5">
      <c r="A1575" s="616" t="s">
        <v>1353</v>
      </c>
      <c r="B1575" s="616" t="s">
        <v>1354</v>
      </c>
      <c r="C1575" s="616" t="s">
        <v>224</v>
      </c>
      <c r="D1575" s="616" t="s">
        <v>216</v>
      </c>
      <c r="E1575" s="616" t="s">
        <v>503</v>
      </c>
      <c r="F1575" s="617" t="s">
        <v>504</v>
      </c>
      <c r="G1575" s="616" t="s">
        <v>505</v>
      </c>
      <c r="H1575" s="617"/>
      <c r="I1575" s="617"/>
      <c r="J1575" s="617" t="s">
        <v>564</v>
      </c>
      <c r="K1575" s="618"/>
      <c r="L1575" s="616"/>
      <c r="M1575" s="616"/>
      <c r="N1575" s="617"/>
      <c r="O1575" s="617"/>
      <c r="P1575" s="617"/>
      <c r="Q1575" s="617"/>
      <c r="R1575" s="619"/>
      <c r="S1575" s="617"/>
      <c r="T1575" s="616" t="s">
        <v>221</v>
      </c>
    </row>
    <row r="1576" ht="34.5">
      <c r="A1576" s="616" t="s">
        <v>1353</v>
      </c>
      <c r="B1576" s="616" t="s">
        <v>1354</v>
      </c>
      <c r="C1576" s="616" t="s">
        <v>224</v>
      </c>
      <c r="D1576" s="616" t="s">
        <v>1536</v>
      </c>
      <c r="E1576" s="616" t="s">
        <v>503</v>
      </c>
      <c r="F1576" s="617" t="s">
        <v>504</v>
      </c>
      <c r="G1576" s="616" t="s">
        <v>505</v>
      </c>
      <c r="H1576" s="617"/>
      <c r="I1576" s="617"/>
      <c r="J1576" s="617" t="s">
        <v>1537</v>
      </c>
      <c r="K1576" s="618"/>
      <c r="L1576" s="616"/>
      <c r="M1576" s="616"/>
      <c r="N1576" s="617"/>
      <c r="O1576" s="617"/>
      <c r="P1576" s="617"/>
      <c r="Q1576" s="617"/>
      <c r="R1576" s="619"/>
      <c r="S1576" s="617"/>
      <c r="T1576" s="616" t="s">
        <v>221</v>
      </c>
    </row>
    <row r="1577" ht="34.5">
      <c r="A1577" s="616" t="s">
        <v>1353</v>
      </c>
      <c r="B1577" s="616" t="s">
        <v>1354</v>
      </c>
      <c r="C1577" s="616" t="s">
        <v>224</v>
      </c>
      <c r="D1577" s="616" t="s">
        <v>216</v>
      </c>
      <c r="E1577" s="616" t="s">
        <v>503</v>
      </c>
      <c r="F1577" s="617" t="s">
        <v>504</v>
      </c>
      <c r="G1577" s="616" t="s">
        <v>505</v>
      </c>
      <c r="H1577" s="617"/>
      <c r="I1577" s="617"/>
      <c r="J1577" s="617" t="s">
        <v>1538</v>
      </c>
      <c r="K1577" s="618"/>
      <c r="L1577" s="616"/>
      <c r="M1577" s="616"/>
      <c r="N1577" s="617"/>
      <c r="O1577" s="617"/>
      <c r="P1577" s="617"/>
      <c r="Q1577" s="617"/>
      <c r="R1577" s="619"/>
      <c r="S1577" s="617"/>
      <c r="T1577" s="616" t="s">
        <v>221</v>
      </c>
    </row>
    <row r="1578" ht="34.5">
      <c r="A1578" s="616" t="s">
        <v>1353</v>
      </c>
      <c r="B1578" s="616" t="s">
        <v>1354</v>
      </c>
      <c r="C1578" s="616" t="s">
        <v>224</v>
      </c>
      <c r="D1578" s="616" t="s">
        <v>216</v>
      </c>
      <c r="E1578" s="616" t="s">
        <v>503</v>
      </c>
      <c r="F1578" s="617" t="s">
        <v>504</v>
      </c>
      <c r="G1578" s="616" t="s">
        <v>505</v>
      </c>
      <c r="H1578" s="617"/>
      <c r="I1578" s="617"/>
      <c r="J1578" s="617" t="s">
        <v>568</v>
      </c>
      <c r="K1578" s="618"/>
      <c r="L1578" s="616"/>
      <c r="M1578" s="616"/>
      <c r="N1578" s="617"/>
      <c r="O1578" s="617"/>
      <c r="P1578" s="617"/>
      <c r="Q1578" s="617"/>
      <c r="R1578" s="619"/>
      <c r="S1578" s="617"/>
      <c r="T1578" s="616" t="s">
        <v>221</v>
      </c>
    </row>
    <row r="1579" ht="34.5">
      <c r="A1579" s="616" t="s">
        <v>1353</v>
      </c>
      <c r="B1579" s="616" t="s">
        <v>1354</v>
      </c>
      <c r="C1579" s="616" t="s">
        <v>224</v>
      </c>
      <c r="D1579" s="616" t="s">
        <v>216</v>
      </c>
      <c r="E1579" s="616" t="s">
        <v>503</v>
      </c>
      <c r="F1579" s="617" t="s">
        <v>504</v>
      </c>
      <c r="G1579" s="616" t="s">
        <v>505</v>
      </c>
      <c r="H1579" s="617"/>
      <c r="I1579" s="617"/>
      <c r="J1579" s="617" t="s">
        <v>570</v>
      </c>
      <c r="K1579" s="618"/>
      <c r="L1579" s="616"/>
      <c r="M1579" s="616"/>
      <c r="N1579" s="617"/>
      <c r="O1579" s="617"/>
      <c r="P1579" s="617"/>
      <c r="Q1579" s="617"/>
      <c r="R1579" s="619"/>
      <c r="S1579" s="617"/>
      <c r="T1579" s="616" t="s">
        <v>221</v>
      </c>
    </row>
    <row r="1580" ht="34.5">
      <c r="A1580" s="616" t="s">
        <v>1353</v>
      </c>
      <c r="B1580" s="616" t="s">
        <v>1354</v>
      </c>
      <c r="C1580" s="616" t="s">
        <v>238</v>
      </c>
      <c r="D1580" s="616" t="s">
        <v>216</v>
      </c>
      <c r="E1580" s="616" t="s">
        <v>503</v>
      </c>
      <c r="F1580" s="617" t="s">
        <v>504</v>
      </c>
      <c r="G1580" s="616" t="s">
        <v>505</v>
      </c>
      <c r="H1580" s="617"/>
      <c r="I1580" s="617"/>
      <c r="J1580" s="617" t="s">
        <v>571</v>
      </c>
      <c r="K1580" s="618"/>
      <c r="L1580" s="616"/>
      <c r="M1580" s="616"/>
      <c r="N1580" s="617"/>
      <c r="O1580" s="617"/>
      <c r="P1580" s="617"/>
      <c r="Q1580" s="617"/>
      <c r="R1580" s="619"/>
      <c r="S1580" s="617"/>
      <c r="T1580" s="616" t="s">
        <v>221</v>
      </c>
    </row>
    <row r="1581" ht="34.5">
      <c r="A1581" s="616" t="s">
        <v>1353</v>
      </c>
      <c r="B1581" s="616" t="s">
        <v>1354</v>
      </c>
      <c r="C1581" s="616" t="s">
        <v>238</v>
      </c>
      <c r="D1581" s="616" t="s">
        <v>1539</v>
      </c>
      <c r="E1581" s="616" t="s">
        <v>503</v>
      </c>
      <c r="F1581" s="617" t="s">
        <v>504</v>
      </c>
      <c r="G1581" s="616" t="s">
        <v>505</v>
      </c>
      <c r="H1581" s="617"/>
      <c r="I1581" s="617"/>
      <c r="J1581" s="617" t="s">
        <v>1540</v>
      </c>
      <c r="K1581" s="618"/>
      <c r="L1581" s="616"/>
      <c r="M1581" s="616"/>
      <c r="N1581" s="617"/>
      <c r="O1581" s="617"/>
      <c r="P1581" s="617"/>
      <c r="Q1581" s="617"/>
      <c r="R1581" s="619"/>
      <c r="S1581" s="617"/>
      <c r="T1581" s="616" t="s">
        <v>221</v>
      </c>
    </row>
    <row r="1582" ht="34.5">
      <c r="A1582" s="616" t="s">
        <v>1353</v>
      </c>
      <c r="B1582" s="616" t="s">
        <v>1354</v>
      </c>
      <c r="C1582" s="616" t="s">
        <v>238</v>
      </c>
      <c r="D1582" s="616" t="s">
        <v>216</v>
      </c>
      <c r="E1582" s="616" t="s">
        <v>503</v>
      </c>
      <c r="F1582" s="617" t="s">
        <v>504</v>
      </c>
      <c r="G1582" s="616" t="s">
        <v>505</v>
      </c>
      <c r="H1582" s="617"/>
      <c r="I1582" s="617"/>
      <c r="J1582" s="617" t="s">
        <v>574</v>
      </c>
      <c r="K1582" s="618"/>
      <c r="L1582" s="616"/>
      <c r="M1582" s="616"/>
      <c r="N1582" s="617"/>
      <c r="O1582" s="617"/>
      <c r="P1582" s="617"/>
      <c r="Q1582" s="617"/>
      <c r="R1582" s="619"/>
      <c r="S1582" s="617"/>
      <c r="T1582" s="616" t="s">
        <v>221</v>
      </c>
    </row>
    <row r="1583" ht="34.5">
      <c r="A1583" s="616" t="s">
        <v>1353</v>
      </c>
      <c r="B1583" s="616" t="s">
        <v>1354</v>
      </c>
      <c r="C1583" s="616" t="s">
        <v>238</v>
      </c>
      <c r="D1583" s="616" t="s">
        <v>216</v>
      </c>
      <c r="E1583" s="616" t="s">
        <v>503</v>
      </c>
      <c r="F1583" s="617" t="s">
        <v>504</v>
      </c>
      <c r="G1583" s="616" t="s">
        <v>505</v>
      </c>
      <c r="H1583" s="617"/>
      <c r="I1583" s="617"/>
      <c r="J1583" s="617" t="s">
        <v>1541</v>
      </c>
      <c r="K1583" s="618"/>
      <c r="L1583" s="616"/>
      <c r="M1583" s="616"/>
      <c r="N1583" s="617"/>
      <c r="O1583" s="617"/>
      <c r="P1583" s="617"/>
      <c r="Q1583" s="617"/>
      <c r="R1583" s="619"/>
      <c r="S1583" s="617"/>
      <c r="T1583" s="616" t="s">
        <v>221</v>
      </c>
    </row>
    <row r="1584" ht="34.5">
      <c r="A1584" s="616" t="s">
        <v>1353</v>
      </c>
      <c r="B1584" s="616" t="s">
        <v>1354</v>
      </c>
      <c r="C1584" s="616" t="s">
        <v>238</v>
      </c>
      <c r="D1584" s="616" t="s">
        <v>216</v>
      </c>
      <c r="E1584" s="616" t="s">
        <v>503</v>
      </c>
      <c r="F1584" s="617" t="s">
        <v>504</v>
      </c>
      <c r="G1584" s="616" t="s">
        <v>505</v>
      </c>
      <c r="H1584" s="617"/>
      <c r="I1584" s="617"/>
      <c r="J1584" s="617" t="s">
        <v>576</v>
      </c>
      <c r="K1584" s="618"/>
      <c r="L1584" s="616"/>
      <c r="M1584" s="616"/>
      <c r="N1584" s="617"/>
      <c r="O1584" s="617"/>
      <c r="P1584" s="617"/>
      <c r="Q1584" s="617"/>
      <c r="R1584" s="619"/>
      <c r="S1584" s="617"/>
      <c r="T1584" s="616" t="s">
        <v>221</v>
      </c>
    </row>
    <row r="1585" ht="34.5">
      <c r="A1585" s="616" t="s">
        <v>1353</v>
      </c>
      <c r="B1585" s="616" t="s">
        <v>1354</v>
      </c>
      <c r="C1585" s="616" t="s">
        <v>238</v>
      </c>
      <c r="D1585" s="616" t="s">
        <v>216</v>
      </c>
      <c r="E1585" s="616" t="s">
        <v>503</v>
      </c>
      <c r="F1585" s="617" t="s">
        <v>504</v>
      </c>
      <c r="G1585" s="616" t="s">
        <v>505</v>
      </c>
      <c r="H1585" s="617"/>
      <c r="I1585" s="617"/>
      <c r="J1585" s="617" t="s">
        <v>577</v>
      </c>
      <c r="K1585" s="618"/>
      <c r="L1585" s="616"/>
      <c r="M1585" s="616"/>
      <c r="N1585" s="617"/>
      <c r="O1585" s="617"/>
      <c r="P1585" s="617"/>
      <c r="Q1585" s="617"/>
      <c r="R1585" s="619"/>
      <c r="S1585" s="617"/>
      <c r="T1585" s="616" t="s">
        <v>221</v>
      </c>
    </row>
    <row r="1586" ht="34.5">
      <c r="A1586" s="616" t="s">
        <v>1353</v>
      </c>
      <c r="B1586" s="616" t="s">
        <v>1354</v>
      </c>
      <c r="C1586" s="616" t="s">
        <v>238</v>
      </c>
      <c r="D1586" s="616" t="s">
        <v>1542</v>
      </c>
      <c r="E1586" s="616" t="s">
        <v>503</v>
      </c>
      <c r="F1586" s="617" t="s">
        <v>504</v>
      </c>
      <c r="G1586" s="616" t="s">
        <v>505</v>
      </c>
      <c r="H1586" s="617"/>
      <c r="I1586" s="617"/>
      <c r="J1586" s="617" t="s">
        <v>1543</v>
      </c>
      <c r="K1586" s="618"/>
      <c r="L1586" s="616"/>
      <c r="M1586" s="616"/>
      <c r="N1586" s="617"/>
      <c r="O1586" s="617"/>
      <c r="P1586" s="617"/>
      <c r="Q1586" s="617"/>
      <c r="R1586" s="619"/>
      <c r="S1586" s="617"/>
      <c r="T1586" s="616" t="s">
        <v>221</v>
      </c>
    </row>
    <row r="1587" ht="34.5">
      <c r="A1587" s="616" t="s">
        <v>1353</v>
      </c>
      <c r="B1587" s="616" t="s">
        <v>1354</v>
      </c>
      <c r="C1587" s="616" t="s">
        <v>238</v>
      </c>
      <c r="D1587" s="616" t="s">
        <v>216</v>
      </c>
      <c r="E1587" s="616" t="s">
        <v>503</v>
      </c>
      <c r="F1587" s="617" t="s">
        <v>504</v>
      </c>
      <c r="G1587" s="616" t="s">
        <v>505</v>
      </c>
      <c r="H1587" s="617"/>
      <c r="I1587" s="617"/>
      <c r="J1587" s="617" t="s">
        <v>582</v>
      </c>
      <c r="K1587" s="618"/>
      <c r="L1587" s="616"/>
      <c r="M1587" s="616"/>
      <c r="N1587" s="617"/>
      <c r="O1587" s="617"/>
      <c r="P1587" s="617"/>
      <c r="Q1587" s="617"/>
      <c r="R1587" s="619"/>
      <c r="S1587" s="617"/>
      <c r="T1587" s="616" t="s">
        <v>221</v>
      </c>
    </row>
    <row r="1588" ht="34.5">
      <c r="A1588" s="616" t="s">
        <v>1353</v>
      </c>
      <c r="B1588" s="616" t="s">
        <v>1354</v>
      </c>
      <c r="C1588" s="616" t="s">
        <v>238</v>
      </c>
      <c r="D1588" s="616" t="s">
        <v>216</v>
      </c>
      <c r="E1588" s="616" t="s">
        <v>503</v>
      </c>
      <c r="F1588" s="617" t="s">
        <v>504</v>
      </c>
      <c r="G1588" s="616" t="s">
        <v>505</v>
      </c>
      <c r="H1588" s="617"/>
      <c r="I1588" s="617"/>
      <c r="J1588" s="617" t="s">
        <v>1544</v>
      </c>
      <c r="K1588" s="618"/>
      <c r="L1588" s="616"/>
      <c r="M1588" s="616"/>
      <c r="N1588" s="617"/>
      <c r="O1588" s="617"/>
      <c r="P1588" s="617"/>
      <c r="Q1588" s="617"/>
      <c r="R1588" s="619"/>
      <c r="S1588" s="617"/>
      <c r="T1588" s="616" t="s">
        <v>221</v>
      </c>
    </row>
    <row r="1589" ht="34.5">
      <c r="A1589" s="616" t="s">
        <v>1353</v>
      </c>
      <c r="B1589" s="616" t="s">
        <v>1354</v>
      </c>
      <c r="C1589" s="616" t="s">
        <v>238</v>
      </c>
      <c r="D1589" s="616" t="s">
        <v>216</v>
      </c>
      <c r="E1589" s="616" t="s">
        <v>503</v>
      </c>
      <c r="F1589" s="617" t="s">
        <v>504</v>
      </c>
      <c r="G1589" s="616" t="s">
        <v>505</v>
      </c>
      <c r="H1589" s="617"/>
      <c r="I1589" s="617"/>
      <c r="J1589" s="617" t="s">
        <v>1545</v>
      </c>
      <c r="K1589" s="618"/>
      <c r="L1589" s="616"/>
      <c r="M1589" s="616"/>
      <c r="N1589" s="617"/>
      <c r="O1589" s="617"/>
      <c r="P1589" s="617"/>
      <c r="Q1589" s="617"/>
      <c r="R1589" s="619"/>
      <c r="S1589" s="617"/>
      <c r="T1589" s="616" t="s">
        <v>221</v>
      </c>
    </row>
    <row r="1590" ht="34.5">
      <c r="A1590" s="616" t="s">
        <v>1353</v>
      </c>
      <c r="B1590" s="616" t="s">
        <v>1354</v>
      </c>
      <c r="C1590" s="616" t="s">
        <v>238</v>
      </c>
      <c r="D1590" s="616" t="s">
        <v>216</v>
      </c>
      <c r="E1590" s="616" t="s">
        <v>503</v>
      </c>
      <c r="F1590" s="617" t="s">
        <v>504</v>
      </c>
      <c r="G1590" s="616" t="s">
        <v>505</v>
      </c>
      <c r="H1590" s="617"/>
      <c r="I1590" s="617"/>
      <c r="J1590" s="617" t="s">
        <v>1546</v>
      </c>
      <c r="K1590" s="618"/>
      <c r="L1590" s="616"/>
      <c r="M1590" s="616"/>
      <c r="N1590" s="617"/>
      <c r="O1590" s="617"/>
      <c r="P1590" s="617"/>
      <c r="Q1590" s="617"/>
      <c r="R1590" s="619"/>
      <c r="S1590" s="617"/>
      <c r="T1590" s="616" t="s">
        <v>221</v>
      </c>
    </row>
    <row r="1591" ht="34.5">
      <c r="A1591" s="616" t="s">
        <v>1353</v>
      </c>
      <c r="B1591" s="616" t="s">
        <v>1354</v>
      </c>
      <c r="C1591" s="616" t="s">
        <v>252</v>
      </c>
      <c r="D1591" s="616" t="s">
        <v>216</v>
      </c>
      <c r="E1591" s="616" t="s">
        <v>503</v>
      </c>
      <c r="F1591" s="617" t="s">
        <v>504</v>
      </c>
      <c r="G1591" s="616" t="s">
        <v>505</v>
      </c>
      <c r="H1591" s="617"/>
      <c r="I1591" s="617"/>
      <c r="J1591" s="617" t="s">
        <v>1547</v>
      </c>
      <c r="K1591" s="618"/>
      <c r="L1591" s="616"/>
      <c r="M1591" s="616"/>
      <c r="N1591" s="617"/>
      <c r="O1591" s="617"/>
      <c r="P1591" s="617"/>
      <c r="Q1591" s="617"/>
      <c r="R1591" s="619"/>
      <c r="S1591" s="617"/>
      <c r="T1591" s="616" t="s">
        <v>221</v>
      </c>
    </row>
    <row r="1592" ht="34.5">
      <c r="A1592" s="616" t="s">
        <v>1353</v>
      </c>
      <c r="B1592" s="616" t="s">
        <v>1354</v>
      </c>
      <c r="C1592" s="616" t="s">
        <v>252</v>
      </c>
      <c r="D1592" s="616" t="s">
        <v>1548</v>
      </c>
      <c r="E1592" s="616" t="s">
        <v>503</v>
      </c>
      <c r="F1592" s="617" t="s">
        <v>504</v>
      </c>
      <c r="G1592" s="616" t="s">
        <v>505</v>
      </c>
      <c r="H1592" s="617"/>
      <c r="I1592" s="617"/>
      <c r="J1592" s="617" t="s">
        <v>1549</v>
      </c>
      <c r="K1592" s="618"/>
      <c r="L1592" s="616"/>
      <c r="M1592" s="616"/>
      <c r="N1592" s="617"/>
      <c r="O1592" s="617"/>
      <c r="P1592" s="617"/>
      <c r="Q1592" s="617"/>
      <c r="R1592" s="619"/>
      <c r="S1592" s="617"/>
      <c r="T1592" s="616" t="s">
        <v>221</v>
      </c>
    </row>
    <row r="1593" ht="34.5">
      <c r="A1593" s="616" t="s">
        <v>1353</v>
      </c>
      <c r="B1593" s="616" t="s">
        <v>1354</v>
      </c>
      <c r="C1593" s="616" t="s">
        <v>252</v>
      </c>
      <c r="D1593" s="616" t="s">
        <v>216</v>
      </c>
      <c r="E1593" s="616" t="s">
        <v>503</v>
      </c>
      <c r="F1593" s="617" t="s">
        <v>504</v>
      </c>
      <c r="G1593" s="616" t="s">
        <v>505</v>
      </c>
      <c r="H1593" s="617"/>
      <c r="I1593" s="617"/>
      <c r="J1593" s="617" t="s">
        <v>1550</v>
      </c>
      <c r="K1593" s="618"/>
      <c r="L1593" s="616"/>
      <c r="M1593" s="616"/>
      <c r="N1593" s="617"/>
      <c r="O1593" s="617"/>
      <c r="P1593" s="617"/>
      <c r="Q1593" s="617"/>
      <c r="R1593" s="619"/>
      <c r="S1593" s="617"/>
      <c r="T1593" s="616" t="s">
        <v>221</v>
      </c>
    </row>
    <row r="1594" ht="34.5">
      <c r="A1594" s="616" t="s">
        <v>1353</v>
      </c>
      <c r="B1594" s="616" t="s">
        <v>1354</v>
      </c>
      <c r="C1594" s="616" t="s">
        <v>252</v>
      </c>
      <c r="D1594" s="616" t="s">
        <v>1551</v>
      </c>
      <c r="E1594" s="616" t="s">
        <v>503</v>
      </c>
      <c r="F1594" s="617" t="s">
        <v>504</v>
      </c>
      <c r="G1594" s="616" t="s">
        <v>505</v>
      </c>
      <c r="H1594" s="617"/>
      <c r="I1594" s="617"/>
      <c r="J1594" s="617" t="s">
        <v>1552</v>
      </c>
      <c r="K1594" s="618"/>
      <c r="L1594" s="616"/>
      <c r="M1594" s="616"/>
      <c r="N1594" s="617"/>
      <c r="O1594" s="617"/>
      <c r="P1594" s="617"/>
      <c r="Q1594" s="617"/>
      <c r="R1594" s="619"/>
      <c r="S1594" s="617"/>
      <c r="T1594" s="616" t="s">
        <v>221</v>
      </c>
    </row>
    <row r="1595" ht="34.5">
      <c r="A1595" s="616" t="s">
        <v>1353</v>
      </c>
      <c r="B1595" s="616" t="s">
        <v>1354</v>
      </c>
      <c r="C1595" s="616" t="s">
        <v>265</v>
      </c>
      <c r="D1595" s="616" t="s">
        <v>1553</v>
      </c>
      <c r="E1595" s="616" t="s">
        <v>503</v>
      </c>
      <c r="F1595" s="617" t="s">
        <v>504</v>
      </c>
      <c r="G1595" s="616" t="s">
        <v>505</v>
      </c>
      <c r="H1595" s="617"/>
      <c r="I1595" s="617"/>
      <c r="J1595" s="617" t="s">
        <v>1554</v>
      </c>
      <c r="K1595" s="618"/>
      <c r="L1595" s="616"/>
      <c r="M1595" s="616"/>
      <c r="N1595" s="617"/>
      <c r="O1595" s="617"/>
      <c r="P1595" s="617"/>
      <c r="Q1595" s="617"/>
      <c r="R1595" s="619"/>
      <c r="S1595" s="617"/>
      <c r="T1595" s="616" t="s">
        <v>221</v>
      </c>
    </row>
    <row r="1596" ht="34.5">
      <c r="A1596" s="616" t="s">
        <v>1353</v>
      </c>
      <c r="B1596" s="616" t="s">
        <v>1354</v>
      </c>
      <c r="C1596" s="616" t="s">
        <v>265</v>
      </c>
      <c r="D1596" s="616" t="s">
        <v>216</v>
      </c>
      <c r="E1596" s="616" t="s">
        <v>503</v>
      </c>
      <c r="F1596" s="617" t="s">
        <v>504</v>
      </c>
      <c r="G1596" s="616" t="s">
        <v>505</v>
      </c>
      <c r="H1596" s="617"/>
      <c r="I1596" s="617"/>
      <c r="J1596" s="617" t="s">
        <v>598</v>
      </c>
      <c r="K1596" s="618"/>
      <c r="L1596" s="616"/>
      <c r="M1596" s="616"/>
      <c r="N1596" s="617"/>
      <c r="O1596" s="617"/>
      <c r="P1596" s="617"/>
      <c r="Q1596" s="617"/>
      <c r="R1596" s="619"/>
      <c r="S1596" s="617"/>
      <c r="T1596" s="616" t="s">
        <v>221</v>
      </c>
    </row>
    <row r="1597" ht="34.5">
      <c r="A1597" s="616" t="s">
        <v>1353</v>
      </c>
      <c r="B1597" s="616" t="s">
        <v>1354</v>
      </c>
      <c r="C1597" s="616" t="s">
        <v>265</v>
      </c>
      <c r="D1597" s="616" t="s">
        <v>216</v>
      </c>
      <c r="E1597" s="616" t="s">
        <v>503</v>
      </c>
      <c r="F1597" s="617" t="s">
        <v>504</v>
      </c>
      <c r="G1597" s="616" t="s">
        <v>505</v>
      </c>
      <c r="H1597" s="617"/>
      <c r="I1597" s="617"/>
      <c r="J1597" s="617" t="s">
        <v>599</v>
      </c>
      <c r="K1597" s="618"/>
      <c r="L1597" s="616"/>
      <c r="M1597" s="616"/>
      <c r="N1597" s="617"/>
      <c r="O1597" s="617"/>
      <c r="P1597" s="617"/>
      <c r="Q1597" s="617"/>
      <c r="R1597" s="619"/>
      <c r="S1597" s="617"/>
      <c r="T1597" s="616" t="s">
        <v>221</v>
      </c>
    </row>
    <row r="1598" ht="34.5">
      <c r="A1598" s="616" t="s">
        <v>1353</v>
      </c>
      <c r="B1598" s="616" t="s">
        <v>1354</v>
      </c>
      <c r="C1598" s="616" t="s">
        <v>265</v>
      </c>
      <c r="D1598" s="616" t="s">
        <v>216</v>
      </c>
      <c r="E1598" s="616" t="s">
        <v>503</v>
      </c>
      <c r="F1598" s="617" t="s">
        <v>504</v>
      </c>
      <c r="G1598" s="616" t="s">
        <v>505</v>
      </c>
      <c r="H1598" s="617"/>
      <c r="I1598" s="617"/>
      <c r="J1598" s="617" t="s">
        <v>1555</v>
      </c>
      <c r="K1598" s="618"/>
      <c r="L1598" s="616"/>
      <c r="M1598" s="616"/>
      <c r="N1598" s="617"/>
      <c r="O1598" s="617"/>
      <c r="P1598" s="617"/>
      <c r="Q1598" s="617"/>
      <c r="R1598" s="619"/>
      <c r="S1598" s="617"/>
      <c r="T1598" s="616" t="s">
        <v>221</v>
      </c>
    </row>
    <row r="1599" ht="34.5">
      <c r="A1599" s="616" t="s">
        <v>1353</v>
      </c>
      <c r="B1599" s="616" t="s">
        <v>1354</v>
      </c>
      <c r="C1599" s="616" t="s">
        <v>265</v>
      </c>
      <c r="D1599" s="616" t="s">
        <v>1556</v>
      </c>
      <c r="E1599" s="616" t="s">
        <v>503</v>
      </c>
      <c r="F1599" s="617" t="s">
        <v>504</v>
      </c>
      <c r="G1599" s="616" t="s">
        <v>505</v>
      </c>
      <c r="H1599" s="617"/>
      <c r="I1599" s="617"/>
      <c r="J1599" s="617" t="s">
        <v>1557</v>
      </c>
      <c r="K1599" s="618"/>
      <c r="L1599" s="616"/>
      <c r="M1599" s="616"/>
      <c r="N1599" s="617"/>
      <c r="O1599" s="617"/>
      <c r="P1599" s="617"/>
      <c r="Q1599" s="617"/>
      <c r="R1599" s="619"/>
      <c r="S1599" s="617"/>
      <c r="T1599" s="616" t="s">
        <v>221</v>
      </c>
    </row>
    <row r="1600" ht="34.5">
      <c r="A1600" s="616" t="s">
        <v>1353</v>
      </c>
      <c r="B1600" s="616" t="s">
        <v>1354</v>
      </c>
      <c r="C1600" s="616" t="s">
        <v>278</v>
      </c>
      <c r="D1600" s="616" t="s">
        <v>216</v>
      </c>
      <c r="E1600" s="616" t="s">
        <v>503</v>
      </c>
      <c r="F1600" s="617" t="s">
        <v>504</v>
      </c>
      <c r="G1600" s="616" t="s">
        <v>505</v>
      </c>
      <c r="H1600" s="617"/>
      <c r="I1600" s="617"/>
      <c r="J1600" s="617" t="s">
        <v>1558</v>
      </c>
      <c r="K1600" s="618"/>
      <c r="L1600" s="616"/>
      <c r="M1600" s="616"/>
      <c r="N1600" s="617"/>
      <c r="O1600" s="617"/>
      <c r="P1600" s="617"/>
      <c r="Q1600" s="617"/>
      <c r="R1600" s="619"/>
      <c r="S1600" s="617"/>
      <c r="T1600" s="616" t="s">
        <v>221</v>
      </c>
    </row>
    <row r="1601" ht="34.5">
      <c r="A1601" s="616" t="s">
        <v>1353</v>
      </c>
      <c r="B1601" s="616" t="s">
        <v>1354</v>
      </c>
      <c r="C1601" s="616" t="s">
        <v>278</v>
      </c>
      <c r="D1601" s="616" t="s">
        <v>216</v>
      </c>
      <c r="E1601" s="616" t="s">
        <v>503</v>
      </c>
      <c r="F1601" s="617" t="s">
        <v>504</v>
      </c>
      <c r="G1601" s="616" t="s">
        <v>505</v>
      </c>
      <c r="H1601" s="617"/>
      <c r="I1601" s="617"/>
      <c r="J1601" s="617" t="s">
        <v>1559</v>
      </c>
      <c r="K1601" s="618"/>
      <c r="L1601" s="616"/>
      <c r="M1601" s="616"/>
      <c r="N1601" s="617"/>
      <c r="O1601" s="617"/>
      <c r="P1601" s="617"/>
      <c r="Q1601" s="617"/>
      <c r="R1601" s="619"/>
      <c r="S1601" s="617"/>
      <c r="T1601" s="616" t="s">
        <v>221</v>
      </c>
    </row>
    <row r="1602" ht="34.5">
      <c r="A1602" s="616" t="s">
        <v>1353</v>
      </c>
      <c r="B1602" s="616" t="s">
        <v>1354</v>
      </c>
      <c r="C1602" s="616" t="s">
        <v>278</v>
      </c>
      <c r="D1602" s="616" t="s">
        <v>1560</v>
      </c>
      <c r="E1602" s="616" t="s">
        <v>503</v>
      </c>
      <c r="F1602" s="617" t="s">
        <v>504</v>
      </c>
      <c r="G1602" s="616" t="s">
        <v>505</v>
      </c>
      <c r="H1602" s="617"/>
      <c r="I1602" s="617"/>
      <c r="J1602" s="617" t="s">
        <v>1561</v>
      </c>
      <c r="K1602" s="618"/>
      <c r="L1602" s="616"/>
      <c r="M1602" s="616"/>
      <c r="N1602" s="617"/>
      <c r="O1602" s="617"/>
      <c r="P1602" s="617"/>
      <c r="Q1602" s="617"/>
      <c r="R1602" s="619"/>
      <c r="S1602" s="617"/>
      <c r="T1602" s="616" t="s">
        <v>221</v>
      </c>
    </row>
    <row r="1603" ht="34.5">
      <c r="A1603" s="616" t="s">
        <v>1353</v>
      </c>
      <c r="B1603" s="616" t="s">
        <v>1354</v>
      </c>
      <c r="C1603" s="616" t="s">
        <v>278</v>
      </c>
      <c r="D1603" s="616" t="s">
        <v>216</v>
      </c>
      <c r="E1603" s="616" t="s">
        <v>503</v>
      </c>
      <c r="F1603" s="617" t="s">
        <v>504</v>
      </c>
      <c r="G1603" s="616" t="s">
        <v>505</v>
      </c>
      <c r="H1603" s="617"/>
      <c r="I1603" s="617"/>
      <c r="J1603" s="617" t="s">
        <v>1562</v>
      </c>
      <c r="K1603" s="618"/>
      <c r="L1603" s="616"/>
      <c r="M1603" s="616"/>
      <c r="N1603" s="617"/>
      <c r="O1603" s="617"/>
      <c r="P1603" s="617"/>
      <c r="Q1603" s="617"/>
      <c r="R1603" s="619"/>
      <c r="S1603" s="617"/>
      <c r="T1603" s="616" t="s">
        <v>221</v>
      </c>
    </row>
    <row r="1604" ht="34.5">
      <c r="A1604" s="616" t="s">
        <v>1353</v>
      </c>
      <c r="B1604" s="616" t="s">
        <v>1354</v>
      </c>
      <c r="C1604" s="616" t="s">
        <v>278</v>
      </c>
      <c r="D1604" s="616" t="s">
        <v>216</v>
      </c>
      <c r="E1604" s="616" t="s">
        <v>503</v>
      </c>
      <c r="F1604" s="617" t="s">
        <v>504</v>
      </c>
      <c r="G1604" s="616" t="s">
        <v>505</v>
      </c>
      <c r="H1604" s="617"/>
      <c r="I1604" s="617"/>
      <c r="J1604" s="617" t="s">
        <v>1563</v>
      </c>
      <c r="K1604" s="618">
        <v>188523324</v>
      </c>
      <c r="L1604" s="616" t="s">
        <v>611</v>
      </c>
      <c r="M1604" s="616"/>
      <c r="N1604" s="617"/>
      <c r="O1604" s="617"/>
      <c r="P1604" s="617"/>
      <c r="Q1604" s="617"/>
      <c r="R1604" s="619"/>
      <c r="S1604" s="617"/>
      <c r="T1604" s="616" t="s">
        <v>221</v>
      </c>
    </row>
    <row r="1605" ht="34.5">
      <c r="A1605" s="616" t="s">
        <v>1353</v>
      </c>
      <c r="B1605" s="616" t="s">
        <v>1354</v>
      </c>
      <c r="C1605" s="616" t="s">
        <v>278</v>
      </c>
      <c r="D1605" s="616" t="s">
        <v>216</v>
      </c>
      <c r="E1605" s="616" t="s">
        <v>503</v>
      </c>
      <c r="F1605" s="617" t="s">
        <v>504</v>
      </c>
      <c r="G1605" s="616" t="s">
        <v>505</v>
      </c>
      <c r="H1605" s="617"/>
      <c r="I1605" s="617"/>
      <c r="J1605" s="617" t="s">
        <v>614</v>
      </c>
      <c r="K1605" s="618"/>
      <c r="L1605" s="616"/>
      <c r="M1605" s="616"/>
      <c r="N1605" s="617"/>
      <c r="O1605" s="617"/>
      <c r="P1605" s="617"/>
      <c r="Q1605" s="617"/>
      <c r="R1605" s="619"/>
      <c r="S1605" s="617"/>
      <c r="T1605" s="616" t="s">
        <v>221</v>
      </c>
    </row>
    <row r="1606" ht="34.5">
      <c r="A1606" s="616" t="s">
        <v>1353</v>
      </c>
      <c r="B1606" s="616" t="s">
        <v>1354</v>
      </c>
      <c r="C1606" s="616" t="s">
        <v>278</v>
      </c>
      <c r="D1606" s="616" t="s">
        <v>216</v>
      </c>
      <c r="E1606" s="616" t="s">
        <v>503</v>
      </c>
      <c r="F1606" s="617" t="s">
        <v>504</v>
      </c>
      <c r="G1606" s="616" t="s">
        <v>505</v>
      </c>
      <c r="H1606" s="617"/>
      <c r="I1606" s="617"/>
      <c r="J1606" s="617" t="s">
        <v>615</v>
      </c>
      <c r="K1606" s="618"/>
      <c r="L1606" s="616"/>
      <c r="M1606" s="616"/>
      <c r="N1606" s="617"/>
      <c r="O1606" s="617"/>
      <c r="P1606" s="617"/>
      <c r="Q1606" s="617"/>
      <c r="R1606" s="619"/>
      <c r="S1606" s="617"/>
      <c r="T1606" s="616" t="s">
        <v>221</v>
      </c>
    </row>
    <row r="1607" ht="34.5">
      <c r="A1607" s="616" t="s">
        <v>1353</v>
      </c>
      <c r="B1607" s="616" t="s">
        <v>1354</v>
      </c>
      <c r="C1607" s="616" t="s">
        <v>278</v>
      </c>
      <c r="D1607" s="616" t="s">
        <v>1564</v>
      </c>
      <c r="E1607" s="616" t="s">
        <v>503</v>
      </c>
      <c r="F1607" s="617" t="s">
        <v>504</v>
      </c>
      <c r="G1607" s="616" t="s">
        <v>505</v>
      </c>
      <c r="H1607" s="617"/>
      <c r="I1607" s="617"/>
      <c r="J1607" s="617" t="s">
        <v>1565</v>
      </c>
      <c r="K1607" s="618"/>
      <c r="L1607" s="616"/>
      <c r="M1607" s="616"/>
      <c r="N1607" s="617"/>
      <c r="O1607" s="617"/>
      <c r="P1607" s="617"/>
      <c r="Q1607" s="617"/>
      <c r="R1607" s="619"/>
      <c r="S1607" s="617"/>
      <c r="T1607" s="616" t="s">
        <v>221</v>
      </c>
    </row>
    <row r="1608" ht="34.5">
      <c r="A1608" s="616" t="s">
        <v>1353</v>
      </c>
      <c r="B1608" s="616" t="s">
        <v>1354</v>
      </c>
      <c r="C1608" s="616" t="s">
        <v>293</v>
      </c>
      <c r="D1608" s="616" t="s">
        <v>1566</v>
      </c>
      <c r="E1608" s="616" t="s">
        <v>503</v>
      </c>
      <c r="F1608" s="617" t="s">
        <v>504</v>
      </c>
      <c r="G1608" s="616" t="s">
        <v>505</v>
      </c>
      <c r="H1608" s="617"/>
      <c r="I1608" s="617"/>
      <c r="J1608" s="617" t="s">
        <v>1567</v>
      </c>
      <c r="K1608" s="618"/>
      <c r="L1608" s="616"/>
      <c r="M1608" s="616"/>
      <c r="N1608" s="617"/>
      <c r="O1608" s="617"/>
      <c r="P1608" s="617"/>
      <c r="Q1608" s="617"/>
      <c r="R1608" s="619"/>
      <c r="S1608" s="617"/>
      <c r="T1608" s="616" t="s">
        <v>221</v>
      </c>
    </row>
    <row r="1609" ht="34.5">
      <c r="A1609" s="616" t="s">
        <v>1353</v>
      </c>
      <c r="B1609" s="616" t="s">
        <v>1354</v>
      </c>
      <c r="C1609" s="616" t="s">
        <v>293</v>
      </c>
      <c r="D1609" s="616" t="s">
        <v>216</v>
      </c>
      <c r="E1609" s="616" t="s">
        <v>503</v>
      </c>
      <c r="F1609" s="617" t="s">
        <v>504</v>
      </c>
      <c r="G1609" s="616" t="s">
        <v>505</v>
      </c>
      <c r="H1609" s="617"/>
      <c r="I1609" s="617"/>
      <c r="J1609" s="617" t="s">
        <v>618</v>
      </c>
      <c r="K1609" s="618"/>
      <c r="L1609" s="616"/>
      <c r="M1609" s="616"/>
      <c r="N1609" s="617"/>
      <c r="O1609" s="617"/>
      <c r="P1609" s="617"/>
      <c r="Q1609" s="617"/>
      <c r="R1609" s="619"/>
      <c r="S1609" s="617"/>
      <c r="T1609" s="616" t="s">
        <v>221</v>
      </c>
    </row>
    <row r="1610" ht="34.5">
      <c r="A1610" s="616" t="s">
        <v>1353</v>
      </c>
      <c r="B1610" s="616" t="s">
        <v>1354</v>
      </c>
      <c r="C1610" s="616" t="s">
        <v>293</v>
      </c>
      <c r="D1610" s="616" t="s">
        <v>216</v>
      </c>
      <c r="E1610" s="616" t="s">
        <v>503</v>
      </c>
      <c r="F1610" s="617" t="s">
        <v>504</v>
      </c>
      <c r="G1610" s="616" t="s">
        <v>505</v>
      </c>
      <c r="H1610" s="617"/>
      <c r="I1610" s="617"/>
      <c r="J1610" s="617" t="s">
        <v>619</v>
      </c>
      <c r="K1610" s="618"/>
      <c r="L1610" s="616"/>
      <c r="M1610" s="616"/>
      <c r="N1610" s="617"/>
      <c r="O1610" s="617"/>
      <c r="P1610" s="617"/>
      <c r="Q1610" s="617"/>
      <c r="R1610" s="619"/>
      <c r="S1610" s="617"/>
      <c r="T1610" s="616" t="s">
        <v>221</v>
      </c>
    </row>
    <row r="1611" ht="34.5">
      <c r="A1611" s="616" t="s">
        <v>1353</v>
      </c>
      <c r="B1611" s="616" t="s">
        <v>1354</v>
      </c>
      <c r="C1611" s="616" t="s">
        <v>293</v>
      </c>
      <c r="D1611" s="616" t="s">
        <v>216</v>
      </c>
      <c r="E1611" s="616" t="s">
        <v>503</v>
      </c>
      <c r="F1611" s="617" t="s">
        <v>504</v>
      </c>
      <c r="G1611" s="616" t="s">
        <v>505</v>
      </c>
      <c r="H1611" s="617"/>
      <c r="I1611" s="617"/>
      <c r="J1611" s="617" t="s">
        <v>622</v>
      </c>
      <c r="K1611" s="618"/>
      <c r="L1611" s="616"/>
      <c r="M1611" s="616"/>
      <c r="N1611" s="617"/>
      <c r="O1611" s="617"/>
      <c r="P1611" s="617"/>
      <c r="Q1611" s="617"/>
      <c r="R1611" s="619"/>
      <c r="S1611" s="617"/>
      <c r="T1611" s="616" t="s">
        <v>221</v>
      </c>
    </row>
    <row r="1612" ht="34.5">
      <c r="A1612" s="616" t="s">
        <v>1353</v>
      </c>
      <c r="B1612" s="616" t="s">
        <v>1354</v>
      </c>
      <c r="C1612" s="616" t="s">
        <v>293</v>
      </c>
      <c r="D1612" s="616" t="s">
        <v>216</v>
      </c>
      <c r="E1612" s="616" t="s">
        <v>503</v>
      </c>
      <c r="F1612" s="617" t="s">
        <v>504</v>
      </c>
      <c r="G1612" s="616" t="s">
        <v>505</v>
      </c>
      <c r="H1612" s="617"/>
      <c r="I1612" s="617"/>
      <c r="J1612" s="617" t="s">
        <v>623</v>
      </c>
      <c r="K1612" s="618"/>
      <c r="L1612" s="616"/>
      <c r="M1612" s="616"/>
      <c r="N1612" s="617"/>
      <c r="O1612" s="617"/>
      <c r="P1612" s="617"/>
      <c r="Q1612" s="617"/>
      <c r="R1612" s="619"/>
      <c r="S1612" s="617"/>
      <c r="T1612" s="616" t="s">
        <v>221</v>
      </c>
    </row>
    <row r="1613" ht="34.5">
      <c r="A1613" s="616" t="s">
        <v>1353</v>
      </c>
      <c r="B1613" s="616" t="s">
        <v>1354</v>
      </c>
      <c r="C1613" s="616" t="s">
        <v>293</v>
      </c>
      <c r="D1613" s="616" t="s">
        <v>216</v>
      </c>
      <c r="E1613" s="616" t="s">
        <v>503</v>
      </c>
      <c r="F1613" s="617" t="s">
        <v>504</v>
      </c>
      <c r="G1613" s="616" t="s">
        <v>505</v>
      </c>
      <c r="H1613" s="617"/>
      <c r="I1613" s="617"/>
      <c r="J1613" s="617" t="s">
        <v>1568</v>
      </c>
      <c r="K1613" s="618"/>
      <c r="L1613" s="616"/>
      <c r="M1613" s="616"/>
      <c r="N1613" s="617"/>
      <c r="O1613" s="617"/>
      <c r="P1613" s="617"/>
      <c r="Q1613" s="617"/>
      <c r="R1613" s="619"/>
      <c r="S1613" s="617"/>
      <c r="T1613" s="616" t="s">
        <v>221</v>
      </c>
    </row>
    <row r="1614" ht="34.5">
      <c r="A1614" s="616" t="s">
        <v>1353</v>
      </c>
      <c r="B1614" s="616" t="s">
        <v>1354</v>
      </c>
      <c r="C1614" s="616" t="s">
        <v>293</v>
      </c>
      <c r="D1614" s="616" t="s">
        <v>216</v>
      </c>
      <c r="E1614" s="616" t="s">
        <v>503</v>
      </c>
      <c r="F1614" s="617" t="s">
        <v>504</v>
      </c>
      <c r="G1614" s="616" t="s">
        <v>505</v>
      </c>
      <c r="H1614" s="617"/>
      <c r="I1614" s="617"/>
      <c r="J1614" s="617" t="s">
        <v>625</v>
      </c>
      <c r="K1614" s="618"/>
      <c r="L1614" s="616"/>
      <c r="M1614" s="616"/>
      <c r="N1614" s="617"/>
      <c r="O1614" s="617"/>
      <c r="P1614" s="617"/>
      <c r="Q1614" s="617"/>
      <c r="R1614" s="619"/>
      <c r="S1614" s="617"/>
      <c r="T1614" s="616" t="s">
        <v>221</v>
      </c>
    </row>
    <row r="1615" ht="34.5">
      <c r="A1615" s="616" t="s">
        <v>1353</v>
      </c>
      <c r="B1615" s="616" t="s">
        <v>1354</v>
      </c>
      <c r="C1615" s="616" t="s">
        <v>308</v>
      </c>
      <c r="D1615" s="616" t="s">
        <v>216</v>
      </c>
      <c r="E1615" s="616" t="s">
        <v>503</v>
      </c>
      <c r="F1615" s="617" t="s">
        <v>504</v>
      </c>
      <c r="G1615" s="616" t="s">
        <v>505</v>
      </c>
      <c r="H1615" s="617"/>
      <c r="I1615" s="617"/>
      <c r="J1615" s="617" t="s">
        <v>626</v>
      </c>
      <c r="K1615" s="618"/>
      <c r="L1615" s="616"/>
      <c r="M1615" s="616"/>
      <c r="N1615" s="617"/>
      <c r="O1615" s="617"/>
      <c r="P1615" s="617"/>
      <c r="Q1615" s="617"/>
      <c r="R1615" s="619"/>
      <c r="S1615" s="617"/>
      <c r="T1615" s="616" t="s">
        <v>221</v>
      </c>
    </row>
    <row r="1616" ht="34.5">
      <c r="A1616" s="616" t="s">
        <v>1353</v>
      </c>
      <c r="B1616" s="616" t="s">
        <v>1354</v>
      </c>
      <c r="C1616" s="616" t="s">
        <v>308</v>
      </c>
      <c r="D1616" s="616" t="s">
        <v>1569</v>
      </c>
      <c r="E1616" s="616" t="s">
        <v>503</v>
      </c>
      <c r="F1616" s="617" t="s">
        <v>504</v>
      </c>
      <c r="G1616" s="616" t="s">
        <v>505</v>
      </c>
      <c r="H1616" s="617"/>
      <c r="I1616" s="617"/>
      <c r="J1616" s="617" t="s">
        <v>1570</v>
      </c>
      <c r="K1616" s="618"/>
      <c r="L1616" s="616"/>
      <c r="M1616" s="616"/>
      <c r="N1616" s="617"/>
      <c r="O1616" s="617"/>
      <c r="P1616" s="617"/>
      <c r="Q1616" s="617"/>
      <c r="R1616" s="619"/>
      <c r="S1616" s="617"/>
      <c r="T1616" s="616" t="s">
        <v>221</v>
      </c>
    </row>
    <row r="1617" ht="34.5">
      <c r="A1617" s="616" t="s">
        <v>1353</v>
      </c>
      <c r="B1617" s="616" t="s">
        <v>1354</v>
      </c>
      <c r="C1617" s="616" t="s">
        <v>308</v>
      </c>
      <c r="D1617" s="616" t="s">
        <v>216</v>
      </c>
      <c r="E1617" s="616" t="s">
        <v>503</v>
      </c>
      <c r="F1617" s="617" t="s">
        <v>504</v>
      </c>
      <c r="G1617" s="616" t="s">
        <v>505</v>
      </c>
      <c r="H1617" s="617"/>
      <c r="I1617" s="617"/>
      <c r="J1617" s="617" t="s">
        <v>631</v>
      </c>
      <c r="K1617" s="618"/>
      <c r="L1617" s="616"/>
      <c r="M1617" s="616"/>
      <c r="N1617" s="617"/>
      <c r="O1617" s="617"/>
      <c r="P1617" s="617"/>
      <c r="Q1617" s="617"/>
      <c r="R1617" s="619"/>
      <c r="S1617" s="617"/>
      <c r="T1617" s="616" t="s">
        <v>221</v>
      </c>
    </row>
    <row r="1618" ht="34.5">
      <c r="A1618" s="616" t="s">
        <v>1353</v>
      </c>
      <c r="B1618" s="616" t="s">
        <v>1354</v>
      </c>
      <c r="C1618" s="616" t="s">
        <v>308</v>
      </c>
      <c r="D1618" s="616" t="s">
        <v>1571</v>
      </c>
      <c r="E1618" s="616" t="s">
        <v>503</v>
      </c>
      <c r="F1618" s="617" t="s">
        <v>504</v>
      </c>
      <c r="G1618" s="616" t="s">
        <v>505</v>
      </c>
      <c r="H1618" s="617"/>
      <c r="I1618" s="617"/>
      <c r="J1618" s="617" t="s">
        <v>1572</v>
      </c>
      <c r="K1618" s="618"/>
      <c r="L1618" s="616"/>
      <c r="M1618" s="616"/>
      <c r="N1618" s="617"/>
      <c r="O1618" s="617"/>
      <c r="P1618" s="617"/>
      <c r="Q1618" s="617"/>
      <c r="R1618" s="619"/>
      <c r="S1618" s="617"/>
      <c r="T1618" s="616" t="s">
        <v>221</v>
      </c>
    </row>
    <row r="1619" ht="34.5">
      <c r="A1619" s="616" t="s">
        <v>1353</v>
      </c>
      <c r="B1619" s="616" t="s">
        <v>1354</v>
      </c>
      <c r="C1619" s="616" t="s">
        <v>308</v>
      </c>
      <c r="D1619" s="616" t="s">
        <v>216</v>
      </c>
      <c r="E1619" s="616" t="s">
        <v>503</v>
      </c>
      <c r="F1619" s="617" t="s">
        <v>504</v>
      </c>
      <c r="G1619" s="616" t="s">
        <v>505</v>
      </c>
      <c r="H1619" s="617"/>
      <c r="I1619" s="617"/>
      <c r="J1619" s="617" t="s">
        <v>634</v>
      </c>
      <c r="K1619" s="618"/>
      <c r="L1619" s="616"/>
      <c r="M1619" s="616"/>
      <c r="N1619" s="617"/>
      <c r="O1619" s="617"/>
      <c r="P1619" s="617"/>
      <c r="Q1619" s="617"/>
      <c r="R1619" s="619"/>
      <c r="S1619" s="617"/>
      <c r="T1619" s="616" t="s">
        <v>221</v>
      </c>
    </row>
    <row r="1620" ht="34.5">
      <c r="A1620" s="616" t="s">
        <v>1353</v>
      </c>
      <c r="B1620" s="616" t="s">
        <v>1354</v>
      </c>
      <c r="C1620" s="616" t="s">
        <v>308</v>
      </c>
      <c r="D1620" s="616" t="s">
        <v>216</v>
      </c>
      <c r="E1620" s="616" t="s">
        <v>503</v>
      </c>
      <c r="F1620" s="617" t="s">
        <v>504</v>
      </c>
      <c r="G1620" s="616" t="s">
        <v>505</v>
      </c>
      <c r="H1620" s="617"/>
      <c r="I1620" s="617"/>
      <c r="J1620" s="617" t="s">
        <v>637</v>
      </c>
      <c r="K1620" s="618"/>
      <c r="L1620" s="616"/>
      <c r="M1620" s="616"/>
      <c r="N1620" s="617"/>
      <c r="O1620" s="617"/>
      <c r="P1620" s="617"/>
      <c r="Q1620" s="617"/>
      <c r="R1620" s="619"/>
      <c r="S1620" s="617"/>
      <c r="T1620" s="616" t="s">
        <v>221</v>
      </c>
    </row>
    <row r="1621" ht="34.5">
      <c r="A1621" s="616" t="s">
        <v>1353</v>
      </c>
      <c r="B1621" s="616" t="s">
        <v>1354</v>
      </c>
      <c r="C1621" s="616" t="s">
        <v>308</v>
      </c>
      <c r="D1621" s="616" t="s">
        <v>216</v>
      </c>
      <c r="E1621" s="616" t="s">
        <v>503</v>
      </c>
      <c r="F1621" s="617" t="s">
        <v>504</v>
      </c>
      <c r="G1621" s="616" t="s">
        <v>505</v>
      </c>
      <c r="H1621" s="617"/>
      <c r="I1621" s="617"/>
      <c r="J1621" s="617" t="s">
        <v>638</v>
      </c>
      <c r="K1621" s="618"/>
      <c r="L1621" s="616"/>
      <c r="M1621" s="616"/>
      <c r="N1621" s="617"/>
      <c r="O1621" s="617"/>
      <c r="P1621" s="617"/>
      <c r="Q1621" s="617"/>
      <c r="R1621" s="619"/>
      <c r="S1621" s="617"/>
      <c r="T1621" s="616" t="s">
        <v>221</v>
      </c>
    </row>
    <row r="1622" ht="34.5">
      <c r="A1622" s="616" t="s">
        <v>1353</v>
      </c>
      <c r="B1622" s="616" t="s">
        <v>1354</v>
      </c>
      <c r="C1622" s="616" t="s">
        <v>308</v>
      </c>
      <c r="D1622" s="616" t="s">
        <v>216</v>
      </c>
      <c r="E1622" s="616" t="s">
        <v>503</v>
      </c>
      <c r="F1622" s="617" t="s">
        <v>504</v>
      </c>
      <c r="G1622" s="616" t="s">
        <v>505</v>
      </c>
      <c r="H1622" s="617"/>
      <c r="I1622" s="617"/>
      <c r="J1622" s="617" t="s">
        <v>639</v>
      </c>
      <c r="K1622" s="618"/>
      <c r="L1622" s="616"/>
      <c r="M1622" s="616"/>
      <c r="N1622" s="617"/>
      <c r="O1622" s="617"/>
      <c r="P1622" s="617"/>
      <c r="Q1622" s="617"/>
      <c r="R1622" s="619"/>
      <c r="S1622" s="617"/>
      <c r="T1622" s="616" t="s">
        <v>221</v>
      </c>
    </row>
    <row r="1623" ht="34.5">
      <c r="A1623" s="616" t="s">
        <v>1353</v>
      </c>
      <c r="B1623" s="616" t="s">
        <v>1354</v>
      </c>
      <c r="C1623" s="616" t="s">
        <v>308</v>
      </c>
      <c r="D1623" s="616" t="s">
        <v>216</v>
      </c>
      <c r="E1623" s="616" t="s">
        <v>503</v>
      </c>
      <c r="F1623" s="617" t="s">
        <v>504</v>
      </c>
      <c r="G1623" s="616" t="s">
        <v>505</v>
      </c>
      <c r="H1623" s="617"/>
      <c r="I1623" s="617"/>
      <c r="J1623" s="617" t="s">
        <v>640</v>
      </c>
      <c r="K1623" s="618"/>
      <c r="L1623" s="616"/>
      <c r="M1623" s="616"/>
      <c r="N1623" s="617"/>
      <c r="O1623" s="617"/>
      <c r="P1623" s="617"/>
      <c r="Q1623" s="617"/>
      <c r="R1623" s="619"/>
      <c r="S1623" s="617"/>
      <c r="T1623" s="616" t="s">
        <v>221</v>
      </c>
    </row>
    <row r="1624" ht="34.5">
      <c r="A1624" s="616" t="s">
        <v>1353</v>
      </c>
      <c r="B1624" s="616" t="s">
        <v>1354</v>
      </c>
      <c r="C1624" s="616" t="s">
        <v>308</v>
      </c>
      <c r="D1624" s="616" t="s">
        <v>216</v>
      </c>
      <c r="E1624" s="616" t="s">
        <v>503</v>
      </c>
      <c r="F1624" s="617" t="s">
        <v>504</v>
      </c>
      <c r="G1624" s="616" t="s">
        <v>505</v>
      </c>
      <c r="H1624" s="617"/>
      <c r="I1624" s="617"/>
      <c r="J1624" s="617" t="s">
        <v>641</v>
      </c>
      <c r="K1624" s="618"/>
      <c r="L1624" s="616"/>
      <c r="M1624" s="616"/>
      <c r="N1624" s="617"/>
      <c r="O1624" s="617"/>
      <c r="P1624" s="617"/>
      <c r="Q1624" s="617"/>
      <c r="R1624" s="619"/>
      <c r="S1624" s="617"/>
      <c r="T1624" s="616" t="s">
        <v>221</v>
      </c>
    </row>
    <row r="1625" ht="34.5">
      <c r="A1625" s="616" t="s">
        <v>1353</v>
      </c>
      <c r="B1625" s="616" t="s">
        <v>1354</v>
      </c>
      <c r="C1625" s="616" t="s">
        <v>320</v>
      </c>
      <c r="D1625" s="616" t="s">
        <v>216</v>
      </c>
      <c r="E1625" s="616" t="s">
        <v>503</v>
      </c>
      <c r="F1625" s="617" t="s">
        <v>504</v>
      </c>
      <c r="G1625" s="616" t="s">
        <v>505</v>
      </c>
      <c r="H1625" s="617"/>
      <c r="I1625" s="617"/>
      <c r="J1625" s="617" t="s">
        <v>642</v>
      </c>
      <c r="K1625" s="618"/>
      <c r="L1625" s="616"/>
      <c r="M1625" s="616"/>
      <c r="N1625" s="617"/>
      <c r="O1625" s="617"/>
      <c r="P1625" s="617"/>
      <c r="Q1625" s="617"/>
      <c r="R1625" s="619"/>
      <c r="S1625" s="617"/>
      <c r="T1625" s="616" t="s">
        <v>221</v>
      </c>
    </row>
    <row r="1626" ht="34.5">
      <c r="A1626" s="616" t="s">
        <v>1353</v>
      </c>
      <c r="B1626" s="616" t="s">
        <v>1354</v>
      </c>
      <c r="C1626" s="616" t="s">
        <v>320</v>
      </c>
      <c r="D1626" s="616" t="s">
        <v>216</v>
      </c>
      <c r="E1626" s="616" t="s">
        <v>503</v>
      </c>
      <c r="F1626" s="617" t="s">
        <v>504</v>
      </c>
      <c r="G1626" s="616" t="s">
        <v>505</v>
      </c>
      <c r="H1626" s="617"/>
      <c r="I1626" s="617"/>
      <c r="J1626" s="617" t="s">
        <v>643</v>
      </c>
      <c r="K1626" s="618"/>
      <c r="L1626" s="616"/>
      <c r="M1626" s="616"/>
      <c r="N1626" s="617"/>
      <c r="O1626" s="617"/>
      <c r="P1626" s="617"/>
      <c r="Q1626" s="617"/>
      <c r="R1626" s="619"/>
      <c r="S1626" s="617"/>
      <c r="T1626" s="616" t="s">
        <v>221</v>
      </c>
    </row>
    <row r="1627" ht="34.5">
      <c r="A1627" s="616" t="s">
        <v>1353</v>
      </c>
      <c r="B1627" s="616" t="s">
        <v>1354</v>
      </c>
      <c r="C1627" s="616" t="s">
        <v>320</v>
      </c>
      <c r="D1627" s="616" t="s">
        <v>216</v>
      </c>
      <c r="E1627" s="616" t="s">
        <v>503</v>
      </c>
      <c r="F1627" s="617" t="s">
        <v>504</v>
      </c>
      <c r="G1627" s="616" t="s">
        <v>505</v>
      </c>
      <c r="H1627" s="617"/>
      <c r="I1627" s="617"/>
      <c r="J1627" s="617" t="s">
        <v>644</v>
      </c>
      <c r="K1627" s="618"/>
      <c r="L1627" s="616"/>
      <c r="M1627" s="616"/>
      <c r="N1627" s="617"/>
      <c r="O1627" s="617"/>
      <c r="P1627" s="617"/>
      <c r="Q1627" s="617"/>
      <c r="R1627" s="619"/>
      <c r="S1627" s="617"/>
      <c r="T1627" s="616" t="s">
        <v>221</v>
      </c>
    </row>
    <row r="1628" ht="34.5">
      <c r="A1628" s="616" t="s">
        <v>1353</v>
      </c>
      <c r="B1628" s="616" t="s">
        <v>1354</v>
      </c>
      <c r="C1628" s="616" t="s">
        <v>320</v>
      </c>
      <c r="D1628" s="616" t="s">
        <v>216</v>
      </c>
      <c r="E1628" s="616" t="s">
        <v>503</v>
      </c>
      <c r="F1628" s="617" t="s">
        <v>504</v>
      </c>
      <c r="G1628" s="616" t="s">
        <v>505</v>
      </c>
      <c r="H1628" s="617"/>
      <c r="I1628" s="617"/>
      <c r="J1628" s="617" t="s">
        <v>645</v>
      </c>
      <c r="K1628" s="618"/>
      <c r="L1628" s="616"/>
      <c r="M1628" s="616"/>
      <c r="N1628" s="617"/>
      <c r="O1628" s="617"/>
      <c r="P1628" s="617"/>
      <c r="Q1628" s="617"/>
      <c r="R1628" s="619"/>
      <c r="S1628" s="617"/>
      <c r="T1628" s="616" t="s">
        <v>221</v>
      </c>
    </row>
    <row r="1629" ht="34.5">
      <c r="A1629" s="616" t="s">
        <v>1353</v>
      </c>
      <c r="B1629" s="616" t="s">
        <v>1354</v>
      </c>
      <c r="C1629" s="616" t="s">
        <v>320</v>
      </c>
      <c r="D1629" s="616" t="s">
        <v>216</v>
      </c>
      <c r="E1629" s="616" t="s">
        <v>503</v>
      </c>
      <c r="F1629" s="617" t="s">
        <v>504</v>
      </c>
      <c r="G1629" s="616" t="s">
        <v>505</v>
      </c>
      <c r="H1629" s="617"/>
      <c r="I1629" s="617"/>
      <c r="J1629" s="617" t="s">
        <v>646</v>
      </c>
      <c r="K1629" s="618"/>
      <c r="L1629" s="616"/>
      <c r="M1629" s="616"/>
      <c r="N1629" s="617"/>
      <c r="O1629" s="617"/>
      <c r="P1629" s="617"/>
      <c r="Q1629" s="617"/>
      <c r="R1629" s="619"/>
      <c r="S1629" s="617"/>
      <c r="T1629" s="616" t="s">
        <v>221</v>
      </c>
    </row>
    <row r="1630" ht="34.5">
      <c r="A1630" s="616" t="s">
        <v>1353</v>
      </c>
      <c r="B1630" s="616" t="s">
        <v>1354</v>
      </c>
      <c r="C1630" s="616" t="s">
        <v>320</v>
      </c>
      <c r="D1630" s="616" t="s">
        <v>1573</v>
      </c>
      <c r="E1630" s="616" t="s">
        <v>503</v>
      </c>
      <c r="F1630" s="617" t="s">
        <v>504</v>
      </c>
      <c r="G1630" s="616" t="s">
        <v>505</v>
      </c>
      <c r="H1630" s="617"/>
      <c r="I1630" s="617"/>
      <c r="J1630" s="617" t="s">
        <v>1574</v>
      </c>
      <c r="K1630" s="618"/>
      <c r="L1630" s="616"/>
      <c r="M1630" s="616"/>
      <c r="N1630" s="617"/>
      <c r="O1630" s="617"/>
      <c r="P1630" s="617"/>
      <c r="Q1630" s="617"/>
      <c r="R1630" s="619"/>
      <c r="S1630" s="617"/>
      <c r="T1630" s="616" t="s">
        <v>221</v>
      </c>
    </row>
    <row r="1631" ht="34.5">
      <c r="A1631" s="616" t="s">
        <v>1353</v>
      </c>
      <c r="B1631" s="616" t="s">
        <v>1354</v>
      </c>
      <c r="C1631" s="616" t="s">
        <v>331</v>
      </c>
      <c r="D1631" s="616" t="s">
        <v>216</v>
      </c>
      <c r="E1631" s="616" t="s">
        <v>503</v>
      </c>
      <c r="F1631" s="617" t="s">
        <v>504</v>
      </c>
      <c r="G1631" s="616" t="s">
        <v>505</v>
      </c>
      <c r="H1631" s="617"/>
      <c r="I1631" s="617"/>
      <c r="J1631" s="617" t="s">
        <v>654</v>
      </c>
      <c r="K1631" s="618"/>
      <c r="L1631" s="616"/>
      <c r="M1631" s="616"/>
      <c r="N1631" s="617"/>
      <c r="O1631" s="617"/>
      <c r="P1631" s="617"/>
      <c r="Q1631" s="617"/>
      <c r="R1631" s="619"/>
      <c r="S1631" s="617"/>
      <c r="T1631" s="616" t="s">
        <v>221</v>
      </c>
    </row>
    <row r="1632" ht="34.5">
      <c r="A1632" s="616" t="s">
        <v>1353</v>
      </c>
      <c r="B1632" s="616" t="s">
        <v>1354</v>
      </c>
      <c r="C1632" s="616" t="s">
        <v>331</v>
      </c>
      <c r="D1632" s="616" t="s">
        <v>216</v>
      </c>
      <c r="E1632" s="616" t="s">
        <v>503</v>
      </c>
      <c r="F1632" s="617" t="s">
        <v>504</v>
      </c>
      <c r="G1632" s="616" t="s">
        <v>505</v>
      </c>
      <c r="H1632" s="617"/>
      <c r="I1632" s="617"/>
      <c r="J1632" s="617" t="s">
        <v>1575</v>
      </c>
      <c r="K1632" s="618"/>
      <c r="L1632" s="616"/>
      <c r="M1632" s="616"/>
      <c r="N1632" s="617"/>
      <c r="O1632" s="617"/>
      <c r="P1632" s="617"/>
      <c r="Q1632" s="617"/>
      <c r="R1632" s="619"/>
      <c r="S1632" s="617"/>
      <c r="T1632" s="616" t="s">
        <v>221</v>
      </c>
    </row>
    <row r="1633" ht="34.5">
      <c r="A1633" s="616" t="s">
        <v>1353</v>
      </c>
      <c r="B1633" s="616" t="s">
        <v>1354</v>
      </c>
      <c r="C1633" s="616" t="s">
        <v>331</v>
      </c>
      <c r="D1633" s="616" t="s">
        <v>216</v>
      </c>
      <c r="E1633" s="616" t="s">
        <v>503</v>
      </c>
      <c r="F1633" s="617" t="s">
        <v>504</v>
      </c>
      <c r="G1633" s="616" t="s">
        <v>505</v>
      </c>
      <c r="H1633" s="617"/>
      <c r="I1633" s="617"/>
      <c r="J1633" s="617" t="s">
        <v>656</v>
      </c>
      <c r="K1633" s="618"/>
      <c r="L1633" s="616"/>
      <c r="M1633" s="616"/>
      <c r="N1633" s="617"/>
      <c r="O1633" s="617"/>
      <c r="P1633" s="617"/>
      <c r="Q1633" s="617"/>
      <c r="R1633" s="619"/>
      <c r="S1633" s="617"/>
      <c r="T1633" s="616" t="s">
        <v>221</v>
      </c>
    </row>
    <row r="1634" ht="34.5">
      <c r="A1634" s="616" t="s">
        <v>1353</v>
      </c>
      <c r="B1634" s="616" t="s">
        <v>1354</v>
      </c>
      <c r="C1634" s="616" t="s">
        <v>331</v>
      </c>
      <c r="D1634" s="616" t="s">
        <v>1576</v>
      </c>
      <c r="E1634" s="616" t="s">
        <v>503</v>
      </c>
      <c r="F1634" s="617" t="s">
        <v>504</v>
      </c>
      <c r="G1634" s="616" t="s">
        <v>505</v>
      </c>
      <c r="H1634" s="617"/>
      <c r="I1634" s="617"/>
      <c r="J1634" s="617" t="s">
        <v>1577</v>
      </c>
      <c r="K1634" s="618"/>
      <c r="L1634" s="616"/>
      <c r="M1634" s="616"/>
      <c r="N1634" s="617"/>
      <c r="O1634" s="617"/>
      <c r="P1634" s="617"/>
      <c r="Q1634" s="617"/>
      <c r="R1634" s="619"/>
      <c r="S1634" s="617"/>
      <c r="T1634" s="616" t="s">
        <v>221</v>
      </c>
    </row>
    <row r="1635" ht="34.5">
      <c r="A1635" s="616" t="s">
        <v>1353</v>
      </c>
      <c r="B1635" s="616" t="s">
        <v>1354</v>
      </c>
      <c r="C1635" s="616" t="s">
        <v>331</v>
      </c>
      <c r="D1635" s="616" t="s">
        <v>216</v>
      </c>
      <c r="E1635" s="616" t="s">
        <v>503</v>
      </c>
      <c r="F1635" s="617" t="s">
        <v>504</v>
      </c>
      <c r="G1635" s="616" t="s">
        <v>505</v>
      </c>
      <c r="H1635" s="617"/>
      <c r="I1635" s="617"/>
      <c r="J1635" s="617" t="s">
        <v>659</v>
      </c>
      <c r="K1635" s="618"/>
      <c r="L1635" s="616"/>
      <c r="M1635" s="616"/>
      <c r="N1635" s="617"/>
      <c r="O1635" s="617"/>
      <c r="P1635" s="617"/>
      <c r="Q1635" s="617"/>
      <c r="R1635" s="619"/>
      <c r="S1635" s="617"/>
      <c r="T1635" s="616" t="s">
        <v>221</v>
      </c>
    </row>
    <row r="1636" ht="34.5">
      <c r="A1636" s="616" t="s">
        <v>1353</v>
      </c>
      <c r="B1636" s="616" t="s">
        <v>1354</v>
      </c>
      <c r="C1636" s="616" t="s">
        <v>331</v>
      </c>
      <c r="D1636" s="616" t="s">
        <v>216</v>
      </c>
      <c r="E1636" s="616" t="s">
        <v>503</v>
      </c>
      <c r="F1636" s="617" t="s">
        <v>504</v>
      </c>
      <c r="G1636" s="616" t="s">
        <v>505</v>
      </c>
      <c r="H1636" s="617"/>
      <c r="I1636" s="617"/>
      <c r="J1636" s="617" t="s">
        <v>660</v>
      </c>
      <c r="K1636" s="618"/>
      <c r="L1636" s="616"/>
      <c r="M1636" s="616"/>
      <c r="N1636" s="617"/>
      <c r="O1636" s="617"/>
      <c r="P1636" s="617"/>
      <c r="Q1636" s="617"/>
      <c r="R1636" s="619"/>
      <c r="S1636" s="617"/>
      <c r="T1636" s="616" t="s">
        <v>221</v>
      </c>
    </row>
    <row r="1637" ht="34.5">
      <c r="A1637" s="616" t="s">
        <v>1353</v>
      </c>
      <c r="B1637" s="616" t="s">
        <v>1354</v>
      </c>
      <c r="C1637" s="616" t="s">
        <v>331</v>
      </c>
      <c r="D1637" s="616" t="s">
        <v>216</v>
      </c>
      <c r="E1637" s="616" t="s">
        <v>503</v>
      </c>
      <c r="F1637" s="617" t="s">
        <v>504</v>
      </c>
      <c r="G1637" s="616" t="s">
        <v>505</v>
      </c>
      <c r="H1637" s="617"/>
      <c r="I1637" s="617"/>
      <c r="J1637" s="617" t="s">
        <v>661</v>
      </c>
      <c r="K1637" s="618"/>
      <c r="L1637" s="616"/>
      <c r="M1637" s="616"/>
      <c r="N1637" s="617"/>
      <c r="O1637" s="617"/>
      <c r="P1637" s="617"/>
      <c r="Q1637" s="617"/>
      <c r="R1637" s="619"/>
      <c r="S1637" s="617"/>
      <c r="T1637" s="616" t="s">
        <v>221</v>
      </c>
    </row>
    <row r="1638" ht="34.5">
      <c r="A1638" s="616" t="s">
        <v>1353</v>
      </c>
      <c r="B1638" s="616" t="s">
        <v>1354</v>
      </c>
      <c r="C1638" s="616" t="s">
        <v>331</v>
      </c>
      <c r="D1638" s="616" t="s">
        <v>216</v>
      </c>
      <c r="E1638" s="616" t="s">
        <v>503</v>
      </c>
      <c r="F1638" s="617" t="s">
        <v>504</v>
      </c>
      <c r="G1638" s="616" t="s">
        <v>505</v>
      </c>
      <c r="H1638" s="617"/>
      <c r="I1638" s="617"/>
      <c r="J1638" s="617" t="s">
        <v>664</v>
      </c>
      <c r="K1638" s="618"/>
      <c r="L1638" s="616"/>
      <c r="M1638" s="616"/>
      <c r="N1638" s="617"/>
      <c r="O1638" s="617"/>
      <c r="P1638" s="617"/>
      <c r="Q1638" s="617"/>
      <c r="R1638" s="619"/>
      <c r="S1638" s="617"/>
      <c r="T1638" s="616" t="s">
        <v>221</v>
      </c>
    </row>
    <row r="1639" ht="34.5">
      <c r="A1639" s="616" t="s">
        <v>1353</v>
      </c>
      <c r="B1639" s="616" t="s">
        <v>1354</v>
      </c>
      <c r="C1639" s="616" t="s">
        <v>331</v>
      </c>
      <c r="D1639" s="616" t="s">
        <v>216</v>
      </c>
      <c r="E1639" s="616" t="s">
        <v>503</v>
      </c>
      <c r="F1639" s="617" t="s">
        <v>504</v>
      </c>
      <c r="G1639" s="616" t="s">
        <v>505</v>
      </c>
      <c r="H1639" s="617"/>
      <c r="I1639" s="617"/>
      <c r="J1639" s="617" t="s">
        <v>665</v>
      </c>
      <c r="K1639" s="618"/>
      <c r="L1639" s="616"/>
      <c r="M1639" s="616"/>
      <c r="N1639" s="617"/>
      <c r="O1639" s="617"/>
      <c r="P1639" s="617"/>
      <c r="Q1639" s="617"/>
      <c r="R1639" s="619"/>
      <c r="S1639" s="617"/>
      <c r="T1639" s="616" t="s">
        <v>221</v>
      </c>
    </row>
    <row r="1640" ht="34.5">
      <c r="A1640" s="616" t="s">
        <v>1353</v>
      </c>
      <c r="B1640" s="616" t="s">
        <v>1354</v>
      </c>
      <c r="C1640" s="616" t="s">
        <v>345</v>
      </c>
      <c r="D1640" s="616" t="s">
        <v>216</v>
      </c>
      <c r="E1640" s="616" t="s">
        <v>503</v>
      </c>
      <c r="F1640" s="617" t="s">
        <v>504</v>
      </c>
      <c r="G1640" s="616" t="s">
        <v>505</v>
      </c>
      <c r="H1640" s="617"/>
      <c r="I1640" s="617"/>
      <c r="J1640" s="617" t="s">
        <v>666</v>
      </c>
      <c r="K1640" s="618"/>
      <c r="L1640" s="616"/>
      <c r="M1640" s="616"/>
      <c r="N1640" s="617"/>
      <c r="O1640" s="617"/>
      <c r="P1640" s="617"/>
      <c r="Q1640" s="617"/>
      <c r="R1640" s="619"/>
      <c r="S1640" s="617"/>
      <c r="T1640" s="616" t="s">
        <v>221</v>
      </c>
    </row>
    <row r="1641" ht="34.5">
      <c r="A1641" s="616" t="s">
        <v>1353</v>
      </c>
      <c r="B1641" s="616" t="s">
        <v>1354</v>
      </c>
      <c r="C1641" s="616" t="s">
        <v>345</v>
      </c>
      <c r="D1641" s="616" t="s">
        <v>216</v>
      </c>
      <c r="E1641" s="616" t="s">
        <v>503</v>
      </c>
      <c r="F1641" s="617" t="s">
        <v>504</v>
      </c>
      <c r="G1641" s="616" t="s">
        <v>505</v>
      </c>
      <c r="H1641" s="617"/>
      <c r="I1641" s="617"/>
      <c r="J1641" s="617" t="s">
        <v>667</v>
      </c>
      <c r="K1641" s="618"/>
      <c r="L1641" s="616"/>
      <c r="M1641" s="616"/>
      <c r="N1641" s="617"/>
      <c r="O1641" s="617"/>
      <c r="P1641" s="617"/>
      <c r="Q1641" s="617"/>
      <c r="R1641" s="619"/>
      <c r="S1641" s="617"/>
      <c r="T1641" s="616" t="s">
        <v>221</v>
      </c>
    </row>
    <row r="1642" ht="34.5"/>
  </sheetData>
  <autoFilter ref="A5:T1641"/>
</worksheet>
</file>

<file path=xl/worksheets/sheet4.xml><?xml version="1.0" encoding="utf-8"?>
<worksheet xmlns="http://schemas.openxmlformats.org/spreadsheetml/2006/main" xmlns:r="http://schemas.openxmlformats.org/officeDocument/2006/relationships">
  <dimension ref="A1:K127"/>
  <sheetViews>
    <sheetView showGridLines="0" workbookViewId="0"/>
  </sheetViews>
  <sheetFormatPr defaultColWidth="8.375" defaultRowHeight="15"/>
  <cols>
    <col min="1" max="1" width="43.125" customWidth="1"/>
    <col min="2" max="11" width="15.625" customWidth="1"/>
  </cols>
  <sheetData>
    <row r="1">
      <c r="A1" s="690" t="s">
        <v>0</v>
      </c>
      <c r="B1" s="653"/>
      <c r="C1" s="653"/>
      <c r="D1" s="653"/>
      <c r="E1" s="653"/>
      <c r="F1" s="653"/>
      <c r="G1" s="655"/>
      <c r="H1" s="649"/>
      <c r="I1" s="649"/>
      <c r="J1" s="649"/>
      <c r="K1" s="649"/>
    </row>
    <row r="2">
      <c r="A2" s="688" t="s">
        <v>1</v>
      </c>
      <c r="G2" s="654"/>
    </row>
    <row r="3">
      <c r="A3" s="688" t="s">
        <v>2</v>
      </c>
      <c r="G3" s="654"/>
    </row>
    <row r="4">
      <c r="A4" s="643"/>
      <c r="B4" s="643"/>
      <c r="C4" s="643"/>
      <c r="D4" s="643"/>
      <c r="E4" s="643"/>
      <c r="F4" s="643"/>
      <c r="G4" s="654"/>
      <c r="H4" s="643"/>
      <c r="I4" s="643"/>
      <c r="J4" s="643"/>
      <c r="K4" s="643"/>
    </row>
    <row r="5">
      <c r="A5" s="690" t="s">
        <v>3</v>
      </c>
      <c r="B5" s="707" t="s">
        <v>4</v>
      </c>
      <c r="C5" s="707" t="s">
        <v>5</v>
      </c>
      <c r="D5" s="707" t="s">
        <v>6</v>
      </c>
      <c r="E5" s="707" t="s">
        <v>7</v>
      </c>
      <c r="F5" s="707" t="s">
        <v>8</v>
      </c>
      <c r="G5" s="708" t="s">
        <v>9</v>
      </c>
      <c r="H5" s="705" t="s">
        <v>10</v>
      </c>
      <c r="I5" s="705" t="s">
        <v>11</v>
      </c>
      <c r="J5" s="705" t="s">
        <v>12</v>
      </c>
      <c r="K5" s="705" t="s">
        <v>13</v>
      </c>
    </row>
    <row r="6">
      <c r="A6" s="690" t="s">
        <v>14</v>
      </c>
      <c r="B6" s="647"/>
      <c r="C6" s="647"/>
      <c r="D6" s="647"/>
      <c r="E6" s="647"/>
      <c r="F6" s="647"/>
      <c r="G6" s="657"/>
      <c r="H6" s="651"/>
      <c r="I6" s="651"/>
      <c r="J6" s="651"/>
      <c r="K6" s="651"/>
    </row>
    <row r="7">
      <c r="A7" s="688" t="s">
        <v>15</v>
      </c>
      <c r="B7" s="686">
        <f>EEFF!B7</f>
        <v>436095180</v>
      </c>
      <c r="C7" s="686">
        <f>EEFF!C7</f>
        <v>419112916</v>
      </c>
      <c r="D7" s="686">
        <f>EEFF!D7</f>
        <v>454333887</v>
      </c>
      <c r="E7" s="686">
        <f>EEFF!E7</f>
        <v>503666534</v>
      </c>
      <c r="F7" s="686">
        <f>EEFF!F7</f>
        <v>523500468</v>
      </c>
      <c r="G7" s="692">
        <f>F7*(1+Supuestos!G11)</f>
        <v>544126386.4392</v>
      </c>
      <c r="H7" s="686">
        <f>G7*(1+Supuestos!H11)</f>
        <v>565564966.0649046</v>
      </c>
      <c r="I7" s="686">
        <f>H7*(1+Supuestos!I11)</f>
        <v>587848225.7278619</v>
      </c>
      <c r="J7" s="686">
        <f>I7*(1+Supuestos!J11)</f>
        <v>611009445.8215396</v>
      </c>
      <c r="K7" s="686">
        <f>J7*(1+Supuestos!K11)</f>
        <v>635083217.9869083</v>
      </c>
    </row>
    <row r="8">
      <c r="A8" s="688" t="s">
        <v>16</v>
      </c>
      <c r="B8" s="686">
        <f>EEFF!B8</f>
        <v>-263333029</v>
      </c>
      <c r="C8" s="686">
        <f>EEFF!C8</f>
        <v>-238053406</v>
      </c>
      <c r="D8" s="686">
        <f>EEFF!D8</f>
        <v>-281836291</v>
      </c>
      <c r="E8" s="686">
        <f>EEFF!E8</f>
        <v>-350182264</v>
      </c>
      <c r="F8" s="686">
        <f>EEFF!F8</f>
        <v>-366248027</v>
      </c>
      <c r="G8" s="692">
        <f>G7*Supuestos!G19</f>
        <v>-380670819.95286435</v>
      </c>
      <c r="H8" s="686">
        <f>H7*Supuestos!H19</f>
        <v>-395669250.2590072</v>
      </c>
      <c r="I8" s="686">
        <f>I7*Supuestos!I19</f>
        <v>-411258618.7192122</v>
      </c>
      <c r="J8" s="686">
        <f>J7*Supuestos!J19</f>
        <v>-427462208.2967491</v>
      </c>
      <c r="K8" s="686">
        <f>K7*Supuestos!K19</f>
        <v>-444304219.3036411</v>
      </c>
    </row>
    <row r="9">
      <c r="A9" s="677" t="s">
        <v>17</v>
      </c>
      <c r="B9" s="681">
        <f>EEFF!B9</f>
        <v>172762151</v>
      </c>
      <c r="C9" s="681">
        <f>EEFF!C9</f>
        <v>181059510</v>
      </c>
      <c r="D9" s="681">
        <f>EEFF!D9</f>
        <v>172497596</v>
      </c>
      <c r="E9" s="681">
        <f>EEFF!E9</f>
        <v>153484270</v>
      </c>
      <c r="F9" s="681">
        <f>EEFF!F9</f>
        <v>157252441</v>
      </c>
      <c r="G9" s="679">
        <f>G7+G8</f>
        <v>163455566.4863357</v>
      </c>
      <c r="H9" s="671">
        <f>H7+H8</f>
        <v>169895715.80589736</v>
      </c>
      <c r="I9" s="671">
        <f>I7+I8</f>
        <v>176589607.0086497</v>
      </c>
      <c r="J9" s="671">
        <f>J7+J8</f>
        <v>183547237.52479053</v>
      </c>
      <c r="K9" s="671">
        <f>K7+K8</f>
        <v>190778998.68326724</v>
      </c>
    </row>
    <row r="10">
      <c r="A10" s="688" t="s">
        <v>18</v>
      </c>
      <c r="B10" s="686">
        <f>EEFF!B10</f>
        <v>48561754</v>
      </c>
      <c r="C10" s="686">
        <f>EEFF!C10</f>
        <v>57798314</v>
      </c>
      <c r="D10" s="686">
        <f>EEFF!D10</f>
        <v>66344055</v>
      </c>
      <c r="E10" s="686">
        <f>EEFF!E10</f>
        <v>69992300</v>
      </c>
      <c r="F10" s="686">
        <f>EEFF!F10</f>
        <v>70656110</v>
      </c>
      <c r="G10" s="692">
        <f>F10*(1+Supuestos!G50)</f>
        <v>71327343.045</v>
      </c>
      <c r="H10" s="686">
        <f>G10*(1+Supuestos!H50)</f>
        <v>72004952.80392751</v>
      </c>
      <c r="I10" s="686">
        <f>H10*(1+Supuestos!I50)</f>
        <v>72688999.85556483</v>
      </c>
      <c r="J10" s="686">
        <f>I10*(1+Supuestos!J50)</f>
        <v>73379545.3541927</v>
      </c>
      <c r="K10" s="686">
        <f>J10*(1+Supuestos!K50)</f>
        <v>74076651.03505754</v>
      </c>
    </row>
    <row r="11">
      <c r="A11" s="688" t="s">
        <v>19</v>
      </c>
      <c r="B11" s="686">
        <f>EEFF!B11</f>
        <v>-13491941</v>
      </c>
      <c r="C11" s="686">
        <f>EEFF!C11</f>
        <v>-19374865</v>
      </c>
      <c r="D11" s="686">
        <f>EEFF!D11</f>
        <v>-22088949</v>
      </c>
      <c r="E11" s="686">
        <f>EEFF!E11</f>
        <v>-24919428</v>
      </c>
      <c r="F11" s="686">
        <f>EEFF!F11</f>
        <v>-26262774</v>
      </c>
      <c r="G11" s="695">
        <f>F11</f>
        <v>-26262774</v>
      </c>
      <c r="H11" s="685">
        <f>G11</f>
        <v>-26262774</v>
      </c>
      <c r="I11" s="685">
        <f>H11</f>
        <v>-26262774</v>
      </c>
      <c r="J11" s="685">
        <f>I11</f>
        <v>-26262774</v>
      </c>
      <c r="K11" s="685">
        <f>J11</f>
        <v>-26262774</v>
      </c>
    </row>
    <row r="12">
      <c r="A12" s="677" t="s">
        <v>20</v>
      </c>
      <c r="B12" s="681">
        <f>EEFF!B12</f>
        <v>35069813</v>
      </c>
      <c r="C12" s="681">
        <f>EEFF!C12</f>
        <v>38423449</v>
      </c>
      <c r="D12" s="681">
        <f>EEFF!D12</f>
        <v>44255106</v>
      </c>
      <c r="E12" s="681">
        <f>EEFF!E12</f>
        <v>45072872</v>
      </c>
      <c r="F12" s="681">
        <f>EEFF!F12</f>
        <v>44393336</v>
      </c>
      <c r="G12" s="679">
        <f>G10+G11</f>
        <v>45064569.045</v>
      </c>
      <c r="H12" s="671">
        <f>H10+H11</f>
        <v>45742178.80392751</v>
      </c>
      <c r="I12" s="671">
        <f>I10+I11</f>
        <v>46426225.85556483</v>
      </c>
      <c r="J12" s="671">
        <f>J10+J11</f>
        <v>47116771.354192704</v>
      </c>
      <c r="K12" s="671">
        <f>K10+K11</f>
        <v>47813877.035057545</v>
      </c>
    </row>
    <row r="13">
      <c r="A13" s="677" t="s">
        <v>21</v>
      </c>
      <c r="B13" s="681">
        <f>EEFF!B13</f>
        <v>207831964</v>
      </c>
      <c r="C13" s="681">
        <f>EEFF!C13</f>
        <v>219482959</v>
      </c>
      <c r="D13" s="681">
        <f>EEFF!D13</f>
        <v>216752702</v>
      </c>
      <c r="E13" s="681">
        <f>EEFF!E13</f>
        <v>198557142</v>
      </c>
      <c r="F13" s="681">
        <f>EEFF!F13</f>
        <v>201645777</v>
      </c>
      <c r="G13" s="679">
        <f>G9+G12</f>
        <v>208520135.5313357</v>
      </c>
      <c r="H13" s="671">
        <f>H9+H12</f>
        <v>215637894.60982487</v>
      </c>
      <c r="I13" s="671">
        <f>I9+I12</f>
        <v>223015832.86421454</v>
      </c>
      <c r="J13" s="671">
        <f>J9+J12</f>
        <v>230664008.87898323</v>
      </c>
      <c r="K13" s="671">
        <f>K9+K12</f>
        <v>238592875.71832478</v>
      </c>
    </row>
    <row r="14">
      <c r="A14" s="688" t="s">
        <v>22</v>
      </c>
      <c r="B14" s="686">
        <f>EEFF!B14</f>
        <v>83497811</v>
      </c>
      <c r="C14" s="686">
        <f>EEFF!C14</f>
        <v>59032479</v>
      </c>
      <c r="D14" s="686">
        <f>EEFF!D14</f>
        <v>48957742</v>
      </c>
      <c r="E14" s="686">
        <f>EEFF!E14</f>
        <v>34695854</v>
      </c>
      <c r="F14" s="686">
        <f>EEFF!F14</f>
        <v>28431911</v>
      </c>
      <c r="G14" s="692">
        <f>Supuestos!G44*F40</f>
        <v>27636946.235999998</v>
      </c>
      <c r="H14" s="686">
        <f>Supuestos!H44*G40</f>
        <v>27794476.8295452</v>
      </c>
      <c r="I14" s="686">
        <f>Supuestos!I44*H40</f>
        <v>27952905.347473606</v>
      </c>
      <c r="J14" s="686">
        <f>Supuestos!J44*I40</f>
        <v>28112236.907954205</v>
      </c>
      <c r="K14" s="686">
        <f>Supuestos!K44*J40</f>
        <v>28272476.658329546</v>
      </c>
    </row>
    <row r="15">
      <c r="A15" s="688" t="s">
        <v>23</v>
      </c>
      <c r="B15" s="686">
        <f>EEFF!B15</f>
        <v>1206330</v>
      </c>
      <c r="C15" s="686">
        <f>EEFF!C15</f>
        <v>-905789</v>
      </c>
      <c r="D15" s="686">
        <f>EEFF!D15</f>
        <v>363938</v>
      </c>
      <c r="E15" s="686">
        <f>EEFF!E15</f>
        <v>-326333</v>
      </c>
      <c r="F15" s="686">
        <f>EEFF!F15</f>
        <v>-613051</v>
      </c>
      <c r="G15" s="695">
        <f>F15</f>
        <v>-613051</v>
      </c>
      <c r="H15" s="685">
        <f>G15</f>
        <v>-613051</v>
      </c>
      <c r="I15" s="685">
        <f>H15</f>
        <v>-613051</v>
      </c>
      <c r="J15" s="685">
        <f>I15</f>
        <v>-613051</v>
      </c>
      <c r="K15" s="685">
        <f>J15</f>
        <v>-613051</v>
      </c>
    </row>
    <row r="16">
      <c r="A16" s="688" t="s">
        <v>24</v>
      </c>
      <c r="B16" s="686">
        <f>EEFF!B16</f>
        <v>500143</v>
      </c>
      <c r="C16" s="686">
        <f>EEFF!C16</f>
        <v>2897059</v>
      </c>
      <c r="D16" s="686">
        <f>EEFF!D16</f>
        <v>474038</v>
      </c>
      <c r="E16" s="686">
        <f>EEFF!E16</f>
        <v>-60659</v>
      </c>
      <c r="F16" s="686">
        <f>EEFF!F16</f>
        <v>-198747</v>
      </c>
      <c r="G16" s="695">
        <f>F16</f>
        <v>-198747</v>
      </c>
      <c r="H16" s="685">
        <f>G16</f>
        <v>-198747</v>
      </c>
      <c r="I16" s="685">
        <f>H16</f>
        <v>-198747</v>
      </c>
      <c r="J16" s="685">
        <f>I16</f>
        <v>-198747</v>
      </c>
      <c r="K16" s="685">
        <f>J16</f>
        <v>-198747</v>
      </c>
    </row>
    <row r="17">
      <c r="A17" s="677" t="s">
        <v>25</v>
      </c>
      <c r="B17" s="681">
        <f>EEFF!B17</f>
        <v>85204284</v>
      </c>
      <c r="C17" s="681">
        <f>EEFF!C17</f>
        <v>61023749</v>
      </c>
      <c r="D17" s="681">
        <f>EEFF!D17</f>
        <v>49795718</v>
      </c>
      <c r="E17" s="681">
        <f>EEFF!E17</f>
        <v>34308862</v>
      </c>
      <c r="F17" s="681">
        <f>EEFF!F17</f>
        <v>27620113</v>
      </c>
      <c r="G17" s="679">
        <f>G14+G15+G16</f>
        <v>26825148.235999998</v>
      </c>
      <c r="H17" s="671">
        <f>H14+H15+H16</f>
        <v>26982678.8295452</v>
      </c>
      <c r="I17" s="671">
        <f>I14+I15+I16</f>
        <v>27141107.347473606</v>
      </c>
      <c r="J17" s="671">
        <f>J14+J15+J16</f>
        <v>27300438.907954205</v>
      </c>
      <c r="K17" s="671">
        <f>K14+K15+K16</f>
        <v>27460678.658329546</v>
      </c>
    </row>
    <row r="18">
      <c r="A18" s="677" t="s">
        <v>26</v>
      </c>
      <c r="B18" s="681">
        <f>EEFF!B18</f>
        <v>122627680</v>
      </c>
      <c r="C18" s="681">
        <f>EEFF!C18</f>
        <v>158459210</v>
      </c>
      <c r="D18" s="681">
        <f>EEFF!D18</f>
        <v>166956984</v>
      </c>
      <c r="E18" s="681">
        <f>EEFF!E18</f>
        <v>164248280</v>
      </c>
      <c r="F18" s="681">
        <f>EEFF!F18</f>
        <v>174025664</v>
      </c>
      <c r="G18" s="679">
        <f>G13-G17</f>
        <v>181694987.2953357</v>
      </c>
      <c r="H18" s="671">
        <f>H13-H17</f>
        <v>188655215.78027967</v>
      </c>
      <c r="I18" s="671">
        <f>I13-I17</f>
        <v>195874725.51674092</v>
      </c>
      <c r="J18" s="671">
        <f>J13-J17</f>
        <v>203363569.971029</v>
      </c>
      <c r="K18" s="671">
        <f>K13-K17</f>
        <v>211132197.05999523</v>
      </c>
    </row>
    <row r="19">
      <c r="A19" s="688" t="s">
        <v>27</v>
      </c>
      <c r="B19" s="686">
        <f>EEFF!B19</f>
        <v>22758298</v>
      </c>
      <c r="C19" s="686">
        <f>EEFF!C19</f>
        <v>13838072</v>
      </c>
      <c r="D19" s="686">
        <f>EEFF!D19</f>
        <v>22011709</v>
      </c>
      <c r="E19" s="686">
        <f>EEFF!E19</f>
        <v>30401234</v>
      </c>
      <c r="F19" s="686">
        <f>EEFF!F19</f>
        <v>21055991</v>
      </c>
      <c r="G19" s="692">
        <f>F19*(1+Supuestos!G58)</f>
        <v>21055991</v>
      </c>
      <c r="H19" s="686">
        <f>G19*(1+Supuestos!H58)</f>
        <v>21055991</v>
      </c>
      <c r="I19" s="686">
        <f>H19*(1+Supuestos!I58)</f>
        <v>21055991</v>
      </c>
      <c r="J19" s="686">
        <f>I19*(1+Supuestos!J58)</f>
        <v>21055991</v>
      </c>
      <c r="K19" s="686">
        <f>J19*(1+Supuestos!K58)</f>
        <v>21055991</v>
      </c>
    </row>
    <row r="20">
      <c r="A20" s="688" t="s">
        <v>28</v>
      </c>
      <c r="B20" s="686">
        <f>EEFF!B20</f>
        <v>57113674</v>
      </c>
      <c r="C20" s="686">
        <f>EEFF!C20</f>
        <v>59798894</v>
      </c>
      <c r="D20" s="686">
        <f>EEFF!D20</f>
        <v>61331282</v>
      </c>
      <c r="E20" s="686">
        <f>EEFF!E20</f>
        <v>63916541</v>
      </c>
      <c r="F20" s="686">
        <f>EEFF!F20</f>
        <v>61774195</v>
      </c>
      <c r="G20" s="692">
        <f>F20*(1+Supuestos!G66)</f>
        <v>61508565.961500004</v>
      </c>
      <c r="H20" s="686">
        <f>G20*(1+Supuestos!H66)</f>
        <v>61244079.12786555</v>
      </c>
      <c r="I20" s="686">
        <f>H20*(1+Supuestos!I66)</f>
        <v>60980729.587615736</v>
      </c>
      <c r="J20" s="686">
        <f>I20*(1+Supuestos!J66)</f>
        <v>60718512.45038899</v>
      </c>
      <c r="K20" s="686">
        <f>J20*(1+Supuestos!K66)</f>
        <v>60457422.84685232</v>
      </c>
    </row>
    <row r="21">
      <c r="A21" s="688" t="s">
        <v>29</v>
      </c>
      <c r="B21" s="686">
        <f>EEFF!B21</f>
        <v>7726797</v>
      </c>
      <c r="C21" s="686">
        <f>EEFF!C21</f>
        <v>9285792</v>
      </c>
      <c r="D21" s="686">
        <f>EEFF!D21</f>
        <v>10360389</v>
      </c>
      <c r="E21" s="686">
        <f>EEFF!E21</f>
        <v>10744135</v>
      </c>
      <c r="F21" s="686">
        <f>EEFF!F21</f>
        <v>10044980</v>
      </c>
      <c r="G21" s="692">
        <f>F21*(1+Supuestos!G66)</f>
        <v>10001786.586000001</v>
      </c>
      <c r="H21" s="686">
        <f>G21*(1+Supuestos!H66)</f>
        <v>9958778.903680202</v>
      </c>
      <c r="I21" s="686">
        <f>H21*(1+Supuestos!I66)</f>
        <v>9915956.154394377</v>
      </c>
      <c r="J21" s="686">
        <f>I21*(1+Supuestos!J66)</f>
        <v>9873317.542930482</v>
      </c>
      <c r="K21" s="686">
        <f>J21*(1+Supuestos!K66)</f>
        <v>9830862.277495882</v>
      </c>
    </row>
    <row r="22">
      <c r="A22" s="688" t="s">
        <v>30</v>
      </c>
      <c r="B22" s="686">
        <f>EEFF!B22</f>
        <v>21305412</v>
      </c>
      <c r="C22" s="686">
        <f>EEFF!C22</f>
        <v>20767901</v>
      </c>
      <c r="D22" s="686">
        <f>EEFF!D22</f>
        <v>18258300</v>
      </c>
      <c r="E22" s="686">
        <f>EEFF!E22</f>
        <v>17607972</v>
      </c>
      <c r="F22" s="686">
        <f>EEFF!F22</f>
        <v>17639914</v>
      </c>
      <c r="G22" s="692">
        <f>F22*(1+Supuestos!G66)</f>
        <v>17564062.3698</v>
      </c>
      <c r="H22" s="686">
        <f>G22*(1+Supuestos!H66)</f>
        <v>17488536.90160986</v>
      </c>
      <c r="I22" s="686">
        <f>H22*(1+Supuestos!I66)</f>
        <v>17413336.192932937</v>
      </c>
      <c r="J22" s="686">
        <f>I22*(1+Supuestos!J66)</f>
        <v>17338458.847303327</v>
      </c>
      <c r="K22" s="686">
        <f>J22*(1+Supuestos!K66)</f>
        <v>17263903.474259924</v>
      </c>
    </row>
    <row r="23">
      <c r="A23" s="688" t="s">
        <v>31</v>
      </c>
      <c r="B23" s="686">
        <f>EEFF!B23</f>
        <v>2263252</v>
      </c>
      <c r="C23" s="686">
        <f>EEFF!C23</f>
        <v>2575329</v>
      </c>
      <c r="D23" s="686">
        <f>EEFF!D23</f>
        <v>3117156</v>
      </c>
      <c r="E23" s="686">
        <f>EEFF!E23</f>
        <v>3474398</v>
      </c>
      <c r="F23" s="686">
        <f>EEFF!F23</f>
        <v>3701527</v>
      </c>
      <c r="G23" s="692">
        <f>F23*(1+Supuestos!G66)</f>
        <v>3685610.4339</v>
      </c>
      <c r="H23" s="686">
        <f>G23*(1+Supuestos!H66)</f>
        <v>3669762.30903423</v>
      </c>
      <c r="I23" s="686">
        <f>H23*(1+Supuestos!I66)</f>
        <v>3653982.331105383</v>
      </c>
      <c r="J23" s="686">
        <f>I23*(1+Supuestos!J66)</f>
        <v>3638270.20708163</v>
      </c>
      <c r="K23" s="686">
        <f>J23*(1+Supuestos!K66)</f>
        <v>3622625.645191179</v>
      </c>
    </row>
    <row r="24">
      <c r="A24" s="688" t="s">
        <v>32</v>
      </c>
      <c r="B24" s="686">
        <f>EEFF!B24</f>
        <v>9755794</v>
      </c>
      <c r="C24" s="686">
        <f>EEFF!C24</f>
        <v>10603499</v>
      </c>
      <c r="D24" s="686">
        <f>EEFF!D24</f>
        <v>11309827</v>
      </c>
      <c r="E24" s="686">
        <f>EEFF!E24</f>
        <v>11390367</v>
      </c>
      <c r="F24" s="686">
        <f>EEFF!F24</f>
        <v>11351516</v>
      </c>
      <c r="G24" s="692">
        <f>F24*(1+Supuestos!G66)</f>
        <v>11302704.4812</v>
      </c>
      <c r="H24" s="686">
        <f>G24*(1+Supuestos!H66)</f>
        <v>11254102.85193084</v>
      </c>
      <c r="I24" s="686">
        <f>H24*(1+Supuestos!I66)</f>
        <v>11205710.209667537</v>
      </c>
      <c r="J24" s="686">
        <f>I24*(1+Supuestos!J66)</f>
        <v>11157525.655765967</v>
      </c>
      <c r="K24" s="686">
        <f>J24*(1+Supuestos!K66)</f>
        <v>11109548.295446174</v>
      </c>
    </row>
    <row r="25">
      <c r="A25" s="688" t="s">
        <v>33</v>
      </c>
      <c r="B25" s="686">
        <f>EEFF!B25</f>
        <v>2537829</v>
      </c>
      <c r="C25" s="686">
        <f>EEFF!C25</f>
        <v>3306085</v>
      </c>
      <c r="D25" s="686">
        <f>EEFF!D25</f>
        <v>4015359</v>
      </c>
      <c r="E25" s="686">
        <f>EEFF!E25</f>
        <v>5569274</v>
      </c>
      <c r="F25" s="686">
        <f>EEFF!F25</f>
        <v>6446523</v>
      </c>
      <c r="G25" s="692">
        <f>F25*(1+Supuestos!G66)</f>
        <v>6418802.9511</v>
      </c>
      <c r="H25" s="686">
        <f>G25*(1+Supuestos!H66)</f>
        <v>6391202.09841027</v>
      </c>
      <c r="I25" s="686">
        <f>H25*(1+Supuestos!I66)</f>
        <v>6363719.929387107</v>
      </c>
      <c r="J25" s="686">
        <f>I25*(1+Supuestos!J66)</f>
        <v>6336355.933690743</v>
      </c>
      <c r="K25" s="686">
        <f>J25*(1+Supuestos!K66)</f>
        <v>6309109.603175873</v>
      </c>
    </row>
    <row r="26">
      <c r="A26" s="688" t="s">
        <v>34</v>
      </c>
      <c r="B26" s="686">
        <f>EEFF!B26</f>
        <v>5568403</v>
      </c>
      <c r="C26" s="686">
        <f>EEFF!C26</f>
        <v>6408887</v>
      </c>
      <c r="D26" s="686">
        <f>EEFF!D26</f>
        <v>6222827</v>
      </c>
      <c r="E26" s="686">
        <f>EEFF!E26</f>
        <v>6603103</v>
      </c>
      <c r="F26" s="686">
        <f>EEFF!F26</f>
        <v>8078593</v>
      </c>
      <c r="G26" s="692">
        <f>F26*(1+Supuestos!G66)</f>
        <v>8043855.050100001</v>
      </c>
      <c r="H26" s="686">
        <f>G26*(1+Supuestos!H66)</f>
        <v>8009266.473384571</v>
      </c>
      <c r="I26" s="686">
        <f>H26*(1+Supuestos!I66)</f>
        <v>7974826.627549018</v>
      </c>
      <c r="J26" s="686">
        <f>I26*(1+Supuestos!J66)</f>
        <v>7940534.873050557</v>
      </c>
      <c r="K26" s="686">
        <f>J26*(1+Supuestos!K66)</f>
        <v>7906390.57309644</v>
      </c>
    </row>
    <row r="27">
      <c r="A27" s="688" t="s">
        <v>35</v>
      </c>
      <c r="B27" s="686">
        <f>EEFF!B27</f>
        <v>21374260</v>
      </c>
      <c r="C27" s="686">
        <f>EEFF!C27</f>
        <v>23868631</v>
      </c>
      <c r="D27" s="686">
        <f>EEFF!D27</f>
        <v>23382723</v>
      </c>
      <c r="E27" s="686">
        <f>EEFF!E27</f>
        <v>26343807</v>
      </c>
      <c r="F27" s="686">
        <f>EEFF!F27</f>
        <v>25980207</v>
      </c>
      <c r="G27" s="692">
        <f>F27*(1+Supuestos!G66)</f>
        <v>25868492.1099</v>
      </c>
      <c r="H27" s="686">
        <f>G27*(1+Supuestos!H66)</f>
        <v>25757257.593827434</v>
      </c>
      <c r="I27" s="686">
        <f>H27*(1+Supuestos!I66)</f>
        <v>25646501.38617398</v>
      </c>
      <c r="J27" s="686">
        <f>I27*(1+Supuestos!J66)</f>
        <v>25536221.430213433</v>
      </c>
      <c r="K27" s="686">
        <f>J27*(1+Supuestos!K66)</f>
        <v>25426415.678063516</v>
      </c>
    </row>
    <row r="28">
      <c r="A28" s="677" t="s">
        <v>36</v>
      </c>
      <c r="B28" s="681">
        <f>EEFF!B28</f>
        <v>127645421</v>
      </c>
      <c r="C28" s="681">
        <f>EEFF!C28</f>
        <v>136615018</v>
      </c>
      <c r="D28" s="681">
        <f>EEFF!D28</f>
        <v>137997863</v>
      </c>
      <c r="E28" s="681">
        <f>EEFF!E28</f>
        <v>145649597</v>
      </c>
      <c r="F28" s="681">
        <f>EEFF!F28</f>
        <v>145017455</v>
      </c>
      <c r="G28" s="679">
        <f>G20+G21+G22+G23+G24+G25+G26+G27</f>
        <v>144393879.9435</v>
      </c>
      <c r="H28" s="671">
        <f>H20+H21+H22+H23+H24+H25+H26+H27</f>
        <v>143772986.25974298</v>
      </c>
      <c r="I28" s="671">
        <f>I20+I21+I22+I23+I24+I25+I26+I27</f>
        <v>143154762.41882607</v>
      </c>
      <c r="J28" s="671">
        <f>J20+J21+J22+J23+J24+J25+J26+J27</f>
        <v>142539196.94042513</v>
      </c>
      <c r="K28" s="671">
        <f>K20+K21+K22+K23+K24+K25+K26+K27</f>
        <v>141926278.3935813</v>
      </c>
    </row>
    <row r="29">
      <c r="A29" s="677" t="s">
        <v>37</v>
      </c>
      <c r="B29" s="681">
        <f>EEFF!B29</f>
        <v>17740557</v>
      </c>
      <c r="C29" s="681">
        <f>EEFF!C29</f>
        <v>35682264</v>
      </c>
      <c r="D29" s="681">
        <f>EEFF!D29</f>
        <v>50970830</v>
      </c>
      <c r="E29" s="681">
        <f>EEFF!E29</f>
        <v>48999917</v>
      </c>
      <c r="F29" s="681">
        <f>EEFF!F29</f>
        <v>50064200</v>
      </c>
      <c r="G29" s="679">
        <f>G18+G19-G28</f>
        <v>58357098.3518357</v>
      </c>
      <c r="H29" s="671">
        <f>H18+H19-H28</f>
        <v>65938220.52053669</v>
      </c>
      <c r="I29" s="671">
        <f>I18+I19-I28</f>
        <v>73775954.09791484</v>
      </c>
      <c r="J29" s="671">
        <f>J18+J19-J28</f>
        <v>81880364.03060389</v>
      </c>
      <c r="K29" s="671">
        <f>K18+K19-K28</f>
        <v>90261909.66641393</v>
      </c>
    </row>
    <row r="30">
      <c r="A30" s="688" t="s">
        <v>38</v>
      </c>
      <c r="B30" s="686">
        <f>EEFF!B30</f>
        <v>3895556</v>
      </c>
      <c r="C30" s="686">
        <f>EEFF!C30</f>
        <v>3667996</v>
      </c>
      <c r="D30" s="686">
        <f>EEFF!D30</f>
        <v>3825471</v>
      </c>
      <c r="E30" s="686">
        <f>EEFF!E30</f>
        <v>4298464</v>
      </c>
      <c r="F30" s="686">
        <f>EEFF!F30</f>
        <v>4236515</v>
      </c>
      <c r="G30" s="695">
        <f>F30</f>
        <v>4236515</v>
      </c>
      <c r="H30" s="685">
        <f>G30</f>
        <v>4236515</v>
      </c>
      <c r="I30" s="685">
        <f>H30</f>
        <v>4236515</v>
      </c>
      <c r="J30" s="685">
        <f>I30</f>
        <v>4236515</v>
      </c>
      <c r="K30" s="685">
        <f>J30</f>
        <v>4236515</v>
      </c>
    </row>
    <row r="31">
      <c r="A31" s="688" t="s">
        <v>39</v>
      </c>
      <c r="B31" s="686">
        <f>EEFF!B31</f>
        <v>-12748149</v>
      </c>
      <c r="C31" s="686">
        <f>EEFF!C31</f>
        <v>-5249226</v>
      </c>
      <c r="D31" s="686">
        <f>EEFF!D31</f>
        <v>-360567</v>
      </c>
      <c r="E31" s="686">
        <f>EEFF!E31</f>
        <v>-3131334</v>
      </c>
      <c r="F31" s="686">
        <f>EEFF!F31</f>
        <v>-2434771</v>
      </c>
      <c r="G31" s="695">
        <f>F31</f>
        <v>-2434771</v>
      </c>
      <c r="H31" s="685">
        <f>G31</f>
        <v>-2434771</v>
      </c>
      <c r="I31" s="685">
        <f>H31</f>
        <v>-2434771</v>
      </c>
      <c r="J31" s="685">
        <f>I31</f>
        <v>-2434771</v>
      </c>
      <c r="K31" s="685">
        <f>J31</f>
        <v>-2434771</v>
      </c>
    </row>
    <row r="32">
      <c r="A32" s="677" t="s">
        <v>40</v>
      </c>
      <c r="B32" s="681">
        <f>EEFF!B32</f>
        <v>-8852593</v>
      </c>
      <c r="C32" s="681">
        <f>EEFF!C32</f>
        <v>-1581230</v>
      </c>
      <c r="D32" s="681">
        <f>EEFF!D32</f>
        <v>3464904</v>
      </c>
      <c r="E32" s="681">
        <f>EEFF!E32</f>
        <v>1167130</v>
      </c>
      <c r="F32" s="681">
        <f>EEFF!F32</f>
        <v>1801744</v>
      </c>
      <c r="G32" s="679">
        <f>G30+G31</f>
        <v>1801744</v>
      </c>
      <c r="H32" s="671">
        <f>H30+H31</f>
        <v>1801744</v>
      </c>
      <c r="I32" s="671">
        <f>I30+I31</f>
        <v>1801744</v>
      </c>
      <c r="J32" s="671">
        <f>J30+J31</f>
        <v>1801744</v>
      </c>
      <c r="K32" s="671">
        <f>K30+K31</f>
        <v>1801744</v>
      </c>
    </row>
    <row r="33">
      <c r="A33" s="677" t="s">
        <v>41</v>
      </c>
      <c r="B33" s="681">
        <f>EEFF!B33</f>
        <v>26593150</v>
      </c>
      <c r="C33" s="681">
        <f>EEFF!C33</f>
        <v>37263494</v>
      </c>
      <c r="D33" s="681">
        <f>EEFF!D33</f>
        <v>47505926</v>
      </c>
      <c r="E33" s="681">
        <f>EEFF!E33</f>
        <v>47832787</v>
      </c>
      <c r="F33" s="681">
        <f>EEFF!F33</f>
        <v>48262456</v>
      </c>
      <c r="G33" s="679">
        <f>G29-G32</f>
        <v>56555354.3518357</v>
      </c>
      <c r="H33" s="671">
        <f>H29-H32</f>
        <v>64136476.52053669</v>
      </c>
      <c r="I33" s="671">
        <f>I29-I32</f>
        <v>71974210.09791484</v>
      </c>
      <c r="J33" s="671">
        <f>J29-J32</f>
        <v>80078620.03060389</v>
      </c>
      <c r="K33" s="671">
        <f>K29-K32</f>
        <v>88460165.66641393</v>
      </c>
    </row>
    <row r="34">
      <c r="A34" s="643"/>
      <c r="B34" s="643"/>
      <c r="C34" s="643"/>
      <c r="D34" s="643"/>
      <c r="E34" s="643"/>
      <c r="F34" s="643"/>
      <c r="G34" s="654"/>
      <c r="H34" s="643"/>
      <c r="I34" s="643"/>
      <c r="J34" s="643"/>
      <c r="K34" s="643"/>
    </row>
    <row r="35">
      <c r="A35" s="690" t="s">
        <v>3</v>
      </c>
      <c r="B35" s="707" t="s">
        <v>4</v>
      </c>
      <c r="C35" s="707" t="s">
        <v>5</v>
      </c>
      <c r="D35" s="707" t="s">
        <v>6</v>
      </c>
      <c r="E35" s="707" t="s">
        <v>7</v>
      </c>
      <c r="F35" s="707" t="s">
        <v>8</v>
      </c>
      <c r="G35" s="708" t="s">
        <v>9</v>
      </c>
      <c r="H35" s="705" t="s">
        <v>10</v>
      </c>
      <c r="I35" s="705" t="s">
        <v>11</v>
      </c>
      <c r="J35" s="705" t="s">
        <v>12</v>
      </c>
      <c r="K35" s="705" t="s">
        <v>13</v>
      </c>
    </row>
    <row r="36">
      <c r="A36" s="690" t="s">
        <v>42</v>
      </c>
      <c r="B36" s="647"/>
      <c r="C36" s="647"/>
      <c r="D36" s="647"/>
      <c r="E36" s="647"/>
      <c r="F36" s="647"/>
      <c r="G36" s="657"/>
      <c r="H36" s="651"/>
      <c r="I36" s="651"/>
      <c r="J36" s="651"/>
      <c r="K36" s="651"/>
    </row>
    <row r="37">
      <c r="A37" s="688" t="s">
        <v>43</v>
      </c>
      <c r="B37" s="686">
        <f>EEFF!B37</f>
        <v>508316487</v>
      </c>
      <c r="C37" s="686">
        <f>EEFF!C37</f>
        <v>422163231</v>
      </c>
      <c r="D37" s="686">
        <f>EEFF!D37</f>
        <v>354965856</v>
      </c>
      <c r="E37" s="686">
        <f>EEFF!E37</f>
        <v>378198724</v>
      </c>
      <c r="F37" s="686">
        <f>EEFF!F37</f>
        <v>433699566</v>
      </c>
      <c r="G37" s="695">
        <f>F37</f>
        <v>433699566</v>
      </c>
      <c r="H37" s="685">
        <f>G37</f>
        <v>433699566</v>
      </c>
      <c r="I37" s="685">
        <f>H37</f>
        <v>433699566</v>
      </c>
      <c r="J37" s="685">
        <f>I37</f>
        <v>433699566</v>
      </c>
      <c r="K37" s="685">
        <f>J37</f>
        <v>433699566</v>
      </c>
    </row>
    <row r="38">
      <c r="A38" s="688" t="s">
        <v>44</v>
      </c>
      <c r="B38" s="686">
        <f>EEFF!B38</f>
        <v>306301</v>
      </c>
      <c r="C38" s="686">
        <f>EEFF!C38</f>
        <v>285200</v>
      </c>
      <c r="D38" s="686">
        <f>EEFF!D38</f>
        <v>3547807</v>
      </c>
      <c r="E38" s="686">
        <f>EEFF!E38</f>
        <v>4956931</v>
      </c>
      <c r="F38" s="686">
        <f>EEFF!F38</f>
        <v>4997637</v>
      </c>
      <c r="G38" s="695">
        <f>F38</f>
        <v>4997637</v>
      </c>
      <c r="H38" s="685">
        <f>G38</f>
        <v>4997637</v>
      </c>
      <c r="I38" s="685">
        <f>H38</f>
        <v>4997637</v>
      </c>
      <c r="J38" s="685">
        <f>I38</f>
        <v>4997637</v>
      </c>
      <c r="K38" s="685">
        <f>J38</f>
        <v>4997637</v>
      </c>
    </row>
    <row r="39">
      <c r="A39" s="688" t="s">
        <v>45</v>
      </c>
      <c r="B39" s="686">
        <f>EEFF!B39</f>
        <v>1110163904</v>
      </c>
      <c r="C39" s="686">
        <f>EEFF!C39</f>
        <v>1079204941</v>
      </c>
      <c r="D39" s="686">
        <f>EEFF!D39</f>
        <v>1053410069</v>
      </c>
      <c r="E39" s="686">
        <f>EEFF!E39</f>
        <v>1049326162</v>
      </c>
      <c r="F39" s="686">
        <f>EEFF!F39</f>
        <v>1136648533</v>
      </c>
      <c r="G39" s="695">
        <f>F39+MAX(0,G127)</f>
        <v>1227027228.9343996</v>
      </c>
      <c r="H39" s="685">
        <f>G39+MAX(0,H127)</f>
        <v>1338279883.6544733</v>
      </c>
      <c r="I39" s="685">
        <f>H39+MAX(0,I127)</f>
        <v>1452993337.0527773</v>
      </c>
      <c r="J39" s="685">
        <f>I39+MAX(0,J127)</f>
        <v>1571257982.1454344</v>
      </c>
      <c r="K39" s="685">
        <f>J39+MAX(0,K127)</f>
        <v>1693166493.8503485</v>
      </c>
    </row>
    <row r="40">
      <c r="A40" s="688" t="s">
        <v>46</v>
      </c>
      <c r="B40" s="686">
        <f>EEFF!B40</f>
        <v>6007976619</v>
      </c>
      <c r="C40" s="686">
        <f>EEFF!C40</f>
        <v>6138222161</v>
      </c>
      <c r="D40" s="686">
        <f>EEFF!D40</f>
        <v>6212554475</v>
      </c>
      <c r="E40" s="686">
        <f>EEFF!E40</f>
        <v>6315709567</v>
      </c>
      <c r="F40" s="686">
        <f>EEFF!F40</f>
        <v>6141543608</v>
      </c>
      <c r="G40" s="692">
        <f>F40*(1+Supuestos!G28)</f>
        <v>6176550406.5656</v>
      </c>
      <c r="H40" s="686">
        <f>G40*(1+Supuestos!H28)</f>
        <v>6211756743.883024</v>
      </c>
      <c r="I40" s="686">
        <f>H40*(1+Supuestos!I28)</f>
        <v>6247163757.323157</v>
      </c>
      <c r="J40" s="686">
        <f>I40*(1+Supuestos!J28)</f>
        <v>6282772590.7399</v>
      </c>
      <c r="K40" s="686">
        <f>J40*(1+Supuestos!K28)</f>
        <v>6318584394.507117</v>
      </c>
    </row>
    <row r="41">
      <c r="A41" s="688" t="s">
        <v>47</v>
      </c>
      <c r="B41" s="686">
        <f>EEFF!B41</f>
        <v>195030353</v>
      </c>
      <c r="C41" s="686">
        <f>EEFF!C41</f>
        <v>197759650</v>
      </c>
      <c r="D41" s="686">
        <f>EEFF!D41</f>
        <v>190418187</v>
      </c>
      <c r="E41" s="686">
        <f>EEFF!E41</f>
        <v>191401031</v>
      </c>
      <c r="F41" s="686">
        <f>EEFF!F41</f>
        <v>192001647</v>
      </c>
      <c r="G41" s="695">
        <f>F41</f>
        <v>192001647</v>
      </c>
      <c r="H41" s="685">
        <f>G41</f>
        <v>192001647</v>
      </c>
      <c r="I41" s="685">
        <f>H41</f>
        <v>192001647</v>
      </c>
      <c r="J41" s="685">
        <f>I41</f>
        <v>192001647</v>
      </c>
      <c r="K41" s="685">
        <f>J41</f>
        <v>192001647</v>
      </c>
    </row>
    <row r="42">
      <c r="A42" s="688" t="s">
        <v>48</v>
      </c>
      <c r="B42" s="686">
        <f>EEFF!B42</f>
        <v>19425507</v>
      </c>
      <c r="C42" s="686">
        <f>EEFF!C42</f>
        <v>15584822</v>
      </c>
      <c r="D42" s="686">
        <f>EEFF!D42</f>
        <v>13301035</v>
      </c>
      <c r="E42" s="686">
        <f>EEFF!E42</f>
        <v>11291589</v>
      </c>
      <c r="F42" s="686">
        <f>EEFF!F42</f>
        <v>9660940</v>
      </c>
      <c r="G42" s="695">
        <f>F42</f>
        <v>9660940</v>
      </c>
      <c r="H42" s="685">
        <f>G42</f>
        <v>9660940</v>
      </c>
      <c r="I42" s="685">
        <f>H42</f>
        <v>9660940</v>
      </c>
      <c r="J42" s="685">
        <f>I42</f>
        <v>9660940</v>
      </c>
      <c r="K42" s="685">
        <f>J42</f>
        <v>9660940</v>
      </c>
    </row>
    <row r="43">
      <c r="A43" s="688" t="s">
        <v>49</v>
      </c>
      <c r="B43" s="686">
        <f>EEFF!B43</f>
        <v>482324722</v>
      </c>
      <c r="C43" s="686">
        <f>EEFF!C43</f>
        <v>547376430</v>
      </c>
      <c r="D43" s="686">
        <f>EEFF!D43</f>
        <v>584781470</v>
      </c>
      <c r="E43" s="686">
        <f>EEFF!E43</f>
        <v>569398628</v>
      </c>
      <c r="F43" s="686">
        <f>EEFF!F43</f>
        <v>584449645</v>
      </c>
      <c r="G43" s="695">
        <f>F43</f>
        <v>584449645</v>
      </c>
      <c r="H43" s="685">
        <f>G43</f>
        <v>584449645</v>
      </c>
      <c r="I43" s="685">
        <f>H43</f>
        <v>584449645</v>
      </c>
      <c r="J43" s="685">
        <f>I43</f>
        <v>584449645</v>
      </c>
      <c r="K43" s="685">
        <f>J43</f>
        <v>584449645</v>
      </c>
    </row>
    <row r="44">
      <c r="A44" s="677" t="s">
        <v>50</v>
      </c>
      <c r="B44" s="681">
        <f>EEFF!B44</f>
        <v>8323543893</v>
      </c>
      <c r="C44" s="681">
        <f>EEFF!C44</f>
        <v>8400596435</v>
      </c>
      <c r="D44" s="681">
        <f>EEFF!D44</f>
        <v>8412978899</v>
      </c>
      <c r="E44" s="681">
        <f>EEFF!E44</f>
        <v>8520282632</v>
      </c>
      <c r="F44" s="681">
        <f>EEFF!F44</f>
        <v>8503001576</v>
      </c>
      <c r="G44" s="679">
        <f>G37+G38+G39+G40+G41+G42+G43</f>
        <v>8628387070.5</v>
      </c>
      <c r="H44" s="671">
        <f>H37+H38+H39+H40+H41+H42+H43</f>
        <v>8774846062.537498</v>
      </c>
      <c r="I44" s="671">
        <f>I37+I38+I39+I40+I41+I42+I43</f>
        <v>8924966529.375935</v>
      </c>
      <c r="J44" s="671">
        <f>J37+J38+J39+J40+J41+J42+J43</f>
        <v>9078840007.885334</v>
      </c>
      <c r="K44" s="671">
        <f>K37+K38+K39+K40+K41+K42+K43</f>
        <v>9236560323.357466</v>
      </c>
    </row>
    <row r="45">
      <c r="A45" s="688" t="s">
        <v>51</v>
      </c>
      <c r="B45" s="686">
        <f>EEFF!B45</f>
        <v>5189459231</v>
      </c>
      <c r="C45" s="686">
        <f>EEFF!C45</f>
        <v>5178659636</v>
      </c>
      <c r="D45" s="686">
        <f>EEFF!D45</f>
        <v>5205576287</v>
      </c>
      <c r="E45" s="686">
        <f>EEFF!E45</f>
        <v>5264634266</v>
      </c>
      <c r="F45" s="686">
        <f>EEFF!F45</f>
        <v>5715472860</v>
      </c>
      <c r="G45" s="692">
        <f>F45*(1+Supuestos!G36)</f>
        <v>5858359681.499999</v>
      </c>
      <c r="H45" s="686">
        <f>G45*(1+Supuestos!H36)</f>
        <v>6004818673.537498</v>
      </c>
      <c r="I45" s="686">
        <f>H45*(1+Supuestos!I36)</f>
        <v>6154939140.375936</v>
      </c>
      <c r="J45" s="686">
        <f>I45*(1+Supuestos!J36)</f>
        <v>6308812618.885333</v>
      </c>
      <c r="K45" s="686">
        <f>J45*(1+Supuestos!K36)</f>
        <v>6466532934.357466</v>
      </c>
    </row>
    <row r="46">
      <c r="A46" s="688" t="s">
        <v>52</v>
      </c>
      <c r="B46" s="686">
        <f>EEFF!B46</f>
        <v>44910134</v>
      </c>
      <c r="C46" s="686">
        <f>EEFF!C46</f>
        <v>64413383</v>
      </c>
      <c r="D46" s="686">
        <f>EEFF!D46</f>
        <v>82919955</v>
      </c>
      <c r="E46" s="686">
        <f>EEFF!E46</f>
        <v>80815921</v>
      </c>
      <c r="F46" s="686">
        <f>EEFF!F46</f>
        <v>16750000</v>
      </c>
      <c r="G46" s="695">
        <f>F46</f>
        <v>16750000</v>
      </c>
      <c r="H46" s="685">
        <f>G46</f>
        <v>16750000</v>
      </c>
      <c r="I46" s="685">
        <f>H46</f>
        <v>16750000</v>
      </c>
      <c r="J46" s="685">
        <f>I46</f>
        <v>16750000</v>
      </c>
      <c r="K46" s="685">
        <f>J46</f>
        <v>16750000</v>
      </c>
    </row>
    <row r="47">
      <c r="A47" s="688" t="s">
        <v>53</v>
      </c>
      <c r="B47" s="686">
        <f>EEFF!B55</f>
        <v>14036040</v>
      </c>
      <c r="C47" s="686">
        <f>EEFF!C55</f>
        <v>13211416</v>
      </c>
      <c r="D47" s="686">
        <f>EEFF!D55</f>
        <v>25606793</v>
      </c>
      <c r="E47" s="686">
        <f>EEFF!E55</f>
        <v>25872345</v>
      </c>
      <c r="F47" s="686">
        <f>EEFF!F55</f>
        <v>23085224</v>
      </c>
      <c r="G47" s="695">
        <f>F47</f>
        <v>23085224</v>
      </c>
      <c r="H47" s="685">
        <f>G47</f>
        <v>23085224</v>
      </c>
      <c r="I47" s="685">
        <f>H47</f>
        <v>23085224</v>
      </c>
      <c r="J47" s="685">
        <f>I47</f>
        <v>23085224</v>
      </c>
      <c r="K47" s="685">
        <f>J47</f>
        <v>23085224</v>
      </c>
    </row>
    <row r="48">
      <c r="A48" s="677" t="s">
        <v>54</v>
      </c>
      <c r="B48" s="681">
        <f>EEFF!B48</f>
        <v>5275151088</v>
      </c>
      <c r="C48" s="681">
        <f>EEFF!C48</f>
        <v>5275242825</v>
      </c>
      <c r="D48" s="681">
        <f>EEFF!D48</f>
        <v>5321547792</v>
      </c>
      <c r="E48" s="681">
        <f>EEFF!E48</f>
        <v>5381647327</v>
      </c>
      <c r="F48" s="681">
        <f>EEFF!F48</f>
        <v>5772809411</v>
      </c>
      <c r="G48" s="679">
        <f>G45+G46+G47</f>
        <v>5898194905.499999</v>
      </c>
      <c r="H48" s="671">
        <f>H45+H46+H47</f>
        <v>6044653897.537498</v>
      </c>
      <c r="I48" s="671">
        <f>I45+I46+I47</f>
        <v>6194774364.375936</v>
      </c>
      <c r="J48" s="671">
        <f>J45+J46+J47</f>
        <v>6348647842.885333</v>
      </c>
      <c r="K48" s="671">
        <f>K45+K46+K47</f>
        <v>6506368158.357466</v>
      </c>
    </row>
    <row r="49">
      <c r="A49" s="688" t="s">
        <v>55</v>
      </c>
      <c r="B49" s="686">
        <f>EEFF!B49</f>
        <v>0</v>
      </c>
      <c r="C49" s="686">
        <f>EEFF!C49</f>
        <v>93665393</v>
      </c>
      <c r="D49" s="686">
        <f>EEFF!D49</f>
        <v>70009751</v>
      </c>
      <c r="E49" s="686">
        <f>EEFF!E49</f>
        <v>47610933</v>
      </c>
      <c r="F49" s="686">
        <f>EEFF!F49</f>
        <v>37321723</v>
      </c>
      <c r="G49" s="695">
        <f>F49</f>
        <v>37321723</v>
      </c>
      <c r="H49" s="685">
        <f>G49</f>
        <v>37321723</v>
      </c>
      <c r="I49" s="685">
        <f>H49</f>
        <v>37321723</v>
      </c>
      <c r="J49" s="685">
        <f>I49</f>
        <v>37321723</v>
      </c>
      <c r="K49" s="685">
        <f>J49</f>
        <v>37321723</v>
      </c>
    </row>
    <row r="50">
      <c r="A50" s="688" t="s">
        <v>56</v>
      </c>
      <c r="B50" s="686">
        <f>EEFF!B50</f>
        <v>876325546</v>
      </c>
      <c r="C50" s="686">
        <f>EEFF!C50</f>
        <v>1488606294</v>
      </c>
      <c r="D50" s="686">
        <f>EEFF!D50</f>
        <v>1582877582</v>
      </c>
      <c r="E50" s="686">
        <f>EEFF!E50</f>
        <v>1642982215</v>
      </c>
      <c r="F50" s="686">
        <f>EEFF!F50</f>
        <v>1232945418</v>
      </c>
      <c r="G50" s="695">
        <f>F50+MAX(0,-G127)</f>
        <v>1232945418</v>
      </c>
      <c r="H50" s="685">
        <f>G50+MAX(0,-H127)</f>
        <v>1232945418</v>
      </c>
      <c r="I50" s="685">
        <f>H50+MAX(0,-I127)</f>
        <v>1232945418</v>
      </c>
      <c r="J50" s="685">
        <f>I50+MAX(0,-J127)</f>
        <v>1232945418</v>
      </c>
      <c r="K50" s="685">
        <f>J50+MAX(0,-K127)</f>
        <v>1232945418</v>
      </c>
    </row>
    <row r="51">
      <c r="A51" s="688" t="s">
        <v>57</v>
      </c>
      <c r="B51" s="686">
        <f>EEFF!B51</f>
        <v>6850000</v>
      </c>
      <c r="C51" s="686">
        <f>EEFF!C51</f>
        <v>16595000</v>
      </c>
      <c r="D51" s="686">
        <f>EEFF!D51</f>
        <v>0</v>
      </c>
      <c r="E51" s="686">
        <f>EEFF!E51</f>
        <v>2000000</v>
      </c>
      <c r="F51" s="686">
        <f>EEFF!F51</f>
        <v>0</v>
      </c>
      <c r="G51" s="695">
        <f>F51</f>
        <v>0</v>
      </c>
      <c r="H51" s="685">
        <f>G51</f>
        <v>0</v>
      </c>
      <c r="I51" s="685">
        <f>H51</f>
        <v>0</v>
      </c>
      <c r="J51" s="685">
        <f>I51</f>
        <v>0</v>
      </c>
      <c r="K51" s="685">
        <f>J51</f>
        <v>0</v>
      </c>
    </row>
    <row r="52">
      <c r="A52" s="688" t="s">
        <v>58</v>
      </c>
      <c r="B52" s="686">
        <f>EEFF!B52</f>
        <v>1055663563</v>
      </c>
      <c r="C52" s="686">
        <f>EEFF!C52</f>
        <v>439235300</v>
      </c>
      <c r="D52" s="686">
        <f>EEFF!D52</f>
        <v>388450729</v>
      </c>
      <c r="E52" s="686">
        <f>EEFF!E52</f>
        <v>374440557</v>
      </c>
      <c r="F52" s="686">
        <f>EEFF!F52</f>
        <v>374069381</v>
      </c>
      <c r="G52" s="695">
        <f>F52</f>
        <v>374069381</v>
      </c>
      <c r="H52" s="685">
        <f>G52</f>
        <v>374069381</v>
      </c>
      <c r="I52" s="685">
        <f>H52</f>
        <v>374069381</v>
      </c>
      <c r="J52" s="685">
        <f>I52</f>
        <v>374069381</v>
      </c>
      <c r="K52" s="685">
        <f>J52</f>
        <v>374069381</v>
      </c>
    </row>
    <row r="53">
      <c r="A53" s="688" t="s">
        <v>59</v>
      </c>
      <c r="B53" s="686">
        <f>EEFF!B53</f>
        <v>7833557</v>
      </c>
      <c r="C53" s="686">
        <f>EEFF!C53</f>
        <v>0</v>
      </c>
      <c r="D53" s="686">
        <f>EEFF!D53</f>
        <v>0</v>
      </c>
      <c r="E53" s="686">
        <f>EEFF!E53</f>
        <v>0</v>
      </c>
      <c r="F53" s="686">
        <f>EEFF!F53</f>
        <v>0</v>
      </c>
      <c r="G53" s="641"/>
      <c r="H53" s="648"/>
      <c r="I53" s="648"/>
      <c r="J53" s="648"/>
      <c r="K53" s="648"/>
    </row>
    <row r="54">
      <c r="A54" s="688" t="s">
        <v>60</v>
      </c>
      <c r="B54" s="686">
        <f>EEFF!B54</f>
        <v>160763868</v>
      </c>
      <c r="C54" s="686">
        <f>EEFF!C54</f>
        <v>177495857</v>
      </c>
      <c r="D54" s="686">
        <f>EEFF!D54</f>
        <v>177965873</v>
      </c>
      <c r="E54" s="686">
        <f>EEFF!E54</f>
        <v>178016538</v>
      </c>
      <c r="F54" s="686">
        <f>EEFF!F54</f>
        <v>177320865</v>
      </c>
      <c r="G54" s="695">
        <f>F54</f>
        <v>177320865</v>
      </c>
      <c r="H54" s="685">
        <f>G54</f>
        <v>177320865</v>
      </c>
      <c r="I54" s="685">
        <f>H54</f>
        <v>177320865</v>
      </c>
      <c r="J54" s="685">
        <f>I54</f>
        <v>177320865</v>
      </c>
      <c r="K54" s="685">
        <f>J54</f>
        <v>177320865</v>
      </c>
    </row>
    <row r="55">
      <c r="A55" s="688" t="s">
        <v>53</v>
      </c>
      <c r="B55" s="686">
        <f>EEFF!B55</f>
        <v>14036040</v>
      </c>
      <c r="C55" s="686">
        <f>EEFF!C55</f>
        <v>13211416</v>
      </c>
      <c r="D55" s="686">
        <f>EEFF!D55</f>
        <v>25606793</v>
      </c>
      <c r="E55" s="686">
        <f>EEFF!E55</f>
        <v>25872345</v>
      </c>
      <c r="F55" s="686">
        <f>EEFF!F55</f>
        <v>23085224</v>
      </c>
      <c r="G55" s="695">
        <f>F55</f>
        <v>23085224</v>
      </c>
      <c r="H55" s="685">
        <f>G55</f>
        <v>23085224</v>
      </c>
      <c r="I55" s="685">
        <f>H55</f>
        <v>23085224</v>
      </c>
      <c r="J55" s="685">
        <f>I55</f>
        <v>23085224</v>
      </c>
      <c r="K55" s="685">
        <f>J55</f>
        <v>23085224</v>
      </c>
    </row>
    <row r="56">
      <c r="A56" s="677" t="s">
        <v>61</v>
      </c>
      <c r="B56" s="681">
        <f>EEFF!B56</f>
        <v>2121472574</v>
      </c>
      <c r="C56" s="681">
        <f>EEFF!C56</f>
        <v>2228809260</v>
      </c>
      <c r="D56" s="681">
        <f>EEFF!D56</f>
        <v>2244910728</v>
      </c>
      <c r="E56" s="681">
        <f>EEFF!E56</f>
        <v>2270922588</v>
      </c>
      <c r="F56" s="681">
        <f>EEFF!F56</f>
        <v>1844742611</v>
      </c>
      <c r="G56" s="679">
        <f>G49+G50+G51+G52+G53+G54+G55</f>
        <v>1844742611</v>
      </c>
      <c r="H56" s="671">
        <f>H49+H50+H51+H52+H53+H54+H55</f>
        <v>1844742611</v>
      </c>
      <c r="I56" s="671">
        <f>I49+I50+I51+I52+I53+I54+I55</f>
        <v>1844742611</v>
      </c>
      <c r="J56" s="671">
        <f>J49+J50+J51+J52+J53+J54+J55</f>
        <v>1844742611</v>
      </c>
      <c r="K56" s="671">
        <f>K49+K50+K51+K52+K53+K54+K55</f>
        <v>1844742611</v>
      </c>
    </row>
    <row r="57">
      <c r="A57" s="688" t="s">
        <v>62</v>
      </c>
      <c r="B57" s="686">
        <f>EEFF!B57</f>
        <v>20847797</v>
      </c>
      <c r="C57" s="686">
        <f>EEFF!C57</f>
        <v>17277420</v>
      </c>
      <c r="D57" s="686">
        <f>EEFF!D57</f>
        <v>15302729</v>
      </c>
      <c r="E57" s="686">
        <f>EEFF!E57</f>
        <v>12991713</v>
      </c>
      <c r="F57" s="686">
        <f>EEFF!F57</f>
        <v>11539789</v>
      </c>
      <c r="G57" s="695">
        <f>F57</f>
        <v>11539789</v>
      </c>
      <c r="H57" s="685">
        <f>G57</f>
        <v>11539789</v>
      </c>
      <c r="I57" s="685">
        <f>H57</f>
        <v>11539789</v>
      </c>
      <c r="J57" s="685">
        <f>I57</f>
        <v>11539789</v>
      </c>
      <c r="K57" s="685">
        <f>J57</f>
        <v>11539789</v>
      </c>
    </row>
    <row r="58">
      <c r="A58" s="688" t="s">
        <v>63</v>
      </c>
      <c r="B58" s="686">
        <f>EEFF!B58</f>
        <v>116353854</v>
      </c>
      <c r="C58" s="686">
        <f>EEFF!C58</f>
        <v>119112591</v>
      </c>
      <c r="D58" s="686">
        <f>EEFF!D58</f>
        <v>119464406</v>
      </c>
      <c r="E58" s="686">
        <f>EEFF!E58</f>
        <v>123345219</v>
      </c>
      <c r="F58" s="686">
        <f>EEFF!F58</f>
        <v>105129335</v>
      </c>
      <c r="G58" s="695">
        <f>F58</f>
        <v>105129335</v>
      </c>
      <c r="H58" s="685">
        <f>G58</f>
        <v>105129335</v>
      </c>
      <c r="I58" s="685">
        <f>H58</f>
        <v>105129335</v>
      </c>
      <c r="J58" s="685">
        <f>I58</f>
        <v>105129335</v>
      </c>
      <c r="K58" s="685">
        <f>J58</f>
        <v>105129335</v>
      </c>
    </row>
    <row r="59">
      <c r="A59" s="677" t="s">
        <v>64</v>
      </c>
      <c r="B59" s="681">
        <f>EEFF!B59</f>
        <v>7533825313</v>
      </c>
      <c r="C59" s="681">
        <f>EEFF!C59</f>
        <v>7640442096</v>
      </c>
      <c r="D59" s="681">
        <f>EEFF!D59</f>
        <v>7701225655</v>
      </c>
      <c r="E59" s="681">
        <f>EEFF!E59</f>
        <v>7788906847</v>
      </c>
      <c r="F59" s="681">
        <f>EEFF!F59</f>
        <v>7734221146</v>
      </c>
      <c r="G59" s="679">
        <f>G48+G56+G57+G58</f>
        <v>7859606640.499999</v>
      </c>
      <c r="H59" s="671">
        <f>H48+H56+H57+H58</f>
        <v>8006065632.537498</v>
      </c>
      <c r="I59" s="671">
        <f>I48+I56+I57+I58</f>
        <v>8156186099.375936</v>
      </c>
      <c r="J59" s="671">
        <f>J48+J56+J57+J58</f>
        <v>8310059577.885333</v>
      </c>
      <c r="K59" s="671">
        <f>K48+K56+K57+K58</f>
        <v>8467779893.357466</v>
      </c>
    </row>
    <row r="60">
      <c r="A60" s="688" t="s">
        <v>65</v>
      </c>
      <c r="B60" s="686">
        <f>EEFF!B60</f>
        <v>270202657</v>
      </c>
      <c r="C60" s="686">
        <f>EEFF!C60</f>
        <v>270202657</v>
      </c>
      <c r="D60" s="686">
        <f>EEFF!D60</f>
        <v>270202657</v>
      </c>
      <c r="E60" s="686">
        <f>EEFF!E60</f>
        <v>270202657</v>
      </c>
      <c r="F60" s="686">
        <f>EEFF!F60</f>
        <v>274702657</v>
      </c>
      <c r="G60" s="695">
        <f>F60</f>
        <v>274702657</v>
      </c>
      <c r="H60" s="685">
        <f>G60</f>
        <v>274702657</v>
      </c>
      <c r="I60" s="685">
        <f>H60</f>
        <v>274702657</v>
      </c>
      <c r="J60" s="685">
        <f>I60</f>
        <v>274702657</v>
      </c>
      <c r="K60" s="685">
        <f>J60</f>
        <v>274702657</v>
      </c>
    </row>
    <row r="61">
      <c r="A61" s="688" t="s">
        <v>66</v>
      </c>
      <c r="B61" s="686">
        <f>EEFF!B61</f>
        <v>1755574</v>
      </c>
      <c r="C61" s="686">
        <f>EEFF!C61</f>
        <v>1974519</v>
      </c>
      <c r="D61" s="686">
        <f>EEFF!D61</f>
        <v>2252695</v>
      </c>
      <c r="E61" s="686">
        <f>EEFF!E61</f>
        <v>2247763</v>
      </c>
      <c r="F61" s="686">
        <f>EEFF!F61</f>
        <v>2292335</v>
      </c>
      <c r="G61" s="695">
        <f>F61</f>
        <v>2292335</v>
      </c>
      <c r="H61" s="685">
        <f>G61</f>
        <v>2292335</v>
      </c>
      <c r="I61" s="685">
        <f>H61</f>
        <v>2292335</v>
      </c>
      <c r="J61" s="685">
        <f>I61</f>
        <v>2292335</v>
      </c>
      <c r="K61" s="685">
        <f>J61</f>
        <v>2292335</v>
      </c>
    </row>
    <row r="62">
      <c r="A62" s="688" t="s">
        <v>67</v>
      </c>
      <c r="B62" s="686">
        <f>EEFF!B62</f>
        <v>42382907</v>
      </c>
      <c r="C62" s="686">
        <f>EEFF!C62</f>
        <v>43269167</v>
      </c>
      <c r="D62" s="686">
        <f>EEFF!D62</f>
        <v>44175479</v>
      </c>
      <c r="E62" s="686">
        <f>EEFF!E62</f>
        <v>45124877</v>
      </c>
      <c r="F62" s="686">
        <f>EEFF!F62</f>
        <v>46137123</v>
      </c>
      <c r="G62" s="695">
        <f>F62</f>
        <v>46137123</v>
      </c>
      <c r="H62" s="685">
        <f>G62</f>
        <v>46137123</v>
      </c>
      <c r="I62" s="685">
        <f>H62</f>
        <v>46137123</v>
      </c>
      <c r="J62" s="685">
        <f>I62</f>
        <v>46137123</v>
      </c>
      <c r="K62" s="685">
        <f>J62</f>
        <v>46137123</v>
      </c>
    </row>
    <row r="63">
      <c r="A63" s="688" t="s">
        <v>68</v>
      </c>
      <c r="B63" s="686">
        <f>EEFF!B63</f>
        <v>99613232</v>
      </c>
      <c r="C63" s="686">
        <f>EEFF!C63</f>
        <v>101983796</v>
      </c>
      <c r="D63" s="686">
        <f>EEFF!D63</f>
        <v>104142557</v>
      </c>
      <c r="E63" s="686">
        <f>EEFF!E63</f>
        <v>108133638</v>
      </c>
      <c r="F63" s="686">
        <f>EEFF!F63</f>
        <v>112628772</v>
      </c>
      <c r="G63" s="695">
        <f>F63</f>
        <v>112628772</v>
      </c>
      <c r="H63" s="685">
        <f>G63</f>
        <v>112628772</v>
      </c>
      <c r="I63" s="685">
        <f>H63</f>
        <v>112628772</v>
      </c>
      <c r="J63" s="685">
        <f>I63</f>
        <v>112628772</v>
      </c>
      <c r="K63" s="685">
        <f>J63</f>
        <v>112628772</v>
      </c>
    </row>
    <row r="64">
      <c r="A64" s="688" t="s">
        <v>69</v>
      </c>
      <c r="B64" s="686">
        <f>EEFF!B64</f>
        <v>3356143</v>
      </c>
      <c r="C64" s="686">
        <f>EEFF!C64</f>
        <v>-37694923</v>
      </c>
      <c r="D64" s="686">
        <f>EEFF!D64</f>
        <v>-37365976</v>
      </c>
      <c r="E64" s="686">
        <f>EEFF!E64</f>
        <v>-29751677</v>
      </c>
      <c r="F64" s="686">
        <f>EEFF!F64</f>
        <v>-17574839</v>
      </c>
      <c r="G64" s="695">
        <f>F64</f>
        <v>-17574839</v>
      </c>
      <c r="H64" s="685">
        <f>G64</f>
        <v>-17574839</v>
      </c>
      <c r="I64" s="685">
        <f>H64</f>
        <v>-17574839</v>
      </c>
      <c r="J64" s="685">
        <f>I64</f>
        <v>-17574839</v>
      </c>
      <c r="K64" s="685">
        <f>J64</f>
        <v>-17574839</v>
      </c>
    </row>
    <row r="65">
      <c r="A65" s="688" t="s">
        <v>70</v>
      </c>
      <c r="B65" s="686">
        <f>EEFF!B65</f>
        <v>0</v>
      </c>
      <c r="C65" s="686">
        <f>EEFF!C65</f>
        <v>0</v>
      </c>
      <c r="D65" s="686">
        <f>EEFF!D65</f>
        <v>0</v>
      </c>
      <c r="E65" s="686">
        <f>EEFF!E65</f>
        <v>-69008</v>
      </c>
      <c r="F65" s="686">
        <f>EEFF!F65</f>
        <v>-2164703</v>
      </c>
      <c r="G65" s="695">
        <f>F65</f>
        <v>-2164703</v>
      </c>
      <c r="H65" s="685">
        <f>G65</f>
        <v>-2164703</v>
      </c>
      <c r="I65" s="685">
        <f>H65</f>
        <v>-2164703</v>
      </c>
      <c r="J65" s="685">
        <f>I65</f>
        <v>-2164703</v>
      </c>
      <c r="K65" s="685">
        <f>J65</f>
        <v>-2164703</v>
      </c>
    </row>
    <row r="66">
      <c r="A66" s="688" t="s">
        <v>71</v>
      </c>
      <c r="B66" s="686">
        <f>EEFF!B66</f>
        <v>372408067</v>
      </c>
      <c r="C66" s="686">
        <f>EEFF!C66</f>
        <v>380419123</v>
      </c>
      <c r="D66" s="686">
        <f>EEFF!D66</f>
        <v>328345832</v>
      </c>
      <c r="E66" s="686">
        <f>EEFF!E66</f>
        <v>335487535</v>
      </c>
      <c r="F66" s="686">
        <f>EEFF!F66</f>
        <v>352759085</v>
      </c>
      <c r="G66" s="695">
        <f>F66</f>
        <v>352759085</v>
      </c>
      <c r="H66" s="685">
        <f>G66</f>
        <v>352759085</v>
      </c>
      <c r="I66" s="685">
        <f>H66</f>
        <v>352759085</v>
      </c>
      <c r="J66" s="685">
        <f>I66</f>
        <v>352759085</v>
      </c>
      <c r="K66" s="685">
        <f>J66</f>
        <v>352759085</v>
      </c>
    </row>
    <row r="67">
      <c r="A67" s="677" t="s">
        <v>72</v>
      </c>
      <c r="B67" s="681">
        <f>EEFF!B67</f>
        <v>789718580</v>
      </c>
      <c r="C67" s="681">
        <f>EEFF!C67</f>
        <v>760154339</v>
      </c>
      <c r="D67" s="681">
        <f>EEFF!D67</f>
        <v>711753244</v>
      </c>
      <c r="E67" s="681">
        <f>EEFF!E67</f>
        <v>731375785</v>
      </c>
      <c r="F67" s="681">
        <f>EEFF!F67</f>
        <v>768780430</v>
      </c>
      <c r="G67" s="679">
        <f>G60+G61+G62+G63+G64+G65+G66</f>
        <v>768780430</v>
      </c>
      <c r="H67" s="671">
        <f>H60+H61+H62+H63+H64+H65+H66</f>
        <v>768780430</v>
      </c>
      <c r="I67" s="671">
        <f>I60+I61+I62+I63+I64+I65+I66</f>
        <v>768780430</v>
      </c>
      <c r="J67" s="671">
        <f>J60+J61+J62+J63+J64+J65+J66</f>
        <v>768780430</v>
      </c>
      <c r="K67" s="671">
        <f>K60+K61+K62+K63+K64+K65+K66</f>
        <v>768780430</v>
      </c>
    </row>
    <row r="68">
      <c r="A68" s="677" t="s">
        <v>73</v>
      </c>
      <c r="B68" s="681">
        <f>EEFF!B68</f>
        <v>8323543893</v>
      </c>
      <c r="C68" s="681">
        <f>EEFF!C68</f>
        <v>8400596435</v>
      </c>
      <c r="D68" s="681">
        <f>EEFF!D68</f>
        <v>8412978899</v>
      </c>
      <c r="E68" s="681">
        <f>EEFF!E68</f>
        <v>8520282632</v>
      </c>
      <c r="F68" s="681">
        <f>EEFF!F68</f>
        <v>8503001576</v>
      </c>
      <c r="G68" s="679">
        <f>G59+G67</f>
        <v>8628387070.5</v>
      </c>
      <c r="H68" s="671">
        <f>H59+H67</f>
        <v>8774846062.537498</v>
      </c>
      <c r="I68" s="671">
        <f>I59+I67</f>
        <v>8924966529.375935</v>
      </c>
      <c r="J68" s="671">
        <f>J59+J67</f>
        <v>9078840007.885334</v>
      </c>
      <c r="K68" s="671">
        <f>K59+K67</f>
        <v>9236560323.357466</v>
      </c>
    </row>
    <row r="69">
      <c r="A69" s="643"/>
      <c r="B69" s="643"/>
      <c r="C69" s="643"/>
      <c r="D69" s="643"/>
      <c r="E69" s="643"/>
      <c r="F69" s="643"/>
      <c r="G69" s="654"/>
      <c r="H69" s="643"/>
      <c r="I69" s="643"/>
      <c r="J69" s="643"/>
      <c r="K69" s="643"/>
    </row>
    <row r="70">
      <c r="A70" s="690" t="s">
        <v>3</v>
      </c>
      <c r="B70" s="707" t="s">
        <v>4</v>
      </c>
      <c r="C70" s="707" t="s">
        <v>5</v>
      </c>
      <c r="D70" s="707" t="s">
        <v>6</v>
      </c>
      <c r="E70" s="707" t="s">
        <v>7</v>
      </c>
      <c r="F70" s="707" t="s">
        <v>8</v>
      </c>
      <c r="G70" s="708" t="s">
        <v>9</v>
      </c>
      <c r="H70" s="705" t="s">
        <v>10</v>
      </c>
      <c r="I70" s="705" t="s">
        <v>11</v>
      </c>
      <c r="J70" s="705" t="s">
        <v>12</v>
      </c>
      <c r="K70" s="705" t="s">
        <v>13</v>
      </c>
    </row>
    <row r="71">
      <c r="A71" s="690" t="s">
        <v>74</v>
      </c>
      <c r="B71" s="647"/>
      <c r="C71" s="647"/>
      <c r="D71" s="647"/>
      <c r="E71" s="647"/>
      <c r="F71" s="647"/>
      <c r="G71" s="657"/>
      <c r="H71" s="651"/>
      <c r="I71" s="651"/>
      <c r="J71" s="651"/>
      <c r="K71" s="651"/>
    </row>
    <row r="72">
      <c r="A72" s="688" t="s">
        <v>41</v>
      </c>
      <c r="B72" s="686">
        <f>EEFF!B72</f>
        <v>26593150</v>
      </c>
      <c r="C72" s="686">
        <f>EEFF!C72</f>
        <v>37263494</v>
      </c>
      <c r="D72" s="686">
        <f>EEFF!D72</f>
        <v>47505926</v>
      </c>
      <c r="E72" s="686">
        <f>EEFF!E72</f>
        <v>47832787</v>
      </c>
      <c r="F72" s="686">
        <f>EEFF!F72</f>
        <v>48262456</v>
      </c>
      <c r="G72" s="695">
        <f>F72</f>
        <v>48262456</v>
      </c>
      <c r="H72" s="685">
        <f>G72</f>
        <v>48262456</v>
      </c>
      <c r="I72" s="685">
        <f>H72</f>
        <v>48262456</v>
      </c>
      <c r="J72" s="685">
        <f>I72</f>
        <v>48262456</v>
      </c>
      <c r="K72" s="685">
        <f>J72</f>
        <v>48262456</v>
      </c>
    </row>
    <row r="73">
      <c r="A73" s="688" t="s">
        <v>30</v>
      </c>
      <c r="B73" s="686">
        <f>EEFF!B73</f>
        <v>21305412</v>
      </c>
      <c r="C73" s="686">
        <f>EEFF!C73</f>
        <v>20767901</v>
      </c>
      <c r="D73" s="686">
        <f>EEFF!D73</f>
        <v>18258300</v>
      </c>
      <c r="E73" s="686">
        <f>EEFF!E73</f>
        <v>17607972</v>
      </c>
      <c r="F73" s="686">
        <f>EEFF!F73</f>
        <v>17639914</v>
      </c>
      <c r="G73" s="695">
        <f>F73</f>
        <v>17639914</v>
      </c>
      <c r="H73" s="685">
        <f>G73</f>
        <v>17639914</v>
      </c>
      <c r="I73" s="685">
        <f>H73</f>
        <v>17639914</v>
      </c>
      <c r="J73" s="685">
        <f>I73</f>
        <v>17639914</v>
      </c>
      <c r="K73" s="685">
        <f>J73</f>
        <v>17639914</v>
      </c>
    </row>
    <row r="74">
      <c r="A74" s="688" t="s">
        <v>75</v>
      </c>
      <c r="B74" s="686">
        <f>EEFF!B74</f>
        <v>-5101</v>
      </c>
      <c r="C74" s="686">
        <f>EEFF!C74</f>
        <v>-178437</v>
      </c>
      <c r="D74" s="686">
        <f>EEFF!D74</f>
        <v>-667208</v>
      </c>
      <c r="E74" s="686">
        <f>EEFF!E74</f>
        <v>-308684</v>
      </c>
      <c r="F74" s="686">
        <f>EEFF!F74</f>
        <v>211392</v>
      </c>
      <c r="G74" s="695">
        <f>F74</f>
        <v>211392</v>
      </c>
      <c r="H74" s="685">
        <f>G74</f>
        <v>211392</v>
      </c>
      <c r="I74" s="685">
        <f>H74</f>
        <v>211392</v>
      </c>
      <c r="J74" s="685">
        <f>I74</f>
        <v>211392</v>
      </c>
      <c r="K74" s="685">
        <f>J74</f>
        <v>211392</v>
      </c>
    </row>
    <row r="75">
      <c r="A75" s="688" t="s">
        <v>76</v>
      </c>
      <c r="B75" s="686">
        <f>EEFF!B75</f>
        <v>31927</v>
      </c>
      <c r="C75" s="686">
        <f>EEFF!C75</f>
        <v>215502</v>
      </c>
      <c r="D75" s="686">
        <f>EEFF!D75</f>
        <v>5296399</v>
      </c>
      <c r="E75" s="686">
        <f>EEFF!E75</f>
        <v>1241711</v>
      </c>
      <c r="F75" s="686">
        <f>EEFF!F75</f>
        <v>3354830</v>
      </c>
      <c r="G75" s="695">
        <f>F75</f>
        <v>3354830</v>
      </c>
      <c r="H75" s="685">
        <f>G75</f>
        <v>3354830</v>
      </c>
      <c r="I75" s="685">
        <f>H75</f>
        <v>3354830</v>
      </c>
      <c r="J75" s="685">
        <f>I75</f>
        <v>3354830</v>
      </c>
      <c r="K75" s="685">
        <f>J75</f>
        <v>3354830</v>
      </c>
    </row>
    <row r="76">
      <c r="A76" s="688" t="s">
        <v>77</v>
      </c>
      <c r="B76" s="686">
        <f>EEFF!B76</f>
        <v>-7527134</v>
      </c>
      <c r="C76" s="686">
        <f>EEFF!C76</f>
        <v>-1154420</v>
      </c>
      <c r="D76" s="686">
        <f>EEFF!D76</f>
        <v>-388602</v>
      </c>
      <c r="E76" s="686">
        <f>EEFF!E76</f>
        <v>-309926</v>
      </c>
      <c r="F76" s="686">
        <f>EEFF!F76</f>
        <v>-795290</v>
      </c>
      <c r="G76" s="695">
        <f>F76</f>
        <v>-795290</v>
      </c>
      <c r="H76" s="685">
        <f>G76</f>
        <v>-795290</v>
      </c>
      <c r="I76" s="685">
        <f>H76</f>
        <v>-795290</v>
      </c>
      <c r="J76" s="685">
        <f>I76</f>
        <v>-795290</v>
      </c>
      <c r="K76" s="685">
        <f>J76</f>
        <v>-795290</v>
      </c>
    </row>
    <row r="77">
      <c r="A77" s="688" t="s">
        <v>78</v>
      </c>
      <c r="B77" s="686">
        <f>EEFF!B77</f>
        <v>-202943</v>
      </c>
      <c r="C77" s="686">
        <f>EEFF!C77</f>
        <v>680871</v>
      </c>
      <c r="D77" s="686">
        <f>EEFF!D77</f>
        <v>-60788</v>
      </c>
      <c r="E77" s="686">
        <f>EEFF!E77</f>
        <v>-2840346</v>
      </c>
      <c r="F77" s="686">
        <f>EEFF!F77</f>
        <v>85947</v>
      </c>
      <c r="G77" s="695">
        <f>F77</f>
        <v>85947</v>
      </c>
      <c r="H77" s="685">
        <f>G77</f>
        <v>85947</v>
      </c>
      <c r="I77" s="685">
        <f>H77</f>
        <v>85947</v>
      </c>
      <c r="J77" s="685">
        <f>I77</f>
        <v>85947</v>
      </c>
      <c r="K77" s="685">
        <f>J77</f>
        <v>85947</v>
      </c>
    </row>
    <row r="78">
      <c r="A78" s="688" t="s">
        <v>79</v>
      </c>
      <c r="B78" s="686">
        <f>EEFF!B78</f>
        <v>83497811</v>
      </c>
      <c r="C78" s="686">
        <f>EEFF!C78</f>
        <v>59032479</v>
      </c>
      <c r="D78" s="686">
        <f>EEFF!D78</f>
        <v>48957742</v>
      </c>
      <c r="E78" s="686">
        <f>EEFF!E78</f>
        <v>34695854</v>
      </c>
      <c r="F78" s="686">
        <f>EEFF!F78</f>
        <v>28431911</v>
      </c>
      <c r="G78" s="695">
        <f>F78</f>
        <v>28431911</v>
      </c>
      <c r="H78" s="685">
        <f>G78</f>
        <v>28431911</v>
      </c>
      <c r="I78" s="685">
        <f>H78</f>
        <v>28431911</v>
      </c>
      <c r="J78" s="685">
        <f>I78</f>
        <v>28431911</v>
      </c>
      <c r="K78" s="685">
        <f>J78</f>
        <v>28431911</v>
      </c>
    </row>
    <row r="79">
      <c r="A79" s="688" t="s">
        <v>80</v>
      </c>
      <c r="B79" s="686">
        <f>EEFF!B79</f>
        <v>500143</v>
      </c>
      <c r="C79" s="686">
        <f>EEFF!C79</f>
        <v>2897059</v>
      </c>
      <c r="D79" s="686">
        <f>EEFF!D79</f>
        <v>474038</v>
      </c>
      <c r="E79" s="686">
        <f>EEFF!E79</f>
        <v>-60659</v>
      </c>
      <c r="F79" s="686">
        <f>EEFF!F79</f>
        <v>-198747</v>
      </c>
      <c r="G79" s="695">
        <f>F79</f>
        <v>-198747</v>
      </c>
      <c r="H79" s="685">
        <f>G79</f>
        <v>-198747</v>
      </c>
      <c r="I79" s="685">
        <f>H79</f>
        <v>-198747</v>
      </c>
      <c r="J79" s="685">
        <f>I79</f>
        <v>-198747</v>
      </c>
      <c r="K79" s="685">
        <f>J79</f>
        <v>-198747</v>
      </c>
    </row>
    <row r="80">
      <c r="A80" s="688" t="s">
        <v>40</v>
      </c>
      <c r="B80" s="686">
        <f>EEFF!B80</f>
        <v>-8852593</v>
      </c>
      <c r="C80" s="686">
        <f>EEFF!C80</f>
        <v>-1581230</v>
      </c>
      <c r="D80" s="686">
        <f>EEFF!D80</f>
        <v>3464904</v>
      </c>
      <c r="E80" s="686">
        <f>EEFF!E80</f>
        <v>1167130</v>
      </c>
      <c r="F80" s="686">
        <f>EEFF!F80</f>
        <v>1801744</v>
      </c>
      <c r="G80" s="695">
        <f>F80</f>
        <v>1801744</v>
      </c>
      <c r="H80" s="685">
        <f>G80</f>
        <v>1801744</v>
      </c>
      <c r="I80" s="685">
        <f>H80</f>
        <v>1801744</v>
      </c>
      <c r="J80" s="685">
        <f>I80</f>
        <v>1801744</v>
      </c>
      <c r="K80" s="685">
        <f>J80</f>
        <v>1801744</v>
      </c>
    </row>
    <row r="81">
      <c r="A81" s="677" t="s">
        <v>17</v>
      </c>
      <c r="B81" s="681">
        <f>EEFF!B81</f>
        <v>-436095180</v>
      </c>
      <c r="C81" s="681">
        <f>EEFF!C81</f>
        <v>-419112916</v>
      </c>
      <c r="D81" s="681">
        <f>EEFF!D81</f>
        <v>-454333887</v>
      </c>
      <c r="E81" s="681">
        <f>EEFF!E81</f>
        <v>-503666534</v>
      </c>
      <c r="F81" s="681">
        <f>EEFF!F81</f>
        <v>-523500468</v>
      </c>
      <c r="G81" s="679">
        <f>F81</f>
        <v>-523500468</v>
      </c>
      <c r="H81" s="671">
        <f>G81</f>
        <v>-523500468</v>
      </c>
      <c r="I81" s="671">
        <f>H81</f>
        <v>-523500468</v>
      </c>
      <c r="J81" s="671">
        <f>I81</f>
        <v>-523500468</v>
      </c>
      <c r="K81" s="671">
        <f>J81</f>
        <v>-523500468</v>
      </c>
    </row>
    <row r="82">
      <c r="A82" s="688" t="s">
        <v>81</v>
      </c>
      <c r="B82" s="686">
        <f>EEFF!B82</f>
        <v>263333029</v>
      </c>
      <c r="C82" s="686">
        <f>EEFF!C82</f>
        <v>238053406</v>
      </c>
      <c r="D82" s="686">
        <f>EEFF!D82</f>
        <v>281836291</v>
      </c>
      <c r="E82" s="686">
        <f>EEFF!E82</f>
        <v>350182264</v>
      </c>
      <c r="F82" s="686">
        <f>EEFF!F82</f>
        <v>366248027</v>
      </c>
      <c r="G82" s="695">
        <f>F82</f>
        <v>366248027</v>
      </c>
      <c r="H82" s="685">
        <f>G82</f>
        <v>366248027</v>
      </c>
      <c r="I82" s="685">
        <f>H82</f>
        <v>366248027</v>
      </c>
      <c r="J82" s="685">
        <f>I82</f>
        <v>366248027</v>
      </c>
      <c r="K82" s="685">
        <f>J82</f>
        <v>366248027</v>
      </c>
    </row>
    <row r="83">
      <c r="A83" s="688" t="s">
        <v>82</v>
      </c>
      <c r="B83" s="686">
        <f>EEFF!B83</f>
        <v>-243733</v>
      </c>
      <c r="C83" s="686">
        <f>EEFF!C83</f>
        <v>218945</v>
      </c>
      <c r="D83" s="686">
        <f>EEFF!D83</f>
        <v>278176</v>
      </c>
      <c r="E83" s="686">
        <f>EEFF!E83</f>
        <v>-4932</v>
      </c>
      <c r="F83" s="686">
        <f>EEFF!F83</f>
        <v>44572</v>
      </c>
      <c r="G83" s="695">
        <f>F83</f>
        <v>44572</v>
      </c>
      <c r="H83" s="685">
        <f>G83</f>
        <v>44572</v>
      </c>
      <c r="I83" s="685">
        <f>H83</f>
        <v>44572</v>
      </c>
      <c r="J83" s="685">
        <f>I83</f>
        <v>44572</v>
      </c>
      <c r="K83" s="685">
        <f>J83</f>
        <v>44572</v>
      </c>
    </row>
    <row r="84">
      <c r="A84" s="688" t="s">
        <v>83</v>
      </c>
      <c r="B84" s="686">
        <f>EEFF!B84</f>
        <v>-57665212</v>
      </c>
      <c r="C84" s="686">
        <f>EEFF!C84</f>
        <v>-62897346</v>
      </c>
      <c r="D84" s="686">
        <f>EEFF!D84</f>
        <v>-49378709</v>
      </c>
      <c r="E84" s="686">
        <f>EEFF!E84</f>
        <v>-54463363</v>
      </c>
      <c r="F84" s="686">
        <f>EEFF!F84</f>
        <v>-58213712</v>
      </c>
      <c r="G84" s="695">
        <f>F84</f>
        <v>-58213712</v>
      </c>
      <c r="H84" s="685">
        <f>G84</f>
        <v>-58213712</v>
      </c>
      <c r="I84" s="685">
        <f>H84</f>
        <v>-58213712</v>
      </c>
      <c r="J84" s="685">
        <f>I84</f>
        <v>-58213712</v>
      </c>
      <c r="K84" s="685">
        <f>J84</f>
        <v>-58213712</v>
      </c>
    </row>
    <row r="85">
      <c r="A85" s="688" t="s">
        <v>84</v>
      </c>
      <c r="B85" s="686">
        <f>EEFF!B85</f>
        <v>-4858083</v>
      </c>
      <c r="C85" s="686">
        <f>EEFF!C85</f>
        <v>27424348</v>
      </c>
      <c r="D85" s="686">
        <f>EEFF!D85</f>
        <v>-1048266</v>
      </c>
      <c r="E85" s="686">
        <f>EEFF!E85</f>
        <v>-15140695</v>
      </c>
      <c r="F85" s="686">
        <f>EEFF!F85</f>
        <v>-17680239</v>
      </c>
      <c r="G85" s="695">
        <f>F85</f>
        <v>-17680239</v>
      </c>
      <c r="H85" s="685">
        <f>G85</f>
        <v>-17680239</v>
      </c>
      <c r="I85" s="685">
        <f>H85</f>
        <v>-17680239</v>
      </c>
      <c r="J85" s="685">
        <f>I85</f>
        <v>-17680239</v>
      </c>
      <c r="K85" s="685">
        <f>J85</f>
        <v>-17680239</v>
      </c>
    </row>
    <row r="86">
      <c r="A86" s="688" t="s">
        <v>85</v>
      </c>
      <c r="B86" s="686">
        <f>EEFF!B86</f>
        <v>4755724</v>
      </c>
      <c r="C86" s="686">
        <f>EEFF!C86</f>
        <v>21101</v>
      </c>
      <c r="D86" s="686">
        <f>EEFF!D86</f>
        <v>-3262607</v>
      </c>
      <c r="E86" s="686">
        <f>EEFF!E86</f>
        <v>-1409124</v>
      </c>
      <c r="F86" s="686">
        <f>EEFF!F86</f>
        <v>-40706</v>
      </c>
      <c r="G86" s="695">
        <f>F86</f>
        <v>-40706</v>
      </c>
      <c r="H86" s="685">
        <f>G86</f>
        <v>-40706</v>
      </c>
      <c r="I86" s="685">
        <f>H86</f>
        <v>-40706</v>
      </c>
      <c r="J86" s="685">
        <f>I86</f>
        <v>-40706</v>
      </c>
      <c r="K86" s="685">
        <f>J86</f>
        <v>-40706</v>
      </c>
    </row>
    <row r="87">
      <c r="A87" s="688" t="s">
        <v>86</v>
      </c>
      <c r="B87" s="686">
        <f>EEFF!B87</f>
        <v>248810283</v>
      </c>
      <c r="C87" s="686">
        <f>EEFF!C87</f>
        <v>-201741432</v>
      </c>
      <c r="D87" s="686">
        <f>EEFF!D87</f>
        <v>-127381949</v>
      </c>
      <c r="E87" s="686">
        <f>EEFF!E87</f>
        <v>-130986477</v>
      </c>
      <c r="F87" s="686">
        <f>EEFF!F87</f>
        <v>138786732</v>
      </c>
      <c r="G87" s="695">
        <f>F87</f>
        <v>138786732</v>
      </c>
      <c r="H87" s="685">
        <f>G87</f>
        <v>138786732</v>
      </c>
      <c r="I87" s="685">
        <f>H87</f>
        <v>138786732</v>
      </c>
      <c r="J87" s="685">
        <f>I87</f>
        <v>138786732</v>
      </c>
      <c r="K87" s="685">
        <f>J87</f>
        <v>138786732</v>
      </c>
    </row>
    <row r="88">
      <c r="A88" s="688" t="s">
        <v>87</v>
      </c>
      <c r="B88" s="686">
        <f>EEFF!B88</f>
        <v>-81129522</v>
      </c>
      <c r="C88" s="686">
        <f>EEFF!C88</f>
        <v>-52587149</v>
      </c>
      <c r="D88" s="686">
        <f>EEFF!D88</f>
        <v>-37063725</v>
      </c>
      <c r="E88" s="686">
        <f>EEFF!E88</f>
        <v>13988370</v>
      </c>
      <c r="F88" s="686">
        <f>EEFF!F88</f>
        <v>-16427966</v>
      </c>
      <c r="G88" s="695">
        <f>F88</f>
        <v>-16427966</v>
      </c>
      <c r="H88" s="685">
        <f>G88</f>
        <v>-16427966</v>
      </c>
      <c r="I88" s="685">
        <f>H88</f>
        <v>-16427966</v>
      </c>
      <c r="J88" s="685">
        <f>I88</f>
        <v>-16427966</v>
      </c>
      <c r="K88" s="685">
        <f>J88</f>
        <v>-16427966</v>
      </c>
    </row>
    <row r="89">
      <c r="A89" s="688" t="s">
        <v>88</v>
      </c>
      <c r="B89" s="686">
        <f>EEFF!B89</f>
        <v>90457200</v>
      </c>
      <c r="C89" s="686">
        <f>EEFF!C89</f>
        <v>-10799595</v>
      </c>
      <c r="D89" s="686">
        <f>EEFF!D89</f>
        <v>26916651</v>
      </c>
      <c r="E89" s="686">
        <f>EEFF!E89</f>
        <v>59057979</v>
      </c>
      <c r="F89" s="686">
        <f>EEFF!F89</f>
        <v>450838594</v>
      </c>
      <c r="G89" s="695">
        <f>F89</f>
        <v>450838594</v>
      </c>
      <c r="H89" s="685">
        <f>G89</f>
        <v>450838594</v>
      </c>
      <c r="I89" s="685">
        <f>H89</f>
        <v>450838594</v>
      </c>
      <c r="J89" s="685">
        <f>I89</f>
        <v>450838594</v>
      </c>
      <c r="K89" s="685">
        <f>J89</f>
        <v>450838594</v>
      </c>
    </row>
    <row r="90">
      <c r="A90" s="688" t="s">
        <v>89</v>
      </c>
      <c r="B90" s="686">
        <f>EEFF!B90</f>
        <v>-27855048</v>
      </c>
      <c r="C90" s="686">
        <f>EEFF!C90</f>
        <v>19503249</v>
      </c>
      <c r="D90" s="686">
        <f>EEFF!D90</f>
        <v>18506572</v>
      </c>
      <c r="E90" s="686">
        <f>EEFF!E90</f>
        <v>-2104034</v>
      </c>
      <c r="F90" s="686">
        <f>EEFF!F90</f>
        <v>-64065921</v>
      </c>
      <c r="G90" s="695">
        <f>F90</f>
        <v>-64065921</v>
      </c>
      <c r="H90" s="685">
        <f>G90</f>
        <v>-64065921</v>
      </c>
      <c r="I90" s="685">
        <f>H90</f>
        <v>-64065921</v>
      </c>
      <c r="J90" s="685">
        <f>I90</f>
        <v>-64065921</v>
      </c>
      <c r="K90" s="685">
        <f>J90</f>
        <v>-64065921</v>
      </c>
    </row>
    <row r="91">
      <c r="A91" s="688" t="s">
        <v>90</v>
      </c>
      <c r="B91" s="686">
        <f>EEFF!B91</f>
        <v>7397556</v>
      </c>
      <c r="C91" s="686">
        <f>EEFF!C91</f>
        <v>1189437</v>
      </c>
      <c r="D91" s="686">
        <f>EEFF!D91</f>
        <v>-4230079</v>
      </c>
      <c r="E91" s="686">
        <f>EEFF!E91</f>
        <v>-1535423</v>
      </c>
      <c r="F91" s="686">
        <f>EEFF!F91</f>
        <v>-19198992</v>
      </c>
      <c r="G91" s="695">
        <f>F91</f>
        <v>-19198992</v>
      </c>
      <c r="H91" s="685">
        <f>G91</f>
        <v>-19198992</v>
      </c>
      <c r="I91" s="685">
        <f>H91</f>
        <v>-19198992</v>
      </c>
      <c r="J91" s="685">
        <f>I91</f>
        <v>-19198992</v>
      </c>
      <c r="K91" s="685">
        <f>J91</f>
        <v>-19198992</v>
      </c>
    </row>
    <row r="92">
      <c r="A92" s="677" t="s">
        <v>91</v>
      </c>
      <c r="B92" s="681">
        <f>EEFF!B92</f>
        <v>179912898</v>
      </c>
      <c r="C92" s="681">
        <f>EEFF!C92</f>
        <v>-279887387</v>
      </c>
      <c r="D92" s="681">
        <f>EEFF!D92</f>
        <v>-176942112</v>
      </c>
      <c r="E92" s="681">
        <f>EEFF!E92</f>
        <v>-132392767</v>
      </c>
      <c r="F92" s="681">
        <f>EEFF!F92</f>
        <v>413997790</v>
      </c>
      <c r="G92" s="679">
        <f>F92</f>
        <v>413997790</v>
      </c>
      <c r="H92" s="671">
        <f>G92</f>
        <v>413997790</v>
      </c>
      <c r="I92" s="671">
        <f>H92</f>
        <v>413997790</v>
      </c>
      <c r="J92" s="671">
        <f>I92</f>
        <v>413997790</v>
      </c>
      <c r="K92" s="671">
        <f>J92</f>
        <v>413997790</v>
      </c>
    </row>
    <row r="93">
      <c r="A93" s="688" t="s">
        <v>92</v>
      </c>
      <c r="B93" s="686">
        <f>EEFF!B93</f>
        <v>-3873277</v>
      </c>
      <c r="C93" s="686">
        <f>EEFF!C93</f>
        <v>-1687772</v>
      </c>
      <c r="D93" s="686">
        <f>EEFF!D93</f>
        <v>-2577066</v>
      </c>
      <c r="E93" s="686">
        <f>EEFF!E93</f>
        <v>-3273502</v>
      </c>
      <c r="F93" s="686">
        <f>EEFF!F93</f>
        <v>-2857195</v>
      </c>
      <c r="G93" s="695">
        <f>F93</f>
        <v>-2857195</v>
      </c>
      <c r="H93" s="685">
        <f>G93</f>
        <v>-2857195</v>
      </c>
      <c r="I93" s="685">
        <f>H93</f>
        <v>-2857195</v>
      </c>
      <c r="J93" s="685">
        <f>I93</f>
        <v>-2857195</v>
      </c>
      <c r="K93" s="685">
        <f>J93</f>
        <v>-2857195</v>
      </c>
    </row>
    <row r="94">
      <c r="A94" s="688" t="s">
        <v>93</v>
      </c>
      <c r="B94" s="686">
        <f>EEFF!B94</f>
        <v>378459256</v>
      </c>
      <c r="C94" s="686">
        <f>EEFF!C94</f>
        <v>432355470</v>
      </c>
      <c r="D94" s="686">
        <f>EEFF!D94</f>
        <v>458708013</v>
      </c>
      <c r="E94" s="686">
        <f>EEFF!E94</f>
        <v>492474302</v>
      </c>
      <c r="F94" s="686">
        <f>EEFF!F94</f>
        <v>529810437</v>
      </c>
      <c r="G94" s="695">
        <f>F94</f>
        <v>529810437</v>
      </c>
      <c r="H94" s="685">
        <f>G94</f>
        <v>529810437</v>
      </c>
      <c r="I94" s="685">
        <f>H94</f>
        <v>529810437</v>
      </c>
      <c r="J94" s="685">
        <f>I94</f>
        <v>529810437</v>
      </c>
      <c r="K94" s="685">
        <f>J94</f>
        <v>529810437</v>
      </c>
    </row>
    <row r="95">
      <c r="A95" s="688" t="s">
        <v>94</v>
      </c>
      <c r="B95" s="686">
        <f>EEFF!B95</f>
        <v>-262152473</v>
      </c>
      <c r="C95" s="686">
        <f>EEFF!C95</f>
        <v>-247459947</v>
      </c>
      <c r="D95" s="686">
        <f>EEFF!D95</f>
        <v>-268559170</v>
      </c>
      <c r="E95" s="686">
        <f>EEFF!E95</f>
        <v>-346771122</v>
      </c>
      <c r="F95" s="686">
        <f>EEFF!F95</f>
        <v>-364645737</v>
      </c>
      <c r="G95" s="695">
        <f>F95</f>
        <v>-364645737</v>
      </c>
      <c r="H95" s="685">
        <f>G95</f>
        <v>-364645737</v>
      </c>
      <c r="I95" s="685">
        <f>H95</f>
        <v>-364645737</v>
      </c>
      <c r="J95" s="685">
        <f>I95</f>
        <v>-364645737</v>
      </c>
      <c r="K95" s="685">
        <f>J95</f>
        <v>-364645737</v>
      </c>
    </row>
    <row r="96">
      <c r="A96" s="677" t="s">
        <v>95</v>
      </c>
      <c r="B96" s="681">
        <f>EEFF!B96</f>
        <v>292346404</v>
      </c>
      <c r="C96" s="681">
        <f>EEFF!C96</f>
        <v>-96709636</v>
      </c>
      <c r="D96" s="681">
        <f>EEFF!D96</f>
        <v>10629665</v>
      </c>
      <c r="E96" s="681">
        <f>EEFF!E96</f>
        <v>10036911</v>
      </c>
      <c r="F96" s="681">
        <f>EEFF!F96</f>
        <v>576305295</v>
      </c>
      <c r="G96" s="679">
        <f>F96</f>
        <v>576305295</v>
      </c>
      <c r="H96" s="671">
        <f>G96</f>
        <v>576305295</v>
      </c>
      <c r="I96" s="671">
        <f>H96</f>
        <v>576305295</v>
      </c>
      <c r="J96" s="671">
        <f>I96</f>
        <v>576305295</v>
      </c>
      <c r="K96" s="671">
        <f>J96</f>
        <v>576305295</v>
      </c>
    </row>
    <row r="97">
      <c r="A97" s="688" t="s">
        <v>96</v>
      </c>
      <c r="B97" s="686">
        <f>EEFF!B97</f>
        <v>-1651925402</v>
      </c>
      <c r="C97" s="686">
        <f>EEFF!C97</f>
        <v>-427600808</v>
      </c>
      <c r="D97" s="686">
        <f>EEFF!D97</f>
        <v>-251465189</v>
      </c>
      <c r="E97" s="686">
        <f>EEFF!E97</f>
        <v>-219717165</v>
      </c>
      <c r="F97" s="686">
        <f>EEFF!F97</f>
        <v>-414583040</v>
      </c>
      <c r="G97" s="695">
        <f>F97</f>
        <v>-414583040</v>
      </c>
      <c r="H97" s="685">
        <f>G97</f>
        <v>-414583040</v>
      </c>
      <c r="I97" s="685">
        <f>H97</f>
        <v>-414583040</v>
      </c>
      <c r="J97" s="685">
        <f>I97</f>
        <v>-414583040</v>
      </c>
      <c r="K97" s="685">
        <f>J97</f>
        <v>-414583040</v>
      </c>
    </row>
    <row r="98">
      <c r="A98" s="688" t="s">
        <v>97</v>
      </c>
      <c r="B98" s="686">
        <f>EEFF!B98</f>
        <v>1645314605</v>
      </c>
      <c r="C98" s="686">
        <f>EEFF!C98</f>
        <v>438213712</v>
      </c>
      <c r="D98" s="686">
        <f>EEFF!D98</f>
        <v>301697831</v>
      </c>
      <c r="E98" s="686">
        <f>EEFF!E98</f>
        <v>217377000</v>
      </c>
      <c r="F98" s="686">
        <f>EEFF!F98</f>
        <v>320122455</v>
      </c>
      <c r="G98" s="695">
        <f>F98</f>
        <v>320122455</v>
      </c>
      <c r="H98" s="685">
        <f>G98</f>
        <v>320122455</v>
      </c>
      <c r="I98" s="685">
        <f>H98</f>
        <v>320122455</v>
      </c>
      <c r="J98" s="685">
        <f>I98</f>
        <v>320122455</v>
      </c>
      <c r="K98" s="685">
        <f>J98</f>
        <v>320122455</v>
      </c>
    </row>
    <row r="99">
      <c r="A99" s="688" t="s">
        <v>98</v>
      </c>
      <c r="B99" s="686">
        <f>EEFF!B99</f>
        <v>-27877749</v>
      </c>
      <c r="C99" s="686">
        <f>EEFF!C99</f>
        <v>-3470625</v>
      </c>
      <c r="D99" s="686">
        <f>EEFF!D99</f>
        <v>-27239077</v>
      </c>
      <c r="E99" s="686">
        <f>EEFF!E99</f>
        <v>-2701032</v>
      </c>
      <c r="F99" s="686">
        <f>EEFF!F99</f>
        <v>-27539340</v>
      </c>
      <c r="G99" s="695">
        <f>F99</f>
        <v>-27539340</v>
      </c>
      <c r="H99" s="685">
        <f>G99</f>
        <v>-27539340</v>
      </c>
      <c r="I99" s="685">
        <f>H99</f>
        <v>-27539340</v>
      </c>
      <c r="J99" s="685">
        <f>I99</f>
        <v>-27539340</v>
      </c>
      <c r="K99" s="685">
        <f>J99</f>
        <v>-27539340</v>
      </c>
    </row>
    <row r="100">
      <c r="A100" s="688" t="s">
        <v>99</v>
      </c>
      <c r="B100" s="686">
        <f>EEFF!B100</f>
        <v>0</v>
      </c>
      <c r="C100" s="686">
        <f>EEFF!C100</f>
        <v>0</v>
      </c>
      <c r="D100" s="686">
        <f>EEFF!D100</f>
        <v>157944</v>
      </c>
      <c r="E100" s="686">
        <f>EEFF!E100</f>
        <v>2506131</v>
      </c>
      <c r="F100" s="686">
        <f>EEFF!F100</f>
        <v>29786790</v>
      </c>
      <c r="G100" s="695">
        <f>F100</f>
        <v>29786790</v>
      </c>
      <c r="H100" s="685">
        <f>G100</f>
        <v>29786790</v>
      </c>
      <c r="I100" s="685">
        <f>H100</f>
        <v>29786790</v>
      </c>
      <c r="J100" s="685">
        <f>I100</f>
        <v>29786790</v>
      </c>
      <c r="K100" s="685">
        <f>J100</f>
        <v>29786790</v>
      </c>
    </row>
    <row r="101">
      <c r="A101" s="688" t="s">
        <v>100</v>
      </c>
      <c r="B101" s="686">
        <f>EEFF!B101</f>
        <v>-46980293</v>
      </c>
      <c r="C101" s="686">
        <f>EEFF!C101</f>
        <v>-36519100</v>
      </c>
      <c r="D101" s="686">
        <f>EEFF!D101</f>
        <v>-16311184</v>
      </c>
      <c r="E101" s="686">
        <f>EEFF!E101</f>
        <v>-4999950</v>
      </c>
      <c r="F101" s="686">
        <f>EEFF!F101</f>
        <v>-28574308</v>
      </c>
      <c r="G101" s="695">
        <f>F101</f>
        <v>-28574308</v>
      </c>
      <c r="H101" s="685">
        <f>G101</f>
        <v>-28574308</v>
      </c>
      <c r="I101" s="685">
        <f>H101</f>
        <v>-28574308</v>
      </c>
      <c r="J101" s="685">
        <f>I101</f>
        <v>-28574308</v>
      </c>
      <c r="K101" s="685">
        <f>J101</f>
        <v>-28574308</v>
      </c>
    </row>
    <row r="102">
      <c r="A102" s="688" t="s">
        <v>101</v>
      </c>
      <c r="B102" s="686">
        <f>EEFF!B102</f>
        <v>12697532</v>
      </c>
      <c r="C102" s="686">
        <f>EEFF!C102</f>
        <v>16147228</v>
      </c>
      <c r="D102" s="686">
        <f>EEFF!D102</f>
        <v>18866685</v>
      </c>
      <c r="E102" s="686">
        <f>EEFF!E102</f>
        <v>26521562</v>
      </c>
      <c r="F102" s="686">
        <f>EEFF!F102</f>
        <v>46934901</v>
      </c>
      <c r="G102" s="695">
        <f>F102</f>
        <v>46934901</v>
      </c>
      <c r="H102" s="685">
        <f>G102</f>
        <v>46934901</v>
      </c>
      <c r="I102" s="685">
        <f>H102</f>
        <v>46934901</v>
      </c>
      <c r="J102" s="685">
        <f>I102</f>
        <v>46934901</v>
      </c>
      <c r="K102" s="685">
        <f>J102</f>
        <v>46934901</v>
      </c>
    </row>
    <row r="103">
      <c r="A103" s="688" t="s">
        <v>102</v>
      </c>
      <c r="B103" s="686">
        <f>EEFF!B103</f>
        <v>-11948720</v>
      </c>
      <c r="C103" s="686">
        <f>EEFF!C103</f>
        <v>-19038187</v>
      </c>
      <c r="D103" s="686">
        <f>EEFF!D103</f>
        <v>-12386108</v>
      </c>
      <c r="E103" s="686">
        <f>EEFF!E103</f>
        <v>-16279740</v>
      </c>
      <c r="F103" s="686">
        <f>EEFF!F103</f>
        <v>-18621372</v>
      </c>
      <c r="G103" s="695">
        <f>F103</f>
        <v>-18621372</v>
      </c>
      <c r="H103" s="685">
        <f>G103</f>
        <v>-18621372</v>
      </c>
      <c r="I103" s="685">
        <f>H103</f>
        <v>-18621372</v>
      </c>
      <c r="J103" s="685">
        <f>I103</f>
        <v>-18621372</v>
      </c>
      <c r="K103" s="685">
        <f>J103</f>
        <v>-18621372</v>
      </c>
    </row>
    <row r="104">
      <c r="A104" s="688" t="s">
        <v>103</v>
      </c>
      <c r="B104" s="686">
        <f>EEFF!B104</f>
        <v>5101</v>
      </c>
      <c r="C104" s="686">
        <f>EEFF!C104</f>
        <v>178437</v>
      </c>
      <c r="D104" s="686">
        <f>EEFF!D104</f>
        <v>667208</v>
      </c>
      <c r="E104" s="686">
        <f>EEFF!E104</f>
        <v>308684</v>
      </c>
      <c r="F104" s="686">
        <f>EEFF!F104</f>
        <v>-211392</v>
      </c>
      <c r="G104" s="695">
        <f>F104</f>
        <v>-211392</v>
      </c>
      <c r="H104" s="685">
        <f>G104</f>
        <v>-211392</v>
      </c>
      <c r="I104" s="685">
        <f>H104</f>
        <v>-211392</v>
      </c>
      <c r="J104" s="685">
        <f>I104</f>
        <v>-211392</v>
      </c>
      <c r="K104" s="685">
        <f>J104</f>
        <v>-211392</v>
      </c>
    </row>
    <row r="105">
      <c r="A105" s="677" t="s">
        <v>104</v>
      </c>
      <c r="B105" s="681">
        <f>EEFF!B105</f>
        <v>-80714926</v>
      </c>
      <c r="C105" s="681">
        <f>EEFF!C105</f>
        <v>-32089343</v>
      </c>
      <c r="D105" s="681">
        <f>EEFF!D105</f>
        <v>13988110</v>
      </c>
      <c r="E105" s="681">
        <f>EEFF!E105</f>
        <v>3015490</v>
      </c>
      <c r="F105" s="681">
        <f>EEFF!F105</f>
        <v>-92685306</v>
      </c>
      <c r="G105" s="679">
        <f>F105</f>
        <v>-92685306</v>
      </c>
      <c r="H105" s="671">
        <f>G105</f>
        <v>-92685306</v>
      </c>
      <c r="I105" s="671">
        <f>H105</f>
        <v>-92685306</v>
      </c>
      <c r="J105" s="671">
        <f>I105</f>
        <v>-92685306</v>
      </c>
      <c r="K105" s="671">
        <f>J105</f>
        <v>-92685306</v>
      </c>
    </row>
    <row r="106">
      <c r="A106" s="688" t="s">
        <v>105</v>
      </c>
      <c r="B106" s="686">
        <f>EEFF!B106</f>
        <v>0</v>
      </c>
      <c r="C106" s="686">
        <f>EEFF!C106</f>
        <v>0</v>
      </c>
      <c r="D106" s="686">
        <f>EEFF!D106</f>
        <v>-23655642</v>
      </c>
      <c r="E106" s="686">
        <f>EEFF!E106</f>
        <v>-70009751</v>
      </c>
      <c r="F106" s="686">
        <f>EEFF!F106</f>
        <v>-47610933</v>
      </c>
      <c r="G106" s="695">
        <f>F106</f>
        <v>-47610933</v>
      </c>
      <c r="H106" s="685">
        <f>G106</f>
        <v>-47610933</v>
      </c>
      <c r="I106" s="685">
        <f>H106</f>
        <v>-47610933</v>
      </c>
      <c r="J106" s="685">
        <f>I106</f>
        <v>-47610933</v>
      </c>
      <c r="K106" s="685">
        <f>J106</f>
        <v>-47610933</v>
      </c>
    </row>
    <row r="107">
      <c r="A107" s="688" t="s">
        <v>106</v>
      </c>
      <c r="B107" s="686">
        <f>EEFF!B107</f>
        <v>0</v>
      </c>
      <c r="C107" s="686">
        <f>EEFF!C107</f>
        <v>93665393</v>
      </c>
      <c r="D107" s="686">
        <f>EEFF!D107</f>
        <v>0</v>
      </c>
      <c r="E107" s="686">
        <f>EEFF!E107</f>
        <v>47610933</v>
      </c>
      <c r="F107" s="686">
        <f>EEFF!F107</f>
        <v>37321723</v>
      </c>
      <c r="G107" s="695">
        <f>F107</f>
        <v>37321723</v>
      </c>
      <c r="H107" s="685">
        <f>G107</f>
        <v>37321723</v>
      </c>
      <c r="I107" s="685">
        <f>H107</f>
        <v>37321723</v>
      </c>
      <c r="J107" s="685">
        <f>I107</f>
        <v>37321723</v>
      </c>
      <c r="K107" s="685">
        <f>J107</f>
        <v>37321723</v>
      </c>
    </row>
    <row r="108">
      <c r="A108" s="688" t="s">
        <v>107</v>
      </c>
      <c r="B108" s="686">
        <f>EEFF!B108</f>
        <v>732853771</v>
      </c>
      <c r="C108" s="686">
        <f>EEFF!C108</f>
        <v>1844685880</v>
      </c>
      <c r="D108" s="686">
        <f>EEFF!D108</f>
        <v>1766870623</v>
      </c>
      <c r="E108" s="686">
        <f>EEFF!E108</f>
        <v>2262358381</v>
      </c>
      <c r="F108" s="686">
        <f>EEFF!F108</f>
        <v>1209969512</v>
      </c>
      <c r="G108" s="695">
        <f>F108</f>
        <v>1209969512</v>
      </c>
      <c r="H108" s="685">
        <f>G108</f>
        <v>1209969512</v>
      </c>
      <c r="I108" s="685">
        <f>H108</f>
        <v>1209969512</v>
      </c>
      <c r="J108" s="685">
        <f>I108</f>
        <v>1209969512</v>
      </c>
      <c r="K108" s="685">
        <f>J108</f>
        <v>1209969512</v>
      </c>
    </row>
    <row r="109">
      <c r="A109" s="688" t="s">
        <v>108</v>
      </c>
      <c r="B109" s="686">
        <f>EEFF!B109</f>
        <v>-930857868</v>
      </c>
      <c r="C109" s="686">
        <f>EEFF!C109</f>
        <v>-1241689596</v>
      </c>
      <c r="D109" s="686">
        <f>EEFF!D109</f>
        <v>-1670398393</v>
      </c>
      <c r="E109" s="686">
        <f>EEFF!E109</f>
        <v>-2194963355</v>
      </c>
      <c r="F109" s="686">
        <f>EEFF!F109</f>
        <v>-1620006309</v>
      </c>
      <c r="G109" s="695">
        <f>F109</f>
        <v>-1620006309</v>
      </c>
      <c r="H109" s="685">
        <f>G109</f>
        <v>-1620006309</v>
      </c>
      <c r="I109" s="685">
        <f>H109</f>
        <v>-1620006309</v>
      </c>
      <c r="J109" s="685">
        <f>I109</f>
        <v>-1620006309</v>
      </c>
      <c r="K109" s="685">
        <f>J109</f>
        <v>-1620006309</v>
      </c>
    </row>
    <row r="110">
      <c r="A110" s="688" t="s">
        <v>109</v>
      </c>
      <c r="B110" s="686">
        <f>EEFF!B110</f>
        <v>7850000</v>
      </c>
      <c r="C110" s="686">
        <f>EEFF!C110</f>
        <v>16595000</v>
      </c>
      <c r="D110" s="686">
        <f>EEFF!D110</f>
        <v>9545000</v>
      </c>
      <c r="E110" s="686">
        <f>EEFF!E110</f>
        <v>2000000</v>
      </c>
      <c r="F110" s="686">
        <f>EEFF!F110</f>
        <v>0</v>
      </c>
      <c r="G110" s="695">
        <f>F110</f>
        <v>0</v>
      </c>
      <c r="H110" s="685">
        <f>G110</f>
        <v>0</v>
      </c>
      <c r="I110" s="685">
        <f>H110</f>
        <v>0</v>
      </c>
      <c r="J110" s="685">
        <f>I110</f>
        <v>0</v>
      </c>
      <c r="K110" s="685">
        <f>J110</f>
        <v>0</v>
      </c>
    </row>
    <row r="111">
      <c r="A111" s="688" t="s">
        <v>110</v>
      </c>
      <c r="B111" s="686">
        <f>EEFF!B111</f>
        <v>-24300000</v>
      </c>
      <c r="C111" s="686">
        <f>EEFF!C111</f>
        <v>-6850000</v>
      </c>
      <c r="D111" s="686">
        <f>EEFF!D111</f>
        <v>-26140000</v>
      </c>
      <c r="E111" s="686">
        <f>EEFF!E111</f>
        <v>0</v>
      </c>
      <c r="F111" s="686">
        <f>EEFF!F111</f>
        <v>-2000000</v>
      </c>
      <c r="G111" s="695">
        <f>F111</f>
        <v>-2000000</v>
      </c>
      <c r="H111" s="685">
        <f>G111</f>
        <v>-2000000</v>
      </c>
      <c r="I111" s="685">
        <f>H111</f>
        <v>-2000000</v>
      </c>
      <c r="J111" s="685">
        <f>I111</f>
        <v>-2000000</v>
      </c>
      <c r="K111" s="685">
        <f>J111</f>
        <v>-2000000</v>
      </c>
    </row>
    <row r="112">
      <c r="A112" s="688" t="s">
        <v>111</v>
      </c>
      <c r="B112" s="686">
        <f>EEFF!B112</f>
        <v>23850000</v>
      </c>
      <c r="C112" s="686">
        <f>EEFF!C112</f>
        <v>16601000</v>
      </c>
      <c r="D112" s="686">
        <f>EEFF!D112</f>
        <v>600000</v>
      </c>
      <c r="E112" s="686">
        <f>EEFF!E112</f>
        <v>64489000</v>
      </c>
      <c r="F112" s="686">
        <f>EEFF!F112</f>
        <v>0</v>
      </c>
      <c r="G112" s="695">
        <f>F112</f>
        <v>0</v>
      </c>
      <c r="H112" s="685">
        <f>G112</f>
        <v>0</v>
      </c>
      <c r="I112" s="685">
        <f>H112</f>
        <v>0</v>
      </c>
      <c r="J112" s="685">
        <f>I112</f>
        <v>0</v>
      </c>
      <c r="K112" s="685">
        <f>J112</f>
        <v>0</v>
      </c>
    </row>
    <row r="113">
      <c r="A113" s="688" t="s">
        <v>112</v>
      </c>
      <c r="B113" s="686">
        <f>EEFF!B113</f>
        <v>-82646050</v>
      </c>
      <c r="C113" s="686">
        <f>EEFF!C113</f>
        <v>-625806718</v>
      </c>
      <c r="D113" s="686">
        <f>EEFF!D113</f>
        <v>-51308097</v>
      </c>
      <c r="E113" s="686">
        <f>EEFF!E113</f>
        <v>-78347220</v>
      </c>
      <c r="F113" s="686">
        <f>EEFF!F113</f>
        <v>-1290375</v>
      </c>
      <c r="G113" s="695">
        <f>F113</f>
        <v>-1290375</v>
      </c>
      <c r="H113" s="685">
        <f>G113</f>
        <v>-1290375</v>
      </c>
      <c r="I113" s="685">
        <f>H113</f>
        <v>-1290375</v>
      </c>
      <c r="J113" s="685">
        <f>I113</f>
        <v>-1290375</v>
      </c>
      <c r="K113" s="685">
        <f>J113</f>
        <v>-1290375</v>
      </c>
    </row>
    <row r="114">
      <c r="A114" s="688" t="s">
        <v>113</v>
      </c>
      <c r="B114" s="686">
        <f>EEFF!B114</f>
        <v>-20033073</v>
      </c>
      <c r="C114" s="686">
        <f>EEFF!C114</f>
        <v>-23664251</v>
      </c>
      <c r="D114" s="686">
        <f>EEFF!D114</f>
        <v>-95002266</v>
      </c>
      <c r="E114" s="686">
        <f>EEFF!E114</f>
        <v>-35336599</v>
      </c>
      <c r="F114" s="686">
        <f>EEFF!F114</f>
        <v>-25134617</v>
      </c>
      <c r="G114" s="695">
        <f>F114</f>
        <v>-25134617</v>
      </c>
      <c r="H114" s="685">
        <f>G114</f>
        <v>-25134617</v>
      </c>
      <c r="I114" s="685">
        <f>H114</f>
        <v>-25134617</v>
      </c>
      <c r="J114" s="685">
        <f>I114</f>
        <v>-25134617</v>
      </c>
      <c r="K114" s="685">
        <f>J114</f>
        <v>-25134617</v>
      </c>
    </row>
    <row r="115">
      <c r="A115" s="688" t="s">
        <v>114</v>
      </c>
      <c r="B115" s="686">
        <f>EEFF!B115</f>
        <v>0</v>
      </c>
      <c r="C115" s="686">
        <f>EEFF!C115</f>
        <v>0</v>
      </c>
      <c r="D115" s="686">
        <f>EEFF!D115</f>
        <v>0</v>
      </c>
      <c r="E115" s="686">
        <f>EEFF!E115</f>
        <v>0</v>
      </c>
      <c r="F115" s="686">
        <f>EEFF!F115</f>
        <v>4500000</v>
      </c>
      <c r="G115" s="695">
        <f>F115</f>
        <v>4500000</v>
      </c>
      <c r="H115" s="685">
        <f>G115</f>
        <v>4500000</v>
      </c>
      <c r="I115" s="685">
        <f>H115</f>
        <v>4500000</v>
      </c>
      <c r="J115" s="685">
        <f>I115</f>
        <v>4500000</v>
      </c>
      <c r="K115" s="685">
        <f>J115</f>
        <v>4500000</v>
      </c>
    </row>
    <row r="116">
      <c r="A116" s="688" t="s">
        <v>115</v>
      </c>
      <c r="B116" s="686">
        <f>EEFF!B116</f>
        <v>-3119419</v>
      </c>
      <c r="C116" s="686">
        <f>EEFF!C116</f>
        <v>-2860865</v>
      </c>
      <c r="D116" s="686">
        <f>EEFF!D116</f>
        <v>-1974691</v>
      </c>
      <c r="E116" s="686">
        <f>EEFF!E116</f>
        <v>-2311016</v>
      </c>
      <c r="F116" s="686">
        <f>EEFF!F116</f>
        <v>-1451924</v>
      </c>
      <c r="G116" s="695">
        <f>F116</f>
        <v>-1451924</v>
      </c>
      <c r="H116" s="685">
        <f>G116</f>
        <v>-1451924</v>
      </c>
      <c r="I116" s="685">
        <f>H116</f>
        <v>-1451924</v>
      </c>
      <c r="J116" s="685">
        <f>I116</f>
        <v>-1451924</v>
      </c>
      <c r="K116" s="685">
        <f>J116</f>
        <v>-1451924</v>
      </c>
    </row>
    <row r="117">
      <c r="A117" s="688" t="s">
        <v>116</v>
      </c>
      <c r="B117" s="686">
        <f>EEFF!B117</f>
        <v>-490801</v>
      </c>
      <c r="C117" s="686">
        <f>EEFF!C117</f>
        <v>-540609</v>
      </c>
      <c r="D117" s="686">
        <f>EEFF!D117</f>
        <v>-511878</v>
      </c>
      <c r="E117" s="686">
        <f>EEFF!E117</f>
        <v>-700955</v>
      </c>
      <c r="F117" s="686">
        <f>EEFF!F117</f>
        <v>-348909</v>
      </c>
      <c r="G117" s="695">
        <f>F117</f>
        <v>-348909</v>
      </c>
      <c r="H117" s="685">
        <f>G117</f>
        <v>-348909</v>
      </c>
      <c r="I117" s="685">
        <f>H117</f>
        <v>-348909</v>
      </c>
      <c r="J117" s="685">
        <f>I117</f>
        <v>-348909</v>
      </c>
      <c r="K117" s="685">
        <f>J117</f>
        <v>-348909</v>
      </c>
    </row>
    <row r="118">
      <c r="A118" s="677" t="s">
        <v>117</v>
      </c>
      <c r="B118" s="681">
        <f>EEFF!B118</f>
        <v>-296893440</v>
      </c>
      <c r="C118" s="681">
        <f>EEFF!C118</f>
        <v>70135234</v>
      </c>
      <c r="D118" s="681">
        <f>EEFF!D118</f>
        <v>-92973344</v>
      </c>
      <c r="E118" s="681">
        <f>EEFF!E118</f>
        <v>-5210582</v>
      </c>
      <c r="F118" s="681">
        <f>EEFF!F118</f>
        <v>-446051832</v>
      </c>
      <c r="G118" s="679">
        <f>F118</f>
        <v>-446051832</v>
      </c>
      <c r="H118" s="671">
        <f>G118</f>
        <v>-446051832</v>
      </c>
      <c r="I118" s="671">
        <f>H118</f>
        <v>-446051832</v>
      </c>
      <c r="J118" s="671">
        <f>I118</f>
        <v>-446051832</v>
      </c>
      <c r="K118" s="671">
        <f>J118</f>
        <v>-446051832</v>
      </c>
    </row>
    <row r="119">
      <c r="A119" s="688" t="s">
        <v>118</v>
      </c>
      <c r="B119" s="686">
        <f>EEFF!B119</f>
        <v>-85261962</v>
      </c>
      <c r="C119" s="686">
        <f>EEFF!C119</f>
        <v>-58663745</v>
      </c>
      <c r="D119" s="686">
        <f>EEFF!D119</f>
        <v>-68355569</v>
      </c>
      <c r="E119" s="686">
        <f>EEFF!E119</f>
        <v>7841819</v>
      </c>
      <c r="F119" s="686">
        <f>EEFF!F119</f>
        <v>37568157</v>
      </c>
      <c r="G119" s="695">
        <f>F119</f>
        <v>37568157</v>
      </c>
      <c r="H119" s="685">
        <f>G119</f>
        <v>37568157</v>
      </c>
      <c r="I119" s="685">
        <f>H119</f>
        <v>37568157</v>
      </c>
      <c r="J119" s="685">
        <f>I119</f>
        <v>37568157</v>
      </c>
      <c r="K119" s="685">
        <f>J119</f>
        <v>37568157</v>
      </c>
    </row>
    <row r="120">
      <c r="A120" s="688" t="s">
        <v>119</v>
      </c>
      <c r="B120" s="686">
        <f>EEFF!B120</f>
        <v>559251757</v>
      </c>
      <c r="C120" s="686">
        <f>EEFF!C120</f>
        <v>473989795</v>
      </c>
      <c r="D120" s="686">
        <f>EEFF!D120</f>
        <v>415326050</v>
      </c>
      <c r="E120" s="686">
        <f>EEFF!E120</f>
        <v>346970481</v>
      </c>
      <c r="F120" s="686">
        <f>EEFF!F120</f>
        <v>354812300</v>
      </c>
      <c r="G120" s="695">
        <f>F120</f>
        <v>354812300</v>
      </c>
      <c r="H120" s="685">
        <f>G120</f>
        <v>354812300</v>
      </c>
      <c r="I120" s="685">
        <f>H120</f>
        <v>354812300</v>
      </c>
      <c r="J120" s="685">
        <f>I120</f>
        <v>354812300</v>
      </c>
      <c r="K120" s="685">
        <f>J120</f>
        <v>354812300</v>
      </c>
    </row>
    <row r="121">
      <c r="A121" s="677" t="s">
        <v>120</v>
      </c>
      <c r="B121" s="681">
        <f>EEFF!B121</f>
        <v>473989795</v>
      </c>
      <c r="C121" s="681">
        <f>EEFF!C121</f>
        <v>415326050</v>
      </c>
      <c r="D121" s="681">
        <f>EEFF!D121</f>
        <v>346970481</v>
      </c>
      <c r="E121" s="681">
        <f>EEFF!E121</f>
        <v>354812300</v>
      </c>
      <c r="F121" s="681">
        <f>EEFF!F121</f>
        <v>392380457</v>
      </c>
      <c r="G121" s="679">
        <f>F121</f>
        <v>392380457</v>
      </c>
      <c r="H121" s="671">
        <f>G121</f>
        <v>392380457</v>
      </c>
      <c r="I121" s="671">
        <f>H121</f>
        <v>392380457</v>
      </c>
      <c r="J121" s="671">
        <f>I121</f>
        <v>392380457</v>
      </c>
      <c r="K121" s="671">
        <f>J121</f>
        <v>392380457</v>
      </c>
    </row>
    <row r="122">
      <c r="A122" s="643"/>
      <c r="B122" s="643"/>
      <c r="C122" s="643"/>
      <c r="D122" s="643"/>
      <c r="E122" s="643"/>
      <c r="F122" s="643"/>
      <c r="G122" s="654"/>
      <c r="H122" s="643"/>
      <c r="I122" s="643"/>
      <c r="J122" s="643"/>
      <c r="K122" s="643"/>
    </row>
    <row r="123">
      <c r="A123" s="643"/>
      <c r="B123" s="643"/>
      <c r="C123" s="643"/>
      <c r="D123" s="643"/>
      <c r="E123" s="643"/>
      <c r="F123" s="643"/>
      <c r="G123" s="654"/>
      <c r="H123" s="643"/>
      <c r="I123" s="643"/>
      <c r="J123" s="643"/>
      <c r="K123" s="643"/>
    </row>
    <row r="124">
      <c r="A124" s="690" t="s">
        <v>1578</v>
      </c>
      <c r="B124" s="647"/>
      <c r="C124" s="647"/>
      <c r="D124" s="647"/>
      <c r="E124" s="647"/>
      <c r="F124" s="647"/>
      <c r="G124" s="657"/>
      <c r="H124" s="651"/>
      <c r="I124" s="651"/>
      <c r="J124" s="651"/>
      <c r="K124" s="651"/>
    </row>
    <row r="125">
      <c r="A125" s="677" t="s">
        <v>1579</v>
      </c>
      <c r="B125" s="645"/>
      <c r="C125" s="645"/>
      <c r="D125" s="645"/>
      <c r="E125" s="645"/>
      <c r="F125" s="645"/>
      <c r="G125" s="679">
        <f>G48+F50+G49+G51+G52+G53+G54+G55+G57+G58+G67</f>
        <v>8628387070.5</v>
      </c>
      <c r="H125" s="671">
        <f>H48+G50+H49+H51+H52+H53+H54+H55+H57+H58+H67</f>
        <v>8774846062.537498</v>
      </c>
      <c r="I125" s="671">
        <f>I48+H50+I49+I51+I52+I53+I54+I55+I57+I58+I67</f>
        <v>8924966529.375935</v>
      </c>
      <c r="J125" s="671">
        <f>J48+I50+J49+J51+J52+J53+J54+J55+J57+J58+J67</f>
        <v>9078840007.885334</v>
      </c>
      <c r="K125" s="671">
        <f>K48+J50+K49+K51+K52+K53+K54+K55+K57+K58+K67</f>
        <v>9236560323.357466</v>
      </c>
    </row>
    <row r="126">
      <c r="A126" s="677" t="s">
        <v>1580</v>
      </c>
      <c r="B126" s="645"/>
      <c r="C126" s="645"/>
      <c r="D126" s="645"/>
      <c r="E126" s="645"/>
      <c r="F126" s="645"/>
      <c r="G126" s="679">
        <f>F39+G37+G38+G40+G41+G42+G43</f>
        <v>8538008374.5656</v>
      </c>
      <c r="H126" s="671">
        <f>G39+H37+H38+H40+H41+H42+H43</f>
        <v>8663593407.817425</v>
      </c>
      <c r="I126" s="671">
        <f>H39+I37+I38+I40+I41+I42+I43</f>
        <v>8810253075.97763</v>
      </c>
      <c r="J126" s="671">
        <f>I39+J37+J38+J40+J41+J42+J43</f>
        <v>8960575362.792677</v>
      </c>
      <c r="K126" s="671">
        <f>J39+K37+K38+K40+K41+K42+K43</f>
        <v>9114651811.652552</v>
      </c>
    </row>
    <row r="127">
      <c r="A127" s="677" t="s">
        <v>1581</v>
      </c>
      <c r="B127" s="645"/>
      <c r="C127" s="645"/>
      <c r="D127" s="645"/>
      <c r="E127" s="645"/>
      <c r="F127" s="645"/>
      <c r="G127" s="679">
        <f>G125-G126</f>
        <v>90378695.9343996</v>
      </c>
      <c r="H127" s="671">
        <f>H125-H126</f>
        <v>111252654.7200737</v>
      </c>
      <c r="I127" s="671">
        <f>I125-I126</f>
        <v>114713453.39830399</v>
      </c>
      <c r="J127" s="671">
        <f>J125-J126</f>
        <v>118264645.09265709</v>
      </c>
      <c r="K127" s="671">
        <f>K125-K126</f>
        <v>121908511.7049141</v>
      </c>
    </row>
  </sheetData>
</worksheet>
</file>

<file path=xl/worksheets/sheet5.xml><?xml version="1.0" encoding="utf-8"?>
<worksheet xmlns="http://schemas.openxmlformats.org/spreadsheetml/2006/main" xmlns:r="http://schemas.openxmlformats.org/officeDocument/2006/relationships">
  <dimension ref="A1:K30"/>
  <sheetViews>
    <sheetView showGridLines="0" workbookViewId="0"/>
  </sheetViews>
  <sheetFormatPr defaultColWidth="8.375" defaultRowHeight="15"/>
  <cols>
    <col min="1" max="1" width="41.875" customWidth="1"/>
    <col min="2" max="8" width="15.625" customWidth="1"/>
  </cols>
  <sheetData>
    <row r="1">
      <c r="A1" s="690" t="s">
        <v>0</v>
      </c>
      <c r="B1" s="670"/>
      <c r="C1" s="670"/>
      <c r="D1" s="673"/>
      <c r="E1" s="661"/>
      <c r="F1" s="661"/>
      <c r="G1" s="661"/>
      <c r="H1" s="661"/>
    </row>
    <row r="2">
      <c r="A2" s="688" t="s">
        <v>1582</v>
      </c>
      <c r="D2" s="669"/>
    </row>
    <row r="3">
      <c r="A3" s="688" t="s">
        <v>1583</v>
      </c>
      <c r="D3" s="669"/>
    </row>
    <row r="4">
      <c r="A4" s="660"/>
      <c r="B4" s="660"/>
      <c r="C4" s="660"/>
      <c r="D4" s="669"/>
      <c r="E4" s="660"/>
      <c r="F4" s="660"/>
      <c r="G4" s="660"/>
      <c r="H4" s="660"/>
    </row>
    <row r="5">
      <c r="A5" s="690" t="s">
        <v>3</v>
      </c>
      <c r="B5" s="707" t="s">
        <v>7</v>
      </c>
      <c r="C5" s="707" t="s">
        <v>8</v>
      </c>
      <c r="D5" s="708" t="s">
        <v>9</v>
      </c>
      <c r="E5" s="705" t="s">
        <v>10</v>
      </c>
      <c r="F5" s="705" t="s">
        <v>11</v>
      </c>
      <c r="G5" s="705" t="s">
        <v>12</v>
      </c>
      <c r="H5" s="705" t="s">
        <v>13</v>
      </c>
      <c r="I5" s="706"/>
      <c r="J5" s="706"/>
      <c r="K5" s="706"/>
    </row>
    <row r="6">
      <c r="A6" s="660"/>
      <c r="B6" s="660"/>
      <c r="C6" s="660"/>
      <c r="D6" s="669"/>
      <c r="E6" s="660"/>
      <c r="F6" s="660"/>
      <c r="G6" s="660"/>
      <c r="H6" s="660"/>
    </row>
    <row r="7">
      <c r="A7" s="690" t="s">
        <v>1584</v>
      </c>
      <c r="B7" s="675"/>
      <c r="C7" s="675"/>
      <c r="D7" s="674"/>
      <c r="E7" s="667"/>
      <c r="F7" s="667"/>
      <c r="G7" s="667"/>
      <c r="H7" s="667"/>
    </row>
    <row r="8">
      <c r="A8" s="688" t="s">
        <v>1585</v>
      </c>
      <c r="B8" s="664">
        <v>1164047707</v>
      </c>
      <c r="C8" s="664">
        <v>1218732493</v>
      </c>
      <c r="D8" s="692">
        <f>C8*(1+Supuestos!G28)</f>
        <v>1225679268.2101</v>
      </c>
      <c r="E8" s="686">
        <f>D8*(1+Supuestos!H28)</f>
        <v>1232665640.0388975</v>
      </c>
      <c r="F8" s="686">
        <f>E8*(1+Supuestos!I28)</f>
        <v>1239691834.1871192</v>
      </c>
      <c r="G8" s="686">
        <f>F8*(1+Supuestos!J28)</f>
        <v>1246758077.641986</v>
      </c>
      <c r="H8" s="686">
        <f>G8*(1+Supuestos!K28)</f>
        <v>1253864598.6845453</v>
      </c>
    </row>
    <row r="9">
      <c r="A9" s="688" t="s">
        <v>1586</v>
      </c>
      <c r="B9" s="664">
        <v>1187948076</v>
      </c>
      <c r="C9" s="664">
        <v>1164209384</v>
      </c>
      <c r="D9" s="692">
        <f>C9*(1+Supuestos!G28)</f>
        <v>1170845377.4888</v>
      </c>
      <c r="E9" s="686">
        <f>D9*(1+Supuestos!H28)</f>
        <v>1177519196.1404862</v>
      </c>
      <c r="F9" s="686">
        <f>E9*(1+Supuestos!I28)</f>
        <v>1184231055.558487</v>
      </c>
      <c r="G9" s="686">
        <f>F9*(1+Supuestos!J28)</f>
        <v>1190981172.5751703</v>
      </c>
      <c r="H9" s="686">
        <f>G9*(1+Supuestos!K28)</f>
        <v>1197769765.258849</v>
      </c>
    </row>
    <row r="10">
      <c r="A10" s="688" t="s">
        <v>1587</v>
      </c>
      <c r="B10" s="664">
        <v>339486359</v>
      </c>
      <c r="C10" s="664">
        <v>309346401</v>
      </c>
      <c r="D10" s="692">
        <f>C10*(1+Supuestos!G28)</f>
        <v>311109675.4857</v>
      </c>
      <c r="E10" s="686">
        <f>D10*(1+Supuestos!H28)</f>
        <v>312883000.6359685</v>
      </c>
      <c r="F10" s="686">
        <f>E10*(1+Supuestos!I28)</f>
        <v>314666433.73959357</v>
      </c>
      <c r="G10" s="686">
        <f>F10*(1+Supuestos!J28)</f>
        <v>316460032.4119093</v>
      </c>
      <c r="H10" s="686">
        <f>G10*(1+Supuestos!K28)</f>
        <v>318263854.59665716</v>
      </c>
    </row>
    <row r="11">
      <c r="A11" s="688" t="s">
        <v>1588</v>
      </c>
      <c r="B11" s="664">
        <v>148156201</v>
      </c>
      <c r="C11" s="664">
        <v>144449704</v>
      </c>
      <c r="D11" s="692">
        <f>C11*(1+Supuestos!G28)</f>
        <v>145273067.31280002</v>
      </c>
      <c r="E11" s="686">
        <f>D11*(1+Supuestos!H28)</f>
        <v>146101123.79648298</v>
      </c>
      <c r="F11" s="686">
        <f>E11*(1+Supuestos!I28)</f>
        <v>146933900.20212293</v>
      </c>
      <c r="G11" s="686">
        <f>F11*(1+Supuestos!J28)</f>
        <v>147771423.43327504</v>
      </c>
      <c r="H11" s="686">
        <f>G11*(1+Supuestos!K28)</f>
        <v>148613720.54684472</v>
      </c>
    </row>
    <row r="12">
      <c r="A12" s="688" t="s">
        <v>1589</v>
      </c>
      <c r="B12" s="664">
        <v>118731610</v>
      </c>
      <c r="C12" s="664">
        <v>105641732</v>
      </c>
      <c r="D12" s="692">
        <f>C12*(1+Supuestos!G28)</f>
        <v>106243889.8724</v>
      </c>
      <c r="E12" s="686">
        <f>D12*(1+Supuestos!H28)</f>
        <v>106849480.04467268</v>
      </c>
      <c r="F12" s="686">
        <f>E12*(1+Supuestos!I28)</f>
        <v>107458522.08092733</v>
      </c>
      <c r="G12" s="686">
        <f>F12*(1+Supuestos!J28)</f>
        <v>108071035.65678862</v>
      </c>
      <c r="H12" s="686">
        <f>G12*(1+Supuestos!K28)</f>
        <v>108687040.56003232</v>
      </c>
    </row>
    <row r="13">
      <c r="A13" s="688" t="s">
        <v>1590</v>
      </c>
      <c r="B13" s="664">
        <v>1918375745</v>
      </c>
      <c r="C13" s="664">
        <v>1840267760</v>
      </c>
      <c r="D13" s="692">
        <f>C13*(1+Supuestos!G28)</f>
        <v>1850757286.232</v>
      </c>
      <c r="E13" s="686">
        <f>D13*(1+Supuestos!H28)</f>
        <v>1861306602.7635226</v>
      </c>
      <c r="F13" s="686">
        <f>E13*(1+Supuestos!I28)</f>
        <v>1871916050.3992748</v>
      </c>
      <c r="G13" s="686">
        <f>F13*(1+Supuestos!J28)</f>
        <v>1882585971.8865507</v>
      </c>
      <c r="H13" s="686">
        <f>G13*(1+Supuestos!K28)</f>
        <v>1893316711.926304</v>
      </c>
    </row>
    <row r="14">
      <c r="A14" s="688" t="s">
        <v>1591</v>
      </c>
      <c r="B14" s="664">
        <v>305881168</v>
      </c>
      <c r="C14" s="664">
        <v>317318291</v>
      </c>
      <c r="D14" s="692">
        <f>C14*(1+Supuestos!G28)</f>
        <v>319127005.2587</v>
      </c>
      <c r="E14" s="686">
        <f>D14*(1+Supuestos!H28)</f>
        <v>320946029.1886746</v>
      </c>
      <c r="F14" s="686">
        <f>E14*(1+Supuestos!I28)</f>
        <v>322775421.5550501</v>
      </c>
      <c r="G14" s="686">
        <f>F14*(1+Supuestos!J28)</f>
        <v>324615241.4579139</v>
      </c>
      <c r="H14" s="686">
        <f>G14*(1+Supuestos!K28)</f>
        <v>326465548.334224</v>
      </c>
    </row>
    <row r="15">
      <c r="A15" s="688" t="s">
        <v>1592</v>
      </c>
      <c r="B15" s="664">
        <v>401298736</v>
      </c>
      <c r="C15" s="664">
        <v>391932776</v>
      </c>
      <c r="D15" s="692">
        <f>C15*(1+Supuestos!G28)</f>
        <v>394166792.8232</v>
      </c>
      <c r="E15" s="686">
        <f>D15*(1+Supuestos!H28)</f>
        <v>396413543.54229224</v>
      </c>
      <c r="F15" s="686">
        <f>E15*(1+Supuestos!I28)</f>
        <v>398673100.74048334</v>
      </c>
      <c r="G15" s="686">
        <f>F15*(1+Supuestos!J28)</f>
        <v>400945537.4147041</v>
      </c>
      <c r="H15" s="686">
        <f>G15*(1+Supuestos!K28)</f>
        <v>403230926.9779679</v>
      </c>
    </row>
    <row r="16">
      <c r="A16" s="688" t="s">
        <v>1593</v>
      </c>
      <c r="B16" s="664">
        <v>47163874</v>
      </c>
      <c r="C16" s="664">
        <v>37539795</v>
      </c>
      <c r="D16" s="692">
        <f>C16*(1+Supuestos!G28)</f>
        <v>37753771.8315</v>
      </c>
      <c r="E16" s="686">
        <f>D16*(1+Supuestos!H28)</f>
        <v>37968968.33093955</v>
      </c>
      <c r="F16" s="686">
        <f>E16*(1+Supuestos!I28)</f>
        <v>38185391.45042591</v>
      </c>
      <c r="G16" s="686">
        <f>F16*(1+Supuestos!J28)</f>
        <v>38403048.18169334</v>
      </c>
      <c r="H16" s="686">
        <f>G16*(1+Supuestos!K28)</f>
        <v>38621945.55632899</v>
      </c>
    </row>
    <row r="17">
      <c r="A17" s="688" t="s">
        <v>1594</v>
      </c>
      <c r="B17" s="664">
        <v>304285310</v>
      </c>
      <c r="C17" s="664">
        <v>183852054</v>
      </c>
      <c r="D17" s="692">
        <f>C17*(1+Supuestos!G28)</f>
        <v>184900010.7078</v>
      </c>
      <c r="E17" s="686">
        <f>D17*(1+Supuestos!H28)</f>
        <v>185953940.76883447</v>
      </c>
      <c r="F17" s="686">
        <f>E17*(1+Supuestos!I28)</f>
        <v>187013878.23121685</v>
      </c>
      <c r="G17" s="686">
        <f>F17*(1+Supuestos!J28)</f>
        <v>188079857.33713478</v>
      </c>
      <c r="H17" s="686">
        <f>G17*(1+Supuestos!K28)</f>
        <v>189151912.52395645</v>
      </c>
    </row>
    <row r="18">
      <c r="A18" s="688" t="s">
        <v>1595</v>
      </c>
      <c r="B18" s="664">
        <v>282077170</v>
      </c>
      <c r="C18" s="664">
        <v>335111161</v>
      </c>
      <c r="D18" s="692">
        <f>C18*(1+Supuestos!G28)</f>
        <v>337021294.61770004</v>
      </c>
      <c r="E18" s="686">
        <f>D18*(1+Supuestos!H28)</f>
        <v>338942315.99702096</v>
      </c>
      <c r="F18" s="686">
        <f>E18*(1+Supuestos!I28)</f>
        <v>340874287.198204</v>
      </c>
      <c r="G18" s="686">
        <f>F18*(1+Supuestos!J28)</f>
        <v>342817270.63523376</v>
      </c>
      <c r="H18" s="686">
        <f>G18*(1+Supuestos!K28)</f>
        <v>344771329.07785463</v>
      </c>
    </row>
    <row r="19">
      <c r="A19" s="688" t="s">
        <v>1596</v>
      </c>
      <c r="B19" s="664">
        <v>0</v>
      </c>
      <c r="C19" s="664">
        <v>9076680</v>
      </c>
      <c r="D19" s="692">
        <f>C19*(1+Supuestos!G28)</f>
        <v>9128417.076</v>
      </c>
      <c r="E19" s="686">
        <f>D19*(1+Supuestos!H28)</f>
        <v>9180449.0533332</v>
      </c>
      <c r="F19" s="686">
        <f>E19*(1+Supuestos!I28)</f>
        <v>9232777.6129372</v>
      </c>
      <c r="G19" s="686">
        <f>F19*(1+Supuestos!J28)</f>
        <v>9285404.445330944</v>
      </c>
      <c r="H19" s="686">
        <f>G19*(1+Supuestos!K28)</f>
        <v>9338331.25066933</v>
      </c>
    </row>
    <row r="20">
      <c r="A20" s="688" t="s">
        <v>1597</v>
      </c>
      <c r="B20" s="664">
        <v>151560596</v>
      </c>
      <c r="C20" s="664">
        <v>106246377</v>
      </c>
      <c r="D20" s="692">
        <f>C20*(1+Supuestos!G28)</f>
        <v>106851981.3489</v>
      </c>
      <c r="E20" s="686">
        <f>D20*(1+Supuestos!H28)</f>
        <v>107461037.64258873</v>
      </c>
      <c r="F20" s="686">
        <f>E20*(1+Supuestos!I28)</f>
        <v>108073565.5571515</v>
      </c>
      <c r="G20" s="686">
        <f>F20*(1+Supuestos!J28)</f>
        <v>108689584.88082726</v>
      </c>
      <c r="H20" s="686">
        <f>G20*(1+Supuestos!K28)</f>
        <v>109309115.51464798</v>
      </c>
    </row>
    <row r="21">
      <c r="A21" s="688" t="s">
        <v>1598</v>
      </c>
      <c r="B21" s="664">
        <v>1876711</v>
      </c>
      <c r="C21" s="664">
        <v>1548623</v>
      </c>
      <c r="D21" s="692">
        <f>C21*(1+Supuestos!G28)</f>
        <v>1557450.1511000001</v>
      </c>
      <c r="E21" s="686">
        <f>D21*(1+Supuestos!H28)</f>
        <v>1566327.61696127</v>
      </c>
      <c r="F21" s="686">
        <f>E21*(1+Supuestos!I28)</f>
        <v>1575255.6843779495</v>
      </c>
      <c r="G21" s="686">
        <f>F21*(1+Supuestos!J28)</f>
        <v>1584234.6417789038</v>
      </c>
      <c r="H21" s="686">
        <f>G21*(1+Supuestos!K28)</f>
        <v>1593264.7792370436</v>
      </c>
    </row>
    <row r="22">
      <c r="A22" s="688" t="s">
        <v>1599</v>
      </c>
      <c r="B22" s="664">
        <v>9470022</v>
      </c>
      <c r="C22" s="664">
        <v>29470022</v>
      </c>
      <c r="D22" s="692">
        <f>C22*(1+Supuestos!G28)</f>
        <v>29638001.1254</v>
      </c>
      <c r="E22" s="686">
        <f>D22*(1+Supuestos!H28)</f>
        <v>29806937.73181478</v>
      </c>
      <c r="F22" s="686">
        <f>E22*(1+Supuestos!I28)</f>
        <v>29976837.276886124</v>
      </c>
      <c r="G22" s="686">
        <f>F22*(1+Supuestos!J28)</f>
        <v>30147705.249364376</v>
      </c>
      <c r="H22" s="686">
        <f>G22*(1+Supuestos!K28)</f>
        <v>30319547.169285756</v>
      </c>
    </row>
    <row r="23">
      <c r="A23" s="688" t="s">
        <v>1600</v>
      </c>
      <c r="B23" s="664">
        <v>19275275</v>
      </c>
      <c r="C23" s="664">
        <v>21297833</v>
      </c>
      <c r="D23" s="692">
        <f>C23*(1+Supuestos!G28)</f>
        <v>21419230.6481</v>
      </c>
      <c r="E23" s="686">
        <f>D23*(1+Supuestos!H28)</f>
        <v>21541320.26279417</v>
      </c>
      <c r="F23" s="686">
        <f>E23*(1+Supuestos!I28)</f>
        <v>21664105.7882921</v>
      </c>
      <c r="G23" s="686">
        <f>F23*(1+Supuestos!J28)</f>
        <v>21787591.191285364</v>
      </c>
      <c r="H23" s="686">
        <f>G23*(1+Supuestos!K28)</f>
        <v>21911780.461075693</v>
      </c>
    </row>
    <row r="24">
      <c r="A24" s="677" t="s">
        <v>1601</v>
      </c>
      <c r="B24" s="671">
        <f>B8+B9+B10+B11+B12+B13+B14+B15+B16+B17+B18+B19+B20+B21+B22+B23</f>
        <v>6399634560</v>
      </c>
      <c r="C24" s="671">
        <f>C8+C9+C10+C11+C12+C13+C14+C15+C16+C17+C18+C19+C20+C21+C22+C23</f>
        <v>6216041086</v>
      </c>
      <c r="D24" s="679">
        <f>D8+D9+D10+D11+D12+D13+D14+D15+D16+D17+D18+D19+D20+D21+D22+D23</f>
        <v>6251472520.1902</v>
      </c>
      <c r="E24" s="671">
        <f>E8+E9+E10+E11+E12+E13+E14+E15+E16+E17+E18+E19+E20+E21+E22+E23</f>
        <v>6287105913.5552845</v>
      </c>
      <c r="F24" s="671">
        <f>F8+F9+F10+F11+F12+F13+F14+F15+F16+F17+F18+F19+F20+F21+F22+F23</f>
        <v>6322942417.262548</v>
      </c>
      <c r="G24" s="671">
        <f>G8+G9+G10+G11+G12+G13+G14+G15+G16+G17+G18+G19+G20+G21+G22+G23</f>
        <v>6358983189.040946</v>
      </c>
      <c r="H24" s="671">
        <f>H8+H9+H10+H11+H12+H13+H14+H15+H16+H17+H18+H19+H20+H21+H22+H23</f>
        <v>6395229393.21848</v>
      </c>
    </row>
    <row r="25">
      <c r="A25" s="660"/>
      <c r="B25" s="660"/>
      <c r="C25" s="660"/>
      <c r="D25" s="669"/>
      <c r="E25" s="660"/>
      <c r="F25" s="660"/>
      <c r="G25" s="660"/>
      <c r="H25" s="660"/>
    </row>
    <row r="26">
      <c r="A26" s="690" t="s">
        <v>1602</v>
      </c>
      <c r="B26" s="675"/>
      <c r="C26" s="675"/>
      <c r="D26" s="674"/>
      <c r="E26" s="667"/>
      <c r="F26" s="667"/>
      <c r="G26" s="667"/>
      <c r="H26" s="667"/>
    </row>
    <row r="27">
      <c r="A27" s="688" t="s">
        <v>1603</v>
      </c>
      <c r="B27" s="686">
        <f>ModeloFinanciero!E40</f>
        <v>6315709567</v>
      </c>
      <c r="C27" s="686">
        <f>ModeloFinanciero!F40</f>
        <v>6141543608</v>
      </c>
      <c r="D27" s="692">
        <f>ModeloFinanciero!G40</f>
        <v>6176550406.5656</v>
      </c>
      <c r="E27" s="686">
        <f>ModeloFinanciero!H40</f>
        <v>6211756743.883024</v>
      </c>
      <c r="F27" s="686">
        <f>ModeloFinanciero!I40</f>
        <v>6247163757.323157</v>
      </c>
      <c r="G27" s="686">
        <f>ModeloFinanciero!J40</f>
        <v>6282772590.7399</v>
      </c>
      <c r="H27" s="686">
        <f>ModeloFinanciero!K40</f>
        <v>6318584394.507117</v>
      </c>
    </row>
    <row r="28">
      <c r="A28" s="688" t="s">
        <v>1604</v>
      </c>
      <c r="B28" s="685">
        <f>B24-B27</f>
        <v>83924993</v>
      </c>
      <c r="C28" s="685">
        <f>C24-C27</f>
        <v>74497478</v>
      </c>
      <c r="D28" s="695">
        <f>D24-D27</f>
        <v>74922113.62459946</v>
      </c>
      <c r="E28" s="685">
        <f>E24-E27</f>
        <v>75349169.67226028</v>
      </c>
      <c r="F28" s="685">
        <f>F24-F27</f>
        <v>75778659.93939114</v>
      </c>
      <c r="G28" s="685">
        <f>G24-G27</f>
        <v>76210598.30104637</v>
      </c>
      <c r="H28" s="685">
        <f>H24-H27</f>
        <v>76644998.71136284</v>
      </c>
    </row>
    <row r="29">
      <c r="A29" s="660"/>
      <c r="B29" s="660"/>
      <c r="C29" s="660"/>
      <c r="D29" s="669"/>
      <c r="E29" s="660"/>
      <c r="F29" s="660"/>
      <c r="G29" s="660"/>
      <c r="H29" s="660"/>
    </row>
    <row r="30">
      <c r="A30" s="688" t="s">
        <v>1605</v>
      </c>
      <c r="D30" s="669"/>
    </row>
  </sheetData>
</worksheet>
</file>

<file path=xl/worksheets/sheet6.xml><?xml version="1.0" encoding="utf-8"?>
<worksheet xmlns="http://schemas.openxmlformats.org/spreadsheetml/2006/main" xmlns:r="http://schemas.openxmlformats.org/officeDocument/2006/relationships">
  <dimension ref="A1:K20"/>
  <sheetViews>
    <sheetView showGridLines="0" workbookViewId="0"/>
  </sheetViews>
  <sheetFormatPr defaultColWidth="8.375" defaultRowHeight="15"/>
  <cols>
    <col min="1" max="1" width="41.875" customWidth="1"/>
    <col min="2" max="8" width="15.625" customWidth="1"/>
  </cols>
  <sheetData>
    <row r="1">
      <c r="A1" s="690" t="s">
        <v>0</v>
      </c>
      <c r="B1" s="670"/>
      <c r="C1" s="670"/>
      <c r="D1" s="673"/>
      <c r="E1" s="661"/>
      <c r="F1" s="661"/>
      <c r="G1" s="661"/>
      <c r="H1" s="661"/>
    </row>
    <row r="2">
      <c r="A2" s="688" t="s">
        <v>1606</v>
      </c>
      <c r="D2" s="669"/>
    </row>
    <row r="3">
      <c r="A3" s="688" t="s">
        <v>1607</v>
      </c>
      <c r="D3" s="669"/>
    </row>
    <row r="4">
      <c r="A4" s="660"/>
      <c r="B4" s="660"/>
      <c r="C4" s="660"/>
      <c r="D4" s="669"/>
      <c r="E4" s="660"/>
      <c r="F4" s="660"/>
      <c r="G4" s="660"/>
      <c r="H4" s="660"/>
    </row>
    <row r="5">
      <c r="A5" s="690" t="s">
        <v>3</v>
      </c>
      <c r="B5" s="707" t="s">
        <v>7</v>
      </c>
      <c r="C5" s="707" t="s">
        <v>8</v>
      </c>
      <c r="D5" s="708" t="s">
        <v>9</v>
      </c>
      <c r="E5" s="705" t="s">
        <v>10</v>
      </c>
      <c r="F5" s="705" t="s">
        <v>11</v>
      </c>
      <c r="G5" s="705" t="s">
        <v>12</v>
      </c>
      <c r="H5" s="705" t="s">
        <v>13</v>
      </c>
      <c r="I5" s="706"/>
      <c r="J5" s="706"/>
      <c r="K5" s="706"/>
    </row>
    <row r="6">
      <c r="A6" s="660"/>
      <c r="B6" s="660"/>
      <c r="C6" s="660"/>
      <c r="D6" s="669"/>
      <c r="E6" s="660"/>
      <c r="F6" s="660"/>
      <c r="G6" s="660"/>
      <c r="H6" s="660"/>
    </row>
    <row r="7">
      <c r="A7" s="690" t="s">
        <v>1608</v>
      </c>
      <c r="B7" s="675"/>
      <c r="C7" s="675"/>
      <c r="D7" s="674"/>
      <c r="E7" s="667"/>
      <c r="F7" s="667"/>
      <c r="G7" s="667"/>
      <c r="H7" s="667"/>
    </row>
    <row r="8">
      <c r="A8" s="688" t="s">
        <v>1609</v>
      </c>
      <c r="B8" s="664">
        <v>467235160</v>
      </c>
      <c r="C8" s="664">
        <v>518103988</v>
      </c>
      <c r="D8" s="692">
        <f>C8*(1+Supuestos!G36)</f>
        <v>531056587.6999999</v>
      </c>
      <c r="E8" s="686">
        <f>D8*(1+Supuestos!H36)</f>
        <v>544333002.3924999</v>
      </c>
      <c r="F8" s="686">
        <f>E8*(1+Supuestos!I36)</f>
        <v>557941327.4523124</v>
      </c>
      <c r="G8" s="686">
        <f>F8*(1+Supuestos!J36)</f>
        <v>571889860.6386201</v>
      </c>
      <c r="H8" s="686">
        <f>G8*(1+Supuestos!K36)</f>
        <v>586187107.1545856</v>
      </c>
    </row>
    <row r="9">
      <c r="A9" s="688" t="s">
        <v>1610</v>
      </c>
      <c r="B9" s="664">
        <v>1081312202</v>
      </c>
      <c r="C9" s="664">
        <v>1147463446</v>
      </c>
      <c r="D9" s="692">
        <f>C9*(1+Supuestos!G36)</f>
        <v>1176150032.1499999</v>
      </c>
      <c r="E9" s="686">
        <f>D9*(1+Supuestos!H36)</f>
        <v>1205553782.9537497</v>
      </c>
      <c r="F9" s="686">
        <f>E9*(1+Supuestos!I36)</f>
        <v>1235692627.5275934</v>
      </c>
      <c r="G9" s="686">
        <f>F9*(1+Supuestos!J36)</f>
        <v>1266584943.215783</v>
      </c>
      <c r="H9" s="686">
        <f>G9*(1+Supuestos!K36)</f>
        <v>1298249566.7961776</v>
      </c>
    </row>
    <row r="10">
      <c r="A10" s="688" t="s">
        <v>1611</v>
      </c>
      <c r="B10" s="664">
        <v>3716086904</v>
      </c>
      <c r="C10" s="664">
        <v>4049905426</v>
      </c>
      <c r="D10" s="692">
        <f>C10*(1+Supuestos!G36)</f>
        <v>4151153061.6499996</v>
      </c>
      <c r="E10" s="686">
        <f>D10*(1+Supuestos!H36)</f>
        <v>4254931888.1912494</v>
      </c>
      <c r="F10" s="686">
        <f>E10*(1+Supuestos!I36)</f>
        <v>4361305185.39603</v>
      </c>
      <c r="G10" s="686">
        <f>F10*(1+Supuestos!J36)</f>
        <v>4470337815.0309305</v>
      </c>
      <c r="H10" s="686">
        <f>G10*(1+Supuestos!K36)</f>
        <v>4582096260.406703</v>
      </c>
    </row>
    <row r="11">
      <c r="A11" s="677" t="s">
        <v>1612</v>
      </c>
      <c r="B11" s="671">
        <f>B8+B9+B10</f>
        <v>5264634266</v>
      </c>
      <c r="C11" s="671">
        <f>C8+C9+C10</f>
        <v>5715472860</v>
      </c>
      <c r="D11" s="679">
        <f>D8+D9+D10</f>
        <v>5858359681.5</v>
      </c>
      <c r="E11" s="671">
        <f>E8+E9+E10</f>
        <v>6004818673.537498</v>
      </c>
      <c r="F11" s="671">
        <f>F8+F9+F10</f>
        <v>6154939140.3759365</v>
      </c>
      <c r="G11" s="671">
        <f>G8+G9+G10</f>
        <v>6308812618.885334</v>
      </c>
      <c r="H11" s="671">
        <f>H8+H9+H10</f>
        <v>6466532934.357466</v>
      </c>
    </row>
    <row r="12">
      <c r="A12" s="660"/>
      <c r="B12" s="660"/>
      <c r="C12" s="660"/>
      <c r="D12" s="669"/>
      <c r="E12" s="660"/>
      <c r="F12" s="660"/>
      <c r="G12" s="660"/>
      <c r="H12" s="660"/>
    </row>
    <row r="13">
      <c r="A13" s="690" t="s">
        <v>1613</v>
      </c>
      <c r="B13" s="675"/>
      <c r="C13" s="675"/>
      <c r="D13" s="674"/>
      <c r="E13" s="667"/>
      <c r="F13" s="667"/>
      <c r="G13" s="667"/>
      <c r="H13" s="667"/>
    </row>
    <row r="14">
      <c r="A14" s="688" t="s">
        <v>1614</v>
      </c>
      <c r="B14" s="686">
        <f>ModeloFinanciero!E48</f>
        <v>5381647327</v>
      </c>
      <c r="C14" s="686">
        <f>ModeloFinanciero!F48</f>
        <v>5772809411</v>
      </c>
      <c r="D14" s="692">
        <f>ModeloFinanciero!G48</f>
        <v>5898194905.499999</v>
      </c>
      <c r="E14" s="686">
        <f>ModeloFinanciero!H48</f>
        <v>6044653897.537498</v>
      </c>
      <c r="F14" s="686">
        <f>ModeloFinanciero!I48</f>
        <v>6194774364.375936</v>
      </c>
      <c r="G14" s="686">
        <f>ModeloFinanciero!J48</f>
        <v>6348647842.885333</v>
      </c>
      <c r="H14" s="686">
        <f>ModeloFinanciero!K48</f>
        <v>6506368158.357466</v>
      </c>
    </row>
    <row r="15">
      <c r="A15" s="677" t="s">
        <v>1615</v>
      </c>
      <c r="B15" s="671">
        <f>B14-B11</f>
        <v>117013061</v>
      </c>
      <c r="C15" s="671">
        <f>C14-C11</f>
        <v>57336551</v>
      </c>
      <c r="D15" s="679">
        <f>D14-D11</f>
        <v>39835223.99999905</v>
      </c>
      <c r="E15" s="671">
        <f>E14-E11</f>
        <v>39835224</v>
      </c>
      <c r="F15" s="671">
        <f>F14-F11</f>
        <v>39835223.99999905</v>
      </c>
      <c r="G15" s="671">
        <f>G14-G11</f>
        <v>39835223.99999905</v>
      </c>
      <c r="H15" s="671">
        <f>H14-H11</f>
        <v>39835224</v>
      </c>
    </row>
    <row r="16">
      <c r="A16" s="660"/>
      <c r="B16" s="660"/>
      <c r="C16" s="660"/>
      <c r="D16" s="669"/>
      <c r="E16" s="660"/>
      <c r="F16" s="660"/>
      <c r="G16" s="660"/>
      <c r="H16" s="660"/>
    </row>
    <row r="17">
      <c r="A17" s="690" t="s">
        <v>1616</v>
      </c>
      <c r="B17" s="675"/>
      <c r="C17" s="675"/>
      <c r="D17" s="674"/>
      <c r="E17" s="667"/>
      <c r="F17" s="667"/>
      <c r="G17" s="667"/>
      <c r="H17" s="667"/>
    </row>
    <row r="18">
      <c r="A18" s="688" t="s">
        <v>1617</v>
      </c>
      <c r="B18" s="686">
        <f>ModeloFinanciero!E56</f>
        <v>2270922588</v>
      </c>
      <c r="C18" s="686">
        <f>ModeloFinanciero!F56</f>
        <v>1844742611</v>
      </c>
      <c r="D18" s="692">
        <f>ModeloFinanciero!G56</f>
        <v>1844742611</v>
      </c>
      <c r="E18" s="686">
        <f>ModeloFinanciero!H56</f>
        <v>1844742611</v>
      </c>
      <c r="F18" s="686">
        <f>ModeloFinanciero!I56</f>
        <v>1844742611</v>
      </c>
      <c r="G18" s="686">
        <f>ModeloFinanciero!J56</f>
        <v>1844742611</v>
      </c>
      <c r="H18" s="686">
        <f>ModeloFinanciero!K56</f>
        <v>1844742611</v>
      </c>
    </row>
    <row r="19">
      <c r="A19" s="688" t="s">
        <v>1618</v>
      </c>
      <c r="B19" s="672"/>
      <c r="C19" s="672"/>
      <c r="D19" s="678">
        <f>Supuestos!G19</f>
        <v>-0.6996</v>
      </c>
      <c r="E19" s="666">
        <f>Supuestos!H19</f>
        <v>-0.6996</v>
      </c>
      <c r="F19" s="666">
        <f>Supuestos!I19</f>
        <v>-0.6996</v>
      </c>
      <c r="G19" s="666">
        <f>Supuestos!J19</f>
        <v>-0.6996</v>
      </c>
      <c r="H19" s="666">
        <f>Supuestos!K19</f>
        <v>-0.6996</v>
      </c>
    </row>
    <row r="20">
      <c r="A20" s="688" t="s">
        <v>1619</v>
      </c>
      <c r="B20" s="672"/>
      <c r="C20" s="672"/>
      <c r="D20" s="678">
        <f>Supuestos!G19</f>
        <v>-0.6996</v>
      </c>
      <c r="E20" s="666">
        <f>Supuestos!H19</f>
        <v>-0.6996</v>
      </c>
      <c r="F20" s="666">
        <f>Supuestos!I19</f>
        <v>-0.6996</v>
      </c>
      <c r="G20" s="666">
        <f>Supuestos!J19</f>
        <v>-0.6996</v>
      </c>
      <c r="H20" s="666">
        <f>Supuestos!K19</f>
        <v>-0.6996</v>
      </c>
    </row>
  </sheetData>
</worksheet>
</file>

<file path=xl/worksheets/sheet7.xml><?xml version="1.0" encoding="utf-8"?>
<worksheet xmlns="http://schemas.openxmlformats.org/spreadsheetml/2006/main" xmlns:r="http://schemas.openxmlformats.org/officeDocument/2006/relationships">
  <dimension ref="A1:K21"/>
  <sheetViews>
    <sheetView showGridLines="0" workbookViewId="0"/>
  </sheetViews>
  <sheetFormatPr defaultColWidth="8.375" defaultRowHeight="15"/>
  <cols>
    <col min="1" max="1" width="41.875" customWidth="1"/>
    <col min="2" max="8" width="15.625" customWidth="1"/>
  </cols>
  <sheetData>
    <row r="1">
      <c r="A1" s="690" t="s">
        <v>0</v>
      </c>
      <c r="B1" s="670"/>
      <c r="C1" s="670"/>
      <c r="D1" s="673"/>
      <c r="E1" s="661"/>
      <c r="F1" s="661"/>
      <c r="G1" s="661"/>
      <c r="H1" s="661"/>
    </row>
    <row r="2">
      <c r="A2" s="688" t="s">
        <v>1620</v>
      </c>
      <c r="D2" s="669"/>
    </row>
    <row r="3">
      <c r="A3" s="688" t="s">
        <v>1621</v>
      </c>
      <c r="D3" s="669"/>
    </row>
    <row r="4">
      <c r="A4" s="660"/>
      <c r="B4" s="660"/>
      <c r="C4" s="660"/>
      <c r="D4" s="669"/>
      <c r="E4" s="660"/>
      <c r="F4" s="660"/>
      <c r="G4" s="660"/>
      <c r="H4" s="660"/>
    </row>
    <row r="5">
      <c r="A5" s="690" t="s">
        <v>3</v>
      </c>
      <c r="B5" s="707" t="s">
        <v>7</v>
      </c>
      <c r="C5" s="707" t="s">
        <v>8</v>
      </c>
      <c r="D5" s="708" t="s">
        <v>9</v>
      </c>
      <c r="E5" s="705" t="s">
        <v>10</v>
      </c>
      <c r="F5" s="705" t="s">
        <v>11</v>
      </c>
      <c r="G5" s="705" t="s">
        <v>12</v>
      </c>
      <c r="H5" s="705" t="s">
        <v>13</v>
      </c>
      <c r="I5" s="706"/>
      <c r="J5" s="706"/>
      <c r="K5" s="706"/>
    </row>
    <row r="6">
      <c r="A6" s="660"/>
      <c r="B6" s="660"/>
      <c r="C6" s="660"/>
      <c r="D6" s="669"/>
      <c r="E6" s="660"/>
      <c r="F6" s="660"/>
      <c r="G6" s="660"/>
      <c r="H6" s="660"/>
    </row>
    <row r="7">
      <c r="A7" s="690" t="s">
        <v>1622</v>
      </c>
      <c r="B7" s="675"/>
      <c r="C7" s="675"/>
      <c r="D7" s="674"/>
      <c r="E7" s="667"/>
      <c r="F7" s="667"/>
      <c r="G7" s="667"/>
      <c r="H7" s="667"/>
    </row>
    <row r="8">
      <c r="A8" s="688" t="s">
        <v>1623</v>
      </c>
      <c r="B8" s="686">
        <f>ModeloFinanciero!E40</f>
        <v>6315709567</v>
      </c>
      <c r="C8" s="686">
        <f>ModeloFinanciero!F40</f>
        <v>6141543608</v>
      </c>
      <c r="D8" s="692">
        <f>ModeloFinanciero!G40</f>
        <v>6176550406.5656</v>
      </c>
      <c r="E8" s="686">
        <f>ModeloFinanciero!H40</f>
        <v>6211756743.883024</v>
      </c>
      <c r="F8" s="686">
        <f>ModeloFinanciero!I40</f>
        <v>6247163757.323157</v>
      </c>
      <c r="G8" s="686">
        <f>ModeloFinanciero!J40</f>
        <v>6282772590.7399</v>
      </c>
      <c r="H8" s="686">
        <f>ModeloFinanciero!K40</f>
        <v>6318584394.507117</v>
      </c>
    </row>
    <row r="9">
      <c r="A9" s="688" t="s">
        <v>1624</v>
      </c>
      <c r="B9" s="672"/>
      <c r="C9" s="672"/>
      <c r="D9" s="678">
        <f>Supuestos!G11</f>
        <v>0.0394</v>
      </c>
      <c r="E9" s="666">
        <f>Supuestos!H11</f>
        <v>0.0394</v>
      </c>
      <c r="F9" s="666">
        <f>Supuestos!I11</f>
        <v>0.0394</v>
      </c>
      <c r="G9" s="666">
        <f>Supuestos!J11</f>
        <v>0.0394</v>
      </c>
      <c r="H9" s="666">
        <f>Supuestos!K11</f>
        <v>0.0394</v>
      </c>
    </row>
    <row r="10">
      <c r="A10" s="688" t="s">
        <v>1625</v>
      </c>
      <c r="B10" s="686">
        <f>ModeloFinanciero!E7</f>
        <v>503666534</v>
      </c>
      <c r="C10" s="686">
        <f>ModeloFinanciero!F7</f>
        <v>523500468</v>
      </c>
      <c r="D10" s="692">
        <f>ModeloFinanciero!G7</f>
        <v>544126386.4392</v>
      </c>
      <c r="E10" s="686">
        <f>ModeloFinanciero!H7</f>
        <v>565564966.0649046</v>
      </c>
      <c r="F10" s="686">
        <f>ModeloFinanciero!I7</f>
        <v>587848225.7278619</v>
      </c>
      <c r="G10" s="686">
        <f>ModeloFinanciero!J7</f>
        <v>611009445.8215396</v>
      </c>
      <c r="H10" s="686">
        <f>ModeloFinanciero!K7</f>
        <v>635083217.9869083</v>
      </c>
    </row>
    <row r="11">
      <c r="A11" s="660"/>
      <c r="B11" s="660"/>
      <c r="C11" s="660"/>
      <c r="D11" s="669"/>
      <c r="E11" s="660"/>
      <c r="F11" s="660"/>
      <c r="G11" s="660"/>
      <c r="H11" s="660"/>
    </row>
    <row r="12">
      <c r="A12" s="690" t="s">
        <v>1626</v>
      </c>
      <c r="B12" s="675"/>
      <c r="C12" s="675"/>
      <c r="D12" s="674"/>
      <c r="E12" s="667"/>
      <c r="F12" s="667"/>
      <c r="G12" s="667"/>
      <c r="H12" s="667"/>
    </row>
    <row r="13">
      <c r="A13" s="688" t="s">
        <v>1627</v>
      </c>
      <c r="B13" s="686">
        <f>ModeloFinanciero!E48</f>
        <v>5381647327</v>
      </c>
      <c r="C13" s="686">
        <f>ModeloFinanciero!F48</f>
        <v>5772809411</v>
      </c>
      <c r="D13" s="692">
        <f>ModeloFinanciero!G48</f>
        <v>5898194905.499999</v>
      </c>
      <c r="E13" s="686">
        <f>ModeloFinanciero!H48</f>
        <v>6044653897.537498</v>
      </c>
      <c r="F13" s="686">
        <f>ModeloFinanciero!I48</f>
        <v>6194774364.375936</v>
      </c>
      <c r="G13" s="686">
        <f>ModeloFinanciero!J48</f>
        <v>6348647842.885333</v>
      </c>
      <c r="H13" s="686">
        <f>ModeloFinanciero!K48</f>
        <v>6506368158.357466</v>
      </c>
    </row>
    <row r="14">
      <c r="A14" s="688" t="s">
        <v>1628</v>
      </c>
      <c r="B14" s="686">
        <f>ModeloFinanciero!E8</f>
        <v>-350182264</v>
      </c>
      <c r="C14" s="686">
        <f>ModeloFinanciero!F8</f>
        <v>-366248027</v>
      </c>
      <c r="D14" s="692">
        <f>ModeloFinanciero!G8</f>
        <v>-380670819.95286435</v>
      </c>
      <c r="E14" s="686">
        <f>ModeloFinanciero!H8</f>
        <v>-395669250.2590072</v>
      </c>
      <c r="F14" s="686">
        <f>ModeloFinanciero!I8</f>
        <v>-411258618.7192122</v>
      </c>
      <c r="G14" s="686">
        <f>ModeloFinanciero!J8</f>
        <v>-427462208.2967491</v>
      </c>
      <c r="H14" s="686">
        <f>ModeloFinanciero!K8</f>
        <v>-444304219.3036411</v>
      </c>
    </row>
    <row r="15">
      <c r="A15" s="660"/>
      <c r="B15" s="660"/>
      <c r="C15" s="660"/>
      <c r="D15" s="669"/>
      <c r="E15" s="660"/>
      <c r="F15" s="660"/>
      <c r="G15" s="660"/>
      <c r="H15" s="660"/>
    </row>
    <row r="16">
      <c r="A16" s="690" t="s">
        <v>1629</v>
      </c>
      <c r="B16" s="675"/>
      <c r="C16" s="675"/>
      <c r="D16" s="674"/>
      <c r="E16" s="667"/>
      <c r="F16" s="667"/>
      <c r="G16" s="667"/>
      <c r="H16" s="667"/>
    </row>
    <row r="17">
      <c r="A17" s="688" t="s">
        <v>1630</v>
      </c>
      <c r="B17" s="686">
        <f>ModeloFinanciero!E7</f>
        <v>503666534</v>
      </c>
      <c r="C17" s="686">
        <f>ModeloFinanciero!F7</f>
        <v>523500468</v>
      </c>
      <c r="D17" s="692">
        <f>ModeloFinanciero!G7</f>
        <v>544126386.4392</v>
      </c>
      <c r="E17" s="686">
        <f>ModeloFinanciero!H7</f>
        <v>565564966.0649046</v>
      </c>
      <c r="F17" s="686">
        <f>ModeloFinanciero!I7</f>
        <v>587848225.7278619</v>
      </c>
      <c r="G17" s="686">
        <f>ModeloFinanciero!J7</f>
        <v>611009445.8215396</v>
      </c>
      <c r="H17" s="686">
        <f>ModeloFinanciero!K7</f>
        <v>635083217.9869083</v>
      </c>
    </row>
    <row r="18">
      <c r="A18" s="677" t="s">
        <v>1631</v>
      </c>
      <c r="B18" s="671">
        <f>B17-B14</f>
        <v>853848798</v>
      </c>
      <c r="C18" s="671">
        <f>C17-C14</f>
        <v>889748495</v>
      </c>
      <c r="D18" s="679">
        <f>D17-D14</f>
        <v>924797206.3920643</v>
      </c>
      <c r="E18" s="671">
        <f>E17-E14</f>
        <v>961234216.3239118</v>
      </c>
      <c r="F18" s="671">
        <f>F17-F14</f>
        <v>999106844.447074</v>
      </c>
      <c r="G18" s="671">
        <f>G17-G14</f>
        <v>1038471654.1182888</v>
      </c>
      <c r="H18" s="671">
        <f>H17-H14</f>
        <v>1079387437.2905493</v>
      </c>
    </row>
    <row r="19">
      <c r="A19" s="688" t="s">
        <v>1632</v>
      </c>
      <c r="B19" s="686">
        <f>ModeloFinanciero!E9</f>
        <v>153484270</v>
      </c>
      <c r="C19" s="686">
        <f>ModeloFinanciero!F9</f>
        <v>157252441</v>
      </c>
      <c r="D19" s="692">
        <f>ModeloFinanciero!G9</f>
        <v>163455566.4863357</v>
      </c>
      <c r="E19" s="686">
        <f>ModeloFinanciero!H9</f>
        <v>169895715.80589736</v>
      </c>
      <c r="F19" s="686">
        <f>ModeloFinanciero!I9</f>
        <v>176589607.0086497</v>
      </c>
      <c r="G19" s="686">
        <f>ModeloFinanciero!J9</f>
        <v>183547237.52479053</v>
      </c>
      <c r="H19" s="686">
        <f>ModeloFinanciero!K9</f>
        <v>190778998.68326724</v>
      </c>
    </row>
    <row r="20">
      <c r="A20" s="688" t="s">
        <v>1633</v>
      </c>
      <c r="B20" s="685">
        <f>B18-B19</f>
        <v>700364528</v>
      </c>
      <c r="C20" s="685">
        <f>C18-C19</f>
        <v>732496054</v>
      </c>
      <c r="D20" s="695">
        <f>D18-D19</f>
        <v>761341639.9057286</v>
      </c>
      <c r="E20" s="685">
        <f>E18-E19</f>
        <v>791338500.5180144</v>
      </c>
      <c r="F20" s="685">
        <f>F18-F19</f>
        <v>822517237.4384243</v>
      </c>
      <c r="G20" s="685">
        <f>G18-G19</f>
        <v>854924416.5934982</v>
      </c>
      <c r="H20" s="685">
        <f>H18-H19</f>
        <v>888608438.607282</v>
      </c>
    </row>
    <row r="21">
      <c r="A21" s="688" t="s">
        <v>1634</v>
      </c>
      <c r="B21" s="672"/>
      <c r="C21" s="672">
        <f>C18/((B8+C8)/2)</f>
        <v>0.14284826397935033</v>
      </c>
      <c r="D21" s="676">
        <f>D18/((C8+D8)/2)</f>
        <v>0.1501526462289592</v>
      </c>
      <c r="E21" s="672">
        <f>E18/((D8+E8)/2)</f>
        <v>0.15518411105735333</v>
      </c>
      <c r="F21" s="672">
        <f>F18/((E8+F8)/2)</f>
        <v>0.16038417523417825</v>
      </c>
      <c r="G21" s="672">
        <f>G18/((F8+G8)/2)</f>
        <v>0.1657584883547826</v>
      </c>
      <c r="H21" s="672">
        <f>H18/((G8+H8)/2)</f>
        <v>0.17131288932679828</v>
      </c>
    </row>
  </sheetData>
</worksheet>
</file>

<file path=xl/worksheets/sheet8.xml><?xml version="1.0" encoding="utf-8"?>
<worksheet xmlns="http://schemas.openxmlformats.org/spreadsheetml/2006/main" xmlns:r="http://schemas.openxmlformats.org/officeDocument/2006/relationships">
  <dimension ref="A1:K23"/>
  <sheetViews>
    <sheetView showGridLines="0" workbookViewId="0"/>
  </sheetViews>
  <sheetFormatPr defaultColWidth="8.375" defaultRowHeight="15"/>
  <cols>
    <col min="1" max="1" width="41.875" customWidth="1"/>
    <col min="2" max="8" width="15.625" customWidth="1"/>
  </cols>
  <sheetData>
    <row r="1">
      <c r="A1" s="690" t="s">
        <v>0</v>
      </c>
      <c r="B1" s="670"/>
      <c r="C1" s="670"/>
      <c r="D1" s="673"/>
      <c r="E1" s="661"/>
      <c r="F1" s="661"/>
      <c r="G1" s="661"/>
      <c r="H1" s="661"/>
    </row>
    <row r="2">
      <c r="A2" s="688" t="s">
        <v>1635</v>
      </c>
      <c r="D2" s="669"/>
    </row>
    <row r="3">
      <c r="A3" s="688" t="s">
        <v>1636</v>
      </c>
      <c r="D3" s="669"/>
    </row>
    <row r="4">
      <c r="A4" s="660"/>
      <c r="B4" s="660"/>
      <c r="C4" s="660"/>
      <c r="D4" s="669"/>
      <c r="E4" s="660"/>
      <c r="F4" s="660"/>
      <c r="G4" s="660"/>
      <c r="H4" s="660"/>
    </row>
    <row r="5">
      <c r="A5" s="690" t="s">
        <v>3</v>
      </c>
      <c r="B5" s="707" t="s">
        <v>7</v>
      </c>
      <c r="C5" s="707" t="s">
        <v>8</v>
      </c>
      <c r="D5" s="708" t="s">
        <v>9</v>
      </c>
      <c r="E5" s="705" t="s">
        <v>10</v>
      </c>
      <c r="F5" s="705" t="s">
        <v>11</v>
      </c>
      <c r="G5" s="705" t="s">
        <v>12</v>
      </c>
      <c r="H5" s="705" t="s">
        <v>13</v>
      </c>
      <c r="I5" s="706"/>
      <c r="J5" s="706"/>
      <c r="K5" s="706"/>
    </row>
    <row r="6">
      <c r="A6" s="660"/>
      <c r="B6" s="660"/>
      <c r="C6" s="660"/>
      <c r="D6" s="669"/>
      <c r="E6" s="660"/>
      <c r="F6" s="660"/>
      <c r="G6" s="660"/>
      <c r="H6" s="660"/>
    </row>
    <row r="7">
      <c r="A7" s="690" t="s">
        <v>1637</v>
      </c>
      <c r="B7" s="675"/>
      <c r="C7" s="675"/>
      <c r="D7" s="674"/>
      <c r="E7" s="667"/>
      <c r="F7" s="667"/>
      <c r="G7" s="667"/>
      <c r="H7" s="667"/>
    </row>
    <row r="8">
      <c r="A8" s="688" t="s">
        <v>1638</v>
      </c>
      <c r="B8" s="664">
        <v>20286686</v>
      </c>
      <c r="C8" s="664">
        <v>24717338</v>
      </c>
      <c r="D8" s="665"/>
      <c r="E8" s="663"/>
      <c r="F8" s="663"/>
      <c r="G8" s="663"/>
      <c r="H8" s="663"/>
    </row>
    <row r="9">
      <c r="A9" s="688" t="s">
        <v>1639</v>
      </c>
      <c r="B9" s="664">
        <v>65496659</v>
      </c>
      <c r="C9" s="664">
        <v>66747588</v>
      </c>
      <c r="D9" s="665"/>
      <c r="E9" s="663"/>
      <c r="F9" s="663"/>
      <c r="G9" s="663"/>
      <c r="H9" s="663"/>
    </row>
    <row r="10">
      <c r="A10" s="688" t="s">
        <v>1640</v>
      </c>
      <c r="B10" s="664">
        <v>139643182</v>
      </c>
      <c r="C10" s="664">
        <v>121855764</v>
      </c>
      <c r="D10" s="665"/>
      <c r="E10" s="663"/>
      <c r="F10" s="663"/>
      <c r="G10" s="663"/>
      <c r="H10" s="663"/>
    </row>
    <row r="11">
      <c r="A11" s="677" t="s">
        <v>1641</v>
      </c>
      <c r="B11" s="671">
        <f>B8+B9+B10</f>
        <v>225426527</v>
      </c>
      <c r="C11" s="671">
        <f>C8+C9+C10</f>
        <v>213320690</v>
      </c>
      <c r="D11" s="679"/>
      <c r="E11" s="671"/>
      <c r="F11" s="671"/>
      <c r="G11" s="671"/>
      <c r="H11" s="671"/>
    </row>
    <row r="12">
      <c r="A12" s="660"/>
      <c r="B12" s="660"/>
      <c r="C12" s="660"/>
      <c r="D12" s="669"/>
      <c r="E12" s="660"/>
      <c r="F12" s="660"/>
      <c r="G12" s="660"/>
      <c r="H12" s="660"/>
    </row>
    <row r="13">
      <c r="A13" s="688" t="s">
        <v>1642</v>
      </c>
      <c r="D13" s="669"/>
    </row>
    <row r="14">
      <c r="A14" s="660"/>
      <c r="B14" s="660"/>
      <c r="C14" s="660"/>
      <c r="D14" s="669"/>
      <c r="E14" s="660"/>
      <c r="F14" s="660"/>
      <c r="G14" s="660"/>
      <c r="H14" s="660"/>
    </row>
    <row r="15">
      <c r="A15" s="690" t="s">
        <v>1643</v>
      </c>
      <c r="B15" s="675"/>
      <c r="C15" s="675"/>
      <c r="D15" s="674"/>
      <c r="E15" s="667"/>
      <c r="F15" s="667"/>
      <c r="G15" s="667"/>
      <c r="H15" s="667"/>
    </row>
    <row r="16">
      <c r="A16" s="688" t="s">
        <v>1644</v>
      </c>
      <c r="B16" s="686">
        <f>ModeloFinanciero!E14</f>
        <v>34695854</v>
      </c>
      <c r="C16" s="686">
        <f>ModeloFinanciero!F14</f>
        <v>28431911</v>
      </c>
      <c r="D16" s="692">
        <f>ModeloFinanciero!G14</f>
        <v>27636946.235999998</v>
      </c>
      <c r="E16" s="686">
        <f>ModeloFinanciero!H14</f>
        <v>27794476.8295452</v>
      </c>
      <c r="F16" s="686">
        <f>ModeloFinanciero!I14</f>
        <v>27952905.347473606</v>
      </c>
      <c r="G16" s="686">
        <f>ModeloFinanciero!J14</f>
        <v>28112236.907954205</v>
      </c>
      <c r="H16" s="686">
        <f>ModeloFinanciero!K14</f>
        <v>28272476.658329546</v>
      </c>
    </row>
    <row r="17">
      <c r="A17" s="688" t="s">
        <v>1645</v>
      </c>
      <c r="B17" s="672"/>
      <c r="C17" s="672"/>
      <c r="D17" s="678">
        <f>Supuestos!G44</f>
        <v>0.0045</v>
      </c>
      <c r="E17" s="666">
        <f>Supuestos!H44</f>
        <v>0.0045</v>
      </c>
      <c r="F17" s="666">
        <f>Supuestos!I44</f>
        <v>0.0045</v>
      </c>
      <c r="G17" s="666">
        <f>Supuestos!J44</f>
        <v>0.0045</v>
      </c>
      <c r="H17" s="666">
        <f>Supuestos!K44</f>
        <v>0.0045</v>
      </c>
    </row>
    <row r="18">
      <c r="A18" s="688" t="s">
        <v>1646</v>
      </c>
      <c r="B18" s="663"/>
      <c r="C18" s="663"/>
      <c r="D18" s="665"/>
      <c r="E18" s="663"/>
      <c r="F18" s="663"/>
      <c r="G18" s="663"/>
      <c r="H18" s="663"/>
    </row>
    <row r="19">
      <c r="A19" s="688" t="s">
        <v>1647</v>
      </c>
      <c r="B19" s="685">
        <f>B11-B18</f>
        <v>225426527</v>
      </c>
      <c r="C19" s="685">
        <f>C11-C18</f>
        <v>213320690</v>
      </c>
      <c r="D19" s="695">
        <f>D11-D18</f>
        <v>0</v>
      </c>
      <c r="E19" s="685">
        <f>E11-E18</f>
        <v>0</v>
      </c>
      <c r="F19" s="685">
        <f>F11-F18</f>
        <v>0</v>
      </c>
      <c r="G19" s="685">
        <f>G11-G18</f>
        <v>0</v>
      </c>
      <c r="H19" s="685">
        <f>H11-H18</f>
        <v>0</v>
      </c>
    </row>
    <row r="20">
      <c r="A20" s="660"/>
      <c r="B20" s="660"/>
      <c r="C20" s="660"/>
      <c r="D20" s="669"/>
      <c r="E20" s="660"/>
      <c r="F20" s="660"/>
      <c r="G20" s="660"/>
      <c r="H20" s="660"/>
    </row>
    <row r="21">
      <c r="A21" s="690" t="s">
        <v>1648</v>
      </c>
      <c r="B21" s="675"/>
      <c r="C21" s="675"/>
      <c r="D21" s="674"/>
      <c r="E21" s="667"/>
      <c r="F21" s="667"/>
      <c r="G21" s="667"/>
      <c r="H21" s="667"/>
    </row>
    <row r="22">
      <c r="A22" s="660"/>
      <c r="B22" s="660"/>
      <c r="C22" s="660"/>
      <c r="D22" s="669"/>
      <c r="E22" s="660"/>
      <c r="F22" s="660"/>
      <c r="G22" s="660"/>
      <c r="H22" s="660"/>
    </row>
    <row r="23">
      <c r="A23" s="688" t="s">
        <v>1649</v>
      </c>
      <c r="D23" s="669"/>
    </row>
  </sheetData>
</worksheet>
</file>

<file path=xl/worksheets/sheet9.xml><?xml version="1.0" encoding="utf-8"?>
<worksheet xmlns="http://schemas.openxmlformats.org/spreadsheetml/2006/main" xmlns:r="http://schemas.openxmlformats.org/officeDocument/2006/relationships">
  <dimension ref="A1:K28"/>
  <sheetViews>
    <sheetView showGridLines="0" workbookViewId="0"/>
  </sheetViews>
  <sheetFormatPr defaultColWidth="8.375" defaultRowHeight="15"/>
  <cols>
    <col min="1" max="1" width="41.875" customWidth="1"/>
    <col min="2" max="8" width="15.625" customWidth="1"/>
  </cols>
  <sheetData>
    <row r="1">
      <c r="A1" s="690" t="s">
        <v>0</v>
      </c>
      <c r="B1" s="670"/>
      <c r="C1" s="670"/>
      <c r="D1" s="673"/>
      <c r="E1" s="661"/>
      <c r="F1" s="661"/>
      <c r="G1" s="661"/>
      <c r="H1" s="661"/>
    </row>
    <row r="2">
      <c r="A2" s="688" t="s">
        <v>1650</v>
      </c>
      <c r="D2" s="669"/>
    </row>
    <row r="3">
      <c r="A3" s="688" t="s">
        <v>1651</v>
      </c>
      <c r="D3" s="669"/>
    </row>
    <row r="4">
      <c r="A4" s="660"/>
      <c r="B4" s="660"/>
      <c r="C4" s="660"/>
      <c r="D4" s="669"/>
      <c r="E4" s="660"/>
      <c r="F4" s="660"/>
      <c r="G4" s="660"/>
      <c r="H4" s="660"/>
    </row>
    <row r="5">
      <c r="A5" s="690" t="s">
        <v>3</v>
      </c>
      <c r="B5" s="707" t="s">
        <v>7</v>
      </c>
      <c r="C5" s="707" t="s">
        <v>8</v>
      </c>
      <c r="D5" s="708" t="s">
        <v>9</v>
      </c>
      <c r="E5" s="705" t="s">
        <v>10</v>
      </c>
      <c r="F5" s="705" t="s">
        <v>11</v>
      </c>
      <c r="G5" s="705" t="s">
        <v>12</v>
      </c>
      <c r="H5" s="705" t="s">
        <v>13</v>
      </c>
      <c r="I5" s="706"/>
      <c r="J5" s="706"/>
      <c r="K5" s="706"/>
    </row>
    <row r="6">
      <c r="A6" s="660"/>
      <c r="B6" s="660"/>
      <c r="C6" s="660"/>
      <c r="D6" s="669"/>
      <c r="E6" s="660"/>
      <c r="F6" s="660"/>
      <c r="G6" s="660"/>
      <c r="H6" s="660"/>
    </row>
    <row r="7">
      <c r="A7" s="690" t="s">
        <v>1652</v>
      </c>
      <c r="B7" s="675"/>
      <c r="C7" s="675"/>
      <c r="D7" s="674"/>
      <c r="E7" s="667"/>
      <c r="F7" s="667"/>
      <c r="G7" s="667"/>
      <c r="H7" s="667"/>
    </row>
    <row r="8">
      <c r="A8" s="688" t="s">
        <v>1653</v>
      </c>
      <c r="B8" s="664">
        <v>598988872</v>
      </c>
      <c r="C8" s="664">
        <v>640607500</v>
      </c>
      <c r="D8" s="692">
        <f>C8+ModeloFinanciero!G33*(1-D23)</f>
        <v>644592276.750895</v>
      </c>
      <c r="E8" s="686">
        <f>D8+ModeloFinanciero!H33*(1-E23)</f>
        <v>649111204.1531254</v>
      </c>
      <c r="F8" s="686">
        <f>E8+ModeloFinanciero!I33*(1-F23)</f>
        <v>654182362.5314814</v>
      </c>
      <c r="G8" s="686">
        <f>F8+ModeloFinanciero!J33*(1-G23)</f>
        <v>659824541.366691</v>
      </c>
      <c r="H8" s="686">
        <f>G8+ModeloFinanciero!K33*(1-H23)</f>
        <v>666057267.084135</v>
      </c>
    </row>
    <row r="9">
      <c r="A9" s="688" t="s">
        <v>1654</v>
      </c>
      <c r="B9" s="664">
        <v>178016538</v>
      </c>
      <c r="C9" s="664">
        <v>177320865</v>
      </c>
      <c r="D9" s="695">
        <f>C9</f>
        <v>177320865</v>
      </c>
      <c r="E9" s="685">
        <f>D9</f>
        <v>177320865</v>
      </c>
      <c r="F9" s="685">
        <f>E9</f>
        <v>177320865</v>
      </c>
      <c r="G9" s="685">
        <f>F9</f>
        <v>177320865</v>
      </c>
      <c r="H9" s="685">
        <f>G9</f>
        <v>177320865</v>
      </c>
    </row>
    <row r="10">
      <c r="A10" s="677" t="s">
        <v>1655</v>
      </c>
      <c r="B10" s="671">
        <f>B8+B9</f>
        <v>777005410</v>
      </c>
      <c r="C10" s="671">
        <f>C8+C9</f>
        <v>817928365</v>
      </c>
      <c r="D10" s="679">
        <f>D8+D9</f>
        <v>821913141.750895</v>
      </c>
      <c r="E10" s="671">
        <f>E8+E9</f>
        <v>826432069.1531254</v>
      </c>
      <c r="F10" s="671">
        <f>F8+F9</f>
        <v>831503227.5314814</v>
      </c>
      <c r="G10" s="671">
        <f>G8+G9</f>
        <v>837145406.366691</v>
      </c>
      <c r="H10" s="671">
        <f>H8+H9</f>
        <v>843378132.084135</v>
      </c>
    </row>
    <row r="11">
      <c r="A11" s="688" t="s">
        <v>1656</v>
      </c>
      <c r="B11" s="685">
        <f>B10</f>
        <v>777005410</v>
      </c>
      <c r="C11" s="685">
        <f>C10</f>
        <v>817928365</v>
      </c>
      <c r="D11" s="695">
        <f>D10</f>
        <v>821913141.750895</v>
      </c>
      <c r="E11" s="685">
        <f>E10</f>
        <v>826432069.1531254</v>
      </c>
      <c r="F11" s="685">
        <f>F10</f>
        <v>831503227.5314814</v>
      </c>
      <c r="G11" s="685">
        <f>G10</f>
        <v>837145406.366691</v>
      </c>
      <c r="H11" s="685">
        <f>H10</f>
        <v>843378132.084135</v>
      </c>
    </row>
    <row r="12">
      <c r="A12" s="660"/>
      <c r="B12" s="660"/>
      <c r="C12" s="660"/>
      <c r="D12" s="669"/>
      <c r="E12" s="660"/>
      <c r="F12" s="660"/>
      <c r="G12" s="660"/>
      <c r="H12" s="660"/>
    </row>
    <row r="13">
      <c r="A13" s="690" t="s">
        <v>1657</v>
      </c>
      <c r="B13" s="675"/>
      <c r="C13" s="675"/>
      <c r="D13" s="674"/>
      <c r="E13" s="667"/>
      <c r="F13" s="667"/>
      <c r="G13" s="667"/>
      <c r="H13" s="667"/>
    </row>
    <row r="14">
      <c r="A14" s="677" t="s">
        <v>1658</v>
      </c>
      <c r="B14" s="683">
        <v>5659919316</v>
      </c>
      <c r="C14" s="683">
        <v>5680419094</v>
      </c>
      <c r="D14" s="682">
        <f>C14*(1+Supuestos!G28)</f>
        <v>5712797482.8358</v>
      </c>
      <c r="E14" s="681">
        <f>D14*(1+Supuestos!H28)</f>
        <v>5745360428.487965</v>
      </c>
      <c r="F14" s="681">
        <f>E14*(1+Supuestos!I28)</f>
        <v>5778108982.9303465</v>
      </c>
      <c r="G14" s="681">
        <f>F14*(1+Supuestos!J28)</f>
        <v>5811044204.13305</v>
      </c>
      <c r="H14" s="681">
        <f>G14*(1+Supuestos!K28)</f>
        <v>5844167156.096608</v>
      </c>
    </row>
    <row r="15">
      <c r="A15" s="660"/>
      <c r="B15" s="660"/>
      <c r="C15" s="660"/>
      <c r="D15" s="669"/>
      <c r="E15" s="660"/>
      <c r="F15" s="660"/>
      <c r="G15" s="660"/>
      <c r="H15" s="660"/>
    </row>
    <row r="16">
      <c r="A16" s="688" t="s">
        <v>1659</v>
      </c>
      <c r="D16" s="669"/>
    </row>
    <row r="17">
      <c r="A17" s="660"/>
      <c r="B17" s="660"/>
      <c r="C17" s="660"/>
      <c r="D17" s="669"/>
      <c r="E17" s="660"/>
      <c r="F17" s="660"/>
      <c r="G17" s="660"/>
      <c r="H17" s="660"/>
    </row>
    <row r="18">
      <c r="A18" s="690" t="s">
        <v>1660</v>
      </c>
      <c r="B18" s="675"/>
      <c r="C18" s="675"/>
      <c r="D18" s="674"/>
      <c r="E18" s="667"/>
      <c r="F18" s="667"/>
      <c r="G18" s="667"/>
      <c r="H18" s="667"/>
    </row>
    <row r="19">
      <c r="A19" s="688" t="s">
        <v>1661</v>
      </c>
      <c r="D19" s="669"/>
    </row>
    <row r="20">
      <c r="A20" s="688" t="s">
        <v>1662</v>
      </c>
      <c r="B20" s="686">
        <f>ABS(EEFF!E114)</f>
        <v>35336599</v>
      </c>
      <c r="C20" s="686">
        <f>ABS(EEFF!F114)</f>
        <v>25134617</v>
      </c>
      <c r="D20" s="665"/>
      <c r="E20" s="663"/>
      <c r="F20" s="663"/>
      <c r="G20" s="663"/>
      <c r="H20" s="663"/>
    </row>
    <row r="21">
      <c r="A21" s="688" t="s">
        <v>1663</v>
      </c>
      <c r="B21" s="686">
        <f>EEFF!E33</f>
        <v>47832787</v>
      </c>
      <c r="C21" s="686">
        <f>EEFF!F33</f>
        <v>48262456</v>
      </c>
      <c r="D21" s="665"/>
      <c r="E21" s="663"/>
      <c r="F21" s="663"/>
      <c r="G21" s="663"/>
      <c r="H21" s="663"/>
    </row>
    <row r="22">
      <c r="A22" s="688" t="s">
        <v>1664</v>
      </c>
      <c r="B22" s="672">
        <f>B20/B21</f>
        <v>0.7387526677046855</v>
      </c>
      <c r="C22" s="672">
        <f>C20/C21</f>
        <v>0.5207902598243239</v>
      </c>
      <c r="D22" s="676"/>
      <c r="E22" s="672"/>
      <c r="F22" s="672"/>
      <c r="G22" s="672"/>
      <c r="H22" s="672"/>
    </row>
    <row r="23">
      <c r="A23" s="688" t="s">
        <v>1665</v>
      </c>
      <c r="B23" s="672"/>
      <c r="C23" s="672"/>
      <c r="D23" s="678">
        <f>AVERAGE(ABS(EEFF!B114)/EEFF!B33,ABS(EEFF!C114)/EEFF!C33,ABS(EEFF!D114)/EEFF!D33,ABS(EEFF!E114)/EEFF!E33,ABS(EEFF!F114)/EEFF!F33)</f>
        <v>0.9295420071792779</v>
      </c>
      <c r="E23" s="666">
        <f>AVERAGE(ABS(EEFF!B114)/EEFF!B33,ABS(EEFF!C114)/EEFF!C33,ABS(EEFF!D114)/EEFF!D33,ABS(EEFF!E114)/EEFF!E33,ABS(EEFF!F114)/EEFF!F33)</f>
        <v>0.9295420071792779</v>
      </c>
      <c r="F23" s="666">
        <f>AVERAGE(ABS(EEFF!B114)/EEFF!B33,ABS(EEFF!C114)/EEFF!C33,ABS(EEFF!D114)/EEFF!D33,ABS(EEFF!E114)/EEFF!E33,ABS(EEFF!F114)/EEFF!F33)</f>
        <v>0.9295420071792779</v>
      </c>
      <c r="G23" s="666">
        <f>AVERAGE(ABS(EEFF!B114)/EEFF!B33,ABS(EEFF!C114)/EEFF!C33,ABS(EEFF!D114)/EEFF!D33,ABS(EEFF!E114)/EEFF!E33,ABS(EEFF!F114)/EEFF!F33)</f>
        <v>0.9295420071792779</v>
      </c>
      <c r="H23" s="666">
        <f>AVERAGE(ABS(EEFF!B114)/EEFF!B33,ABS(EEFF!C114)/EEFF!C33,ABS(EEFF!D114)/EEFF!D33,ABS(EEFF!E114)/EEFF!E33,ABS(EEFF!F114)/EEFF!F33)</f>
        <v>0.9295420071792779</v>
      </c>
    </row>
    <row r="24">
      <c r="A24" s="688" t="s">
        <v>1666</v>
      </c>
      <c r="B24" s="672">
        <f>B11/B14</f>
        <v>0.1372820647466629</v>
      </c>
      <c r="C24" s="672">
        <f>C11/C14</f>
        <v>0.1439908484681958</v>
      </c>
      <c r="D24" s="676">
        <f>D11/D14</f>
        <v>0.14387226997287186</v>
      </c>
      <c r="E24" s="672">
        <f>E11/E14</f>
        <v>0.14384338100971356</v>
      </c>
      <c r="F24" s="672">
        <f>F11/F14</f>
        <v>0.14390577089977066</v>
      </c>
      <c r="G24" s="672">
        <f>G11/G14</f>
        <v>0.14406109762016253</v>
      </c>
      <c r="H24" s="672">
        <f>H11/H14</f>
        <v>0.14431108993936406</v>
      </c>
    </row>
    <row r="25">
      <c r="A25" s="688" t="s">
        <v>1667</v>
      </c>
      <c r="B25" s="680">
        <v>0.1373</v>
      </c>
      <c r="C25" s="680">
        <v>0.14400000000000002</v>
      </c>
      <c r="D25" s="676"/>
      <c r="E25" s="672"/>
      <c r="F25" s="672"/>
      <c r="G25" s="672"/>
      <c r="H25" s="672"/>
    </row>
    <row r="26">
      <c r="A26" s="688" t="s">
        <v>1668</v>
      </c>
      <c r="B26" s="672">
        <f>B24-B25</f>
        <v>-0.000017935253337098</v>
      </c>
      <c r="C26" s="672">
        <f>C24-C25</f>
        <v>-0.000009151531804224566</v>
      </c>
      <c r="D26" s="676"/>
      <c r="E26" s="672"/>
      <c r="F26" s="672"/>
      <c r="G26" s="672"/>
      <c r="H26" s="672"/>
    </row>
    <row r="27">
      <c r="A27" s="688" t="s">
        <v>1669</v>
      </c>
      <c r="B27" s="672"/>
      <c r="C27" s="672"/>
      <c r="D27" s="684">
        <v>0.105</v>
      </c>
      <c r="E27" s="680">
        <v>0.105</v>
      </c>
      <c r="F27" s="680">
        <v>0.105</v>
      </c>
      <c r="G27" s="680">
        <v>0.105</v>
      </c>
      <c r="H27" s="680">
        <v>0.105</v>
      </c>
    </row>
    <row r="28">
      <c r="A28" s="688" t="s">
        <v>1670</v>
      </c>
      <c r="B28" s="672"/>
      <c r="C28" s="672"/>
      <c r="D28" s="676">
        <f>D24-D27</f>
        <v>0.03887226997287187</v>
      </c>
      <c r="E28" s="672">
        <f>E24-E27</f>
        <v>0.03884338100971356</v>
      </c>
      <c r="F28" s="672">
        <f>F24-F27</f>
        <v>0.03890577089977067</v>
      </c>
      <c r="G28" s="672">
        <f>G24-G27</f>
        <v>0.039061097620162535</v>
      </c>
      <c r="H28" s="672">
        <f>H24-H27</f>
        <v>0.039311089939364066</v>
      </c>
    </row>
  </sheetData>
</worksheet>
</file>

<file path=xl/worksheets/sheet10.xml><?xml version="1.0" encoding="utf-8"?>
<worksheet xmlns="http://schemas.openxmlformats.org/spreadsheetml/2006/main" xmlns:r="http://schemas.openxmlformats.org/officeDocument/2006/relationships">
  <dimension ref="A1:K15"/>
  <sheetViews>
    <sheetView showGridLines="0" workbookViewId="0"/>
  </sheetViews>
  <sheetFormatPr defaultColWidth="8.375" defaultRowHeight="15"/>
  <cols>
    <col min="1" max="1" width="41.875" customWidth="1"/>
    <col min="2" max="8" width="15.625" customWidth="1"/>
  </cols>
  <sheetData>
    <row r="1">
      <c r="A1" s="690" t="s">
        <v>0</v>
      </c>
      <c r="B1" s="670"/>
      <c r="C1" s="670"/>
      <c r="D1" s="673"/>
      <c r="E1" s="661"/>
      <c r="F1" s="661"/>
      <c r="G1" s="661"/>
      <c r="H1" s="661"/>
    </row>
    <row r="2">
      <c r="A2" s="688" t="s">
        <v>1671</v>
      </c>
      <c r="D2" s="669"/>
    </row>
    <row r="3">
      <c r="A3" s="688" t="s">
        <v>1672</v>
      </c>
      <c r="D3" s="669"/>
    </row>
    <row r="4">
      <c r="A4" s="660"/>
      <c r="B4" s="660"/>
      <c r="C4" s="660"/>
      <c r="D4" s="669"/>
      <c r="E4" s="660"/>
      <c r="F4" s="660"/>
      <c r="G4" s="660"/>
      <c r="H4" s="660"/>
    </row>
    <row r="5">
      <c r="A5" s="690" t="s">
        <v>3</v>
      </c>
      <c r="B5" s="707" t="s">
        <v>7</v>
      </c>
      <c r="C5" s="707" t="s">
        <v>8</v>
      </c>
      <c r="D5" s="708" t="s">
        <v>9</v>
      </c>
      <c r="E5" s="705" t="s">
        <v>10</v>
      </c>
      <c r="F5" s="705" t="s">
        <v>11</v>
      </c>
      <c r="G5" s="705" t="s">
        <v>12</v>
      </c>
      <c r="H5" s="705" t="s">
        <v>13</v>
      </c>
      <c r="I5" s="706"/>
      <c r="J5" s="706"/>
      <c r="K5" s="706"/>
    </row>
    <row r="6">
      <c r="A6" s="660"/>
      <c r="B6" s="660"/>
      <c r="C6" s="660"/>
      <c r="D6" s="669"/>
      <c r="E6" s="660"/>
      <c r="F6" s="660"/>
      <c r="G6" s="660"/>
      <c r="H6" s="660"/>
    </row>
    <row r="7">
      <c r="A7" s="690" t="s">
        <v>1673</v>
      </c>
      <c r="B7" s="675"/>
      <c r="C7" s="675"/>
      <c r="D7" s="674"/>
      <c r="E7" s="667"/>
      <c r="F7" s="667"/>
      <c r="G7" s="667"/>
      <c r="H7" s="667"/>
    </row>
    <row r="8">
      <c r="A8" s="688" t="s">
        <v>1674</v>
      </c>
      <c r="B8" s="680">
        <v>0.36590000000000006</v>
      </c>
      <c r="C8" s="680">
        <v>0.4233</v>
      </c>
      <c r="D8" s="676"/>
      <c r="E8" s="672"/>
      <c r="F8" s="672"/>
      <c r="G8" s="672"/>
      <c r="H8" s="672"/>
    </row>
    <row r="9">
      <c r="A9" s="688" t="s">
        <v>1675</v>
      </c>
      <c r="B9" s="680">
        <v>0.3</v>
      </c>
      <c r="C9" s="680">
        <v>0.3</v>
      </c>
      <c r="D9" s="676"/>
      <c r="E9" s="672"/>
      <c r="F9" s="672"/>
      <c r="G9" s="672"/>
      <c r="H9" s="672"/>
    </row>
    <row r="10">
      <c r="A10" s="688" t="s">
        <v>1676</v>
      </c>
      <c r="B10" s="672">
        <f>B8-B9</f>
        <v>0.06590000000000007</v>
      </c>
      <c r="C10" s="672">
        <f>C8-C9</f>
        <v>0.12330000000000002</v>
      </c>
      <c r="D10" s="676"/>
      <c r="E10" s="672"/>
      <c r="F10" s="672"/>
      <c r="G10" s="672"/>
      <c r="H10" s="672"/>
    </row>
    <row r="11">
      <c r="A11" s="660"/>
      <c r="B11" s="660"/>
      <c r="C11" s="660"/>
      <c r="D11" s="669"/>
      <c r="E11" s="660"/>
      <c r="F11" s="660"/>
      <c r="G11" s="660"/>
      <c r="H11" s="660"/>
    </row>
    <row r="12">
      <c r="A12" s="690" t="s">
        <v>1677</v>
      </c>
      <c r="B12" s="675"/>
      <c r="C12" s="675"/>
      <c r="D12" s="674"/>
      <c r="E12" s="667"/>
      <c r="F12" s="667"/>
      <c r="G12" s="667"/>
      <c r="H12" s="667"/>
    </row>
    <row r="13">
      <c r="A13" s="688" t="s">
        <v>1678</v>
      </c>
      <c r="D13" s="669"/>
    </row>
    <row r="14">
      <c r="A14" s="660"/>
      <c r="B14" s="660"/>
      <c r="C14" s="660"/>
      <c r="D14" s="669"/>
      <c r="E14" s="660"/>
      <c r="F14" s="660"/>
      <c r="G14" s="660"/>
      <c r="H14" s="660"/>
    </row>
    <row r="15">
      <c r="A15" s="688" t="s">
        <v>1679</v>
      </c>
      <c r="D15" s="669"/>
    </row>
  </sheetData>
</worksheet>
</file>

<file path=xl/worksheets/sheet11.xml><?xml version="1.0" encoding="utf-8"?>
<worksheet xmlns="http://schemas.openxmlformats.org/spreadsheetml/2006/main" xmlns:r="http://schemas.openxmlformats.org/officeDocument/2006/relationships">
  <dimension ref="A1:Q31"/>
  <sheetViews>
    <sheetView showGridLines="0" workbookViewId="0"/>
  </sheetViews>
  <sheetFormatPr defaultColWidth="8.375" defaultRowHeight="15"/>
  <cols>
    <col min="1" max="1" width="23.125" customWidth="1"/>
    <col min="2" max="2" width="64.375" customWidth="1"/>
    <col min="3" max="3" width="18.125" customWidth="1"/>
    <col min="4" max="4" width="10.625" customWidth="1"/>
    <col min="5" max="5" width="14.375" customWidth="1"/>
    <col min="6" max="6" width="19.375" customWidth="1"/>
    <col min="7" max="7" width="64.375" customWidth="1"/>
    <col min="8" max="17" width="15.625" customWidth="1"/>
  </cols>
  <sheetData>
    <row r="1">
      <c r="A1" s="690" t="s">
        <v>0</v>
      </c>
      <c r="B1" s="690"/>
      <c r="C1" s="690"/>
      <c r="D1" s="690"/>
      <c r="E1" s="690"/>
      <c r="F1" s="690"/>
      <c r="G1" s="690"/>
      <c r="H1" s="690"/>
      <c r="I1" s="690"/>
      <c r="J1" s="690"/>
      <c r="K1" s="690"/>
      <c r="L1" s="690"/>
      <c r="M1" s="687"/>
      <c r="N1" s="687"/>
      <c r="O1" s="687"/>
      <c r="P1" s="687"/>
      <c r="Q1" s="687"/>
    </row>
    <row r="2">
      <c r="A2" s="703" t="s">
        <v>1680</v>
      </c>
      <c r="B2" s="689"/>
      <c r="C2" s="689"/>
      <c r="D2" s="689"/>
      <c r="E2" s="689"/>
      <c r="F2" s="689"/>
      <c r="G2" s="689"/>
      <c r="H2" s="689"/>
      <c r="I2" s="689"/>
      <c r="J2" s="689"/>
      <c r="K2" s="689"/>
      <c r="L2" s="689"/>
      <c r="M2" s="689"/>
      <c r="N2" s="689"/>
      <c r="O2" s="689"/>
      <c r="P2" s="689"/>
      <c r="Q2" s="689"/>
    </row>
    <row r="3">
      <c r="A3" s="703" t="s">
        <v>1681</v>
      </c>
      <c r="B3" s="689"/>
      <c r="C3" s="689"/>
      <c r="D3" s="689"/>
      <c r="E3" s="689"/>
      <c r="F3" s="689"/>
      <c r="G3" s="689"/>
      <c r="H3" s="689"/>
      <c r="I3" s="689"/>
      <c r="J3" s="689"/>
      <c r="K3" s="689"/>
      <c r="L3" s="689"/>
      <c r="M3" s="689"/>
      <c r="N3" s="689"/>
      <c r="O3" s="689"/>
      <c r="P3" s="689"/>
      <c r="Q3" s="689"/>
    </row>
    <row r="4">
      <c r="A4" s="697" t="s">
        <v>1682</v>
      </c>
      <c r="B4" s="697" t="s">
        <v>1683</v>
      </c>
      <c r="C4" s="699" t="str">
        <f>IF(COUNTIF($C$6:$C$31,"FAIL")=0,"PASS","FAIL")</f>
        <v>PASS</v>
      </c>
      <c r="D4" s="689"/>
      <c r="E4" s="689"/>
      <c r="F4" s="689"/>
      <c r="G4" s="703" t="s">
        <v>1684</v>
      </c>
      <c r="H4" s="689"/>
      <c r="I4" s="689"/>
      <c r="J4" s="689"/>
      <c r="K4" s="689"/>
      <c r="L4" s="689"/>
      <c r="M4" s="689"/>
      <c r="N4" s="689"/>
      <c r="O4" s="689"/>
      <c r="P4" s="689"/>
      <c r="Q4" s="689"/>
    </row>
    <row r="5">
      <c r="A5" s="690" t="s">
        <v>1685</v>
      </c>
      <c r="B5" s="690" t="s">
        <v>1686</v>
      </c>
      <c r="C5" s="690" t="s">
        <v>1687</v>
      </c>
      <c r="D5" s="690" t="s">
        <v>1688</v>
      </c>
      <c r="E5" s="690" t="s">
        <v>1689</v>
      </c>
      <c r="F5" s="690" t="s">
        <v>1690</v>
      </c>
      <c r="G5" s="690" t="s">
        <v>1691</v>
      </c>
      <c r="H5" s="690" t="s">
        <v>4</v>
      </c>
      <c r="I5" s="690" t="s">
        <v>5</v>
      </c>
      <c r="J5" s="690" t="s">
        <v>6</v>
      </c>
      <c r="K5" s="690" t="s">
        <v>7</v>
      </c>
      <c r="L5" s="690" t="s">
        <v>8</v>
      </c>
      <c r="M5" s="693" t="s">
        <v>9</v>
      </c>
      <c r="N5" s="693" t="s">
        <v>10</v>
      </c>
      <c r="O5" s="693" t="s">
        <v>11</v>
      </c>
      <c r="P5" s="693" t="s">
        <v>12</v>
      </c>
      <c r="Q5" s="693" t="s">
        <v>13</v>
      </c>
    </row>
    <row r="6">
      <c r="A6" s="689"/>
      <c r="B6" s="689"/>
      <c r="C6" s="689"/>
      <c r="D6" s="689"/>
      <c r="E6" s="689"/>
      <c r="F6" s="689"/>
      <c r="G6" s="689"/>
      <c r="H6" s="689"/>
      <c r="I6" s="689"/>
      <c r="J6" s="689"/>
      <c r="K6" s="689"/>
      <c r="L6" s="689"/>
      <c r="M6" s="689"/>
      <c r="N6" s="689"/>
      <c r="O6" s="689"/>
      <c r="P6" s="689"/>
      <c r="Q6" s="689"/>
    </row>
    <row r="7">
      <c r="A7" s="690" t="s">
        <v>1692</v>
      </c>
      <c r="B7" s="690"/>
      <c r="C7" s="690"/>
      <c r="D7" s="690"/>
      <c r="E7" s="690"/>
      <c r="F7" s="690"/>
      <c r="G7" s="690"/>
      <c r="H7" s="690"/>
      <c r="I7" s="690"/>
      <c r="J7" s="690"/>
      <c r="K7" s="690"/>
      <c r="L7" s="690"/>
      <c r="M7" s="687"/>
      <c r="N7" s="687"/>
      <c r="O7" s="687"/>
      <c r="P7" s="687"/>
      <c r="Q7" s="687"/>
    </row>
    <row r="8">
      <c r="A8" s="688" t="s">
        <v>1693</v>
      </c>
      <c r="B8" s="688" t="s">
        <v>1694</v>
      </c>
      <c r="C8" s="691" t="str">
        <f>IF(SUMPRODUCT((ABS(H8:Q8)&gt;1000)*1)=0,"PASS","FAIL")</f>
        <v>PASS</v>
      </c>
      <c r="D8" s="688" t="s">
        <v>1695</v>
      </c>
      <c r="E8" s="688" t="s">
        <v>1696</v>
      </c>
      <c r="F8" s="688">
        <v>0</v>
      </c>
      <c r="G8" s="688" t="s">
        <v>1697</v>
      </c>
      <c r="H8" s="686">
        <f>ModeloFinanciero!B44-ModeloFinanciero!B68</f>
        <v>0</v>
      </c>
      <c r="I8" s="686">
        <f>ModeloFinanciero!C44-ModeloFinanciero!C68</f>
        <v>0</v>
      </c>
      <c r="J8" s="686">
        <f>ModeloFinanciero!D44-ModeloFinanciero!D68</f>
        <v>0</v>
      </c>
      <c r="K8" s="686">
        <f>ModeloFinanciero!E44-ModeloFinanciero!E68</f>
        <v>0</v>
      </c>
      <c r="L8" s="686">
        <f>ModeloFinanciero!F44-ModeloFinanciero!F68</f>
        <v>0</v>
      </c>
      <c r="M8" s="692">
        <f>ModeloFinanciero!G44-ModeloFinanciero!G68</f>
        <v>0</v>
      </c>
      <c r="N8" s="686">
        <f>ModeloFinanciero!H44-ModeloFinanciero!H68</f>
        <v>0</v>
      </c>
      <c r="O8" s="686">
        <f>ModeloFinanciero!I44-ModeloFinanciero!I68</f>
        <v>0</v>
      </c>
      <c r="P8" s="686">
        <f>ModeloFinanciero!J44-ModeloFinanciero!J68</f>
        <v>0</v>
      </c>
      <c r="Q8" s="686">
        <f>ModeloFinanciero!K44-ModeloFinanciero!K68</f>
        <v>0</v>
      </c>
    </row>
    <row r="9">
      <c r="A9" s="688" t="s">
        <v>1698</v>
      </c>
      <c r="B9" s="688" t="s">
        <v>1699</v>
      </c>
      <c r="C9" s="691" t="s">
        <v>1700</v>
      </c>
      <c r="D9" s="688" t="s">
        <v>1695</v>
      </c>
      <c r="E9" s="688" t="s">
        <v>1696</v>
      </c>
      <c r="F9" s="694" t="s">
        <v>1701</v>
      </c>
      <c r="G9" s="688" t="s">
        <v>1702</v>
      </c>
      <c r="H9" s="686">
        <f>EEFF!B121-EEFF!B37</f>
        <v>-34326692</v>
      </c>
      <c r="I9" s="686">
        <f>EEFF!C121-EEFF!C37</f>
        <v>-6837181</v>
      </c>
      <c r="J9" s="686">
        <f>EEFF!D121-EEFF!D37</f>
        <v>-7995375</v>
      </c>
      <c r="K9" s="686">
        <f>EEFF!E121-EEFF!E37</f>
        <v>-23386424</v>
      </c>
      <c r="L9" s="686">
        <f>EEFF!F121-EEFF!F37</f>
        <v>-41319109</v>
      </c>
      <c r="M9" s="695"/>
      <c r="N9" s="685"/>
      <c r="O9" s="685"/>
      <c r="P9" s="685"/>
      <c r="Q9" s="685"/>
    </row>
    <row r="10">
      <c r="A10" s="688" t="s">
        <v>1703</v>
      </c>
      <c r="B10" s="688" t="s">
        <v>1704</v>
      </c>
      <c r="C10" s="691" t="s">
        <v>1705</v>
      </c>
      <c r="D10" s="688" t="s">
        <v>1695</v>
      </c>
      <c r="E10" s="688" t="s">
        <v>1696</v>
      </c>
      <c r="F10" s="688">
        <v>0</v>
      </c>
      <c r="G10" s="688" t="s">
        <v>1706</v>
      </c>
      <c r="H10" s="685">
        <f>0</f>
        <v>0</v>
      </c>
      <c r="I10" s="685">
        <f>0</f>
        <v>0</v>
      </c>
      <c r="J10" s="685">
        <f>0</f>
        <v>0</v>
      </c>
      <c r="K10" s="685">
        <f>0</f>
        <v>0</v>
      </c>
      <c r="L10" s="685">
        <f>0</f>
        <v>0</v>
      </c>
      <c r="M10" s="695">
        <f>0</f>
        <v>0</v>
      </c>
      <c r="N10" s="685">
        <f>0</f>
        <v>0</v>
      </c>
      <c r="O10" s="685">
        <f>0</f>
        <v>0</v>
      </c>
      <c r="P10" s="685">
        <f>0</f>
        <v>0</v>
      </c>
      <c r="Q10" s="685">
        <f>0</f>
        <v>0</v>
      </c>
    </row>
    <row r="11">
      <c r="A11" s="688" t="s">
        <v>1707</v>
      </c>
      <c r="B11" s="688" t="s">
        <v>1708</v>
      </c>
      <c r="C11" s="691" t="s">
        <v>1705</v>
      </c>
      <c r="D11" s="688" t="s">
        <v>1695</v>
      </c>
      <c r="E11" s="688" t="s">
        <v>1696</v>
      </c>
      <c r="F11" s="688">
        <v>0</v>
      </c>
      <c r="G11" s="688" t="s">
        <v>1709</v>
      </c>
      <c r="H11" s="685">
        <f>0</f>
        <v>0</v>
      </c>
      <c r="I11" s="685">
        <f>0</f>
        <v>0</v>
      </c>
      <c r="J11" s="685">
        <f>0</f>
        <v>0</v>
      </c>
      <c r="K11" s="685">
        <f>0</f>
        <v>0</v>
      </c>
      <c r="L11" s="685">
        <f>0</f>
        <v>0</v>
      </c>
      <c r="M11" s="695">
        <f>0</f>
        <v>0</v>
      </c>
      <c r="N11" s="685">
        <f>0</f>
        <v>0</v>
      </c>
      <c r="O11" s="685">
        <f>0</f>
        <v>0</v>
      </c>
      <c r="P11" s="685">
        <f>0</f>
        <v>0</v>
      </c>
      <c r="Q11" s="685">
        <f>0</f>
        <v>0</v>
      </c>
    </row>
    <row r="12">
      <c r="A12" s="688" t="s">
        <v>1710</v>
      </c>
      <c r="B12" s="688" t="s">
        <v>1711</v>
      </c>
      <c r="C12" s="691" t="s">
        <v>1705</v>
      </c>
      <c r="D12" s="688" t="s">
        <v>1695</v>
      </c>
      <c r="E12" s="688" t="s">
        <v>1696</v>
      </c>
      <c r="F12" s="688">
        <v>0</v>
      </c>
      <c r="G12" s="688" t="s">
        <v>1712</v>
      </c>
      <c r="H12" s="685">
        <f>0</f>
        <v>0</v>
      </c>
      <c r="I12" s="685">
        <f>0</f>
        <v>0</v>
      </c>
      <c r="J12" s="685">
        <f>0</f>
        <v>0</v>
      </c>
      <c r="K12" s="685">
        <f>0</f>
        <v>0</v>
      </c>
      <c r="L12" s="685">
        <f>0</f>
        <v>0</v>
      </c>
      <c r="M12" s="695">
        <f>0</f>
        <v>0</v>
      </c>
      <c r="N12" s="685">
        <f>0</f>
        <v>0</v>
      </c>
      <c r="O12" s="685">
        <f>0</f>
        <v>0</v>
      </c>
      <c r="P12" s="685">
        <f>0</f>
        <v>0</v>
      </c>
      <c r="Q12" s="685">
        <f>0</f>
        <v>0</v>
      </c>
    </row>
    <row r="13">
      <c r="A13" s="688" t="s">
        <v>1713</v>
      </c>
      <c r="B13" s="688" t="s">
        <v>1714</v>
      </c>
      <c r="C13" s="691" t="s">
        <v>1700</v>
      </c>
      <c r="D13" s="688" t="s">
        <v>1695</v>
      </c>
      <c r="E13" s="688" t="s">
        <v>1696</v>
      </c>
      <c r="F13" s="694" t="s">
        <v>1715</v>
      </c>
      <c r="G13" s="688" t="s">
        <v>1716</v>
      </c>
      <c r="H13" s="685"/>
      <c r="I13" s="686">
        <f>EEFF!C66-EEFF!B66-(EEFF!C33+EEFF!C114)</f>
        <v>-5588187</v>
      </c>
      <c r="J13" s="686">
        <f>EEFF!D66-EEFF!C66-(EEFF!D33+EEFF!D114)</f>
        <v>-4576951</v>
      </c>
      <c r="K13" s="686">
        <f>EEFF!E66-EEFF!D66-(EEFF!E33+EEFF!E114)</f>
        <v>-5354485</v>
      </c>
      <c r="L13" s="686">
        <f>EEFF!F66-EEFF!E66-(EEFF!F33+EEFF!F114)</f>
        <v>-5856289</v>
      </c>
      <c r="M13" s="695"/>
      <c r="N13" s="685"/>
      <c r="O13" s="685"/>
      <c r="P13" s="685"/>
      <c r="Q13" s="685"/>
    </row>
    <row r="14">
      <c r="A14" s="688" t="s">
        <v>1717</v>
      </c>
      <c r="B14" s="688" t="s">
        <v>1708</v>
      </c>
      <c r="C14" s="691" t="s">
        <v>1705</v>
      </c>
      <c r="D14" s="688" t="s">
        <v>1695</v>
      </c>
      <c r="E14" s="688" t="s">
        <v>1696</v>
      </c>
      <c r="F14" s="688">
        <v>0</v>
      </c>
      <c r="G14" s="688" t="s">
        <v>1718</v>
      </c>
      <c r="H14" s="686">
        <f>SUM(ModeloFinanciero!B60,ModeloFinanciero!B61,ModeloFinanciero!B62,ModeloFinanciero!B63,ModeloFinanciero!B64,ModeloFinanciero!B65,ModeloFinanciero!B66)-ModeloFinanciero!B67</f>
        <v>0</v>
      </c>
      <c r="I14" s="686">
        <f>SUM(ModeloFinanciero!C60,ModeloFinanciero!C61,ModeloFinanciero!C62,ModeloFinanciero!C63,ModeloFinanciero!C64,ModeloFinanciero!C65,ModeloFinanciero!C66)-ModeloFinanciero!C67</f>
        <v>0</v>
      </c>
      <c r="J14" s="686">
        <f>SUM(ModeloFinanciero!D60,ModeloFinanciero!D61,ModeloFinanciero!D62,ModeloFinanciero!D63,ModeloFinanciero!D64,ModeloFinanciero!D65,ModeloFinanciero!D66)-ModeloFinanciero!D67</f>
        <v>0</v>
      </c>
      <c r="K14" s="686">
        <f>SUM(ModeloFinanciero!E60,ModeloFinanciero!E61,ModeloFinanciero!E62,ModeloFinanciero!E63,ModeloFinanciero!E64,ModeloFinanciero!E65,ModeloFinanciero!E66)-ModeloFinanciero!E67</f>
        <v>0</v>
      </c>
      <c r="L14" s="686">
        <f>SUM(ModeloFinanciero!F60,ModeloFinanciero!F61,ModeloFinanciero!F62,ModeloFinanciero!F63,ModeloFinanciero!F64,ModeloFinanciero!F65,ModeloFinanciero!F66)-ModeloFinanciero!F67</f>
        <v>0</v>
      </c>
      <c r="M14" s="692">
        <f>SUM(ModeloFinanciero!G60,ModeloFinanciero!G61,ModeloFinanciero!G62,ModeloFinanciero!G63,ModeloFinanciero!G64,ModeloFinanciero!G65,ModeloFinanciero!G66)-ModeloFinanciero!G67</f>
        <v>0</v>
      </c>
      <c r="N14" s="686">
        <f>SUM(ModeloFinanciero!H60,ModeloFinanciero!H61,ModeloFinanciero!H62,ModeloFinanciero!H63,ModeloFinanciero!H64,ModeloFinanciero!H65,ModeloFinanciero!H66)-ModeloFinanciero!H67</f>
        <v>0</v>
      </c>
      <c r="O14" s="686">
        <f>SUM(ModeloFinanciero!I60,ModeloFinanciero!I61,ModeloFinanciero!I62,ModeloFinanciero!I63,ModeloFinanciero!I64,ModeloFinanciero!I65,ModeloFinanciero!I66)-ModeloFinanciero!I67</f>
        <v>0</v>
      </c>
      <c r="P14" s="686">
        <f>SUM(ModeloFinanciero!J60,ModeloFinanciero!J61,ModeloFinanciero!J62,ModeloFinanciero!J63,ModeloFinanciero!J64,ModeloFinanciero!J65,ModeloFinanciero!J66)-ModeloFinanciero!J67</f>
        <v>0</v>
      </c>
      <c r="Q14" s="686">
        <f>SUM(ModeloFinanciero!K60,ModeloFinanciero!K61,ModeloFinanciero!K62,ModeloFinanciero!K63,ModeloFinanciero!K64,ModeloFinanciero!K65,ModeloFinanciero!K66)-ModeloFinanciero!K67</f>
        <v>0</v>
      </c>
    </row>
    <row r="15">
      <c r="A15" s="688" t="s">
        <v>1719</v>
      </c>
      <c r="B15" s="688" t="s">
        <v>1708</v>
      </c>
      <c r="C15" s="691" t="s">
        <v>1705</v>
      </c>
      <c r="D15" s="688" t="s">
        <v>1695</v>
      </c>
      <c r="E15" s="688" t="s">
        <v>1696</v>
      </c>
      <c r="F15" s="688">
        <v>0</v>
      </c>
      <c r="G15" s="688" t="s">
        <v>1720</v>
      </c>
      <c r="H15" s="686">
        <f>SUM(ModeloFinanciero!B37,ModeloFinanciero!B38,ModeloFinanciero!B39,ModeloFinanciero!B40,ModeloFinanciero!B41,ModeloFinanciero!B42,ModeloFinanciero!B43)-ModeloFinanciero!B44</f>
        <v>0</v>
      </c>
      <c r="I15" s="686">
        <f>SUM(ModeloFinanciero!C37,ModeloFinanciero!C38,ModeloFinanciero!C39,ModeloFinanciero!C40,ModeloFinanciero!C41,ModeloFinanciero!C42,ModeloFinanciero!C43)-ModeloFinanciero!C44</f>
        <v>0</v>
      </c>
      <c r="J15" s="686">
        <f>SUM(ModeloFinanciero!D37,ModeloFinanciero!D38,ModeloFinanciero!D39,ModeloFinanciero!D40,ModeloFinanciero!D41,ModeloFinanciero!D42,ModeloFinanciero!D43)-ModeloFinanciero!D44</f>
        <v>0</v>
      </c>
      <c r="K15" s="686">
        <f>SUM(ModeloFinanciero!E37,ModeloFinanciero!E38,ModeloFinanciero!E39,ModeloFinanciero!E40,ModeloFinanciero!E41,ModeloFinanciero!E42,ModeloFinanciero!E43)-ModeloFinanciero!E44</f>
        <v>0</v>
      </c>
      <c r="L15" s="686">
        <f>SUM(ModeloFinanciero!F37,ModeloFinanciero!F38,ModeloFinanciero!F39,ModeloFinanciero!F40,ModeloFinanciero!F41,ModeloFinanciero!F42,ModeloFinanciero!F43)-ModeloFinanciero!F44</f>
        <v>0</v>
      </c>
      <c r="M15" s="692">
        <f>SUM(ModeloFinanciero!G37,ModeloFinanciero!G38,ModeloFinanciero!G39,ModeloFinanciero!G40,ModeloFinanciero!G41,ModeloFinanciero!G42,ModeloFinanciero!G43)-ModeloFinanciero!G44</f>
        <v>0</v>
      </c>
      <c r="N15" s="686">
        <f>SUM(ModeloFinanciero!H37,ModeloFinanciero!H38,ModeloFinanciero!H39,ModeloFinanciero!H40,ModeloFinanciero!H41,ModeloFinanciero!H42,ModeloFinanciero!H43)-ModeloFinanciero!H44</f>
        <v>0</v>
      </c>
      <c r="O15" s="686">
        <f>SUM(ModeloFinanciero!I37,ModeloFinanciero!I38,ModeloFinanciero!I39,ModeloFinanciero!I40,ModeloFinanciero!I41,ModeloFinanciero!I42,ModeloFinanciero!I43)-ModeloFinanciero!I44</f>
        <v>0</v>
      </c>
      <c r="P15" s="686">
        <f>SUM(ModeloFinanciero!J37,ModeloFinanciero!J38,ModeloFinanciero!J39,ModeloFinanciero!J40,ModeloFinanciero!J41,ModeloFinanciero!J42,ModeloFinanciero!J43)-ModeloFinanciero!J44</f>
        <v>0</v>
      </c>
      <c r="Q15" s="686">
        <f>SUM(ModeloFinanciero!K37,ModeloFinanciero!K38,ModeloFinanciero!K39,ModeloFinanciero!K40,ModeloFinanciero!K41,ModeloFinanciero!K42,ModeloFinanciero!K43)-ModeloFinanciero!K44</f>
        <v>0</v>
      </c>
    </row>
    <row r="16">
      <c r="A16" s="688" t="s">
        <v>1721</v>
      </c>
      <c r="B16" s="688" t="s">
        <v>1708</v>
      </c>
      <c r="C16" s="691" t="s">
        <v>1705</v>
      </c>
      <c r="D16" s="688" t="s">
        <v>1695</v>
      </c>
      <c r="E16" s="688" t="s">
        <v>1696</v>
      </c>
      <c r="F16" s="688">
        <v>0</v>
      </c>
      <c r="G16" s="688" t="s">
        <v>1722</v>
      </c>
      <c r="H16" s="686">
        <f>ModeloFinanciero!B59+ModeloFinanciero!B67-ModeloFinanciero!B68</f>
        <v>0</v>
      </c>
      <c r="I16" s="686">
        <f>ModeloFinanciero!C59+ModeloFinanciero!C67-ModeloFinanciero!C68</f>
        <v>0</v>
      </c>
      <c r="J16" s="686">
        <f>ModeloFinanciero!D59+ModeloFinanciero!D67-ModeloFinanciero!D68</f>
        <v>0</v>
      </c>
      <c r="K16" s="686">
        <f>ModeloFinanciero!E59+ModeloFinanciero!E67-ModeloFinanciero!E68</f>
        <v>0</v>
      </c>
      <c r="L16" s="686">
        <f>ModeloFinanciero!F59+ModeloFinanciero!F67-ModeloFinanciero!F68</f>
        <v>0</v>
      </c>
      <c r="M16" s="692">
        <f>ModeloFinanciero!G59+ModeloFinanciero!G67-ModeloFinanciero!G68</f>
        <v>0</v>
      </c>
      <c r="N16" s="686">
        <f>ModeloFinanciero!H59+ModeloFinanciero!H67-ModeloFinanciero!H68</f>
        <v>0</v>
      </c>
      <c r="O16" s="686">
        <f>ModeloFinanciero!I59+ModeloFinanciero!I67-ModeloFinanciero!I68</f>
        <v>0</v>
      </c>
      <c r="P16" s="686">
        <f>ModeloFinanciero!J59+ModeloFinanciero!J67-ModeloFinanciero!J68</f>
        <v>0</v>
      </c>
      <c r="Q16" s="686">
        <f>ModeloFinanciero!K59+ModeloFinanciero!K67-ModeloFinanciero!K68</f>
        <v>0</v>
      </c>
    </row>
    <row r="17">
      <c r="A17" s="688" t="s">
        <v>1723</v>
      </c>
      <c r="B17" s="688" t="s">
        <v>1724</v>
      </c>
      <c r="C17" s="691" t="str">
        <f>IF(SUMPRODUCT((ABS(H17:Q17)&gt;100000)*1)=0,"PASS","FAIL")</f>
        <v>PASS</v>
      </c>
      <c r="D17" s="688" t="s">
        <v>1695</v>
      </c>
      <c r="E17" s="688" t="s">
        <v>1725</v>
      </c>
      <c r="F17" s="688">
        <v>0</v>
      </c>
      <c r="G17" s="688" t="s">
        <v>1726</v>
      </c>
      <c r="H17" s="686">
        <f>ModeloFinanciero!B44-EEFF!B44</f>
        <v>0</v>
      </c>
      <c r="I17" s="686">
        <f>ModeloFinanciero!C44-EEFF!C44</f>
        <v>0</v>
      </c>
      <c r="J17" s="686">
        <f>ModeloFinanciero!D44-EEFF!D44</f>
        <v>0</v>
      </c>
      <c r="K17" s="686">
        <f>ModeloFinanciero!E44-EEFF!E44</f>
        <v>0</v>
      </c>
      <c r="L17" s="686">
        <f>ModeloFinanciero!F44-EEFF!F44</f>
        <v>0</v>
      </c>
      <c r="M17" s="695"/>
      <c r="N17" s="685"/>
      <c r="O17" s="685"/>
      <c r="P17" s="685"/>
      <c r="Q17" s="685"/>
    </row>
    <row r="18">
      <c r="A18" s="688" t="s">
        <v>1727</v>
      </c>
      <c r="B18" s="688" t="s">
        <v>1728</v>
      </c>
      <c r="C18" s="691" t="str">
        <f>IF(SUMPRODUCT((ABS(H18:Q18)&gt;0)*1)=0,"PASS","FAIL")</f>
        <v>PASS</v>
      </c>
      <c r="D18" s="688" t="s">
        <v>1695</v>
      </c>
      <c r="E18" s="688" t="s">
        <v>1729</v>
      </c>
      <c r="F18" s="688" t="s">
        <v>1729</v>
      </c>
      <c r="G18" s="688" t="s">
        <v>1730</v>
      </c>
      <c r="H18" s="685">
        <f>0</f>
        <v>0</v>
      </c>
      <c r="I18" s="685">
        <f>0</f>
        <v>0</v>
      </c>
      <c r="J18" s="685">
        <f>0</f>
        <v>0</v>
      </c>
      <c r="K18" s="685">
        <f>0</f>
        <v>0</v>
      </c>
      <c r="L18" s="685">
        <f>0</f>
        <v>0</v>
      </c>
      <c r="M18" s="695">
        <f>0</f>
        <v>0</v>
      </c>
      <c r="N18" s="685">
        <f>0</f>
        <v>0</v>
      </c>
      <c r="O18" s="685">
        <f>0</f>
        <v>0</v>
      </c>
      <c r="P18" s="685">
        <f>0</f>
        <v>0</v>
      </c>
      <c r="Q18" s="685">
        <f>0</f>
        <v>0</v>
      </c>
    </row>
    <row r="19">
      <c r="A19" s="688" t="s">
        <v>1731</v>
      </c>
      <c r="B19" s="688" t="s">
        <v>1732</v>
      </c>
      <c r="C19" s="691" t="str">
        <f>IF(SUMPRODUCT((ABS(H19:Q19)&gt;0)*1)=0,"PASS","FAIL")</f>
        <v>PASS</v>
      </c>
      <c r="D19" s="688" t="s">
        <v>1695</v>
      </c>
      <c r="E19" s="688" t="s">
        <v>1729</v>
      </c>
      <c r="F19" s="688" t="s">
        <v>1729</v>
      </c>
      <c r="G19" s="688" t="s">
        <v>1733</v>
      </c>
      <c r="H19" s="685">
        <f>COUNTIF($C$6:$C$18,"FAIL")+COUNTIF($C$20:$C$31,"FAIL")</f>
        <v>0</v>
      </c>
      <c r="I19" s="685">
        <f>COUNTIF($C$6:$C$18,"FAIL")+COUNTIF($C$20:$C$31,"FAIL")</f>
        <v>0</v>
      </c>
      <c r="J19" s="685">
        <f>COUNTIF($C$6:$C$18,"FAIL")+COUNTIF($C$20:$C$31,"FAIL")</f>
        <v>0</v>
      </c>
      <c r="K19" s="685">
        <f>COUNTIF($C$6:$C$18,"FAIL")+COUNTIF($C$20:$C$31,"FAIL")</f>
        <v>0</v>
      </c>
      <c r="L19" s="685">
        <f>COUNTIF($C$6:$C$18,"FAIL")+COUNTIF($C$20:$C$31,"FAIL")</f>
        <v>0</v>
      </c>
      <c r="M19" s="695">
        <f>COUNTIF($C$6:$C$18,"FAIL")+COUNTIF($C$20:$C$31,"FAIL")</f>
        <v>0</v>
      </c>
      <c r="N19" s="685">
        <f>COUNTIF($C$6:$C$18,"FAIL")+COUNTIF($C$20:$C$31,"FAIL")</f>
        <v>0</v>
      </c>
      <c r="O19" s="685">
        <f>COUNTIF($C$6:$C$18,"FAIL")+COUNTIF($C$20:$C$31,"FAIL")</f>
        <v>0</v>
      </c>
      <c r="P19" s="685">
        <f>COUNTIF($C$6:$C$18,"FAIL")+COUNTIF($C$20:$C$31,"FAIL")</f>
        <v>0</v>
      </c>
      <c r="Q19" s="685">
        <f>COUNTIF($C$6:$C$18,"FAIL")+COUNTIF($C$20:$C$31,"FAIL")</f>
        <v>0</v>
      </c>
    </row>
    <row r="20">
      <c r="A20" s="689"/>
      <c r="B20" s="689"/>
      <c r="C20" s="689"/>
      <c r="D20" s="689"/>
      <c r="E20" s="689"/>
      <c r="F20" s="689"/>
      <c r="G20" s="689"/>
      <c r="H20" s="689"/>
      <c r="I20" s="689"/>
      <c r="J20" s="689"/>
      <c r="K20" s="689"/>
      <c r="L20" s="689"/>
      <c r="M20" s="689"/>
      <c r="N20" s="689"/>
      <c r="O20" s="689"/>
      <c r="P20" s="689"/>
      <c r="Q20" s="689"/>
    </row>
    <row r="21">
      <c r="A21" s="690" t="s">
        <v>1734</v>
      </c>
      <c r="B21" s="690"/>
      <c r="C21" s="690"/>
      <c r="D21" s="690"/>
      <c r="E21" s="690"/>
      <c r="F21" s="690"/>
      <c r="G21" s="690"/>
      <c r="H21" s="690"/>
      <c r="I21" s="690"/>
      <c r="J21" s="690"/>
      <c r="K21" s="690"/>
      <c r="L21" s="690"/>
      <c r="M21" s="687"/>
      <c r="N21" s="687"/>
      <c r="O21" s="687"/>
      <c r="P21" s="687"/>
      <c r="Q21" s="687"/>
    </row>
    <row r="22">
      <c r="A22" s="688" t="s">
        <v>1735</v>
      </c>
      <c r="B22" s="688" t="s">
        <v>1736</v>
      </c>
      <c r="C22" s="691" t="s">
        <v>1705</v>
      </c>
      <c r="D22" s="688" t="s">
        <v>1695</v>
      </c>
      <c r="E22" s="688" t="s">
        <v>1696</v>
      </c>
      <c r="F22" s="688">
        <v>0</v>
      </c>
      <c r="G22" s="688" t="s">
        <v>1737</v>
      </c>
      <c r="H22" s="685">
        <f>0</f>
        <v>0</v>
      </c>
      <c r="I22" s="685">
        <f>0</f>
        <v>0</v>
      </c>
      <c r="J22" s="685">
        <f>0</f>
        <v>0</v>
      </c>
      <c r="K22" s="685">
        <f>0</f>
        <v>0</v>
      </c>
      <c r="L22" s="685">
        <f>0</f>
        <v>0</v>
      </c>
      <c r="M22" s="695">
        <f>0</f>
        <v>0</v>
      </c>
      <c r="N22" s="685">
        <f>0</f>
        <v>0</v>
      </c>
      <c r="O22" s="685">
        <f>0</f>
        <v>0</v>
      </c>
      <c r="P22" s="685">
        <f>0</f>
        <v>0</v>
      </c>
      <c r="Q22" s="685">
        <f>0</f>
        <v>0</v>
      </c>
    </row>
    <row r="23">
      <c r="A23" s="689"/>
      <c r="B23" s="689"/>
      <c r="C23" s="689"/>
      <c r="D23" s="689"/>
      <c r="E23" s="689"/>
      <c r="F23" s="689"/>
      <c r="G23" s="689"/>
      <c r="H23" s="689"/>
      <c r="I23" s="689"/>
      <c r="J23" s="689"/>
      <c r="K23" s="689"/>
      <c r="L23" s="689"/>
      <c r="M23" s="689"/>
      <c r="N23" s="689"/>
      <c r="O23" s="689"/>
      <c r="P23" s="689"/>
      <c r="Q23" s="689"/>
    </row>
    <row r="24">
      <c r="A24" s="690" t="s">
        <v>1738</v>
      </c>
      <c r="B24" s="690"/>
      <c r="C24" s="690"/>
      <c r="D24" s="690"/>
      <c r="E24" s="690"/>
      <c r="F24" s="690"/>
      <c r="G24" s="690"/>
      <c r="H24" s="690"/>
      <c r="I24" s="690"/>
      <c r="J24" s="690"/>
      <c r="K24" s="690"/>
      <c r="L24" s="690"/>
      <c r="M24" s="687"/>
      <c r="N24" s="687"/>
      <c r="O24" s="687"/>
      <c r="P24" s="687"/>
      <c r="Q24" s="687"/>
    </row>
    <row r="25">
      <c r="A25" s="688" t="s">
        <v>1739</v>
      </c>
      <c r="B25" s="688" t="s">
        <v>1740</v>
      </c>
      <c r="C25" s="691" t="s">
        <v>1705</v>
      </c>
      <c r="D25" s="688" t="s">
        <v>1695</v>
      </c>
      <c r="E25" s="688" t="s">
        <v>1696</v>
      </c>
      <c r="F25" s="688">
        <v>0</v>
      </c>
      <c r="G25" s="688" t="s">
        <v>1741</v>
      </c>
      <c r="H25" s="685"/>
      <c r="I25" s="685"/>
      <c r="J25" s="685"/>
      <c r="K25" s="686">
        <f>Loan_Book!B28</f>
        <v>83924993</v>
      </c>
      <c r="L25" s="686">
        <f>Loan_Book!C28</f>
        <v>74497478</v>
      </c>
      <c r="M25" s="692">
        <f>Loan_Book!D28</f>
        <v>74922113.62459946</v>
      </c>
      <c r="N25" s="686">
        <f>Loan_Book!E28</f>
        <v>75349169.67226028</v>
      </c>
      <c r="O25" s="686">
        <f>Loan_Book!F28</f>
        <v>75778659.93939114</v>
      </c>
      <c r="P25" s="686">
        <f>Loan_Book!G28</f>
        <v>76210598.30104637</v>
      </c>
      <c r="Q25" s="686">
        <f>Loan_Book!H28</f>
        <v>76644998.71136284</v>
      </c>
    </row>
    <row r="26">
      <c r="A26" s="688" t="s">
        <v>1742</v>
      </c>
      <c r="B26" s="688" t="s">
        <v>1743</v>
      </c>
      <c r="C26" s="691" t="s">
        <v>1705</v>
      </c>
      <c r="D26" s="688" t="s">
        <v>1695</v>
      </c>
      <c r="E26" s="688" t="s">
        <v>1696</v>
      </c>
      <c r="F26" s="688">
        <v>0</v>
      </c>
      <c r="G26" s="688" t="s">
        <v>1744</v>
      </c>
      <c r="H26" s="685">
        <f>0</f>
        <v>0</v>
      </c>
      <c r="I26" s="685">
        <f>0</f>
        <v>0</v>
      </c>
      <c r="J26" s="685">
        <f>0</f>
        <v>0</v>
      </c>
      <c r="K26" s="685">
        <f>0</f>
        <v>0</v>
      </c>
      <c r="L26" s="685">
        <f>0</f>
        <v>0</v>
      </c>
      <c r="M26" s="695">
        <f>0</f>
        <v>0</v>
      </c>
      <c r="N26" s="685">
        <f>0</f>
        <v>0</v>
      </c>
      <c r="O26" s="685">
        <f>0</f>
        <v>0</v>
      </c>
      <c r="P26" s="685">
        <f>0</f>
        <v>0</v>
      </c>
      <c r="Q26" s="685">
        <f>0</f>
        <v>0</v>
      </c>
    </row>
    <row r="27">
      <c r="A27" s="688" t="s">
        <v>1745</v>
      </c>
      <c r="B27" s="688" t="s">
        <v>1746</v>
      </c>
      <c r="C27" s="691" t="s">
        <v>1705</v>
      </c>
      <c r="D27" s="688" t="s">
        <v>1695</v>
      </c>
      <c r="E27" s="688" t="s">
        <v>1696</v>
      </c>
      <c r="F27" s="688">
        <v>0</v>
      </c>
      <c r="G27" s="688" t="s">
        <v>1741</v>
      </c>
      <c r="H27" s="685"/>
      <c r="I27" s="685"/>
      <c r="J27" s="685"/>
      <c r="K27" s="686">
        <f>Credit_Quality!B19</f>
        <v>225426527</v>
      </c>
      <c r="L27" s="686">
        <f>Credit_Quality!C19</f>
        <v>213320690</v>
      </c>
      <c r="M27" s="692">
        <f>Credit_Quality!D19</f>
        <v>0</v>
      </c>
      <c r="N27" s="686">
        <f>Credit_Quality!E19</f>
        <v>0</v>
      </c>
      <c r="O27" s="686">
        <f>Credit_Quality!F19</f>
        <v>0</v>
      </c>
      <c r="P27" s="686">
        <f>Credit_Quality!G19</f>
        <v>0</v>
      </c>
      <c r="Q27" s="686">
        <f>Credit_Quality!H19</f>
        <v>0</v>
      </c>
    </row>
    <row r="28">
      <c r="A28" s="688" t="s">
        <v>1747</v>
      </c>
      <c r="B28" s="688" t="s">
        <v>1748</v>
      </c>
      <c r="C28" s="691" t="s">
        <v>1705</v>
      </c>
      <c r="D28" s="688" t="s">
        <v>1695</v>
      </c>
      <c r="E28" s="688" t="s">
        <v>1696</v>
      </c>
      <c r="F28" s="688">
        <v>0</v>
      </c>
      <c r="G28" s="688" t="s">
        <v>1741</v>
      </c>
      <c r="H28" s="685"/>
      <c r="I28" s="685"/>
      <c r="J28" s="685"/>
      <c r="K28" s="686">
        <f>NIM_Build!B20</f>
        <v>700364528</v>
      </c>
      <c r="L28" s="686">
        <f>NIM_Build!C20</f>
        <v>732496054</v>
      </c>
      <c r="M28" s="692">
        <f>NIM_Build!D20</f>
        <v>761341639.9057286</v>
      </c>
      <c r="N28" s="686">
        <f>NIM_Build!E20</f>
        <v>791338500.5180144</v>
      </c>
      <c r="O28" s="686">
        <f>NIM_Build!F20</f>
        <v>822517237.4384243</v>
      </c>
      <c r="P28" s="686">
        <f>NIM_Build!G20</f>
        <v>854924416.5934982</v>
      </c>
      <c r="Q28" s="686">
        <f>NIM_Build!H20</f>
        <v>888608438.607282</v>
      </c>
    </row>
    <row r="29">
      <c r="A29" s="688" t="s">
        <v>1749</v>
      </c>
      <c r="B29" s="688" t="s">
        <v>1750</v>
      </c>
      <c r="C29" s="691" t="s">
        <v>1705</v>
      </c>
      <c r="D29" s="688" t="s">
        <v>1695</v>
      </c>
      <c r="E29" s="688" t="s">
        <v>1751</v>
      </c>
      <c r="F29" s="688" t="s">
        <v>1752</v>
      </c>
      <c r="G29" s="688" t="s">
        <v>1741</v>
      </c>
      <c r="H29" s="685"/>
      <c r="I29" s="685"/>
      <c r="J29" s="685"/>
      <c r="K29" s="686">
        <f>Capital_Adequacy!B28</f>
        <v>0</v>
      </c>
      <c r="L29" s="686">
        <f>Capital_Adequacy!C28</f>
        <v>0</v>
      </c>
      <c r="M29" s="692">
        <f>Capital_Adequacy!D28</f>
        <v>0.03887226997287187</v>
      </c>
      <c r="N29" s="686">
        <f>Capital_Adequacy!E28</f>
        <v>0.03884338100971356</v>
      </c>
      <c r="O29" s="686">
        <f>Capital_Adequacy!F28</f>
        <v>0.03890577089977067</v>
      </c>
      <c r="P29" s="686">
        <f>Capital_Adequacy!G28</f>
        <v>0.039061097620162535</v>
      </c>
      <c r="Q29" s="686">
        <f>Capital_Adequacy!H28</f>
        <v>0.039311089939364066</v>
      </c>
    </row>
    <row r="30">
      <c r="A30" s="688" t="s">
        <v>1753</v>
      </c>
      <c r="B30" s="688" t="s">
        <v>1754</v>
      </c>
      <c r="C30" s="691" t="s">
        <v>1705</v>
      </c>
      <c r="D30" s="688" t="s">
        <v>1695</v>
      </c>
      <c r="E30" s="688" t="s">
        <v>1751</v>
      </c>
      <c r="F30" s="688" t="s">
        <v>1752</v>
      </c>
      <c r="G30" s="688" t="s">
        <v>1755</v>
      </c>
      <c r="H30" s="685"/>
      <c r="I30" s="685"/>
      <c r="J30" s="685"/>
      <c r="K30" s="686">
        <f>Credit_Quality!B23</f>
        <v>0</v>
      </c>
      <c r="L30" s="686">
        <f>Credit_Quality!C23</f>
        <v>0</v>
      </c>
      <c r="M30" s="692">
        <f>Credit_Quality!D23</f>
        <v>0</v>
      </c>
      <c r="N30" s="686">
        <f>Credit_Quality!E23</f>
        <v>0</v>
      </c>
      <c r="O30" s="686">
        <f>Credit_Quality!F23</f>
        <v>0</v>
      </c>
      <c r="P30" s="686">
        <f>Credit_Quality!G23</f>
        <v>0</v>
      </c>
      <c r="Q30" s="686">
        <f>Credit_Quality!H23</f>
        <v>0</v>
      </c>
    </row>
    <row r="31">
      <c r="A31" s="688" t="s">
        <v>1756</v>
      </c>
      <c r="B31" s="688" t="s">
        <v>1757</v>
      </c>
      <c r="C31" s="691" t="s">
        <v>1705</v>
      </c>
      <c r="D31" s="688" t="s">
        <v>1695</v>
      </c>
      <c r="E31" s="688" t="s">
        <v>1751</v>
      </c>
      <c r="F31" s="688" t="s">
        <v>1752</v>
      </c>
      <c r="G31" s="688" t="s">
        <v>1741</v>
      </c>
      <c r="H31" s="685"/>
      <c r="I31" s="685"/>
      <c r="J31" s="685"/>
      <c r="K31" s="686">
        <f>Liquidity!B10</f>
        <v>0.06590000000000007</v>
      </c>
      <c r="L31" s="686">
        <f>Liquidity!C10</f>
        <v>0.12330000000000002</v>
      </c>
      <c r="M31" s="692">
        <f>Liquidity!D10</f>
        <v>0</v>
      </c>
      <c r="N31" s="686">
        <f>Liquidity!E10</f>
        <v>0</v>
      </c>
      <c r="O31" s="686">
        <f>Liquidity!F10</f>
        <v>0</v>
      </c>
      <c r="P31" s="686">
        <f>Liquidity!G10</f>
        <v>0</v>
      </c>
      <c r="Q31" s="686">
        <f>Liquidity!H10</f>
        <v>0</v>
      </c>
    </row>
  </sheetData>
</worksheet>
</file>

<file path=xl/worksheets/sheet12.xml><?xml version="1.0" encoding="utf-8"?>
<worksheet xmlns="http://schemas.openxmlformats.org/spreadsheetml/2006/main" xmlns:r="http://schemas.openxmlformats.org/officeDocument/2006/relationships">
  <dimension ref="A1:M134"/>
  <sheetViews>
    <sheetView showGridLines="0" workbookViewId="0"/>
  </sheetViews>
  <sheetFormatPr defaultColWidth="8.375" defaultRowHeight="15"/>
  <cols>
    <col min="1" max="8" width="16.875" customWidth="1"/>
    <col min="9" max="9" width="39.375" customWidth="1"/>
    <col min="10" max="12" width="16.875" customWidth="1"/>
    <col min="13" max="13" width="59.375" customWidth="1"/>
  </cols>
  <sheetData>
    <row r="1">
      <c r="A1" s="704" t="s">
        <v>0</v>
      </c>
      <c r="B1" s="698"/>
      <c r="C1" s="698"/>
      <c r="D1" s="698"/>
      <c r="E1" s="698"/>
      <c r="F1" s="698"/>
      <c r="G1" s="698"/>
      <c r="H1" s="698"/>
      <c r="I1" s="698"/>
      <c r="J1" s="698"/>
      <c r="K1" s="698"/>
      <c r="L1" s="698"/>
      <c r="M1" s="698"/>
    </row>
    <row r="2">
      <c r="A2" s="703" t="s">
        <v>1758</v>
      </c>
      <c r="B2" s="698"/>
      <c r="C2" s="698"/>
      <c r="D2" s="698"/>
      <c r="E2" s="698"/>
      <c r="F2" s="698"/>
      <c r="G2" s="698"/>
      <c r="H2" s="698"/>
      <c r="I2" s="698"/>
      <c r="J2" s="698"/>
      <c r="K2" s="698"/>
      <c r="L2" s="698"/>
      <c r="M2" s="698"/>
    </row>
    <row r="3">
      <c r="A3" s="703" t="s">
        <v>1759</v>
      </c>
      <c r="B3" s="698"/>
      <c r="C3" s="698"/>
      <c r="D3" s="698"/>
      <c r="E3" s="698"/>
      <c r="F3" s="698"/>
      <c r="G3" s="698"/>
      <c r="H3" s="698"/>
      <c r="I3" s="698"/>
      <c r="J3" s="698"/>
      <c r="K3" s="698"/>
      <c r="L3" s="698"/>
      <c r="M3" s="698"/>
    </row>
    <row r="4">
      <c r="A4" s="699" t="s">
        <v>1760</v>
      </c>
      <c r="B4" s="699" t="s">
        <v>1761</v>
      </c>
      <c r="C4" s="699" t="s">
        <v>1762</v>
      </c>
      <c r="D4" s="699" t="s">
        <v>1763</v>
      </c>
      <c r="E4" s="699" t="s">
        <v>1764</v>
      </c>
      <c r="F4" s="699" t="s">
        <v>1765</v>
      </c>
      <c r="G4" s="699" t="s">
        <v>1766</v>
      </c>
      <c r="H4" s="699" t="s">
        <v>1767</v>
      </c>
      <c r="I4" s="699" t="s">
        <v>1768</v>
      </c>
      <c r="J4" s="699" t="s">
        <v>1769</v>
      </c>
      <c r="K4" s="699" t="s">
        <v>1687</v>
      </c>
      <c r="L4" s="699" t="s">
        <v>1770</v>
      </c>
      <c r="M4" s="699" t="s">
        <v>1691</v>
      </c>
    </row>
    <row r="5">
      <c r="A5" s="703" t="s">
        <v>1771</v>
      </c>
      <c r="B5" s="703" t="s">
        <v>1772</v>
      </c>
      <c r="C5" s="703" t="s">
        <v>1773</v>
      </c>
      <c r="D5" s="698"/>
      <c r="E5" s="698"/>
      <c r="F5" s="698"/>
      <c r="G5" s="698"/>
      <c r="H5" s="703" t="s">
        <v>1774</v>
      </c>
      <c r="I5" s="703" t="s">
        <v>1775</v>
      </c>
      <c r="J5" s="703" t="s">
        <v>125</v>
      </c>
      <c r="K5" s="702" t="s">
        <v>221</v>
      </c>
      <c r="L5" s="703" t="s">
        <v>1356</v>
      </c>
      <c r="M5" s="703" t="s">
        <v>1776</v>
      </c>
    </row>
    <row r="6">
      <c r="A6" s="703" t="s">
        <v>1777</v>
      </c>
      <c r="B6" s="703" t="s">
        <v>1778</v>
      </c>
      <c r="C6" s="703" t="s">
        <v>1773</v>
      </c>
      <c r="D6" s="703" t="s">
        <v>214</v>
      </c>
      <c r="E6" s="703" t="s">
        <v>213</v>
      </c>
      <c r="F6" s="698"/>
      <c r="G6" s="703" t="s">
        <v>216</v>
      </c>
      <c r="H6" s="703" t="s">
        <v>1779</v>
      </c>
      <c r="I6" s="703" t="s">
        <v>1780</v>
      </c>
      <c r="J6" s="703" t="s">
        <v>213</v>
      </c>
      <c r="K6" s="699" t="s">
        <v>1705</v>
      </c>
      <c r="L6" s="703" t="s">
        <v>1781</v>
      </c>
      <c r="M6" s="703" t="s">
        <v>1782</v>
      </c>
    </row>
    <row r="7">
      <c r="A7" s="703" t="s">
        <v>1783</v>
      </c>
      <c r="B7" s="703" t="s">
        <v>1778</v>
      </c>
      <c r="C7" s="703" t="s">
        <v>1773</v>
      </c>
      <c r="D7" s="703" t="s">
        <v>669</v>
      </c>
      <c r="E7" s="703" t="s">
        <v>668</v>
      </c>
      <c r="F7" s="698"/>
      <c r="G7" s="703" t="s">
        <v>216</v>
      </c>
      <c r="H7" s="703" t="s">
        <v>1779</v>
      </c>
      <c r="I7" s="703" t="s">
        <v>1780</v>
      </c>
      <c r="J7" s="703" t="s">
        <v>668</v>
      </c>
      <c r="K7" s="699" t="s">
        <v>1705</v>
      </c>
      <c r="L7" s="703" t="s">
        <v>1784</v>
      </c>
      <c r="M7" s="703" t="s">
        <v>1785</v>
      </c>
    </row>
    <row r="8">
      <c r="A8" s="703" t="s">
        <v>1786</v>
      </c>
      <c r="B8" s="703" t="s">
        <v>1778</v>
      </c>
      <c r="C8" s="703" t="s">
        <v>1773</v>
      </c>
      <c r="D8" s="703" t="s">
        <v>1137</v>
      </c>
      <c r="E8" s="703" t="s">
        <v>1136</v>
      </c>
      <c r="F8" s="698"/>
      <c r="G8" s="703" t="s">
        <v>216</v>
      </c>
      <c r="H8" s="703" t="s">
        <v>1779</v>
      </c>
      <c r="I8" s="703" t="s">
        <v>1780</v>
      </c>
      <c r="J8" s="703" t="s">
        <v>1136</v>
      </c>
      <c r="K8" s="699" t="s">
        <v>1705</v>
      </c>
      <c r="L8" s="703" t="s">
        <v>1787</v>
      </c>
      <c r="M8" s="703" t="s">
        <v>1788</v>
      </c>
    </row>
    <row r="9">
      <c r="A9" s="703" t="s">
        <v>1789</v>
      </c>
      <c r="B9" s="703" t="s">
        <v>1778</v>
      </c>
      <c r="C9" s="703" t="s">
        <v>1773</v>
      </c>
      <c r="D9" s="703" t="s">
        <v>1248</v>
      </c>
      <c r="E9" s="703" t="s">
        <v>1247</v>
      </c>
      <c r="F9" s="698"/>
      <c r="G9" s="703" t="s">
        <v>216</v>
      </c>
      <c r="H9" s="703" t="s">
        <v>1779</v>
      </c>
      <c r="I9" s="703" t="s">
        <v>1780</v>
      </c>
      <c r="J9" s="703" t="s">
        <v>1247</v>
      </c>
      <c r="K9" s="699" t="s">
        <v>1705</v>
      </c>
      <c r="L9" s="703" t="s">
        <v>1787</v>
      </c>
      <c r="M9" s="703" t="s">
        <v>1790</v>
      </c>
    </row>
    <row r="10">
      <c r="A10" s="703" t="s">
        <v>1791</v>
      </c>
      <c r="B10" s="703" t="s">
        <v>1778</v>
      </c>
      <c r="C10" s="703" t="s">
        <v>1773</v>
      </c>
      <c r="D10" s="703" t="s">
        <v>1354</v>
      </c>
      <c r="E10" s="703" t="s">
        <v>1353</v>
      </c>
      <c r="F10" s="698"/>
      <c r="G10" s="703" t="s">
        <v>216</v>
      </c>
      <c r="H10" s="703" t="s">
        <v>1779</v>
      </c>
      <c r="I10" s="703" t="s">
        <v>1780</v>
      </c>
      <c r="J10" s="703" t="s">
        <v>1353</v>
      </c>
      <c r="K10" s="699" t="s">
        <v>1705</v>
      </c>
      <c r="L10" s="703" t="s">
        <v>1792</v>
      </c>
      <c r="M10" s="703" t="s">
        <v>1793</v>
      </c>
    </row>
    <row r="11">
      <c r="A11" s="703" t="s">
        <v>1794</v>
      </c>
      <c r="B11" s="703" t="s">
        <v>1795</v>
      </c>
      <c r="C11" s="703" t="s">
        <v>1773</v>
      </c>
      <c r="D11" s="703" t="s">
        <v>214</v>
      </c>
      <c r="E11" s="703" t="s">
        <v>213</v>
      </c>
      <c r="F11" s="703" t="s">
        <v>217</v>
      </c>
      <c r="G11" s="703" t="s">
        <v>1796</v>
      </c>
      <c r="H11" s="703" t="s">
        <v>1797</v>
      </c>
      <c r="I11" s="703" t="s">
        <v>218</v>
      </c>
      <c r="J11" s="703" t="s">
        <v>213</v>
      </c>
      <c r="K11" s="702" t="s">
        <v>221</v>
      </c>
      <c r="L11" s="703" t="s">
        <v>1798</v>
      </c>
      <c r="M11" s="698"/>
    </row>
    <row r="12">
      <c r="A12" s="703" t="s">
        <v>1799</v>
      </c>
      <c r="B12" s="703" t="s">
        <v>1795</v>
      </c>
      <c r="C12" s="703" t="s">
        <v>1773</v>
      </c>
      <c r="D12" s="703" t="s">
        <v>214</v>
      </c>
      <c r="E12" s="703" t="s">
        <v>213</v>
      </c>
      <c r="F12" s="703" t="s">
        <v>503</v>
      </c>
      <c r="G12" s="703" t="s">
        <v>1800</v>
      </c>
      <c r="H12" s="703" t="s">
        <v>1797</v>
      </c>
      <c r="I12" s="703" t="s">
        <v>504</v>
      </c>
      <c r="J12" s="703" t="s">
        <v>213</v>
      </c>
      <c r="K12" s="702" t="s">
        <v>221</v>
      </c>
      <c r="L12" s="703" t="s">
        <v>1801</v>
      </c>
      <c r="M12" s="698"/>
    </row>
    <row r="13">
      <c r="A13" s="703" t="s">
        <v>1802</v>
      </c>
      <c r="B13" s="703" t="s">
        <v>1795</v>
      </c>
      <c r="C13" s="703" t="s">
        <v>1773</v>
      </c>
      <c r="D13" s="703" t="s">
        <v>669</v>
      </c>
      <c r="E13" s="703" t="s">
        <v>668</v>
      </c>
      <c r="F13" s="703" t="s">
        <v>725</v>
      </c>
      <c r="G13" s="703" t="s">
        <v>1803</v>
      </c>
      <c r="H13" s="703" t="s">
        <v>1797</v>
      </c>
      <c r="I13" s="703" t="s">
        <v>726</v>
      </c>
      <c r="J13" s="703" t="s">
        <v>668</v>
      </c>
      <c r="K13" s="702" t="s">
        <v>221</v>
      </c>
      <c r="L13" s="703" t="s">
        <v>811</v>
      </c>
      <c r="M13" s="698"/>
    </row>
    <row r="14">
      <c r="A14" s="703" t="s">
        <v>1804</v>
      </c>
      <c r="B14" s="703" t="s">
        <v>1795</v>
      </c>
      <c r="C14" s="703" t="s">
        <v>1773</v>
      </c>
      <c r="D14" s="703" t="s">
        <v>669</v>
      </c>
      <c r="E14" s="703" t="s">
        <v>668</v>
      </c>
      <c r="F14" s="703" t="s">
        <v>749</v>
      </c>
      <c r="G14" s="703" t="s">
        <v>1805</v>
      </c>
      <c r="H14" s="703" t="s">
        <v>1797</v>
      </c>
      <c r="I14" s="703" t="s">
        <v>750</v>
      </c>
      <c r="J14" s="703" t="s">
        <v>668</v>
      </c>
      <c r="K14" s="702" t="s">
        <v>221</v>
      </c>
      <c r="L14" s="703" t="s">
        <v>1365</v>
      </c>
      <c r="M14" s="698"/>
    </row>
    <row r="15">
      <c r="A15" s="703" t="s">
        <v>1806</v>
      </c>
      <c r="B15" s="703" t="s">
        <v>1795</v>
      </c>
      <c r="C15" s="703" t="s">
        <v>1773</v>
      </c>
      <c r="D15" s="703" t="s">
        <v>669</v>
      </c>
      <c r="E15" s="703" t="s">
        <v>668</v>
      </c>
      <c r="F15" s="703" t="s">
        <v>755</v>
      </c>
      <c r="G15" s="703" t="s">
        <v>1807</v>
      </c>
      <c r="H15" s="703" t="s">
        <v>1797</v>
      </c>
      <c r="I15" s="703" t="s">
        <v>756</v>
      </c>
      <c r="J15" s="703" t="s">
        <v>668</v>
      </c>
      <c r="K15" s="702" t="s">
        <v>221</v>
      </c>
      <c r="L15" s="703" t="s">
        <v>725</v>
      </c>
      <c r="M15" s="698"/>
    </row>
    <row r="16">
      <c r="A16" s="703" t="s">
        <v>1808</v>
      </c>
      <c r="B16" s="703" t="s">
        <v>1795</v>
      </c>
      <c r="C16" s="703" t="s">
        <v>1773</v>
      </c>
      <c r="D16" s="703" t="s">
        <v>669</v>
      </c>
      <c r="E16" s="703" t="s">
        <v>668</v>
      </c>
      <c r="F16" s="703" t="s">
        <v>772</v>
      </c>
      <c r="G16" s="703" t="s">
        <v>1809</v>
      </c>
      <c r="H16" s="703" t="s">
        <v>1797</v>
      </c>
      <c r="I16" s="703" t="s">
        <v>773</v>
      </c>
      <c r="J16" s="703" t="s">
        <v>668</v>
      </c>
      <c r="K16" s="702" t="s">
        <v>221</v>
      </c>
      <c r="L16" s="703" t="s">
        <v>915</v>
      </c>
      <c r="M16" s="698"/>
    </row>
    <row r="17">
      <c r="A17" s="703" t="s">
        <v>1810</v>
      </c>
      <c r="B17" s="703" t="s">
        <v>1795</v>
      </c>
      <c r="C17" s="703" t="s">
        <v>1773</v>
      </c>
      <c r="D17" s="703" t="s">
        <v>669</v>
      </c>
      <c r="E17" s="703" t="s">
        <v>668</v>
      </c>
      <c r="F17" s="703" t="s">
        <v>808</v>
      </c>
      <c r="G17" s="703" t="s">
        <v>807</v>
      </c>
      <c r="H17" s="703" t="s">
        <v>1797</v>
      </c>
      <c r="I17" s="703" t="s">
        <v>809</v>
      </c>
      <c r="J17" s="703" t="s">
        <v>668</v>
      </c>
      <c r="K17" s="702" t="s">
        <v>221</v>
      </c>
      <c r="L17" s="703" t="s">
        <v>1356</v>
      </c>
      <c r="M17" s="698"/>
    </row>
    <row r="18">
      <c r="A18" s="703" t="s">
        <v>1811</v>
      </c>
      <c r="B18" s="703" t="s">
        <v>1795</v>
      </c>
      <c r="C18" s="703" t="s">
        <v>1773</v>
      </c>
      <c r="D18" s="703" t="s">
        <v>669</v>
      </c>
      <c r="E18" s="703" t="s">
        <v>668</v>
      </c>
      <c r="F18" s="703" t="s">
        <v>811</v>
      </c>
      <c r="G18" s="703" t="s">
        <v>1812</v>
      </c>
      <c r="H18" s="703" t="s">
        <v>1797</v>
      </c>
      <c r="I18" s="703" t="s">
        <v>812</v>
      </c>
      <c r="J18" s="703" t="s">
        <v>668</v>
      </c>
      <c r="K18" s="702" t="s">
        <v>221</v>
      </c>
      <c r="L18" s="703" t="s">
        <v>503</v>
      </c>
      <c r="M18" s="698"/>
    </row>
    <row r="19">
      <c r="A19" s="703" t="s">
        <v>1813</v>
      </c>
      <c r="B19" s="703" t="s">
        <v>1795</v>
      </c>
      <c r="C19" s="703" t="s">
        <v>1773</v>
      </c>
      <c r="D19" s="703" t="s">
        <v>669</v>
      </c>
      <c r="E19" s="703" t="s">
        <v>668</v>
      </c>
      <c r="F19" s="703" t="s">
        <v>820</v>
      </c>
      <c r="G19" s="703" t="s">
        <v>1814</v>
      </c>
      <c r="H19" s="703" t="s">
        <v>1797</v>
      </c>
      <c r="I19" s="703" t="s">
        <v>821</v>
      </c>
      <c r="J19" s="703" t="s">
        <v>668</v>
      </c>
      <c r="K19" s="702" t="s">
        <v>221</v>
      </c>
      <c r="L19" s="703" t="s">
        <v>692</v>
      </c>
      <c r="M19" s="698"/>
    </row>
    <row r="20">
      <c r="A20" s="703" t="s">
        <v>1815</v>
      </c>
      <c r="B20" s="703" t="s">
        <v>1795</v>
      </c>
      <c r="C20" s="703" t="s">
        <v>1773</v>
      </c>
      <c r="D20" s="703" t="s">
        <v>669</v>
      </c>
      <c r="E20" s="703" t="s">
        <v>668</v>
      </c>
      <c r="F20" s="703" t="s">
        <v>834</v>
      </c>
      <c r="G20" s="703" t="s">
        <v>1816</v>
      </c>
      <c r="H20" s="703" t="s">
        <v>1797</v>
      </c>
      <c r="I20" s="703" t="s">
        <v>835</v>
      </c>
      <c r="J20" s="703" t="s">
        <v>668</v>
      </c>
      <c r="K20" s="702" t="s">
        <v>221</v>
      </c>
      <c r="L20" s="703" t="s">
        <v>1249</v>
      </c>
      <c r="M20" s="698"/>
    </row>
    <row r="21">
      <c r="A21" s="703" t="s">
        <v>1817</v>
      </c>
      <c r="B21" s="703" t="s">
        <v>1795</v>
      </c>
      <c r="C21" s="703" t="s">
        <v>1773</v>
      </c>
      <c r="D21" s="703" t="s">
        <v>669</v>
      </c>
      <c r="E21" s="703" t="s">
        <v>668</v>
      </c>
      <c r="F21" s="703" t="s">
        <v>845</v>
      </c>
      <c r="G21" s="703" t="s">
        <v>1818</v>
      </c>
      <c r="H21" s="703" t="s">
        <v>1797</v>
      </c>
      <c r="I21" s="703" t="s">
        <v>846</v>
      </c>
      <c r="J21" s="703" t="s">
        <v>668</v>
      </c>
      <c r="K21" s="702" t="s">
        <v>221</v>
      </c>
      <c r="L21" s="703" t="s">
        <v>692</v>
      </c>
      <c r="M21" s="698"/>
    </row>
    <row r="22">
      <c r="A22" s="703" t="s">
        <v>1819</v>
      </c>
      <c r="B22" s="703" t="s">
        <v>1795</v>
      </c>
      <c r="C22" s="703" t="s">
        <v>1773</v>
      </c>
      <c r="D22" s="703" t="s">
        <v>669</v>
      </c>
      <c r="E22" s="703" t="s">
        <v>668</v>
      </c>
      <c r="F22" s="703" t="s">
        <v>856</v>
      </c>
      <c r="G22" s="703" t="s">
        <v>1820</v>
      </c>
      <c r="H22" s="703" t="s">
        <v>1797</v>
      </c>
      <c r="I22" s="703" t="s">
        <v>857</v>
      </c>
      <c r="J22" s="703" t="s">
        <v>668</v>
      </c>
      <c r="K22" s="702" t="s">
        <v>221</v>
      </c>
      <c r="L22" s="703" t="s">
        <v>503</v>
      </c>
      <c r="M22" s="698"/>
    </row>
    <row r="23">
      <c r="A23" s="703" t="s">
        <v>1821</v>
      </c>
      <c r="B23" s="703" t="s">
        <v>1795</v>
      </c>
      <c r="C23" s="703" t="s">
        <v>1773</v>
      </c>
      <c r="D23" s="703" t="s">
        <v>669</v>
      </c>
      <c r="E23" s="703" t="s">
        <v>668</v>
      </c>
      <c r="F23" s="703" t="s">
        <v>865</v>
      </c>
      <c r="G23" s="703" t="s">
        <v>1822</v>
      </c>
      <c r="H23" s="703" t="s">
        <v>1797</v>
      </c>
      <c r="I23" s="703" t="s">
        <v>866</v>
      </c>
      <c r="J23" s="703" t="s">
        <v>668</v>
      </c>
      <c r="K23" s="702" t="s">
        <v>221</v>
      </c>
      <c r="L23" s="703" t="s">
        <v>687</v>
      </c>
      <c r="M23" s="698"/>
    </row>
    <row r="24">
      <c r="A24" s="703" t="s">
        <v>1823</v>
      </c>
      <c r="B24" s="703" t="s">
        <v>1795</v>
      </c>
      <c r="C24" s="703" t="s">
        <v>1773</v>
      </c>
      <c r="D24" s="703" t="s">
        <v>669</v>
      </c>
      <c r="E24" s="703" t="s">
        <v>668</v>
      </c>
      <c r="F24" s="703" t="s">
        <v>879</v>
      </c>
      <c r="G24" s="703" t="s">
        <v>1824</v>
      </c>
      <c r="H24" s="703" t="s">
        <v>1797</v>
      </c>
      <c r="I24" s="703" t="s">
        <v>880</v>
      </c>
      <c r="J24" s="703" t="s">
        <v>668</v>
      </c>
      <c r="K24" s="702" t="s">
        <v>221</v>
      </c>
      <c r="L24" s="703" t="s">
        <v>503</v>
      </c>
      <c r="M24" s="698"/>
    </row>
    <row r="25">
      <c r="A25" s="703" t="s">
        <v>1825</v>
      </c>
      <c r="B25" s="703" t="s">
        <v>1795</v>
      </c>
      <c r="C25" s="703" t="s">
        <v>1773</v>
      </c>
      <c r="D25" s="703" t="s">
        <v>669</v>
      </c>
      <c r="E25" s="703" t="s">
        <v>668</v>
      </c>
      <c r="F25" s="703" t="s">
        <v>887</v>
      </c>
      <c r="G25" s="703" t="s">
        <v>1826</v>
      </c>
      <c r="H25" s="703" t="s">
        <v>1797</v>
      </c>
      <c r="I25" s="703" t="s">
        <v>888</v>
      </c>
      <c r="J25" s="703" t="s">
        <v>668</v>
      </c>
      <c r="K25" s="702" t="s">
        <v>221</v>
      </c>
      <c r="L25" s="703" t="s">
        <v>1365</v>
      </c>
      <c r="M25" s="698"/>
    </row>
    <row r="26">
      <c r="A26" s="703" t="s">
        <v>1827</v>
      </c>
      <c r="B26" s="703" t="s">
        <v>1795</v>
      </c>
      <c r="C26" s="703" t="s">
        <v>1773</v>
      </c>
      <c r="D26" s="703" t="s">
        <v>669</v>
      </c>
      <c r="E26" s="703" t="s">
        <v>668</v>
      </c>
      <c r="F26" s="703" t="s">
        <v>892</v>
      </c>
      <c r="G26" s="703" t="s">
        <v>216</v>
      </c>
      <c r="H26" s="703" t="s">
        <v>1797</v>
      </c>
      <c r="I26" s="703" t="s">
        <v>893</v>
      </c>
      <c r="J26" s="703" t="s">
        <v>668</v>
      </c>
      <c r="K26" s="702" t="s">
        <v>221</v>
      </c>
      <c r="L26" s="703" t="s">
        <v>217</v>
      </c>
      <c r="M26" s="698"/>
    </row>
    <row r="27">
      <c r="A27" s="703" t="s">
        <v>1828</v>
      </c>
      <c r="B27" s="703" t="s">
        <v>1795</v>
      </c>
      <c r="C27" s="703" t="s">
        <v>1773</v>
      </c>
      <c r="D27" s="703" t="s">
        <v>669</v>
      </c>
      <c r="E27" s="703" t="s">
        <v>668</v>
      </c>
      <c r="F27" s="703" t="s">
        <v>900</v>
      </c>
      <c r="G27" s="703" t="s">
        <v>899</v>
      </c>
      <c r="H27" s="703" t="s">
        <v>1797</v>
      </c>
      <c r="I27" s="703" t="s">
        <v>901</v>
      </c>
      <c r="J27" s="703" t="s">
        <v>668</v>
      </c>
      <c r="K27" s="702" t="s">
        <v>221</v>
      </c>
      <c r="L27" s="703" t="s">
        <v>1356</v>
      </c>
      <c r="M27" s="698"/>
    </row>
    <row r="28">
      <c r="A28" s="703" t="s">
        <v>1829</v>
      </c>
      <c r="B28" s="703" t="s">
        <v>1795</v>
      </c>
      <c r="C28" s="703" t="s">
        <v>1773</v>
      </c>
      <c r="D28" s="703" t="s">
        <v>669</v>
      </c>
      <c r="E28" s="703" t="s">
        <v>668</v>
      </c>
      <c r="F28" s="703" t="s">
        <v>905</v>
      </c>
      <c r="G28" s="703" t="s">
        <v>1830</v>
      </c>
      <c r="H28" s="703" t="s">
        <v>1797</v>
      </c>
      <c r="I28" s="703" t="s">
        <v>906</v>
      </c>
      <c r="J28" s="703" t="s">
        <v>668</v>
      </c>
      <c r="K28" s="702" t="s">
        <v>221</v>
      </c>
      <c r="L28" s="703" t="s">
        <v>1365</v>
      </c>
      <c r="M28" s="698"/>
    </row>
    <row r="29">
      <c r="A29" s="703" t="s">
        <v>1831</v>
      </c>
      <c r="B29" s="703" t="s">
        <v>1795</v>
      </c>
      <c r="C29" s="703" t="s">
        <v>1773</v>
      </c>
      <c r="D29" s="703" t="s">
        <v>669</v>
      </c>
      <c r="E29" s="703" t="s">
        <v>668</v>
      </c>
      <c r="F29" s="703" t="s">
        <v>911</v>
      </c>
      <c r="G29" s="703" t="s">
        <v>910</v>
      </c>
      <c r="H29" s="703" t="s">
        <v>1797</v>
      </c>
      <c r="I29" s="703" t="s">
        <v>912</v>
      </c>
      <c r="J29" s="703" t="s">
        <v>668</v>
      </c>
      <c r="K29" s="702" t="s">
        <v>221</v>
      </c>
      <c r="L29" s="703" t="s">
        <v>1356</v>
      </c>
      <c r="M29" s="698"/>
    </row>
    <row r="30">
      <c r="A30" s="703" t="s">
        <v>1832</v>
      </c>
      <c r="B30" s="703" t="s">
        <v>1795</v>
      </c>
      <c r="C30" s="703" t="s">
        <v>1773</v>
      </c>
      <c r="D30" s="703" t="s">
        <v>669</v>
      </c>
      <c r="E30" s="703" t="s">
        <v>668</v>
      </c>
      <c r="F30" s="703" t="s">
        <v>915</v>
      </c>
      <c r="G30" s="703" t="s">
        <v>216</v>
      </c>
      <c r="H30" s="703" t="s">
        <v>1797</v>
      </c>
      <c r="I30" s="703" t="s">
        <v>916</v>
      </c>
      <c r="J30" s="703" t="s">
        <v>668</v>
      </c>
      <c r="K30" s="702" t="s">
        <v>221</v>
      </c>
      <c r="L30" s="703" t="s">
        <v>725</v>
      </c>
      <c r="M30" s="698"/>
    </row>
    <row r="31">
      <c r="A31" s="703" t="s">
        <v>1833</v>
      </c>
      <c r="B31" s="703" t="s">
        <v>1795</v>
      </c>
      <c r="C31" s="703" t="s">
        <v>1773</v>
      </c>
      <c r="D31" s="703" t="s">
        <v>669</v>
      </c>
      <c r="E31" s="703" t="s">
        <v>668</v>
      </c>
      <c r="F31" s="703" t="s">
        <v>928</v>
      </c>
      <c r="G31" s="703" t="s">
        <v>1834</v>
      </c>
      <c r="H31" s="703" t="s">
        <v>1797</v>
      </c>
      <c r="I31" s="703" t="s">
        <v>929</v>
      </c>
      <c r="J31" s="703" t="s">
        <v>668</v>
      </c>
      <c r="K31" s="702" t="s">
        <v>221</v>
      </c>
      <c r="L31" s="703" t="s">
        <v>1249</v>
      </c>
      <c r="M31" s="698"/>
    </row>
    <row r="32">
      <c r="A32" s="703" t="s">
        <v>1835</v>
      </c>
      <c r="B32" s="703" t="s">
        <v>1795</v>
      </c>
      <c r="C32" s="703" t="s">
        <v>1773</v>
      </c>
      <c r="D32" s="703" t="s">
        <v>669</v>
      </c>
      <c r="E32" s="703" t="s">
        <v>668</v>
      </c>
      <c r="F32" s="703" t="s">
        <v>937</v>
      </c>
      <c r="G32" s="703" t="s">
        <v>1836</v>
      </c>
      <c r="H32" s="703" t="s">
        <v>1797</v>
      </c>
      <c r="I32" s="703" t="s">
        <v>938</v>
      </c>
      <c r="J32" s="703" t="s">
        <v>668</v>
      </c>
      <c r="K32" s="702" t="s">
        <v>221</v>
      </c>
      <c r="L32" s="703" t="s">
        <v>217</v>
      </c>
      <c r="M32" s="698"/>
    </row>
    <row r="33">
      <c r="A33" s="703" t="s">
        <v>1837</v>
      </c>
      <c r="B33" s="703" t="s">
        <v>1795</v>
      </c>
      <c r="C33" s="703" t="s">
        <v>1773</v>
      </c>
      <c r="D33" s="703" t="s">
        <v>669</v>
      </c>
      <c r="E33" s="703" t="s">
        <v>668</v>
      </c>
      <c r="F33" s="703" t="s">
        <v>945</v>
      </c>
      <c r="G33" s="703" t="s">
        <v>944</v>
      </c>
      <c r="H33" s="703" t="s">
        <v>1797</v>
      </c>
      <c r="I33" s="703" t="s">
        <v>946</v>
      </c>
      <c r="J33" s="703" t="s">
        <v>668</v>
      </c>
      <c r="K33" s="702" t="s">
        <v>221</v>
      </c>
      <c r="L33" s="703" t="s">
        <v>1356</v>
      </c>
      <c r="M33" s="698"/>
    </row>
    <row r="34">
      <c r="A34" s="703" t="s">
        <v>1838</v>
      </c>
      <c r="B34" s="703" t="s">
        <v>1795</v>
      </c>
      <c r="C34" s="703" t="s">
        <v>1773</v>
      </c>
      <c r="D34" s="703" t="s">
        <v>669</v>
      </c>
      <c r="E34" s="703" t="s">
        <v>668</v>
      </c>
      <c r="F34" s="703" t="s">
        <v>948</v>
      </c>
      <c r="G34" s="703" t="s">
        <v>1839</v>
      </c>
      <c r="H34" s="703" t="s">
        <v>1797</v>
      </c>
      <c r="I34" s="703" t="s">
        <v>949</v>
      </c>
      <c r="J34" s="703" t="s">
        <v>668</v>
      </c>
      <c r="K34" s="702" t="s">
        <v>221</v>
      </c>
      <c r="L34" s="703" t="s">
        <v>879</v>
      </c>
      <c r="M34" s="698"/>
    </row>
    <row r="35">
      <c r="A35" s="703" t="s">
        <v>1840</v>
      </c>
      <c r="B35" s="703" t="s">
        <v>1795</v>
      </c>
      <c r="C35" s="703" t="s">
        <v>1773</v>
      </c>
      <c r="D35" s="703" t="s">
        <v>669</v>
      </c>
      <c r="E35" s="703" t="s">
        <v>668</v>
      </c>
      <c r="F35" s="703" t="s">
        <v>980</v>
      </c>
      <c r="G35" s="703" t="s">
        <v>1841</v>
      </c>
      <c r="H35" s="703" t="s">
        <v>1797</v>
      </c>
      <c r="I35" s="703" t="s">
        <v>981</v>
      </c>
      <c r="J35" s="703" t="s">
        <v>668</v>
      </c>
      <c r="K35" s="702" t="s">
        <v>221</v>
      </c>
      <c r="L35" s="703" t="s">
        <v>1365</v>
      </c>
      <c r="M35" s="698"/>
    </row>
    <row r="36">
      <c r="A36" s="703" t="s">
        <v>1842</v>
      </c>
      <c r="B36" s="703" t="s">
        <v>1795</v>
      </c>
      <c r="C36" s="703" t="s">
        <v>1773</v>
      </c>
      <c r="D36" s="703" t="s">
        <v>669</v>
      </c>
      <c r="E36" s="703" t="s">
        <v>668</v>
      </c>
      <c r="F36" s="703" t="s">
        <v>987</v>
      </c>
      <c r="G36" s="703" t="s">
        <v>1843</v>
      </c>
      <c r="H36" s="703" t="s">
        <v>1797</v>
      </c>
      <c r="I36" s="703" t="s">
        <v>988</v>
      </c>
      <c r="J36" s="703" t="s">
        <v>668</v>
      </c>
      <c r="K36" s="702" t="s">
        <v>221</v>
      </c>
      <c r="L36" s="703" t="s">
        <v>1365</v>
      </c>
      <c r="M36" s="698"/>
    </row>
    <row r="37">
      <c r="A37" s="703" t="s">
        <v>1844</v>
      </c>
      <c r="B37" s="703" t="s">
        <v>1795</v>
      </c>
      <c r="C37" s="703" t="s">
        <v>1773</v>
      </c>
      <c r="D37" s="703" t="s">
        <v>669</v>
      </c>
      <c r="E37" s="703" t="s">
        <v>668</v>
      </c>
      <c r="F37" s="703" t="s">
        <v>992</v>
      </c>
      <c r="G37" s="703" t="s">
        <v>1845</v>
      </c>
      <c r="H37" s="703" t="s">
        <v>1797</v>
      </c>
      <c r="I37" s="703" t="s">
        <v>993</v>
      </c>
      <c r="J37" s="703" t="s">
        <v>668</v>
      </c>
      <c r="K37" s="702" t="s">
        <v>221</v>
      </c>
      <c r="L37" s="703" t="s">
        <v>1846</v>
      </c>
      <c r="M37" s="698"/>
    </row>
    <row r="38">
      <c r="A38" s="703" t="s">
        <v>1847</v>
      </c>
      <c r="B38" s="703" t="s">
        <v>1795</v>
      </c>
      <c r="C38" s="703" t="s">
        <v>1773</v>
      </c>
      <c r="D38" s="703" t="s">
        <v>669</v>
      </c>
      <c r="E38" s="703" t="s">
        <v>668</v>
      </c>
      <c r="F38" s="703" t="s">
        <v>1068</v>
      </c>
      <c r="G38" s="703" t="s">
        <v>216</v>
      </c>
      <c r="H38" s="703" t="s">
        <v>1797</v>
      </c>
      <c r="I38" s="703" t="s">
        <v>1069</v>
      </c>
      <c r="J38" s="703" t="s">
        <v>668</v>
      </c>
      <c r="K38" s="702" t="s">
        <v>221</v>
      </c>
      <c r="L38" s="703" t="s">
        <v>217</v>
      </c>
      <c r="M38" s="698"/>
    </row>
    <row r="39">
      <c r="A39" s="703" t="s">
        <v>1848</v>
      </c>
      <c r="B39" s="703" t="s">
        <v>1795</v>
      </c>
      <c r="C39" s="703" t="s">
        <v>1773</v>
      </c>
      <c r="D39" s="703" t="s">
        <v>669</v>
      </c>
      <c r="E39" s="703" t="s">
        <v>668</v>
      </c>
      <c r="F39" s="703" t="s">
        <v>1074</v>
      </c>
      <c r="G39" s="703" t="s">
        <v>1849</v>
      </c>
      <c r="H39" s="703" t="s">
        <v>1797</v>
      </c>
      <c r="I39" s="703" t="s">
        <v>1075</v>
      </c>
      <c r="J39" s="703" t="s">
        <v>668</v>
      </c>
      <c r="K39" s="702" t="s">
        <v>221</v>
      </c>
      <c r="L39" s="703" t="s">
        <v>992</v>
      </c>
      <c r="M39" s="698"/>
    </row>
    <row r="40">
      <c r="A40" s="703" t="s">
        <v>1850</v>
      </c>
      <c r="B40" s="703" t="s">
        <v>1795</v>
      </c>
      <c r="C40" s="703" t="s">
        <v>1773</v>
      </c>
      <c r="D40" s="703" t="s">
        <v>669</v>
      </c>
      <c r="E40" s="703" t="s">
        <v>668</v>
      </c>
      <c r="F40" s="703" t="s">
        <v>1119</v>
      </c>
      <c r="G40" s="703" t="s">
        <v>1851</v>
      </c>
      <c r="H40" s="703" t="s">
        <v>1797</v>
      </c>
      <c r="I40" s="703" t="s">
        <v>1120</v>
      </c>
      <c r="J40" s="703" t="s">
        <v>668</v>
      </c>
      <c r="K40" s="702" t="s">
        <v>221</v>
      </c>
      <c r="L40" s="703" t="s">
        <v>725</v>
      </c>
      <c r="M40" s="698"/>
    </row>
    <row r="41">
      <c r="A41" s="703" t="s">
        <v>1852</v>
      </c>
      <c r="B41" s="703" t="s">
        <v>1795</v>
      </c>
      <c r="C41" s="703" t="s">
        <v>1773</v>
      </c>
      <c r="D41" s="703" t="s">
        <v>669</v>
      </c>
      <c r="E41" s="703" t="s">
        <v>668</v>
      </c>
      <c r="F41" s="703" t="s">
        <v>671</v>
      </c>
      <c r="G41" s="703" t="s">
        <v>1853</v>
      </c>
      <c r="H41" s="703" t="s">
        <v>1797</v>
      </c>
      <c r="I41" s="703" t="s">
        <v>672</v>
      </c>
      <c r="J41" s="703" t="s">
        <v>668</v>
      </c>
      <c r="K41" s="702" t="s">
        <v>221</v>
      </c>
      <c r="L41" s="703" t="s">
        <v>692</v>
      </c>
      <c r="M41" s="698"/>
    </row>
    <row r="42">
      <c r="A42" s="703" t="s">
        <v>1854</v>
      </c>
      <c r="B42" s="703" t="s">
        <v>1795</v>
      </c>
      <c r="C42" s="703" t="s">
        <v>1773</v>
      </c>
      <c r="D42" s="703" t="s">
        <v>669</v>
      </c>
      <c r="E42" s="703" t="s">
        <v>668</v>
      </c>
      <c r="F42" s="703" t="s">
        <v>687</v>
      </c>
      <c r="G42" s="703" t="s">
        <v>1855</v>
      </c>
      <c r="H42" s="703" t="s">
        <v>1797</v>
      </c>
      <c r="I42" s="703" t="s">
        <v>688</v>
      </c>
      <c r="J42" s="703" t="s">
        <v>668</v>
      </c>
      <c r="K42" s="702" t="s">
        <v>221</v>
      </c>
      <c r="L42" s="703" t="s">
        <v>1365</v>
      </c>
      <c r="M42" s="698"/>
    </row>
    <row r="43">
      <c r="A43" s="703" t="s">
        <v>1856</v>
      </c>
      <c r="B43" s="703" t="s">
        <v>1795</v>
      </c>
      <c r="C43" s="703" t="s">
        <v>1773</v>
      </c>
      <c r="D43" s="703" t="s">
        <v>669</v>
      </c>
      <c r="E43" s="703" t="s">
        <v>668</v>
      </c>
      <c r="F43" s="703" t="s">
        <v>692</v>
      </c>
      <c r="G43" s="703" t="s">
        <v>216</v>
      </c>
      <c r="H43" s="703" t="s">
        <v>1797</v>
      </c>
      <c r="I43" s="703" t="s">
        <v>693</v>
      </c>
      <c r="J43" s="703" t="s">
        <v>668</v>
      </c>
      <c r="K43" s="702" t="s">
        <v>221</v>
      </c>
      <c r="L43" s="703" t="s">
        <v>1356</v>
      </c>
      <c r="M43" s="698"/>
    </row>
    <row r="44">
      <c r="A44" s="703" t="s">
        <v>1857</v>
      </c>
      <c r="B44" s="703" t="s">
        <v>1795</v>
      </c>
      <c r="C44" s="703" t="s">
        <v>1773</v>
      </c>
      <c r="D44" s="703" t="s">
        <v>669</v>
      </c>
      <c r="E44" s="703" t="s">
        <v>668</v>
      </c>
      <c r="F44" s="703" t="s">
        <v>696</v>
      </c>
      <c r="G44" s="703" t="s">
        <v>1858</v>
      </c>
      <c r="H44" s="703" t="s">
        <v>1797</v>
      </c>
      <c r="I44" s="703" t="s">
        <v>697</v>
      </c>
      <c r="J44" s="703" t="s">
        <v>668</v>
      </c>
      <c r="K44" s="702" t="s">
        <v>221</v>
      </c>
      <c r="L44" s="703" t="s">
        <v>845</v>
      </c>
      <c r="M44" s="698"/>
    </row>
    <row r="45">
      <c r="A45" s="703" t="s">
        <v>1859</v>
      </c>
      <c r="B45" s="703" t="s">
        <v>1795</v>
      </c>
      <c r="C45" s="703" t="s">
        <v>1773</v>
      </c>
      <c r="D45" s="703" t="s">
        <v>1137</v>
      </c>
      <c r="E45" s="703" t="s">
        <v>1136</v>
      </c>
      <c r="F45" s="703" t="s">
        <v>725</v>
      </c>
      <c r="G45" s="703" t="s">
        <v>1858</v>
      </c>
      <c r="H45" s="703" t="s">
        <v>1797</v>
      </c>
      <c r="I45" s="703" t="s">
        <v>726</v>
      </c>
      <c r="J45" s="703" t="s">
        <v>1136</v>
      </c>
      <c r="K45" s="702" t="s">
        <v>221</v>
      </c>
      <c r="L45" s="703" t="s">
        <v>811</v>
      </c>
      <c r="M45" s="698"/>
    </row>
    <row r="46">
      <c r="A46" s="703" t="s">
        <v>1860</v>
      </c>
      <c r="B46" s="703" t="s">
        <v>1795</v>
      </c>
      <c r="C46" s="703" t="s">
        <v>1773</v>
      </c>
      <c r="D46" s="703" t="s">
        <v>1137</v>
      </c>
      <c r="E46" s="703" t="s">
        <v>1136</v>
      </c>
      <c r="F46" s="703" t="s">
        <v>749</v>
      </c>
      <c r="G46" s="703" t="s">
        <v>1861</v>
      </c>
      <c r="H46" s="703" t="s">
        <v>1797</v>
      </c>
      <c r="I46" s="703" t="s">
        <v>750</v>
      </c>
      <c r="J46" s="703" t="s">
        <v>1136</v>
      </c>
      <c r="K46" s="702" t="s">
        <v>221</v>
      </c>
      <c r="L46" s="703" t="s">
        <v>1365</v>
      </c>
      <c r="M46" s="698"/>
    </row>
    <row r="47">
      <c r="A47" s="703" t="s">
        <v>1862</v>
      </c>
      <c r="B47" s="703" t="s">
        <v>1795</v>
      </c>
      <c r="C47" s="703" t="s">
        <v>1773</v>
      </c>
      <c r="D47" s="703" t="s">
        <v>1137</v>
      </c>
      <c r="E47" s="703" t="s">
        <v>1136</v>
      </c>
      <c r="F47" s="703" t="s">
        <v>755</v>
      </c>
      <c r="G47" s="703" t="s">
        <v>1863</v>
      </c>
      <c r="H47" s="703" t="s">
        <v>1797</v>
      </c>
      <c r="I47" s="703" t="s">
        <v>756</v>
      </c>
      <c r="J47" s="703" t="s">
        <v>1136</v>
      </c>
      <c r="K47" s="702" t="s">
        <v>221</v>
      </c>
      <c r="L47" s="703" t="s">
        <v>725</v>
      </c>
      <c r="M47" s="698"/>
    </row>
    <row r="48">
      <c r="A48" s="703" t="s">
        <v>1864</v>
      </c>
      <c r="B48" s="703" t="s">
        <v>1795</v>
      </c>
      <c r="C48" s="703" t="s">
        <v>1773</v>
      </c>
      <c r="D48" s="703" t="s">
        <v>1137</v>
      </c>
      <c r="E48" s="703" t="s">
        <v>1136</v>
      </c>
      <c r="F48" s="703" t="s">
        <v>772</v>
      </c>
      <c r="G48" s="703" t="s">
        <v>1865</v>
      </c>
      <c r="H48" s="703" t="s">
        <v>1797</v>
      </c>
      <c r="I48" s="703" t="s">
        <v>773</v>
      </c>
      <c r="J48" s="703" t="s">
        <v>1136</v>
      </c>
      <c r="K48" s="702" t="s">
        <v>221</v>
      </c>
      <c r="L48" s="703" t="s">
        <v>937</v>
      </c>
      <c r="M48" s="698"/>
    </row>
    <row r="49">
      <c r="A49" s="703" t="s">
        <v>1866</v>
      </c>
      <c r="B49" s="703" t="s">
        <v>1795</v>
      </c>
      <c r="C49" s="703" t="s">
        <v>1773</v>
      </c>
      <c r="D49" s="703" t="s">
        <v>1137</v>
      </c>
      <c r="E49" s="703" t="s">
        <v>1136</v>
      </c>
      <c r="F49" s="703" t="s">
        <v>808</v>
      </c>
      <c r="G49" s="703" t="s">
        <v>801</v>
      </c>
      <c r="H49" s="703" t="s">
        <v>1797</v>
      </c>
      <c r="I49" s="703" t="s">
        <v>809</v>
      </c>
      <c r="J49" s="703" t="s">
        <v>1136</v>
      </c>
      <c r="K49" s="702" t="s">
        <v>221</v>
      </c>
      <c r="L49" s="703" t="s">
        <v>1356</v>
      </c>
      <c r="M49" s="698"/>
    </row>
    <row r="50">
      <c r="A50" s="703" t="s">
        <v>1867</v>
      </c>
      <c r="B50" s="703" t="s">
        <v>1795</v>
      </c>
      <c r="C50" s="703" t="s">
        <v>1773</v>
      </c>
      <c r="D50" s="703" t="s">
        <v>1137</v>
      </c>
      <c r="E50" s="703" t="s">
        <v>1136</v>
      </c>
      <c r="F50" s="703" t="s">
        <v>811</v>
      </c>
      <c r="G50" s="703" t="s">
        <v>1868</v>
      </c>
      <c r="H50" s="703" t="s">
        <v>1797</v>
      </c>
      <c r="I50" s="703" t="s">
        <v>812</v>
      </c>
      <c r="J50" s="703" t="s">
        <v>1136</v>
      </c>
      <c r="K50" s="702" t="s">
        <v>221</v>
      </c>
      <c r="L50" s="703" t="s">
        <v>217</v>
      </c>
      <c r="M50" s="698"/>
    </row>
    <row r="51">
      <c r="A51" s="703" t="s">
        <v>1869</v>
      </c>
      <c r="B51" s="703" t="s">
        <v>1795</v>
      </c>
      <c r="C51" s="703" t="s">
        <v>1773</v>
      </c>
      <c r="D51" s="703" t="s">
        <v>1137</v>
      </c>
      <c r="E51" s="703" t="s">
        <v>1136</v>
      </c>
      <c r="F51" s="703" t="s">
        <v>820</v>
      </c>
      <c r="G51" s="703" t="s">
        <v>1870</v>
      </c>
      <c r="H51" s="703" t="s">
        <v>1797</v>
      </c>
      <c r="I51" s="703" t="s">
        <v>821</v>
      </c>
      <c r="J51" s="703" t="s">
        <v>1136</v>
      </c>
      <c r="K51" s="702" t="s">
        <v>221</v>
      </c>
      <c r="L51" s="703" t="s">
        <v>692</v>
      </c>
      <c r="M51" s="698"/>
    </row>
    <row r="52">
      <c r="A52" s="703" t="s">
        <v>1871</v>
      </c>
      <c r="B52" s="703" t="s">
        <v>1795</v>
      </c>
      <c r="C52" s="703" t="s">
        <v>1773</v>
      </c>
      <c r="D52" s="703" t="s">
        <v>1137</v>
      </c>
      <c r="E52" s="703" t="s">
        <v>1136</v>
      </c>
      <c r="F52" s="703" t="s">
        <v>834</v>
      </c>
      <c r="G52" s="703" t="s">
        <v>1872</v>
      </c>
      <c r="H52" s="703" t="s">
        <v>1797</v>
      </c>
      <c r="I52" s="703" t="s">
        <v>835</v>
      </c>
      <c r="J52" s="703" t="s">
        <v>1136</v>
      </c>
      <c r="K52" s="702" t="s">
        <v>221</v>
      </c>
      <c r="L52" s="703" t="s">
        <v>687</v>
      </c>
      <c r="M52" s="698"/>
    </row>
    <row r="53">
      <c r="A53" s="703" t="s">
        <v>1873</v>
      </c>
      <c r="B53" s="703" t="s">
        <v>1795</v>
      </c>
      <c r="C53" s="703" t="s">
        <v>1773</v>
      </c>
      <c r="D53" s="703" t="s">
        <v>1137</v>
      </c>
      <c r="E53" s="703" t="s">
        <v>1136</v>
      </c>
      <c r="F53" s="703" t="s">
        <v>845</v>
      </c>
      <c r="G53" s="703" t="s">
        <v>1874</v>
      </c>
      <c r="H53" s="703" t="s">
        <v>1797</v>
      </c>
      <c r="I53" s="703" t="s">
        <v>846</v>
      </c>
      <c r="J53" s="703" t="s">
        <v>1136</v>
      </c>
      <c r="K53" s="702" t="s">
        <v>221</v>
      </c>
      <c r="L53" s="703" t="s">
        <v>687</v>
      </c>
      <c r="M53" s="698"/>
    </row>
    <row r="54">
      <c r="A54" s="703" t="s">
        <v>1875</v>
      </c>
      <c r="B54" s="703" t="s">
        <v>1795</v>
      </c>
      <c r="C54" s="703" t="s">
        <v>1773</v>
      </c>
      <c r="D54" s="703" t="s">
        <v>1137</v>
      </c>
      <c r="E54" s="703" t="s">
        <v>1136</v>
      </c>
      <c r="F54" s="703" t="s">
        <v>856</v>
      </c>
      <c r="G54" s="703" t="s">
        <v>1876</v>
      </c>
      <c r="H54" s="703" t="s">
        <v>1797</v>
      </c>
      <c r="I54" s="703" t="s">
        <v>1182</v>
      </c>
      <c r="J54" s="703" t="s">
        <v>1136</v>
      </c>
      <c r="K54" s="702" t="s">
        <v>221</v>
      </c>
      <c r="L54" s="703" t="s">
        <v>692</v>
      </c>
      <c r="M54" s="698"/>
    </row>
    <row r="55">
      <c r="A55" s="703" t="s">
        <v>1877</v>
      </c>
      <c r="B55" s="703" t="s">
        <v>1795</v>
      </c>
      <c r="C55" s="703" t="s">
        <v>1773</v>
      </c>
      <c r="D55" s="703" t="s">
        <v>1137</v>
      </c>
      <c r="E55" s="703" t="s">
        <v>1136</v>
      </c>
      <c r="F55" s="703" t="s">
        <v>865</v>
      </c>
      <c r="G55" s="703" t="s">
        <v>1878</v>
      </c>
      <c r="H55" s="703" t="s">
        <v>1797</v>
      </c>
      <c r="I55" s="703" t="s">
        <v>1184</v>
      </c>
      <c r="J55" s="703" t="s">
        <v>1136</v>
      </c>
      <c r="K55" s="702" t="s">
        <v>221</v>
      </c>
      <c r="L55" s="703" t="s">
        <v>217</v>
      </c>
      <c r="M55" s="698"/>
    </row>
    <row r="56">
      <c r="A56" s="703" t="s">
        <v>1879</v>
      </c>
      <c r="B56" s="703" t="s">
        <v>1795</v>
      </c>
      <c r="C56" s="703" t="s">
        <v>1773</v>
      </c>
      <c r="D56" s="703" t="s">
        <v>1137</v>
      </c>
      <c r="E56" s="703" t="s">
        <v>1136</v>
      </c>
      <c r="F56" s="703" t="s">
        <v>879</v>
      </c>
      <c r="G56" s="703" t="s">
        <v>1880</v>
      </c>
      <c r="H56" s="703" t="s">
        <v>1797</v>
      </c>
      <c r="I56" s="703" t="s">
        <v>1185</v>
      </c>
      <c r="J56" s="703" t="s">
        <v>1136</v>
      </c>
      <c r="K56" s="702" t="s">
        <v>221</v>
      </c>
      <c r="L56" s="703" t="s">
        <v>503</v>
      </c>
      <c r="M56" s="698"/>
    </row>
    <row r="57">
      <c r="A57" s="703" t="s">
        <v>1881</v>
      </c>
      <c r="B57" s="703" t="s">
        <v>1795</v>
      </c>
      <c r="C57" s="703" t="s">
        <v>1773</v>
      </c>
      <c r="D57" s="703" t="s">
        <v>1137</v>
      </c>
      <c r="E57" s="703" t="s">
        <v>1136</v>
      </c>
      <c r="F57" s="703" t="s">
        <v>887</v>
      </c>
      <c r="G57" s="703" t="s">
        <v>216</v>
      </c>
      <c r="H57" s="703" t="s">
        <v>1797</v>
      </c>
      <c r="I57" s="703" t="s">
        <v>1187</v>
      </c>
      <c r="J57" s="703" t="s">
        <v>1136</v>
      </c>
      <c r="K57" s="702" t="s">
        <v>221</v>
      </c>
      <c r="L57" s="703" t="s">
        <v>1365</v>
      </c>
      <c r="M57" s="698"/>
    </row>
    <row r="58">
      <c r="A58" s="703" t="s">
        <v>1882</v>
      </c>
      <c r="B58" s="703" t="s">
        <v>1795</v>
      </c>
      <c r="C58" s="703" t="s">
        <v>1773</v>
      </c>
      <c r="D58" s="703" t="s">
        <v>1137</v>
      </c>
      <c r="E58" s="703" t="s">
        <v>1136</v>
      </c>
      <c r="F58" s="703" t="s">
        <v>892</v>
      </c>
      <c r="G58" s="703" t="s">
        <v>878</v>
      </c>
      <c r="H58" s="703" t="s">
        <v>1797</v>
      </c>
      <c r="I58" s="703" t="s">
        <v>1190</v>
      </c>
      <c r="J58" s="703" t="s">
        <v>1136</v>
      </c>
      <c r="K58" s="702" t="s">
        <v>221</v>
      </c>
      <c r="L58" s="703" t="s">
        <v>1356</v>
      </c>
      <c r="M58" s="698"/>
    </row>
    <row r="59">
      <c r="A59" s="703" t="s">
        <v>1883</v>
      </c>
      <c r="B59" s="703" t="s">
        <v>1795</v>
      </c>
      <c r="C59" s="703" t="s">
        <v>1773</v>
      </c>
      <c r="D59" s="703" t="s">
        <v>1137</v>
      </c>
      <c r="E59" s="703" t="s">
        <v>1136</v>
      </c>
      <c r="F59" s="703" t="s">
        <v>900</v>
      </c>
      <c r="G59" s="703" t="s">
        <v>1826</v>
      </c>
      <c r="H59" s="703" t="s">
        <v>1797</v>
      </c>
      <c r="I59" s="703" t="s">
        <v>1191</v>
      </c>
      <c r="J59" s="703" t="s">
        <v>1136</v>
      </c>
      <c r="K59" s="702" t="s">
        <v>221</v>
      </c>
      <c r="L59" s="703" t="s">
        <v>503</v>
      </c>
      <c r="M59" s="698"/>
    </row>
    <row r="60">
      <c r="A60" s="703" t="s">
        <v>1884</v>
      </c>
      <c r="B60" s="703" t="s">
        <v>1795</v>
      </c>
      <c r="C60" s="703" t="s">
        <v>1773</v>
      </c>
      <c r="D60" s="703" t="s">
        <v>1137</v>
      </c>
      <c r="E60" s="703" t="s">
        <v>1136</v>
      </c>
      <c r="F60" s="703" t="s">
        <v>905</v>
      </c>
      <c r="G60" s="703" t="s">
        <v>899</v>
      </c>
      <c r="H60" s="703" t="s">
        <v>1797</v>
      </c>
      <c r="I60" s="703" t="s">
        <v>1193</v>
      </c>
      <c r="J60" s="703" t="s">
        <v>1136</v>
      </c>
      <c r="K60" s="702" t="s">
        <v>221</v>
      </c>
      <c r="L60" s="703" t="s">
        <v>1356</v>
      </c>
      <c r="M60" s="698"/>
    </row>
    <row r="61">
      <c r="A61" s="703" t="s">
        <v>1885</v>
      </c>
      <c r="B61" s="703" t="s">
        <v>1795</v>
      </c>
      <c r="C61" s="703" t="s">
        <v>1773</v>
      </c>
      <c r="D61" s="703" t="s">
        <v>1137</v>
      </c>
      <c r="E61" s="703" t="s">
        <v>1136</v>
      </c>
      <c r="F61" s="703" t="s">
        <v>911</v>
      </c>
      <c r="G61" s="703" t="s">
        <v>216</v>
      </c>
      <c r="H61" s="703" t="s">
        <v>1797</v>
      </c>
      <c r="I61" s="703" t="s">
        <v>1194</v>
      </c>
      <c r="J61" s="703" t="s">
        <v>1136</v>
      </c>
      <c r="K61" s="702" t="s">
        <v>221</v>
      </c>
      <c r="L61" s="703" t="s">
        <v>725</v>
      </c>
      <c r="M61" s="698"/>
    </row>
    <row r="62">
      <c r="A62" s="703" t="s">
        <v>1886</v>
      </c>
      <c r="B62" s="703" t="s">
        <v>1795</v>
      </c>
      <c r="C62" s="703" t="s">
        <v>1773</v>
      </c>
      <c r="D62" s="703" t="s">
        <v>1137</v>
      </c>
      <c r="E62" s="703" t="s">
        <v>1136</v>
      </c>
      <c r="F62" s="703" t="s">
        <v>915</v>
      </c>
      <c r="G62" s="703" t="s">
        <v>1830</v>
      </c>
      <c r="H62" s="703" t="s">
        <v>1797</v>
      </c>
      <c r="I62" s="703" t="s">
        <v>1198</v>
      </c>
      <c r="J62" s="703" t="s">
        <v>1136</v>
      </c>
      <c r="K62" s="702" t="s">
        <v>221</v>
      </c>
      <c r="L62" s="703" t="s">
        <v>1249</v>
      </c>
      <c r="M62" s="698"/>
    </row>
    <row r="63">
      <c r="A63" s="703" t="s">
        <v>1887</v>
      </c>
      <c r="B63" s="703" t="s">
        <v>1795</v>
      </c>
      <c r="C63" s="703" t="s">
        <v>1773</v>
      </c>
      <c r="D63" s="703" t="s">
        <v>1137</v>
      </c>
      <c r="E63" s="703" t="s">
        <v>1136</v>
      </c>
      <c r="F63" s="703" t="s">
        <v>928</v>
      </c>
      <c r="G63" s="703" t="s">
        <v>1888</v>
      </c>
      <c r="H63" s="703" t="s">
        <v>1797</v>
      </c>
      <c r="I63" s="703" t="s">
        <v>1199</v>
      </c>
      <c r="J63" s="703" t="s">
        <v>1136</v>
      </c>
      <c r="K63" s="702" t="s">
        <v>221</v>
      </c>
      <c r="L63" s="703" t="s">
        <v>217</v>
      </c>
      <c r="M63" s="698"/>
    </row>
    <row r="64">
      <c r="A64" s="703" t="s">
        <v>1889</v>
      </c>
      <c r="B64" s="703" t="s">
        <v>1795</v>
      </c>
      <c r="C64" s="703" t="s">
        <v>1773</v>
      </c>
      <c r="D64" s="703" t="s">
        <v>1137</v>
      </c>
      <c r="E64" s="703" t="s">
        <v>1136</v>
      </c>
      <c r="F64" s="703" t="s">
        <v>937</v>
      </c>
      <c r="G64" s="703" t="s">
        <v>932</v>
      </c>
      <c r="H64" s="703" t="s">
        <v>1797</v>
      </c>
      <c r="I64" s="703" t="s">
        <v>1201</v>
      </c>
      <c r="J64" s="703" t="s">
        <v>1136</v>
      </c>
      <c r="K64" s="702" t="s">
        <v>221</v>
      </c>
      <c r="L64" s="703" t="s">
        <v>1356</v>
      </c>
      <c r="M64" s="698"/>
    </row>
    <row r="65">
      <c r="A65" s="703" t="s">
        <v>1890</v>
      </c>
      <c r="B65" s="703" t="s">
        <v>1795</v>
      </c>
      <c r="C65" s="703" t="s">
        <v>1773</v>
      </c>
      <c r="D65" s="703" t="s">
        <v>1137</v>
      </c>
      <c r="E65" s="703" t="s">
        <v>1136</v>
      </c>
      <c r="F65" s="703" t="s">
        <v>945</v>
      </c>
      <c r="G65" s="703" t="s">
        <v>1891</v>
      </c>
      <c r="H65" s="703" t="s">
        <v>1797</v>
      </c>
      <c r="I65" s="703" t="s">
        <v>1202</v>
      </c>
      <c r="J65" s="703" t="s">
        <v>1136</v>
      </c>
      <c r="K65" s="702" t="s">
        <v>221</v>
      </c>
      <c r="L65" s="703" t="s">
        <v>879</v>
      </c>
      <c r="M65" s="698"/>
    </row>
    <row r="66">
      <c r="A66" s="703" t="s">
        <v>1892</v>
      </c>
      <c r="B66" s="703" t="s">
        <v>1795</v>
      </c>
      <c r="C66" s="703" t="s">
        <v>1773</v>
      </c>
      <c r="D66" s="703" t="s">
        <v>1137</v>
      </c>
      <c r="E66" s="703" t="s">
        <v>1136</v>
      </c>
      <c r="F66" s="703" t="s">
        <v>948</v>
      </c>
      <c r="G66" s="703" t="s">
        <v>1893</v>
      </c>
      <c r="H66" s="703" t="s">
        <v>1797</v>
      </c>
      <c r="I66" s="703" t="s">
        <v>1210</v>
      </c>
      <c r="J66" s="703" t="s">
        <v>1136</v>
      </c>
      <c r="K66" s="702" t="s">
        <v>221</v>
      </c>
      <c r="L66" s="703" t="s">
        <v>1365</v>
      </c>
      <c r="M66" s="698"/>
    </row>
    <row r="67">
      <c r="A67" s="703" t="s">
        <v>1894</v>
      </c>
      <c r="B67" s="703" t="s">
        <v>1795</v>
      </c>
      <c r="C67" s="703" t="s">
        <v>1773</v>
      </c>
      <c r="D67" s="703" t="s">
        <v>1137</v>
      </c>
      <c r="E67" s="703" t="s">
        <v>1136</v>
      </c>
      <c r="F67" s="703" t="s">
        <v>980</v>
      </c>
      <c r="G67" s="703" t="s">
        <v>1895</v>
      </c>
      <c r="H67" s="703" t="s">
        <v>1797</v>
      </c>
      <c r="I67" s="703" t="s">
        <v>1211</v>
      </c>
      <c r="J67" s="703" t="s">
        <v>1136</v>
      </c>
      <c r="K67" s="702" t="s">
        <v>221</v>
      </c>
      <c r="L67" s="703" t="s">
        <v>1365</v>
      </c>
      <c r="M67" s="698"/>
    </row>
    <row r="68">
      <c r="A68" s="703" t="s">
        <v>1896</v>
      </c>
      <c r="B68" s="703" t="s">
        <v>1795</v>
      </c>
      <c r="C68" s="703" t="s">
        <v>1773</v>
      </c>
      <c r="D68" s="703" t="s">
        <v>1137</v>
      </c>
      <c r="E68" s="703" t="s">
        <v>1136</v>
      </c>
      <c r="F68" s="703" t="s">
        <v>987</v>
      </c>
      <c r="G68" s="703" t="s">
        <v>1897</v>
      </c>
      <c r="H68" s="703" t="s">
        <v>1797</v>
      </c>
      <c r="I68" s="703" t="s">
        <v>1212</v>
      </c>
      <c r="J68" s="703" t="s">
        <v>1136</v>
      </c>
      <c r="K68" s="702" t="s">
        <v>221</v>
      </c>
      <c r="L68" s="703" t="s">
        <v>1898</v>
      </c>
      <c r="M68" s="698"/>
    </row>
    <row r="69">
      <c r="A69" s="703" t="s">
        <v>1899</v>
      </c>
      <c r="B69" s="703" t="s">
        <v>1795</v>
      </c>
      <c r="C69" s="703" t="s">
        <v>1773</v>
      </c>
      <c r="D69" s="703" t="s">
        <v>1137</v>
      </c>
      <c r="E69" s="703" t="s">
        <v>1136</v>
      </c>
      <c r="F69" s="703" t="s">
        <v>992</v>
      </c>
      <c r="G69" s="703" t="s">
        <v>216</v>
      </c>
      <c r="H69" s="703" t="s">
        <v>1797</v>
      </c>
      <c r="I69" s="703" t="s">
        <v>1232</v>
      </c>
      <c r="J69" s="703" t="s">
        <v>1136</v>
      </c>
      <c r="K69" s="702" t="s">
        <v>221</v>
      </c>
      <c r="L69" s="703" t="s">
        <v>1249</v>
      </c>
      <c r="M69" s="698"/>
    </row>
    <row r="70">
      <c r="A70" s="703" t="s">
        <v>1900</v>
      </c>
      <c r="B70" s="703" t="s">
        <v>1795</v>
      </c>
      <c r="C70" s="703" t="s">
        <v>1773</v>
      </c>
      <c r="D70" s="703" t="s">
        <v>1137</v>
      </c>
      <c r="E70" s="703" t="s">
        <v>1136</v>
      </c>
      <c r="F70" s="703" t="s">
        <v>1068</v>
      </c>
      <c r="G70" s="703" t="s">
        <v>1901</v>
      </c>
      <c r="H70" s="703" t="s">
        <v>1797</v>
      </c>
      <c r="I70" s="703" t="s">
        <v>1237</v>
      </c>
      <c r="J70" s="703" t="s">
        <v>1136</v>
      </c>
      <c r="K70" s="702" t="s">
        <v>221</v>
      </c>
      <c r="L70" s="703" t="s">
        <v>671</v>
      </c>
      <c r="M70" s="698"/>
    </row>
    <row r="71">
      <c r="A71" s="703" t="s">
        <v>1902</v>
      </c>
      <c r="B71" s="703" t="s">
        <v>1795</v>
      </c>
      <c r="C71" s="703" t="s">
        <v>1773</v>
      </c>
      <c r="D71" s="703" t="s">
        <v>1137</v>
      </c>
      <c r="E71" s="703" t="s">
        <v>1136</v>
      </c>
      <c r="F71" s="703" t="s">
        <v>1074</v>
      </c>
      <c r="G71" s="703" t="s">
        <v>1903</v>
      </c>
      <c r="H71" s="703" t="s">
        <v>1797</v>
      </c>
      <c r="I71" s="703" t="s">
        <v>1242</v>
      </c>
      <c r="J71" s="703" t="s">
        <v>1136</v>
      </c>
      <c r="K71" s="702" t="s">
        <v>221</v>
      </c>
      <c r="L71" s="703" t="s">
        <v>696</v>
      </c>
      <c r="M71" s="698"/>
    </row>
    <row r="72">
      <c r="A72" s="703" t="s">
        <v>1904</v>
      </c>
      <c r="B72" s="703" t="s">
        <v>1795</v>
      </c>
      <c r="C72" s="703" t="s">
        <v>1773</v>
      </c>
      <c r="D72" s="703" t="s">
        <v>1137</v>
      </c>
      <c r="E72" s="703" t="s">
        <v>1136</v>
      </c>
      <c r="F72" s="703" t="s">
        <v>671</v>
      </c>
      <c r="G72" s="703" t="s">
        <v>1905</v>
      </c>
      <c r="H72" s="703" t="s">
        <v>1797</v>
      </c>
      <c r="I72" s="703" t="s">
        <v>672</v>
      </c>
      <c r="J72" s="703" t="s">
        <v>1136</v>
      </c>
      <c r="K72" s="702" t="s">
        <v>221</v>
      </c>
      <c r="L72" s="703" t="s">
        <v>687</v>
      </c>
      <c r="M72" s="698"/>
    </row>
    <row r="73">
      <c r="A73" s="703" t="s">
        <v>1906</v>
      </c>
      <c r="B73" s="703" t="s">
        <v>1795</v>
      </c>
      <c r="C73" s="703" t="s">
        <v>1773</v>
      </c>
      <c r="D73" s="703" t="s">
        <v>1137</v>
      </c>
      <c r="E73" s="703" t="s">
        <v>1136</v>
      </c>
      <c r="F73" s="703" t="s">
        <v>687</v>
      </c>
      <c r="G73" s="703" t="s">
        <v>1907</v>
      </c>
      <c r="H73" s="703" t="s">
        <v>1797</v>
      </c>
      <c r="I73" s="703" t="s">
        <v>688</v>
      </c>
      <c r="J73" s="703" t="s">
        <v>1136</v>
      </c>
      <c r="K73" s="702" t="s">
        <v>221</v>
      </c>
      <c r="L73" s="703" t="s">
        <v>1365</v>
      </c>
      <c r="M73" s="698"/>
    </row>
    <row r="74">
      <c r="A74" s="703" t="s">
        <v>1908</v>
      </c>
      <c r="B74" s="703" t="s">
        <v>1795</v>
      </c>
      <c r="C74" s="703" t="s">
        <v>1773</v>
      </c>
      <c r="D74" s="703" t="s">
        <v>1137</v>
      </c>
      <c r="E74" s="703" t="s">
        <v>1136</v>
      </c>
      <c r="F74" s="703" t="s">
        <v>692</v>
      </c>
      <c r="G74" s="703" t="s">
        <v>216</v>
      </c>
      <c r="H74" s="703" t="s">
        <v>1797</v>
      </c>
      <c r="I74" s="703" t="s">
        <v>693</v>
      </c>
      <c r="J74" s="703" t="s">
        <v>1136</v>
      </c>
      <c r="K74" s="702" t="s">
        <v>221</v>
      </c>
      <c r="L74" s="703" t="s">
        <v>1356</v>
      </c>
      <c r="M74" s="698"/>
    </row>
    <row r="75">
      <c r="A75" s="703" t="s">
        <v>1909</v>
      </c>
      <c r="B75" s="703" t="s">
        <v>1795</v>
      </c>
      <c r="C75" s="703" t="s">
        <v>1773</v>
      </c>
      <c r="D75" s="703" t="s">
        <v>1137</v>
      </c>
      <c r="E75" s="703" t="s">
        <v>1136</v>
      </c>
      <c r="F75" s="703" t="s">
        <v>696</v>
      </c>
      <c r="G75" s="703" t="s">
        <v>1910</v>
      </c>
      <c r="H75" s="703" t="s">
        <v>1797</v>
      </c>
      <c r="I75" s="703" t="s">
        <v>697</v>
      </c>
      <c r="J75" s="703" t="s">
        <v>1136</v>
      </c>
      <c r="K75" s="702" t="s">
        <v>221</v>
      </c>
      <c r="L75" s="703" t="s">
        <v>856</v>
      </c>
      <c r="M75" s="698"/>
    </row>
    <row r="76">
      <c r="A76" s="703" t="s">
        <v>1911</v>
      </c>
      <c r="B76" s="703" t="s">
        <v>1795</v>
      </c>
      <c r="C76" s="703" t="s">
        <v>1773</v>
      </c>
      <c r="D76" s="703" t="s">
        <v>1248</v>
      </c>
      <c r="E76" s="703" t="s">
        <v>1247</v>
      </c>
      <c r="F76" s="703" t="s">
        <v>725</v>
      </c>
      <c r="G76" s="703" t="s">
        <v>1912</v>
      </c>
      <c r="H76" s="703" t="s">
        <v>1797</v>
      </c>
      <c r="I76" s="703" t="s">
        <v>726</v>
      </c>
      <c r="J76" s="703" t="s">
        <v>1247</v>
      </c>
      <c r="K76" s="702" t="s">
        <v>221</v>
      </c>
      <c r="L76" s="703" t="s">
        <v>808</v>
      </c>
      <c r="M76" s="698"/>
    </row>
    <row r="77">
      <c r="A77" s="703" t="s">
        <v>1913</v>
      </c>
      <c r="B77" s="703" t="s">
        <v>1795</v>
      </c>
      <c r="C77" s="703" t="s">
        <v>1773</v>
      </c>
      <c r="D77" s="703" t="s">
        <v>1248</v>
      </c>
      <c r="E77" s="703" t="s">
        <v>1247</v>
      </c>
      <c r="F77" s="703" t="s">
        <v>749</v>
      </c>
      <c r="G77" s="703" t="s">
        <v>1138</v>
      </c>
      <c r="H77" s="703" t="s">
        <v>1797</v>
      </c>
      <c r="I77" s="703" t="s">
        <v>750</v>
      </c>
      <c r="J77" s="703" t="s">
        <v>1247</v>
      </c>
      <c r="K77" s="702" t="s">
        <v>221</v>
      </c>
      <c r="L77" s="703" t="s">
        <v>1356</v>
      </c>
      <c r="M77" s="698"/>
    </row>
    <row r="78">
      <c r="A78" s="703" t="s">
        <v>1914</v>
      </c>
      <c r="B78" s="703" t="s">
        <v>1795</v>
      </c>
      <c r="C78" s="703" t="s">
        <v>1773</v>
      </c>
      <c r="D78" s="703" t="s">
        <v>1248</v>
      </c>
      <c r="E78" s="703" t="s">
        <v>1247</v>
      </c>
      <c r="F78" s="703" t="s">
        <v>755</v>
      </c>
      <c r="G78" s="703" t="s">
        <v>1915</v>
      </c>
      <c r="H78" s="703" t="s">
        <v>1797</v>
      </c>
      <c r="I78" s="703" t="s">
        <v>756</v>
      </c>
      <c r="J78" s="703" t="s">
        <v>1247</v>
      </c>
      <c r="K78" s="702" t="s">
        <v>221</v>
      </c>
      <c r="L78" s="703" t="s">
        <v>725</v>
      </c>
      <c r="M78" s="698"/>
    </row>
    <row r="79">
      <c r="A79" s="703" t="s">
        <v>1916</v>
      </c>
      <c r="B79" s="703" t="s">
        <v>1795</v>
      </c>
      <c r="C79" s="703" t="s">
        <v>1773</v>
      </c>
      <c r="D79" s="703" t="s">
        <v>1248</v>
      </c>
      <c r="E79" s="703" t="s">
        <v>1247</v>
      </c>
      <c r="F79" s="703" t="s">
        <v>772</v>
      </c>
      <c r="G79" s="703" t="s">
        <v>1917</v>
      </c>
      <c r="H79" s="703" t="s">
        <v>1797</v>
      </c>
      <c r="I79" s="703" t="s">
        <v>773</v>
      </c>
      <c r="J79" s="703" t="s">
        <v>1247</v>
      </c>
      <c r="K79" s="702" t="s">
        <v>221</v>
      </c>
      <c r="L79" s="703" t="s">
        <v>1068</v>
      </c>
      <c r="M79" s="698"/>
    </row>
    <row r="80">
      <c r="A80" s="703" t="s">
        <v>1918</v>
      </c>
      <c r="B80" s="703" t="s">
        <v>1795</v>
      </c>
      <c r="C80" s="703" t="s">
        <v>1773</v>
      </c>
      <c r="D80" s="703" t="s">
        <v>1248</v>
      </c>
      <c r="E80" s="703" t="s">
        <v>1247</v>
      </c>
      <c r="F80" s="703" t="s">
        <v>808</v>
      </c>
      <c r="G80" s="703" t="s">
        <v>734</v>
      </c>
      <c r="H80" s="703" t="s">
        <v>1797</v>
      </c>
      <c r="I80" s="703" t="s">
        <v>809</v>
      </c>
      <c r="J80" s="703" t="s">
        <v>1247</v>
      </c>
      <c r="K80" s="702" t="s">
        <v>221</v>
      </c>
      <c r="L80" s="703" t="s">
        <v>1356</v>
      </c>
      <c r="M80" s="698"/>
    </row>
    <row r="81">
      <c r="A81" s="703" t="s">
        <v>1919</v>
      </c>
      <c r="B81" s="703" t="s">
        <v>1795</v>
      </c>
      <c r="C81" s="703" t="s">
        <v>1773</v>
      </c>
      <c r="D81" s="703" t="s">
        <v>1248</v>
      </c>
      <c r="E81" s="703" t="s">
        <v>1247</v>
      </c>
      <c r="F81" s="703" t="s">
        <v>811</v>
      </c>
      <c r="G81" s="703" t="s">
        <v>1920</v>
      </c>
      <c r="H81" s="703" t="s">
        <v>1797</v>
      </c>
      <c r="I81" s="703" t="s">
        <v>812</v>
      </c>
      <c r="J81" s="703" t="s">
        <v>1247</v>
      </c>
      <c r="K81" s="702" t="s">
        <v>221</v>
      </c>
      <c r="L81" s="703" t="s">
        <v>217</v>
      </c>
      <c r="M81" s="698"/>
    </row>
    <row r="82">
      <c r="A82" s="703" t="s">
        <v>1921</v>
      </c>
      <c r="B82" s="703" t="s">
        <v>1795</v>
      </c>
      <c r="C82" s="703" t="s">
        <v>1773</v>
      </c>
      <c r="D82" s="703" t="s">
        <v>1248</v>
      </c>
      <c r="E82" s="703" t="s">
        <v>1247</v>
      </c>
      <c r="F82" s="703" t="s">
        <v>820</v>
      </c>
      <c r="G82" s="703" t="s">
        <v>1922</v>
      </c>
      <c r="H82" s="703" t="s">
        <v>1797</v>
      </c>
      <c r="I82" s="703" t="s">
        <v>821</v>
      </c>
      <c r="J82" s="703" t="s">
        <v>1247</v>
      </c>
      <c r="K82" s="702" t="s">
        <v>221</v>
      </c>
      <c r="L82" s="703" t="s">
        <v>725</v>
      </c>
      <c r="M82" s="698"/>
    </row>
    <row r="83">
      <c r="A83" s="703" t="s">
        <v>1923</v>
      </c>
      <c r="B83" s="703" t="s">
        <v>1795</v>
      </c>
      <c r="C83" s="703" t="s">
        <v>1773</v>
      </c>
      <c r="D83" s="703" t="s">
        <v>1248</v>
      </c>
      <c r="E83" s="703" t="s">
        <v>1247</v>
      </c>
      <c r="F83" s="703" t="s">
        <v>834</v>
      </c>
      <c r="G83" s="703" t="s">
        <v>1924</v>
      </c>
      <c r="H83" s="703" t="s">
        <v>1797</v>
      </c>
      <c r="I83" s="703" t="s">
        <v>835</v>
      </c>
      <c r="J83" s="703" t="s">
        <v>1247</v>
      </c>
      <c r="K83" s="702" t="s">
        <v>221</v>
      </c>
      <c r="L83" s="703" t="s">
        <v>1249</v>
      </c>
      <c r="M83" s="698"/>
    </row>
    <row r="84">
      <c r="A84" s="703" t="s">
        <v>1925</v>
      </c>
      <c r="B84" s="703" t="s">
        <v>1795</v>
      </c>
      <c r="C84" s="703" t="s">
        <v>1773</v>
      </c>
      <c r="D84" s="703" t="s">
        <v>1248</v>
      </c>
      <c r="E84" s="703" t="s">
        <v>1247</v>
      </c>
      <c r="F84" s="703" t="s">
        <v>845</v>
      </c>
      <c r="G84" s="703" t="s">
        <v>1926</v>
      </c>
      <c r="H84" s="703" t="s">
        <v>1797</v>
      </c>
      <c r="I84" s="703" t="s">
        <v>846</v>
      </c>
      <c r="J84" s="703" t="s">
        <v>1247</v>
      </c>
      <c r="K84" s="702" t="s">
        <v>221</v>
      </c>
      <c r="L84" s="703" t="s">
        <v>692</v>
      </c>
      <c r="M84" s="698"/>
    </row>
    <row r="85">
      <c r="A85" s="703" t="s">
        <v>1927</v>
      </c>
      <c r="B85" s="703" t="s">
        <v>1795</v>
      </c>
      <c r="C85" s="703" t="s">
        <v>1773</v>
      </c>
      <c r="D85" s="703" t="s">
        <v>1248</v>
      </c>
      <c r="E85" s="703" t="s">
        <v>1247</v>
      </c>
      <c r="F85" s="703" t="s">
        <v>856</v>
      </c>
      <c r="G85" s="703" t="s">
        <v>1928</v>
      </c>
      <c r="H85" s="703" t="s">
        <v>1797</v>
      </c>
      <c r="I85" s="703" t="s">
        <v>1182</v>
      </c>
      <c r="J85" s="703" t="s">
        <v>1247</v>
      </c>
      <c r="K85" s="702" t="s">
        <v>221</v>
      </c>
      <c r="L85" s="703" t="s">
        <v>671</v>
      </c>
      <c r="M85" s="698"/>
    </row>
    <row r="86">
      <c r="A86" s="703" t="s">
        <v>1929</v>
      </c>
      <c r="B86" s="703" t="s">
        <v>1795</v>
      </c>
      <c r="C86" s="703" t="s">
        <v>1773</v>
      </c>
      <c r="D86" s="703" t="s">
        <v>1248</v>
      </c>
      <c r="E86" s="703" t="s">
        <v>1247</v>
      </c>
      <c r="F86" s="703" t="s">
        <v>865</v>
      </c>
      <c r="G86" s="703" t="s">
        <v>1870</v>
      </c>
      <c r="H86" s="703" t="s">
        <v>1797</v>
      </c>
      <c r="I86" s="703" t="s">
        <v>1184</v>
      </c>
      <c r="J86" s="703" t="s">
        <v>1247</v>
      </c>
      <c r="K86" s="702" t="s">
        <v>221</v>
      </c>
      <c r="L86" s="703" t="s">
        <v>834</v>
      </c>
      <c r="M86" s="698"/>
    </row>
    <row r="87">
      <c r="A87" s="703" t="s">
        <v>1930</v>
      </c>
      <c r="B87" s="703" t="s">
        <v>1795</v>
      </c>
      <c r="C87" s="703" t="s">
        <v>1773</v>
      </c>
      <c r="D87" s="703" t="s">
        <v>1248</v>
      </c>
      <c r="E87" s="703" t="s">
        <v>1247</v>
      </c>
      <c r="F87" s="703" t="s">
        <v>879</v>
      </c>
      <c r="G87" s="703" t="s">
        <v>1931</v>
      </c>
      <c r="H87" s="703" t="s">
        <v>1797</v>
      </c>
      <c r="I87" s="703" t="s">
        <v>1185</v>
      </c>
      <c r="J87" s="703" t="s">
        <v>1247</v>
      </c>
      <c r="K87" s="702" t="s">
        <v>221</v>
      </c>
      <c r="L87" s="703" t="s">
        <v>503</v>
      </c>
      <c r="M87" s="698"/>
    </row>
    <row r="88">
      <c r="A88" s="703" t="s">
        <v>1932</v>
      </c>
      <c r="B88" s="703" t="s">
        <v>1795</v>
      </c>
      <c r="C88" s="703" t="s">
        <v>1773</v>
      </c>
      <c r="D88" s="703" t="s">
        <v>1248</v>
      </c>
      <c r="E88" s="703" t="s">
        <v>1247</v>
      </c>
      <c r="F88" s="703" t="s">
        <v>887</v>
      </c>
      <c r="G88" s="703" t="s">
        <v>216</v>
      </c>
      <c r="H88" s="703" t="s">
        <v>1797</v>
      </c>
      <c r="I88" s="703" t="s">
        <v>1187</v>
      </c>
      <c r="J88" s="703" t="s">
        <v>1247</v>
      </c>
      <c r="K88" s="702" t="s">
        <v>221</v>
      </c>
      <c r="L88" s="703" t="s">
        <v>217</v>
      </c>
      <c r="M88" s="698"/>
    </row>
    <row r="89">
      <c r="A89" s="703" t="s">
        <v>1933</v>
      </c>
      <c r="B89" s="703" t="s">
        <v>1795</v>
      </c>
      <c r="C89" s="703" t="s">
        <v>1773</v>
      </c>
      <c r="D89" s="703" t="s">
        <v>1248</v>
      </c>
      <c r="E89" s="703" t="s">
        <v>1247</v>
      </c>
      <c r="F89" s="703" t="s">
        <v>892</v>
      </c>
      <c r="G89" s="703" t="s">
        <v>838</v>
      </c>
      <c r="H89" s="703" t="s">
        <v>1797</v>
      </c>
      <c r="I89" s="703" t="s">
        <v>1190</v>
      </c>
      <c r="J89" s="703" t="s">
        <v>1247</v>
      </c>
      <c r="K89" s="702" t="s">
        <v>221</v>
      </c>
      <c r="L89" s="703" t="s">
        <v>1356</v>
      </c>
      <c r="M89" s="698"/>
    </row>
    <row r="90">
      <c r="A90" s="703" t="s">
        <v>1934</v>
      </c>
      <c r="B90" s="703" t="s">
        <v>1795</v>
      </c>
      <c r="C90" s="703" t="s">
        <v>1773</v>
      </c>
      <c r="D90" s="703" t="s">
        <v>1248</v>
      </c>
      <c r="E90" s="703" t="s">
        <v>1247</v>
      </c>
      <c r="F90" s="703" t="s">
        <v>900</v>
      </c>
      <c r="G90" s="703" t="s">
        <v>841</v>
      </c>
      <c r="H90" s="703" t="s">
        <v>1797</v>
      </c>
      <c r="I90" s="703" t="s">
        <v>1191</v>
      </c>
      <c r="J90" s="703" t="s">
        <v>1247</v>
      </c>
      <c r="K90" s="702" t="s">
        <v>221</v>
      </c>
      <c r="L90" s="703" t="s">
        <v>1356</v>
      </c>
      <c r="M90" s="698"/>
    </row>
    <row r="91">
      <c r="A91" s="703" t="s">
        <v>1935</v>
      </c>
      <c r="B91" s="703" t="s">
        <v>1795</v>
      </c>
      <c r="C91" s="703" t="s">
        <v>1773</v>
      </c>
      <c r="D91" s="703" t="s">
        <v>1248</v>
      </c>
      <c r="E91" s="703" t="s">
        <v>1247</v>
      </c>
      <c r="F91" s="703" t="s">
        <v>905</v>
      </c>
      <c r="G91" s="703" t="s">
        <v>844</v>
      </c>
      <c r="H91" s="703" t="s">
        <v>1797</v>
      </c>
      <c r="I91" s="703" t="s">
        <v>1193</v>
      </c>
      <c r="J91" s="703" t="s">
        <v>1247</v>
      </c>
      <c r="K91" s="702" t="s">
        <v>221</v>
      </c>
      <c r="L91" s="703" t="s">
        <v>1356</v>
      </c>
      <c r="M91" s="698"/>
    </row>
    <row r="92">
      <c r="A92" s="703" t="s">
        <v>1936</v>
      </c>
      <c r="B92" s="703" t="s">
        <v>1795</v>
      </c>
      <c r="C92" s="703" t="s">
        <v>1773</v>
      </c>
      <c r="D92" s="703" t="s">
        <v>1248</v>
      </c>
      <c r="E92" s="703" t="s">
        <v>1247</v>
      </c>
      <c r="F92" s="703" t="s">
        <v>911</v>
      </c>
      <c r="G92" s="703" t="s">
        <v>216</v>
      </c>
      <c r="H92" s="703" t="s">
        <v>1797</v>
      </c>
      <c r="I92" s="703" t="s">
        <v>1194</v>
      </c>
      <c r="J92" s="703" t="s">
        <v>1247</v>
      </c>
      <c r="K92" s="702" t="s">
        <v>221</v>
      </c>
      <c r="L92" s="703" t="s">
        <v>696</v>
      </c>
      <c r="M92" s="698"/>
    </row>
    <row r="93">
      <c r="A93" s="703" t="s">
        <v>1937</v>
      </c>
      <c r="B93" s="703" t="s">
        <v>1795</v>
      </c>
      <c r="C93" s="703" t="s">
        <v>1773</v>
      </c>
      <c r="D93" s="703" t="s">
        <v>1248</v>
      </c>
      <c r="E93" s="703" t="s">
        <v>1247</v>
      </c>
      <c r="F93" s="703" t="s">
        <v>915</v>
      </c>
      <c r="G93" s="703" t="s">
        <v>1938</v>
      </c>
      <c r="H93" s="703" t="s">
        <v>1797</v>
      </c>
      <c r="I93" s="703" t="s">
        <v>1198</v>
      </c>
      <c r="J93" s="703" t="s">
        <v>1247</v>
      </c>
      <c r="K93" s="702" t="s">
        <v>221</v>
      </c>
      <c r="L93" s="703" t="s">
        <v>1249</v>
      </c>
      <c r="M93" s="698"/>
    </row>
    <row r="94">
      <c r="A94" s="703" t="s">
        <v>1939</v>
      </c>
      <c r="B94" s="703" t="s">
        <v>1795</v>
      </c>
      <c r="C94" s="703" t="s">
        <v>1773</v>
      </c>
      <c r="D94" s="703" t="s">
        <v>1248</v>
      </c>
      <c r="E94" s="703" t="s">
        <v>1247</v>
      </c>
      <c r="F94" s="703" t="s">
        <v>928</v>
      </c>
      <c r="G94" s="703" t="s">
        <v>1940</v>
      </c>
      <c r="H94" s="703" t="s">
        <v>1797</v>
      </c>
      <c r="I94" s="703" t="s">
        <v>1199</v>
      </c>
      <c r="J94" s="703" t="s">
        <v>1247</v>
      </c>
      <c r="K94" s="702" t="s">
        <v>221</v>
      </c>
      <c r="L94" s="703" t="s">
        <v>503</v>
      </c>
      <c r="M94" s="698"/>
    </row>
    <row r="95">
      <c r="A95" s="703" t="s">
        <v>1941</v>
      </c>
      <c r="B95" s="703" t="s">
        <v>1795</v>
      </c>
      <c r="C95" s="703" t="s">
        <v>1773</v>
      </c>
      <c r="D95" s="703" t="s">
        <v>1248</v>
      </c>
      <c r="E95" s="703" t="s">
        <v>1247</v>
      </c>
      <c r="F95" s="703" t="s">
        <v>937</v>
      </c>
      <c r="G95" s="703" t="s">
        <v>863</v>
      </c>
      <c r="H95" s="703" t="s">
        <v>1797</v>
      </c>
      <c r="I95" s="703" t="s">
        <v>1201</v>
      </c>
      <c r="J95" s="703" t="s">
        <v>1247</v>
      </c>
      <c r="K95" s="702" t="s">
        <v>221</v>
      </c>
      <c r="L95" s="703" t="s">
        <v>1356</v>
      </c>
      <c r="M95" s="698"/>
    </row>
    <row r="96">
      <c r="A96" s="703" t="s">
        <v>1942</v>
      </c>
      <c r="B96" s="703" t="s">
        <v>1795</v>
      </c>
      <c r="C96" s="703" t="s">
        <v>1773</v>
      </c>
      <c r="D96" s="703" t="s">
        <v>1248</v>
      </c>
      <c r="E96" s="703" t="s">
        <v>1247</v>
      </c>
      <c r="F96" s="703" t="s">
        <v>945</v>
      </c>
      <c r="G96" s="703" t="s">
        <v>1943</v>
      </c>
      <c r="H96" s="703" t="s">
        <v>1797</v>
      </c>
      <c r="I96" s="703" t="s">
        <v>1202</v>
      </c>
      <c r="J96" s="703" t="s">
        <v>1247</v>
      </c>
      <c r="K96" s="702" t="s">
        <v>221</v>
      </c>
      <c r="L96" s="703" t="s">
        <v>879</v>
      </c>
      <c r="M96" s="698"/>
    </row>
    <row r="97">
      <c r="A97" s="703" t="s">
        <v>1944</v>
      </c>
      <c r="B97" s="703" t="s">
        <v>1795</v>
      </c>
      <c r="C97" s="703" t="s">
        <v>1773</v>
      </c>
      <c r="D97" s="703" t="s">
        <v>1248</v>
      </c>
      <c r="E97" s="703" t="s">
        <v>1247</v>
      </c>
      <c r="F97" s="703" t="s">
        <v>948</v>
      </c>
      <c r="G97" s="703" t="s">
        <v>1945</v>
      </c>
      <c r="H97" s="703" t="s">
        <v>1797</v>
      </c>
      <c r="I97" s="703" t="s">
        <v>1210</v>
      </c>
      <c r="J97" s="703" t="s">
        <v>1247</v>
      </c>
      <c r="K97" s="702" t="s">
        <v>221</v>
      </c>
      <c r="L97" s="703" t="s">
        <v>1365</v>
      </c>
      <c r="M97" s="698"/>
    </row>
    <row r="98">
      <c r="A98" s="703" t="s">
        <v>1946</v>
      </c>
      <c r="B98" s="703" t="s">
        <v>1795</v>
      </c>
      <c r="C98" s="703" t="s">
        <v>1773</v>
      </c>
      <c r="D98" s="703" t="s">
        <v>1248</v>
      </c>
      <c r="E98" s="703" t="s">
        <v>1247</v>
      </c>
      <c r="F98" s="703" t="s">
        <v>980</v>
      </c>
      <c r="G98" s="703" t="s">
        <v>1830</v>
      </c>
      <c r="H98" s="703" t="s">
        <v>1797</v>
      </c>
      <c r="I98" s="703" t="s">
        <v>1211</v>
      </c>
      <c r="J98" s="703" t="s">
        <v>1247</v>
      </c>
      <c r="K98" s="702" t="s">
        <v>221</v>
      </c>
      <c r="L98" s="703" t="s">
        <v>1365</v>
      </c>
      <c r="M98" s="698"/>
    </row>
    <row r="99">
      <c r="A99" s="703" t="s">
        <v>1947</v>
      </c>
      <c r="B99" s="703" t="s">
        <v>1795</v>
      </c>
      <c r="C99" s="703" t="s">
        <v>1773</v>
      </c>
      <c r="D99" s="703" t="s">
        <v>1248</v>
      </c>
      <c r="E99" s="703" t="s">
        <v>1247</v>
      </c>
      <c r="F99" s="703" t="s">
        <v>987</v>
      </c>
      <c r="G99" s="703" t="s">
        <v>1948</v>
      </c>
      <c r="H99" s="703" t="s">
        <v>1797</v>
      </c>
      <c r="I99" s="703" t="s">
        <v>1212</v>
      </c>
      <c r="J99" s="703" t="s">
        <v>1247</v>
      </c>
      <c r="K99" s="702" t="s">
        <v>221</v>
      </c>
      <c r="L99" s="703" t="s">
        <v>1949</v>
      </c>
      <c r="M99" s="698"/>
    </row>
    <row r="100">
      <c r="A100" s="703" t="s">
        <v>1950</v>
      </c>
      <c r="B100" s="703" t="s">
        <v>1795</v>
      </c>
      <c r="C100" s="703" t="s">
        <v>1773</v>
      </c>
      <c r="D100" s="703" t="s">
        <v>1248</v>
      </c>
      <c r="E100" s="703" t="s">
        <v>1247</v>
      </c>
      <c r="F100" s="703" t="s">
        <v>992</v>
      </c>
      <c r="G100" s="703" t="s">
        <v>1951</v>
      </c>
      <c r="H100" s="703" t="s">
        <v>1797</v>
      </c>
      <c r="I100" s="703" t="s">
        <v>1347</v>
      </c>
      <c r="J100" s="703" t="s">
        <v>1247</v>
      </c>
      <c r="K100" s="702" t="s">
        <v>221</v>
      </c>
      <c r="L100" s="703" t="s">
        <v>772</v>
      </c>
      <c r="M100" s="698"/>
    </row>
    <row r="101">
      <c r="A101" s="703" t="s">
        <v>1952</v>
      </c>
      <c r="B101" s="703" t="s">
        <v>1795</v>
      </c>
      <c r="C101" s="703" t="s">
        <v>1773</v>
      </c>
      <c r="D101" s="703" t="s">
        <v>1248</v>
      </c>
      <c r="E101" s="703" t="s">
        <v>1247</v>
      </c>
      <c r="F101" s="703" t="s">
        <v>1249</v>
      </c>
      <c r="G101" s="703" t="s">
        <v>1953</v>
      </c>
      <c r="H101" s="703" t="s">
        <v>1797</v>
      </c>
      <c r="I101" s="703" t="s">
        <v>1250</v>
      </c>
      <c r="J101" s="703" t="s">
        <v>1247</v>
      </c>
      <c r="K101" s="702" t="s">
        <v>221</v>
      </c>
      <c r="L101" s="703" t="s">
        <v>1074</v>
      </c>
      <c r="M101" s="698"/>
    </row>
    <row r="102">
      <c r="A102" s="703" t="s">
        <v>1954</v>
      </c>
      <c r="B102" s="703" t="s">
        <v>1795</v>
      </c>
      <c r="C102" s="703" t="s">
        <v>1773</v>
      </c>
      <c r="D102" s="703" t="s">
        <v>1248</v>
      </c>
      <c r="E102" s="703" t="s">
        <v>1247</v>
      </c>
      <c r="F102" s="703" t="s">
        <v>671</v>
      </c>
      <c r="G102" s="703" t="s">
        <v>1955</v>
      </c>
      <c r="H102" s="703" t="s">
        <v>1797</v>
      </c>
      <c r="I102" s="703" t="s">
        <v>672</v>
      </c>
      <c r="J102" s="703" t="s">
        <v>1247</v>
      </c>
      <c r="K102" s="702" t="s">
        <v>221</v>
      </c>
      <c r="L102" s="703" t="s">
        <v>687</v>
      </c>
      <c r="M102" s="698"/>
    </row>
    <row r="103">
      <c r="A103" s="703" t="s">
        <v>1956</v>
      </c>
      <c r="B103" s="703" t="s">
        <v>1795</v>
      </c>
      <c r="C103" s="703" t="s">
        <v>1773</v>
      </c>
      <c r="D103" s="703" t="s">
        <v>1248</v>
      </c>
      <c r="E103" s="703" t="s">
        <v>1247</v>
      </c>
      <c r="F103" s="703" t="s">
        <v>687</v>
      </c>
      <c r="G103" s="703" t="s">
        <v>1957</v>
      </c>
      <c r="H103" s="703" t="s">
        <v>1797</v>
      </c>
      <c r="I103" s="703" t="s">
        <v>688</v>
      </c>
      <c r="J103" s="703" t="s">
        <v>1247</v>
      </c>
      <c r="K103" s="702" t="s">
        <v>221</v>
      </c>
      <c r="L103" s="703" t="s">
        <v>1365</v>
      </c>
      <c r="M103" s="698"/>
    </row>
    <row r="104">
      <c r="A104" s="703" t="s">
        <v>1958</v>
      </c>
      <c r="B104" s="703" t="s">
        <v>1795</v>
      </c>
      <c r="C104" s="703" t="s">
        <v>1773</v>
      </c>
      <c r="D104" s="703" t="s">
        <v>1248</v>
      </c>
      <c r="E104" s="703" t="s">
        <v>1247</v>
      </c>
      <c r="F104" s="703" t="s">
        <v>692</v>
      </c>
      <c r="G104" s="703" t="s">
        <v>216</v>
      </c>
      <c r="H104" s="703" t="s">
        <v>1797</v>
      </c>
      <c r="I104" s="703" t="s">
        <v>693</v>
      </c>
      <c r="J104" s="703" t="s">
        <v>1247</v>
      </c>
      <c r="K104" s="702" t="s">
        <v>221</v>
      </c>
      <c r="L104" s="703" t="s">
        <v>1356</v>
      </c>
      <c r="M104" s="698"/>
    </row>
    <row r="105">
      <c r="A105" s="703" t="s">
        <v>1959</v>
      </c>
      <c r="B105" s="703" t="s">
        <v>1795</v>
      </c>
      <c r="C105" s="703" t="s">
        <v>1773</v>
      </c>
      <c r="D105" s="703" t="s">
        <v>1248</v>
      </c>
      <c r="E105" s="703" t="s">
        <v>1247</v>
      </c>
      <c r="F105" s="703" t="s">
        <v>696</v>
      </c>
      <c r="G105" s="703" t="s">
        <v>1960</v>
      </c>
      <c r="H105" s="703" t="s">
        <v>1797</v>
      </c>
      <c r="I105" s="703" t="s">
        <v>697</v>
      </c>
      <c r="J105" s="703" t="s">
        <v>1247</v>
      </c>
      <c r="K105" s="702" t="s">
        <v>221</v>
      </c>
      <c r="L105" s="703" t="s">
        <v>845</v>
      </c>
      <c r="M105" s="698"/>
    </row>
    <row r="106">
      <c r="A106" s="703" t="s">
        <v>1961</v>
      </c>
      <c r="B106" s="703" t="s">
        <v>1795</v>
      </c>
      <c r="C106" s="703" t="s">
        <v>1773</v>
      </c>
      <c r="D106" s="703" t="s">
        <v>1354</v>
      </c>
      <c r="E106" s="703" t="s">
        <v>1353</v>
      </c>
      <c r="F106" s="703" t="s">
        <v>1356</v>
      </c>
      <c r="G106" s="703" t="s">
        <v>216</v>
      </c>
      <c r="H106" s="703" t="s">
        <v>1797</v>
      </c>
      <c r="I106" s="703" t="s">
        <v>1357</v>
      </c>
      <c r="J106" s="703" t="s">
        <v>1353</v>
      </c>
      <c r="K106" s="702" t="s">
        <v>221</v>
      </c>
      <c r="L106" s="703" t="s">
        <v>687</v>
      </c>
      <c r="M106" s="698"/>
    </row>
    <row r="107">
      <c r="A107" s="703" t="s">
        <v>1962</v>
      </c>
      <c r="B107" s="703" t="s">
        <v>1795</v>
      </c>
      <c r="C107" s="703" t="s">
        <v>1773</v>
      </c>
      <c r="D107" s="703" t="s">
        <v>1354</v>
      </c>
      <c r="E107" s="703" t="s">
        <v>1353</v>
      </c>
      <c r="F107" s="703" t="s">
        <v>1365</v>
      </c>
      <c r="G107" s="703" t="s">
        <v>1963</v>
      </c>
      <c r="H107" s="703" t="s">
        <v>1797</v>
      </c>
      <c r="I107" s="703" t="s">
        <v>1366</v>
      </c>
      <c r="J107" s="703" t="s">
        <v>1353</v>
      </c>
      <c r="K107" s="702" t="s">
        <v>221</v>
      </c>
      <c r="L107" s="703" t="s">
        <v>1964</v>
      </c>
      <c r="M107" s="698"/>
    </row>
    <row r="108">
      <c r="A108" s="703" t="s">
        <v>1965</v>
      </c>
      <c r="B108" s="703" t="s">
        <v>1795</v>
      </c>
      <c r="C108" s="703" t="s">
        <v>1773</v>
      </c>
      <c r="D108" s="703" t="s">
        <v>1354</v>
      </c>
      <c r="E108" s="703" t="s">
        <v>1353</v>
      </c>
      <c r="F108" s="703" t="s">
        <v>217</v>
      </c>
      <c r="G108" s="703" t="s">
        <v>1966</v>
      </c>
      <c r="H108" s="703" t="s">
        <v>1797</v>
      </c>
      <c r="I108" s="703" t="s">
        <v>218</v>
      </c>
      <c r="J108" s="703" t="s">
        <v>1353</v>
      </c>
      <c r="K108" s="702" t="s">
        <v>221</v>
      </c>
      <c r="L108" s="703" t="s">
        <v>1967</v>
      </c>
      <c r="M108" s="698"/>
    </row>
    <row r="109">
      <c r="A109" s="703" t="s">
        <v>1968</v>
      </c>
      <c r="B109" s="703" t="s">
        <v>1795</v>
      </c>
      <c r="C109" s="703" t="s">
        <v>1773</v>
      </c>
      <c r="D109" s="703" t="s">
        <v>1354</v>
      </c>
      <c r="E109" s="703" t="s">
        <v>1353</v>
      </c>
      <c r="F109" s="703" t="s">
        <v>503</v>
      </c>
      <c r="G109" s="703" t="s">
        <v>1969</v>
      </c>
      <c r="H109" s="703" t="s">
        <v>1797</v>
      </c>
      <c r="I109" s="703" t="s">
        <v>504</v>
      </c>
      <c r="J109" s="703" t="s">
        <v>1353</v>
      </c>
      <c r="K109" s="702" t="s">
        <v>221</v>
      </c>
      <c r="L109" s="703" t="s">
        <v>1970</v>
      </c>
      <c r="M109" s="698"/>
    </row>
    <row r="110">
      <c r="A110" s="703" t="s">
        <v>1971</v>
      </c>
      <c r="B110" s="703" t="s">
        <v>1972</v>
      </c>
      <c r="C110" s="703" t="s">
        <v>1773</v>
      </c>
      <c r="D110" s="698"/>
      <c r="E110" s="698"/>
      <c r="F110" s="698"/>
      <c r="G110" s="698"/>
      <c r="H110" s="703" t="s">
        <v>1973</v>
      </c>
      <c r="I110" s="703" t="s">
        <v>1974</v>
      </c>
      <c r="J110" s="703" t="s">
        <v>125</v>
      </c>
      <c r="K110" s="702" t="s">
        <v>221</v>
      </c>
      <c r="L110" s="703" t="s">
        <v>1365</v>
      </c>
      <c r="M110" s="703" t="s">
        <v>1975</v>
      </c>
    </row>
    <row r="111">
      <c r="A111" s="703" t="s">
        <v>1976</v>
      </c>
      <c r="B111" s="703" t="s">
        <v>1972</v>
      </c>
      <c r="C111" s="703" t="s">
        <v>1773</v>
      </c>
      <c r="D111" s="698"/>
      <c r="E111" s="698"/>
      <c r="F111" s="698"/>
      <c r="G111" s="698"/>
      <c r="H111" s="703" t="s">
        <v>1973</v>
      </c>
      <c r="I111" s="703" t="s">
        <v>1977</v>
      </c>
      <c r="J111" s="703" t="s">
        <v>125</v>
      </c>
      <c r="K111" s="702" t="s">
        <v>221</v>
      </c>
      <c r="L111" s="703" t="s">
        <v>1365</v>
      </c>
      <c r="M111" s="703" t="s">
        <v>1978</v>
      </c>
    </row>
    <row r="112">
      <c r="A112" s="703" t="s">
        <v>1979</v>
      </c>
      <c r="B112" s="703" t="s">
        <v>1972</v>
      </c>
      <c r="C112" s="703" t="s">
        <v>1773</v>
      </c>
      <c r="D112" s="698"/>
      <c r="E112" s="698"/>
      <c r="F112" s="698"/>
      <c r="G112" s="698"/>
      <c r="H112" s="703" t="s">
        <v>1973</v>
      </c>
      <c r="I112" s="703" t="s">
        <v>1980</v>
      </c>
      <c r="J112" s="703" t="s">
        <v>125</v>
      </c>
      <c r="K112" s="702" t="s">
        <v>221</v>
      </c>
      <c r="L112" s="703" t="s">
        <v>1356</v>
      </c>
      <c r="M112" s="703" t="s">
        <v>1981</v>
      </c>
    </row>
    <row r="113">
      <c r="A113" s="703" t="s">
        <v>1982</v>
      </c>
      <c r="B113" s="703" t="s">
        <v>1972</v>
      </c>
      <c r="C113" s="703" t="s">
        <v>1773</v>
      </c>
      <c r="D113" s="698"/>
      <c r="E113" s="698"/>
      <c r="F113" s="698"/>
      <c r="G113" s="698"/>
      <c r="H113" s="703" t="s">
        <v>1973</v>
      </c>
      <c r="I113" s="703" t="s">
        <v>1983</v>
      </c>
      <c r="J113" s="703" t="s">
        <v>125</v>
      </c>
      <c r="K113" s="702" t="s">
        <v>221</v>
      </c>
      <c r="L113" s="703" t="s">
        <v>1365</v>
      </c>
      <c r="M113" s="703" t="s">
        <v>1984</v>
      </c>
    </row>
    <row r="114">
      <c r="A114" s="703" t="s">
        <v>1985</v>
      </c>
      <c r="B114" s="703" t="s">
        <v>1972</v>
      </c>
      <c r="C114" s="703" t="s">
        <v>1773</v>
      </c>
      <c r="D114" s="698"/>
      <c r="E114" s="698"/>
      <c r="F114" s="698"/>
      <c r="G114" s="698"/>
      <c r="H114" s="703" t="s">
        <v>1973</v>
      </c>
      <c r="I114" s="703" t="s">
        <v>1986</v>
      </c>
      <c r="J114" s="703" t="s">
        <v>125</v>
      </c>
      <c r="K114" s="702" t="s">
        <v>221</v>
      </c>
      <c r="L114" s="703" t="s">
        <v>1365</v>
      </c>
      <c r="M114" s="703" t="s">
        <v>1987</v>
      </c>
    </row>
    <row r="115">
      <c r="A115" s="703" t="s">
        <v>1988</v>
      </c>
      <c r="B115" s="703" t="s">
        <v>1972</v>
      </c>
      <c r="C115" s="703" t="s">
        <v>1773</v>
      </c>
      <c r="D115" s="698"/>
      <c r="E115" s="698"/>
      <c r="F115" s="698"/>
      <c r="G115" s="698"/>
      <c r="H115" s="703" t="s">
        <v>1973</v>
      </c>
      <c r="I115" s="703" t="s">
        <v>1989</v>
      </c>
      <c r="J115" s="703" t="s">
        <v>125</v>
      </c>
      <c r="K115" s="702" t="s">
        <v>221</v>
      </c>
      <c r="L115" s="703" t="s">
        <v>1356</v>
      </c>
      <c r="M115" s="703" t="s">
        <v>1990</v>
      </c>
    </row>
    <row r="116">
      <c r="A116" s="703" t="s">
        <v>1991</v>
      </c>
      <c r="B116" s="703" t="s">
        <v>1972</v>
      </c>
      <c r="C116" s="703" t="s">
        <v>1773</v>
      </c>
      <c r="D116" s="698"/>
      <c r="E116" s="698"/>
      <c r="F116" s="698"/>
      <c r="G116" s="698"/>
      <c r="H116" s="703" t="s">
        <v>1973</v>
      </c>
      <c r="I116" s="703" t="s">
        <v>1992</v>
      </c>
      <c r="J116" s="703" t="s">
        <v>125</v>
      </c>
      <c r="K116" s="702" t="s">
        <v>221</v>
      </c>
      <c r="L116" s="703" t="s">
        <v>1356</v>
      </c>
      <c r="M116" s="703" t="s">
        <v>1993</v>
      </c>
    </row>
    <row r="117">
      <c r="A117" s="703" t="s">
        <v>1994</v>
      </c>
      <c r="B117" s="703" t="s">
        <v>1972</v>
      </c>
      <c r="C117" s="703" t="s">
        <v>1773</v>
      </c>
      <c r="D117" s="698"/>
      <c r="E117" s="698"/>
      <c r="F117" s="698"/>
      <c r="G117" s="698"/>
      <c r="H117" s="703" t="s">
        <v>1973</v>
      </c>
      <c r="I117" s="703" t="s">
        <v>1995</v>
      </c>
      <c r="J117" s="703" t="s">
        <v>125</v>
      </c>
      <c r="K117" s="702" t="s">
        <v>221</v>
      </c>
      <c r="L117" s="703" t="s">
        <v>1365</v>
      </c>
      <c r="M117" s="703" t="s">
        <v>1996</v>
      </c>
    </row>
    <row r="118">
      <c r="A118" s="703" t="s">
        <v>1997</v>
      </c>
      <c r="B118" s="703" t="s">
        <v>1972</v>
      </c>
      <c r="C118" s="703" t="s">
        <v>1773</v>
      </c>
      <c r="D118" s="698"/>
      <c r="E118" s="698"/>
      <c r="F118" s="698"/>
      <c r="G118" s="698"/>
      <c r="H118" s="703" t="s">
        <v>1973</v>
      </c>
      <c r="I118" s="703" t="s">
        <v>1998</v>
      </c>
      <c r="J118" s="703" t="s">
        <v>125</v>
      </c>
      <c r="K118" s="702" t="s">
        <v>221</v>
      </c>
      <c r="L118" s="703" t="s">
        <v>1365</v>
      </c>
      <c r="M118" s="703" t="s">
        <v>1999</v>
      </c>
    </row>
    <row r="119">
      <c r="A119" s="703" t="s">
        <v>2000</v>
      </c>
      <c r="B119" s="703" t="s">
        <v>2001</v>
      </c>
      <c r="C119" s="703" t="s">
        <v>1773</v>
      </c>
      <c r="D119" s="698"/>
      <c r="E119" s="698"/>
      <c r="F119" s="698"/>
      <c r="G119" s="698"/>
      <c r="H119" s="703" t="s">
        <v>1973</v>
      </c>
      <c r="I119" s="703" t="s">
        <v>2002</v>
      </c>
      <c r="J119" s="703" t="s">
        <v>125</v>
      </c>
      <c r="K119" s="702" t="s">
        <v>221</v>
      </c>
      <c r="L119" s="703" t="s">
        <v>503</v>
      </c>
      <c r="M119" s="703" t="s">
        <v>2003</v>
      </c>
    </row>
    <row r="120">
      <c r="A120" s="703" t="s">
        <v>2004</v>
      </c>
      <c r="B120" s="703" t="s">
        <v>2001</v>
      </c>
      <c r="C120" s="703" t="s">
        <v>1773</v>
      </c>
      <c r="D120" s="698"/>
      <c r="E120" s="698"/>
      <c r="F120" s="698"/>
      <c r="G120" s="698"/>
      <c r="H120" s="703" t="s">
        <v>1973</v>
      </c>
      <c r="I120" s="703" t="s">
        <v>2005</v>
      </c>
      <c r="J120" s="703" t="s">
        <v>125</v>
      </c>
      <c r="K120" s="702" t="s">
        <v>221</v>
      </c>
      <c r="L120" s="703" t="s">
        <v>503</v>
      </c>
      <c r="M120" s="703" t="s">
        <v>2006</v>
      </c>
    </row>
    <row r="121">
      <c r="A121" s="703" t="s">
        <v>2007</v>
      </c>
      <c r="B121" s="703" t="s">
        <v>2001</v>
      </c>
      <c r="C121" s="703" t="s">
        <v>1773</v>
      </c>
      <c r="D121" s="698"/>
      <c r="E121" s="698"/>
      <c r="F121" s="698"/>
      <c r="G121" s="698"/>
      <c r="H121" s="703" t="s">
        <v>1973</v>
      </c>
      <c r="I121" s="703" t="s">
        <v>2008</v>
      </c>
      <c r="J121" s="703" t="s">
        <v>125</v>
      </c>
      <c r="K121" s="702" t="s">
        <v>221</v>
      </c>
      <c r="L121" s="703" t="s">
        <v>503</v>
      </c>
      <c r="M121" s="703" t="s">
        <v>2009</v>
      </c>
    </row>
    <row r="122">
      <c r="A122" s="703" t="s">
        <v>2010</v>
      </c>
      <c r="B122" s="703" t="s">
        <v>2001</v>
      </c>
      <c r="C122" s="703" t="s">
        <v>1773</v>
      </c>
      <c r="D122" s="698"/>
      <c r="E122" s="698"/>
      <c r="F122" s="698"/>
      <c r="G122" s="698"/>
      <c r="H122" s="703" t="s">
        <v>1973</v>
      </c>
      <c r="I122" s="703" t="s">
        <v>2011</v>
      </c>
      <c r="J122" s="703" t="s">
        <v>125</v>
      </c>
      <c r="K122" s="702" t="s">
        <v>221</v>
      </c>
      <c r="L122" s="703" t="s">
        <v>503</v>
      </c>
      <c r="M122" s="703" t="s">
        <v>2012</v>
      </c>
    </row>
    <row r="123">
      <c r="A123" s="703" t="s">
        <v>2013</v>
      </c>
      <c r="B123" s="703" t="s">
        <v>2001</v>
      </c>
      <c r="C123" s="703" t="s">
        <v>1773</v>
      </c>
      <c r="D123" s="698"/>
      <c r="E123" s="698"/>
      <c r="F123" s="698"/>
      <c r="G123" s="698"/>
      <c r="H123" s="703" t="s">
        <v>1973</v>
      </c>
      <c r="I123" s="703" t="s">
        <v>2014</v>
      </c>
      <c r="J123" s="703" t="s">
        <v>125</v>
      </c>
      <c r="K123" s="702" t="s">
        <v>221</v>
      </c>
      <c r="L123" s="703" t="s">
        <v>503</v>
      </c>
      <c r="M123" s="703" t="s">
        <v>2015</v>
      </c>
    </row>
    <row r="124">
      <c r="A124" s="703" t="s">
        <v>2016</v>
      </c>
      <c r="B124" s="703" t="s">
        <v>2001</v>
      </c>
      <c r="C124" s="703" t="s">
        <v>1773</v>
      </c>
      <c r="D124" s="698"/>
      <c r="E124" s="698"/>
      <c r="F124" s="698"/>
      <c r="G124" s="698"/>
      <c r="H124" s="703" t="s">
        <v>1973</v>
      </c>
      <c r="I124" s="703" t="s">
        <v>2017</v>
      </c>
      <c r="J124" s="703" t="s">
        <v>125</v>
      </c>
      <c r="K124" s="702" t="s">
        <v>221</v>
      </c>
      <c r="L124" s="703" t="s">
        <v>503</v>
      </c>
      <c r="M124" s="703" t="s">
        <v>2018</v>
      </c>
    </row>
    <row r="125">
      <c r="A125" s="703" t="s">
        <v>2019</v>
      </c>
      <c r="B125" s="703" t="s">
        <v>2001</v>
      </c>
      <c r="C125" s="703" t="s">
        <v>1773</v>
      </c>
      <c r="D125" s="698"/>
      <c r="E125" s="698"/>
      <c r="F125" s="698"/>
      <c r="G125" s="698"/>
      <c r="H125" s="703" t="s">
        <v>1973</v>
      </c>
      <c r="I125" s="703" t="s">
        <v>2020</v>
      </c>
      <c r="J125" s="703" t="s">
        <v>125</v>
      </c>
      <c r="K125" s="702" t="s">
        <v>221</v>
      </c>
      <c r="L125" s="703" t="s">
        <v>503</v>
      </c>
      <c r="M125" s="703" t="s">
        <v>2021</v>
      </c>
    </row>
    <row r="126">
      <c r="A126" s="703" t="s">
        <v>2022</v>
      </c>
      <c r="B126" s="703" t="s">
        <v>2001</v>
      </c>
      <c r="C126" s="703" t="s">
        <v>1773</v>
      </c>
      <c r="D126" s="698"/>
      <c r="E126" s="698"/>
      <c r="F126" s="698"/>
      <c r="G126" s="698"/>
      <c r="H126" s="703" t="s">
        <v>1973</v>
      </c>
      <c r="I126" s="703" t="s">
        <v>2023</v>
      </c>
      <c r="J126" s="703" t="s">
        <v>125</v>
      </c>
      <c r="K126" s="702" t="s">
        <v>221</v>
      </c>
      <c r="L126" s="703" t="s">
        <v>503</v>
      </c>
      <c r="M126" s="703" t="s">
        <v>2024</v>
      </c>
    </row>
    <row r="127">
      <c r="A127" s="703" t="s">
        <v>2025</v>
      </c>
      <c r="B127" s="703" t="s">
        <v>2026</v>
      </c>
      <c r="C127" s="703" t="s">
        <v>1773</v>
      </c>
      <c r="D127" s="698"/>
      <c r="E127" s="698"/>
      <c r="F127" s="698"/>
      <c r="G127" s="698"/>
      <c r="H127" s="703" t="s">
        <v>2027</v>
      </c>
      <c r="I127" s="703" t="s">
        <v>2028</v>
      </c>
      <c r="J127" s="703" t="s">
        <v>125</v>
      </c>
      <c r="K127" s="699" t="s">
        <v>1705</v>
      </c>
      <c r="L127" s="703" t="s">
        <v>945</v>
      </c>
      <c r="M127" s="703" t="s">
        <v>2029</v>
      </c>
    </row>
    <row r="128">
      <c r="A128" s="703" t="s">
        <v>2030</v>
      </c>
      <c r="B128" s="703" t="s">
        <v>2026</v>
      </c>
      <c r="C128" s="703" t="s">
        <v>1773</v>
      </c>
      <c r="D128" s="698"/>
      <c r="E128" s="698"/>
      <c r="F128" s="698"/>
      <c r="G128" s="698"/>
      <c r="H128" s="703" t="s">
        <v>2031</v>
      </c>
      <c r="I128" s="703" t="s">
        <v>2028</v>
      </c>
      <c r="J128" s="703" t="s">
        <v>125</v>
      </c>
      <c r="K128" s="699" t="s">
        <v>1705</v>
      </c>
      <c r="L128" s="703" t="s">
        <v>865</v>
      </c>
      <c r="M128" s="703" t="s">
        <v>2029</v>
      </c>
    </row>
    <row r="129">
      <c r="A129" s="703" t="s">
        <v>2032</v>
      </c>
      <c r="B129" s="703" t="s">
        <v>2026</v>
      </c>
      <c r="C129" s="703" t="s">
        <v>1773</v>
      </c>
      <c r="D129" s="698"/>
      <c r="E129" s="698"/>
      <c r="F129" s="698"/>
      <c r="G129" s="698"/>
      <c r="H129" s="703" t="s">
        <v>2033</v>
      </c>
      <c r="I129" s="703" t="s">
        <v>2028</v>
      </c>
      <c r="J129" s="703" t="s">
        <v>125</v>
      </c>
      <c r="K129" s="699" t="s">
        <v>1705</v>
      </c>
      <c r="L129" s="703" t="s">
        <v>879</v>
      </c>
      <c r="M129" s="703" t="s">
        <v>2029</v>
      </c>
    </row>
    <row r="130">
      <c r="A130" s="703" t="s">
        <v>2034</v>
      </c>
      <c r="B130" s="703" t="s">
        <v>2026</v>
      </c>
      <c r="C130" s="703" t="s">
        <v>1773</v>
      </c>
      <c r="D130" s="698"/>
      <c r="E130" s="698"/>
      <c r="F130" s="698"/>
      <c r="G130" s="698"/>
      <c r="H130" s="703" t="s">
        <v>2035</v>
      </c>
      <c r="I130" s="703" t="s">
        <v>2028</v>
      </c>
      <c r="J130" s="703" t="s">
        <v>125</v>
      </c>
      <c r="K130" s="699" t="s">
        <v>1705</v>
      </c>
      <c r="L130" s="703" t="s">
        <v>892</v>
      </c>
      <c r="M130" s="703" t="s">
        <v>2029</v>
      </c>
    </row>
    <row r="131">
      <c r="A131" s="703" t="s">
        <v>2036</v>
      </c>
      <c r="B131" s="703" t="s">
        <v>2026</v>
      </c>
      <c r="C131" s="703" t="s">
        <v>1773</v>
      </c>
      <c r="D131" s="698"/>
      <c r="E131" s="698"/>
      <c r="F131" s="698"/>
      <c r="G131" s="698"/>
      <c r="H131" s="703" t="s">
        <v>2037</v>
      </c>
      <c r="I131" s="703" t="s">
        <v>2028</v>
      </c>
      <c r="J131" s="703" t="s">
        <v>125</v>
      </c>
      <c r="K131" s="699" t="s">
        <v>1705</v>
      </c>
      <c r="L131" s="703" t="s">
        <v>928</v>
      </c>
      <c r="M131" s="703" t="s">
        <v>2029</v>
      </c>
    </row>
    <row r="132">
      <c r="A132" s="703" t="s">
        <v>2038</v>
      </c>
      <c r="B132" s="703" t="s">
        <v>2026</v>
      </c>
      <c r="C132" s="703" t="s">
        <v>1773</v>
      </c>
      <c r="D132" s="698"/>
      <c r="E132" s="698"/>
      <c r="F132" s="698"/>
      <c r="G132" s="698"/>
      <c r="H132" s="703" t="s">
        <v>2039</v>
      </c>
      <c r="I132" s="703" t="s">
        <v>2028</v>
      </c>
      <c r="J132" s="703" t="s">
        <v>125</v>
      </c>
      <c r="K132" s="699" t="s">
        <v>1705</v>
      </c>
      <c r="L132" s="703" t="s">
        <v>811</v>
      </c>
      <c r="M132" s="703" t="s">
        <v>2029</v>
      </c>
    </row>
    <row r="133">
      <c r="A133" s="703" t="s">
        <v>2040</v>
      </c>
      <c r="B133" s="703" t="s">
        <v>2041</v>
      </c>
      <c r="C133" s="698"/>
      <c r="D133" s="698"/>
      <c r="E133" s="698"/>
      <c r="F133" s="698"/>
      <c r="G133" s="698"/>
      <c r="H133" s="703" t="s">
        <v>2042</v>
      </c>
      <c r="I133" s="703" t="s">
        <v>2043</v>
      </c>
      <c r="J133" s="700" t="s">
        <v>2044</v>
      </c>
      <c r="K133" s="702" t="s">
        <v>221</v>
      </c>
      <c r="L133" s="703" t="s">
        <v>1356</v>
      </c>
      <c r="M133" s="703" t="s">
        <v>2045</v>
      </c>
    </row>
    <row r="134">
      <c r="A134" s="703" t="s">
        <v>2046</v>
      </c>
      <c r="B134" s="703" t="s">
        <v>2041</v>
      </c>
      <c r="C134" s="698"/>
      <c r="D134" s="698"/>
      <c r="E134" s="703" t="s">
        <v>1247</v>
      </c>
      <c r="F134" s="698"/>
      <c r="G134" s="698"/>
      <c r="H134" s="703" t="s">
        <v>2042</v>
      </c>
      <c r="I134" s="703" t="s">
        <v>2047</v>
      </c>
      <c r="J134" s="700" t="s">
        <v>2044</v>
      </c>
      <c r="K134" s="702" t="s">
        <v>221</v>
      </c>
      <c r="L134" s="703" t="s">
        <v>1356</v>
      </c>
      <c r="M134" s="703" t="s">
        <v>2048</v>
      </c>
    </row>
  </sheetData>
</worksheet>
</file>

<file path=xl/worksheets/sheet13.xml><?xml version="1.0" encoding="utf-8"?>
<worksheet xmlns="http://schemas.openxmlformats.org/spreadsheetml/2006/main" xmlns:r="http://schemas.openxmlformats.org/officeDocument/2006/relationships">
  <dimension ref="A1:H29"/>
  <sheetViews>
    <sheetView showGridLines="0" workbookViewId="0"/>
  </sheetViews>
  <sheetFormatPr defaultColWidth="8.375" defaultRowHeight="15"/>
  <cols>
    <col min="1" max="4" width="16.875" customWidth="1"/>
    <col min="5" max="5" width="59.375" customWidth="1"/>
    <col min="6" max="8" width="16.875" customWidth="1"/>
  </cols>
  <sheetData>
    <row r="1">
      <c r="A1" s="704" t="s">
        <v>0</v>
      </c>
      <c r="B1" s="698"/>
      <c r="C1" s="698"/>
      <c r="D1" s="698"/>
      <c r="E1" s="698"/>
      <c r="F1" s="698"/>
      <c r="G1" s="698"/>
      <c r="H1" s="698"/>
    </row>
    <row r="2">
      <c r="A2" s="703" t="s">
        <v>2049</v>
      </c>
      <c r="B2" s="698"/>
      <c r="C2" s="698"/>
      <c r="D2" s="698"/>
      <c r="E2" s="698"/>
      <c r="F2" s="698"/>
      <c r="G2" s="698"/>
      <c r="H2" s="698"/>
    </row>
    <row r="3">
      <c r="A3" s="699" t="s">
        <v>2050</v>
      </c>
      <c r="B3" s="699"/>
      <c r="C3" s="699"/>
      <c r="D3" s="699"/>
      <c r="E3" s="699"/>
      <c r="F3" s="699"/>
      <c r="G3" s="699"/>
      <c r="H3" s="699"/>
    </row>
    <row r="4">
      <c r="A4" s="703"/>
      <c r="B4" s="703"/>
      <c r="C4" s="703"/>
      <c r="D4" s="703"/>
      <c r="E4" s="703"/>
      <c r="F4" s="703"/>
      <c r="G4" s="703"/>
      <c r="H4" s="703"/>
    </row>
    <row r="5">
      <c r="A5" s="703"/>
      <c r="B5" s="703"/>
      <c r="C5" s="703"/>
      <c r="D5" s="703"/>
      <c r="E5" s="703"/>
      <c r="F5" s="703"/>
      <c r="G5" s="703"/>
      <c r="H5" s="703"/>
    </row>
    <row r="6">
      <c r="A6" s="703"/>
      <c r="B6" s="703"/>
      <c r="C6" s="703"/>
      <c r="D6" s="703"/>
      <c r="E6" s="703"/>
      <c r="F6" s="703"/>
      <c r="G6" s="703"/>
      <c r="H6" s="703"/>
    </row>
    <row r="7">
      <c r="A7" s="703"/>
      <c r="B7" s="703"/>
      <c r="C7" s="703"/>
      <c r="D7" s="703"/>
      <c r="E7" s="703"/>
      <c r="F7" s="703"/>
      <c r="G7" s="703"/>
      <c r="H7" s="703"/>
    </row>
    <row r="8">
      <c r="A8" s="703"/>
      <c r="B8" s="703"/>
      <c r="C8" s="703"/>
      <c r="D8" s="703"/>
      <c r="E8" s="703"/>
      <c r="F8" s="703"/>
      <c r="G8" s="703"/>
      <c r="H8" s="703"/>
    </row>
    <row r="9">
      <c r="A9" s="703"/>
      <c r="B9" s="703"/>
      <c r="C9" s="703"/>
      <c r="D9" s="703"/>
      <c r="E9" s="703"/>
      <c r="F9" s="703"/>
      <c r="G9" s="703"/>
      <c r="H9" s="703"/>
    </row>
    <row r="10">
      <c r="A10" s="703"/>
      <c r="B10" s="703"/>
      <c r="C10" s="703"/>
      <c r="D10" s="703"/>
      <c r="E10" s="703"/>
      <c r="F10" s="703"/>
      <c r="G10" s="703"/>
      <c r="H10" s="703"/>
    </row>
    <row r="11">
      <c r="A11" s="703"/>
      <c r="B11" s="703"/>
      <c r="C11" s="703"/>
      <c r="D11" s="703"/>
      <c r="E11" s="703"/>
      <c r="F11" s="703"/>
      <c r="G11" s="703"/>
      <c r="H11" s="703"/>
    </row>
    <row r="12">
      <c r="A12" s="703"/>
      <c r="B12" s="703"/>
      <c r="C12" s="703"/>
      <c r="D12" s="703"/>
      <c r="E12" s="703"/>
      <c r="F12" s="703"/>
      <c r="G12" s="703"/>
      <c r="H12" s="703"/>
    </row>
    <row r="13">
      <c r="A13" s="703"/>
      <c r="B13" s="703"/>
      <c r="C13" s="703"/>
      <c r="D13" s="703"/>
      <c r="E13" s="703"/>
      <c r="F13" s="703"/>
      <c r="G13" s="703"/>
      <c r="H13" s="703"/>
    </row>
    <row r="14">
      <c r="A14" s="703"/>
      <c r="B14" s="703"/>
      <c r="C14" s="703"/>
      <c r="D14" s="703"/>
      <c r="E14" s="703"/>
      <c r="F14" s="703"/>
      <c r="G14" s="703"/>
      <c r="H14" s="703"/>
    </row>
    <row r="15">
      <c r="A15" s="703"/>
      <c r="B15" s="703"/>
      <c r="C15" s="703"/>
      <c r="D15" s="703"/>
      <c r="E15" s="703"/>
      <c r="F15" s="703"/>
      <c r="G15" s="703"/>
      <c r="H15" s="703"/>
    </row>
    <row r="16">
      <c r="A16" s="703"/>
      <c r="B16" s="703"/>
      <c r="C16" s="703"/>
      <c r="D16" s="703"/>
      <c r="E16" s="703"/>
      <c r="F16" s="703"/>
      <c r="G16" s="703"/>
      <c r="H16" s="703"/>
    </row>
    <row r="17">
      <c r="A17" s="703"/>
      <c r="B17" s="703"/>
      <c r="C17" s="703"/>
      <c r="D17" s="703"/>
      <c r="E17" s="703"/>
      <c r="F17" s="703"/>
      <c r="G17" s="703"/>
      <c r="H17" s="703"/>
    </row>
    <row r="18">
      <c r="A18" s="703"/>
      <c r="B18" s="700"/>
      <c r="C18" s="703"/>
      <c r="D18" s="703"/>
      <c r="E18" s="703"/>
      <c r="F18" s="698"/>
      <c r="G18" s="698"/>
      <c r="H18" s="703"/>
    </row>
    <row r="19">
      <c r="A19" s="703"/>
      <c r="B19" s="700"/>
      <c r="C19" s="703"/>
      <c r="D19" s="703"/>
      <c r="E19" s="703"/>
      <c r="F19" s="698"/>
      <c r="G19" s="698"/>
      <c r="H19" s="703"/>
    </row>
    <row r="20">
      <c r="A20" s="703"/>
      <c r="B20" s="700"/>
      <c r="C20" s="703"/>
      <c r="D20" s="703"/>
      <c r="E20" s="703"/>
      <c r="F20" s="698"/>
      <c r="G20" s="698"/>
      <c r="H20" s="703"/>
    </row>
    <row r="21">
      <c r="A21" s="703"/>
      <c r="B21" s="700"/>
      <c r="C21" s="703"/>
      <c r="D21" s="703"/>
      <c r="E21" s="703"/>
      <c r="F21" s="698"/>
      <c r="G21" s="698"/>
      <c r="H21" s="703"/>
    </row>
    <row r="22">
      <c r="A22" s="703"/>
      <c r="B22" s="700"/>
      <c r="C22" s="703"/>
      <c r="D22" s="703"/>
      <c r="E22" s="703"/>
      <c r="F22" s="698"/>
      <c r="G22" s="698"/>
      <c r="H22" s="703"/>
    </row>
    <row r="23">
      <c r="A23" s="703"/>
      <c r="B23" s="700"/>
      <c r="C23" s="703"/>
      <c r="D23" s="703"/>
      <c r="E23" s="703"/>
      <c r="F23" s="698"/>
      <c r="G23" s="698"/>
      <c r="H23" s="703"/>
    </row>
    <row r="24">
      <c r="A24" s="703"/>
      <c r="B24" s="700"/>
      <c r="C24" s="703"/>
      <c r="D24" s="703"/>
      <c r="E24" s="703"/>
      <c r="F24" s="698"/>
      <c r="G24" s="698"/>
      <c r="H24" s="703"/>
    </row>
    <row r="25">
      <c r="A25" s="703"/>
      <c r="B25" s="700"/>
      <c r="C25" s="703"/>
      <c r="D25" s="703"/>
      <c r="E25" s="703"/>
      <c r="F25" s="698"/>
      <c r="G25" s="698"/>
      <c r="H25" s="703"/>
    </row>
    <row r="26">
      <c r="A26" s="703"/>
      <c r="B26" s="700"/>
      <c r="C26" s="703"/>
      <c r="D26" s="703"/>
      <c r="E26" s="703"/>
      <c r="F26" s="698"/>
      <c r="G26" s="698"/>
      <c r="H26" s="703"/>
    </row>
    <row r="27">
      <c r="A27" s="703"/>
      <c r="B27" s="700"/>
      <c r="C27" s="703"/>
      <c r="D27" s="703"/>
      <c r="E27" s="703"/>
      <c r="F27" s="698"/>
      <c r="G27" s="698"/>
      <c r="H27" s="703"/>
    </row>
    <row r="28">
      <c r="A28" s="703"/>
      <c r="B28" s="700"/>
      <c r="C28" s="703"/>
      <c r="D28" s="703"/>
      <c r="E28" s="703"/>
      <c r="F28" s="698"/>
      <c r="G28" s="698"/>
      <c r="H28" s="703"/>
    </row>
    <row r="29">
      <c r="A29" s="703"/>
      <c r="B29" s="703"/>
      <c r="C29" s="703"/>
      <c r="D29" s="703"/>
      <c r="E29" s="703"/>
      <c r="F29" s="703"/>
      <c r="G29" s="703"/>
      <c r="H29" s="703"/>
    </row>
  </sheetData>
</worksheet>
</file>

<file path=xl/worksheets/sheet14.xml><?xml version="1.0" encoding="utf-8"?>
<worksheet xmlns="http://schemas.openxmlformats.org/spreadsheetml/2006/main" xmlns:r="http://schemas.openxmlformats.org/officeDocument/2006/relationships">
  <dimension ref="A1:A117"/>
  <sheetViews>
    <sheetView showGridLines="0" workbookViewId="0"/>
  </sheetViews>
  <sheetFormatPr defaultColWidth="8.375" defaultRowHeight="15"/>
  <cols>
    <col min="1" max="1" width="111.875" customWidth="1"/>
  </cols>
  <sheetData>
    <row r="1">
      <c r="A1" s="704" t="s">
        <v>0</v>
      </c>
    </row>
    <row r="2">
      <c r="A2" s="703" t="s">
        <v>2051</v>
      </c>
    </row>
    <row r="3">
      <c r="A3" s="703" t="s">
        <v>2052</v>
      </c>
    </row>
    <row r="4">
      <c r="A4" s="703" t="s">
        <v>2053</v>
      </c>
    </row>
    <row r="5">
      <c r="A5" s="703" t="s">
        <v>2054</v>
      </c>
    </row>
    <row r="6">
      <c r="A6" s="704" t="s">
        <v>2055</v>
      </c>
    </row>
    <row r="7">
      <c r="A7" s="703" t="s">
        <v>2056</v>
      </c>
    </row>
    <row r="8">
      <c r="A8" s="703" t="s">
        <v>2057</v>
      </c>
    </row>
    <row r="9">
      <c r="A9" s="703" t="s">
        <v>2058</v>
      </c>
    </row>
    <row r="10">
      <c r="A10" s="703" t="s">
        <v>2059</v>
      </c>
    </row>
    <row r="11">
      <c r="A11" s="704" t="s">
        <v>2060</v>
      </c>
    </row>
    <row r="12">
      <c r="A12" s="703" t="s">
        <v>2061</v>
      </c>
    </row>
    <row r="13">
      <c r="A13" s="703" t="s">
        <v>2062</v>
      </c>
    </row>
    <row r="14">
      <c r="A14" s="703" t="s">
        <v>2063</v>
      </c>
    </row>
    <row r="15">
      <c r="A15" s="703" t="s">
        <v>2064</v>
      </c>
    </row>
    <row r="16">
      <c r="A16" s="703" t="s">
        <v>2065</v>
      </c>
    </row>
    <row r="17">
      <c r="A17" s="703" t="s">
        <v>2066</v>
      </c>
    </row>
    <row r="18">
      <c r="A18" s="704" t="s">
        <v>2067</v>
      </c>
    </row>
    <row r="19">
      <c r="A19" s="703" t="s">
        <v>2068</v>
      </c>
    </row>
    <row r="20">
      <c r="A20" s="703" t="s">
        <v>2069</v>
      </c>
    </row>
    <row r="21">
      <c r="A21" s="704" t="s">
        <v>2070</v>
      </c>
    </row>
    <row r="22">
      <c r="A22" s="703" t="s">
        <v>2071</v>
      </c>
    </row>
    <row r="23">
      <c r="A23" s="703" t="s">
        <v>2072</v>
      </c>
    </row>
    <row r="24">
      <c r="A24" s="703" t="s">
        <v>2073</v>
      </c>
    </row>
    <row r="25">
      <c r="A25" s="703" t="s">
        <v>2074</v>
      </c>
    </row>
    <row r="26">
      <c r="A26" s="703" t="s">
        <v>2075</v>
      </c>
    </row>
    <row r="27">
      <c r="A27" s="703" t="s">
        <v>2076</v>
      </c>
    </row>
    <row r="28">
      <c r="A28" s="703" t="s">
        <v>2077</v>
      </c>
    </row>
    <row r="29">
      <c r="A29" s="703" t="s">
        <v>2078</v>
      </c>
    </row>
    <row r="30">
      <c r="A30" s="703" t="s">
        <v>2079</v>
      </c>
    </row>
    <row r="31">
      <c r="A31" s="704" t="s">
        <v>2080</v>
      </c>
    </row>
    <row r="32">
      <c r="A32" s="703" t="s">
        <v>2081</v>
      </c>
    </row>
    <row r="33">
      <c r="A33" s="703" t="s">
        <v>2082</v>
      </c>
    </row>
    <row r="34">
      <c r="A34" s="703" t="s">
        <v>2083</v>
      </c>
    </row>
    <row r="35">
      <c r="A35" s="703" t="s">
        <v>2084</v>
      </c>
    </row>
    <row r="36">
      <c r="A36" s="703" t="s">
        <v>2085</v>
      </c>
    </row>
    <row r="37">
      <c r="A37" s="703" t="s">
        <v>2086</v>
      </c>
    </row>
    <row r="38">
      <c r="A38" s="703" t="s">
        <v>2087</v>
      </c>
    </row>
    <row r="39">
      <c r="A39" s="703" t="s">
        <v>2088</v>
      </c>
    </row>
    <row r="40">
      <c r="A40" s="703" t="s">
        <v>2089</v>
      </c>
    </row>
    <row r="41">
      <c r="A41" s="703" t="s">
        <v>2090</v>
      </c>
    </row>
    <row r="42">
      <c r="A42" s="703" t="s">
        <v>2091</v>
      </c>
    </row>
    <row r="43">
      <c r="A43" s="703" t="s">
        <v>2092</v>
      </c>
    </row>
    <row r="44">
      <c r="A44" s="704" t="s">
        <v>2093</v>
      </c>
    </row>
    <row r="45">
      <c r="A45" s="703" t="s">
        <v>2094</v>
      </c>
    </row>
    <row r="46">
      <c r="A46" s="703" t="s">
        <v>2095</v>
      </c>
    </row>
    <row r="47">
      <c r="A47" s="703" t="s">
        <v>2096</v>
      </c>
    </row>
    <row r="48">
      <c r="A48" s="703" t="s">
        <v>2097</v>
      </c>
    </row>
    <row r="49">
      <c r="A49" s="703" t="s">
        <v>2098</v>
      </c>
    </row>
    <row r="50">
      <c r="A50" s="703" t="s">
        <v>2099</v>
      </c>
    </row>
    <row r="51">
      <c r="A51" s="703" t="s">
        <v>2100</v>
      </c>
    </row>
    <row r="52">
      <c r="A52" s="703" t="s">
        <v>2101</v>
      </c>
    </row>
    <row r="53">
      <c r="A53" s="703" t="s">
        <v>2102</v>
      </c>
    </row>
    <row r="54">
      <c r="A54" s="703" t="s">
        <v>2103</v>
      </c>
    </row>
    <row r="55">
      <c r="A55" s="703" t="s">
        <v>2104</v>
      </c>
    </row>
    <row r="56">
      <c r="A56" s="703" t="s">
        <v>2105</v>
      </c>
    </row>
    <row r="57">
      <c r="A57" s="703" t="s">
        <v>2106</v>
      </c>
    </row>
    <row r="58">
      <c r="A58" s="703" t="s">
        <v>2107</v>
      </c>
    </row>
    <row r="59">
      <c r="A59" s="703" t="s">
        <v>2108</v>
      </c>
    </row>
    <row r="60">
      <c r="A60" s="703" t="s">
        <v>2109</v>
      </c>
    </row>
    <row r="61">
      <c r="A61" s="703" t="s">
        <v>2110</v>
      </c>
    </row>
    <row r="62">
      <c r="A62" s="703" t="s">
        <v>2111</v>
      </c>
    </row>
    <row r="63">
      <c r="A63" s="703" t="s">
        <v>2112</v>
      </c>
    </row>
    <row r="64">
      <c r="A64" s="703" t="s">
        <v>2113</v>
      </c>
    </row>
    <row r="65">
      <c r="A65" s="703" t="s">
        <v>2114</v>
      </c>
    </row>
    <row r="66">
      <c r="A66" s="703" t="s">
        <v>2115</v>
      </c>
    </row>
    <row r="67">
      <c r="A67" s="703" t="s">
        <v>2116</v>
      </c>
    </row>
    <row r="68">
      <c r="A68" s="703" t="s">
        <v>2117</v>
      </c>
    </row>
    <row r="69">
      <c r="A69" s="704" t="s">
        <v>2118</v>
      </c>
    </row>
    <row r="70">
      <c r="A70" s="703" t="s">
        <v>2119</v>
      </c>
    </row>
    <row r="71">
      <c r="A71" s="703" t="s">
        <v>2120</v>
      </c>
    </row>
    <row r="72">
      <c r="A72" s="703" t="s">
        <v>2121</v>
      </c>
    </row>
    <row r="73">
      <c r="A73" s="704" t="s">
        <v>2122</v>
      </c>
    </row>
    <row r="74">
      <c r="A74" s="703" t="s">
        <v>2123</v>
      </c>
    </row>
    <row r="75">
      <c r="A75" s="703" t="s">
        <v>2124</v>
      </c>
    </row>
    <row r="76">
      <c r="A76" s="703" t="s">
        <v>2125</v>
      </c>
    </row>
    <row r="77">
      <c r="A77" s="703" t="s">
        <v>2126</v>
      </c>
    </row>
    <row r="78">
      <c r="A78" s="703" t="s">
        <v>2127</v>
      </c>
    </row>
    <row r="79">
      <c r="A79" s="703" t="s">
        <v>2128</v>
      </c>
    </row>
    <row r="80">
      <c r="A80" s="703" t="s">
        <v>2129</v>
      </c>
    </row>
    <row r="81">
      <c r="A81" s="703" t="s">
        <v>2130</v>
      </c>
    </row>
    <row r="82">
      <c r="A82" s="703" t="s">
        <v>2131</v>
      </c>
    </row>
    <row r="83">
      <c r="A83" s="704" t="s">
        <v>2132</v>
      </c>
    </row>
    <row r="84">
      <c r="A84" s="703" t="s">
        <v>2133</v>
      </c>
    </row>
    <row r="85">
      <c r="A85" s="703" t="s">
        <v>2134</v>
      </c>
    </row>
    <row r="86">
      <c r="A86" s="703" t="s">
        <v>2135</v>
      </c>
    </row>
    <row r="87">
      <c r="A87" s="703" t="s">
        <v>2136</v>
      </c>
    </row>
    <row r="88">
      <c r="A88" s="703" t="s">
        <v>2137</v>
      </c>
    </row>
    <row r="89">
      <c r="A89" s="704" t="s">
        <v>2138</v>
      </c>
    </row>
    <row r="90">
      <c r="A90" s="703" t="s">
        <v>2139</v>
      </c>
    </row>
    <row r="91">
      <c r="A91" s="703" t="s">
        <v>2140</v>
      </c>
    </row>
    <row r="92">
      <c r="A92" s="703" t="s">
        <v>2141</v>
      </c>
    </row>
    <row r="93">
      <c r="A93" s="704" t="s">
        <v>2142</v>
      </c>
    </row>
    <row r="94">
      <c r="A94" s="703" t="s">
        <v>2143</v>
      </c>
    </row>
    <row r="95">
      <c r="A95" s="704" t="s">
        <v>2144</v>
      </c>
    </row>
    <row r="96">
      <c r="A96" s="703" t="s">
        <v>2145</v>
      </c>
    </row>
    <row r="97">
      <c r="A97" s="704" t="s">
        <v>2146</v>
      </c>
    </row>
    <row r="98">
      <c r="A98" s="703" t="s">
        <v>2147</v>
      </c>
    </row>
    <row r="99">
      <c r="A99" s="704" t="s">
        <v>2148</v>
      </c>
    </row>
    <row r="100">
      <c r="A100" s="703" t="s">
        <v>2149</v>
      </c>
    </row>
    <row r="101">
      <c r="A101" s="704" t="s">
        <v>2150</v>
      </c>
    </row>
    <row r="102">
      <c r="A102" s="703" t="s">
        <v>2151</v>
      </c>
    </row>
    <row r="103">
      <c r="A103" s="704" t="s">
        <v>2152</v>
      </c>
    </row>
    <row r="104">
      <c r="A104" s="703" t="s">
        <v>2153</v>
      </c>
    </row>
    <row r="105">
      <c r="A105" s="703" t="s">
        <v>2154</v>
      </c>
    </row>
    <row r="106">
      <c r="A106" s="703" t="s">
        <v>2155</v>
      </c>
    </row>
    <row r="107">
      <c r="A107" s="703" t="s">
        <v>2156</v>
      </c>
    </row>
    <row r="108">
      <c r="A108" s="703" t="s">
        <v>2157</v>
      </c>
    </row>
    <row r="109">
      <c r="A109" s="703" t="s">
        <v>952</v>
      </c>
    </row>
    <row r="110">
      <c r="A110" s="703" t="s">
        <v>1205</v>
      </c>
    </row>
    <row r="111">
      <c r="A111" s="703" t="s">
        <v>2158</v>
      </c>
    </row>
    <row r="112">
      <c r="A112" s="704" t="s">
        <v>2159</v>
      </c>
    </row>
    <row r="113">
      <c r="A113" s="703" t="s">
        <v>2160</v>
      </c>
    </row>
    <row r="114">
      <c r="A114" s="703" t="s">
        <v>2161</v>
      </c>
    </row>
    <row r="115">
      <c r="A115" s="703" t="s">
        <v>2162</v>
      </c>
    </row>
    <row r="116">
      <c r="A116" s="703" t="s">
        <v>2163</v>
      </c>
    </row>
    <row r="117">
      <c r="A117" s="703" t="s">
        <v>2164</v>
      </c>
    </row>
  </sheetData>
</worksheet>
</file>

<file path=xl/worksheets/sheet15.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709" t="s">
        <v>2165</v>
      </c>
      <c r="B1" s="709" t="s">
        <v>2166</v>
      </c>
      <c r="C1" s="709" t="s">
        <v>2167</v>
      </c>
      <c r="D1" s="709" t="s">
        <v>2168</v>
      </c>
      <c r="E1" s="709" t="s">
        <v>2169</v>
      </c>
      <c r="F1" s="709" t="s">
        <v>2170</v>
      </c>
    </row>
    <row r="2">
      <c r="A2" s="711">
        <v>1</v>
      </c>
      <c r="B2" s="710">
        <v>46324.359330949075</v>
      </c>
      <c r="C2" s="711" t="s">
        <v>2171</v>
      </c>
      <c r="D2" s="711" t="s">
        <v>2172</v>
      </c>
      <c r="E2" s="711" t="s">
        <v>2173</v>
      </c>
      <c r="F2" s="711" t="s">
        <v>2174</v>
      </c>
    </row>
  </sheetData>
</worksheet>
</file>